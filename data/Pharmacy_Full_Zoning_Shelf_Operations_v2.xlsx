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smb\Desktop\"/>
    </mc:Choice>
  </mc:AlternateContent>
  <xr:revisionPtr revIDLastSave="0" documentId="8_{A6E5A4C0-A0F5-474E-9E12-D378E19E2A68}" xr6:coauthVersionLast="47" xr6:coauthVersionMax="47" xr10:uidLastSave="{00000000-0000-0000-0000-000000000000}"/>
  <bookViews>
    <workbookView xWindow="38280" yWindow="-120" windowWidth="29040" windowHeight="15720" activeTab="2" xr2:uid="{00000000-000D-0000-FFFF-FFFF00000000}"/>
  </bookViews>
  <sheets>
    <sheet name="01_전체조닝63" sheetId="1" r:id="rId1"/>
    <sheet name="02_선반315" sheetId="2" r:id="rId2"/>
    <sheet name="03_상품분류2526" sheetId="3" r:id="rId3"/>
    <sheet name="04_브랜드검토" sheetId="4" r:id="rId4"/>
    <sheet name="05_상품별배치367" sheetId="5" r:id="rId5"/>
    <sheet name="06_집기치수20" sheetId="6" r:id="rId6"/>
    <sheet name="07_실행기준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7" l="1"/>
  <c r="C11" i="7"/>
  <c r="C9" i="7"/>
  <c r="C8" i="7"/>
  <c r="C7" i="7"/>
  <c r="S26" i="6"/>
  <c r="P26" i="6"/>
  <c r="O26" i="6"/>
  <c r="N26" i="6"/>
  <c r="J26" i="6"/>
  <c r="S25" i="6"/>
  <c r="P25" i="6"/>
  <c r="O25" i="6"/>
  <c r="N25" i="6"/>
  <c r="J25" i="6"/>
  <c r="S24" i="6"/>
  <c r="P24" i="6"/>
  <c r="O24" i="6"/>
  <c r="N24" i="6"/>
  <c r="J24" i="6"/>
  <c r="S23" i="6"/>
  <c r="P23" i="6"/>
  <c r="O23" i="6"/>
  <c r="N23" i="6"/>
  <c r="J23" i="6"/>
  <c r="S22" i="6"/>
  <c r="P22" i="6"/>
  <c r="O22" i="6"/>
  <c r="N22" i="6"/>
  <c r="J22" i="6"/>
  <c r="S21" i="6"/>
  <c r="P21" i="6"/>
  <c r="O21" i="6"/>
  <c r="N21" i="6"/>
  <c r="J21" i="6"/>
  <c r="S20" i="6"/>
  <c r="P20" i="6"/>
  <c r="O20" i="6"/>
  <c r="N20" i="6"/>
  <c r="J20" i="6"/>
  <c r="S19" i="6"/>
  <c r="P19" i="6"/>
  <c r="O19" i="6"/>
  <c r="N19" i="6"/>
  <c r="J19" i="6"/>
  <c r="S18" i="6"/>
  <c r="P18" i="6"/>
  <c r="O18" i="6"/>
  <c r="N18" i="6"/>
  <c r="J18" i="6"/>
  <c r="S17" i="6"/>
  <c r="P17" i="6"/>
  <c r="O17" i="6"/>
  <c r="N17" i="6"/>
  <c r="J17" i="6"/>
  <c r="S16" i="6"/>
  <c r="P16" i="6"/>
  <c r="O16" i="6"/>
  <c r="N16" i="6"/>
  <c r="J16" i="6"/>
  <c r="S15" i="6"/>
  <c r="P15" i="6"/>
  <c r="O15" i="6"/>
  <c r="N15" i="6"/>
  <c r="J15" i="6"/>
  <c r="S14" i="6"/>
  <c r="P14" i="6"/>
  <c r="O14" i="6"/>
  <c r="N14" i="6"/>
  <c r="J14" i="6"/>
  <c r="S13" i="6"/>
  <c r="P13" i="6"/>
  <c r="O13" i="6"/>
  <c r="N13" i="6"/>
  <c r="J13" i="6"/>
  <c r="S12" i="6"/>
  <c r="P12" i="6"/>
  <c r="O12" i="6"/>
  <c r="N12" i="6"/>
  <c r="J12" i="6"/>
  <c r="S11" i="6"/>
  <c r="P11" i="6"/>
  <c r="O11" i="6"/>
  <c r="N11" i="6"/>
  <c r="J11" i="6"/>
  <c r="S10" i="6"/>
  <c r="P10" i="6"/>
  <c r="O10" i="6"/>
  <c r="N10" i="6"/>
  <c r="J10" i="6"/>
  <c r="S9" i="6"/>
  <c r="P9" i="6"/>
  <c r="O9" i="6"/>
  <c r="N9" i="6"/>
  <c r="J9" i="6"/>
  <c r="S8" i="6"/>
  <c r="P8" i="6"/>
  <c r="O8" i="6"/>
  <c r="N8" i="6"/>
  <c r="J8" i="6"/>
  <c r="S7" i="6"/>
  <c r="P7" i="6"/>
  <c r="O7" i="6"/>
  <c r="N7" i="6"/>
  <c r="J7" i="6"/>
  <c r="P373" i="5"/>
  <c r="N373" i="5"/>
  <c r="M373" i="5"/>
  <c r="L373" i="5"/>
  <c r="I373" i="5"/>
  <c r="G373" i="5"/>
  <c r="F373" i="5"/>
  <c r="P372" i="5"/>
  <c r="N372" i="5"/>
  <c r="M372" i="5"/>
  <c r="L372" i="5"/>
  <c r="I372" i="5"/>
  <c r="G372" i="5"/>
  <c r="F372" i="5"/>
  <c r="P371" i="5"/>
  <c r="N371" i="5"/>
  <c r="M371" i="5"/>
  <c r="L371" i="5"/>
  <c r="I371" i="5"/>
  <c r="G371" i="5"/>
  <c r="F371" i="5"/>
  <c r="P370" i="5"/>
  <c r="N370" i="5"/>
  <c r="M370" i="5"/>
  <c r="L370" i="5"/>
  <c r="I370" i="5"/>
  <c r="G370" i="5"/>
  <c r="F370" i="5"/>
  <c r="P369" i="5"/>
  <c r="N369" i="5"/>
  <c r="M369" i="5"/>
  <c r="L369" i="5"/>
  <c r="I369" i="5"/>
  <c r="G369" i="5"/>
  <c r="F369" i="5"/>
  <c r="P368" i="5"/>
  <c r="N368" i="5"/>
  <c r="M368" i="5"/>
  <c r="L368" i="5"/>
  <c r="I368" i="5"/>
  <c r="G368" i="5"/>
  <c r="F368" i="5"/>
  <c r="P367" i="5"/>
  <c r="N367" i="5"/>
  <c r="M367" i="5"/>
  <c r="L367" i="5"/>
  <c r="I367" i="5"/>
  <c r="G367" i="5"/>
  <c r="F367" i="5"/>
  <c r="P366" i="5"/>
  <c r="N366" i="5"/>
  <c r="M366" i="5"/>
  <c r="L366" i="5"/>
  <c r="I366" i="5"/>
  <c r="G366" i="5"/>
  <c r="F366" i="5"/>
  <c r="P365" i="5"/>
  <c r="N365" i="5"/>
  <c r="M365" i="5"/>
  <c r="L365" i="5"/>
  <c r="S365" i="5" s="1"/>
  <c r="I365" i="5"/>
  <c r="G365" i="5"/>
  <c r="F365" i="5"/>
  <c r="P364" i="5"/>
  <c r="N364" i="5"/>
  <c r="M364" i="5"/>
  <c r="L364" i="5"/>
  <c r="I364" i="5"/>
  <c r="G364" i="5"/>
  <c r="F364" i="5"/>
  <c r="P363" i="5"/>
  <c r="N363" i="5"/>
  <c r="M363" i="5"/>
  <c r="L363" i="5"/>
  <c r="S363" i="5" s="1"/>
  <c r="I363" i="5"/>
  <c r="G363" i="5"/>
  <c r="F363" i="5"/>
  <c r="P362" i="5"/>
  <c r="N362" i="5"/>
  <c r="M362" i="5"/>
  <c r="L362" i="5"/>
  <c r="I362" i="5"/>
  <c r="G362" i="5"/>
  <c r="F362" i="5"/>
  <c r="P361" i="5"/>
  <c r="N361" i="5"/>
  <c r="M361" i="5"/>
  <c r="L361" i="5"/>
  <c r="I361" i="5"/>
  <c r="G361" i="5"/>
  <c r="F361" i="5"/>
  <c r="P360" i="5"/>
  <c r="N360" i="5"/>
  <c r="M360" i="5"/>
  <c r="L360" i="5"/>
  <c r="I360" i="5"/>
  <c r="G360" i="5"/>
  <c r="F360" i="5"/>
  <c r="P359" i="5"/>
  <c r="N359" i="5"/>
  <c r="M359" i="5"/>
  <c r="L359" i="5"/>
  <c r="I359" i="5"/>
  <c r="G359" i="5"/>
  <c r="F359" i="5"/>
  <c r="P358" i="5"/>
  <c r="N358" i="5"/>
  <c r="M358" i="5"/>
  <c r="L358" i="5"/>
  <c r="I358" i="5"/>
  <c r="G358" i="5"/>
  <c r="F358" i="5"/>
  <c r="P357" i="5"/>
  <c r="N357" i="5"/>
  <c r="M357" i="5"/>
  <c r="L357" i="5"/>
  <c r="S357" i="5" s="1"/>
  <c r="I357" i="5"/>
  <c r="G357" i="5"/>
  <c r="F357" i="5"/>
  <c r="P356" i="5"/>
  <c r="N356" i="5"/>
  <c r="M356" i="5"/>
  <c r="L356" i="5"/>
  <c r="I356" i="5"/>
  <c r="G356" i="5"/>
  <c r="F356" i="5"/>
  <c r="P355" i="5"/>
  <c r="N355" i="5"/>
  <c r="M355" i="5"/>
  <c r="L355" i="5"/>
  <c r="I355" i="5"/>
  <c r="G355" i="5"/>
  <c r="F355" i="5"/>
  <c r="P354" i="5"/>
  <c r="N354" i="5"/>
  <c r="M354" i="5"/>
  <c r="L354" i="5"/>
  <c r="I354" i="5"/>
  <c r="G354" i="5"/>
  <c r="F354" i="5"/>
  <c r="P353" i="5"/>
  <c r="N353" i="5"/>
  <c r="M353" i="5"/>
  <c r="L353" i="5"/>
  <c r="S353" i="5" s="1"/>
  <c r="I353" i="5"/>
  <c r="G353" i="5"/>
  <c r="F353" i="5"/>
  <c r="P352" i="5"/>
  <c r="N352" i="5"/>
  <c r="M352" i="5"/>
  <c r="L352" i="5"/>
  <c r="I352" i="5"/>
  <c r="G352" i="5"/>
  <c r="F352" i="5"/>
  <c r="P351" i="5"/>
  <c r="N351" i="5"/>
  <c r="M351" i="5"/>
  <c r="L351" i="5"/>
  <c r="I351" i="5"/>
  <c r="G351" i="5"/>
  <c r="F351" i="5"/>
  <c r="P350" i="5"/>
  <c r="N350" i="5"/>
  <c r="M350" i="5"/>
  <c r="L350" i="5"/>
  <c r="I350" i="5"/>
  <c r="G350" i="5"/>
  <c r="F350" i="5"/>
  <c r="P349" i="5"/>
  <c r="N349" i="5"/>
  <c r="M349" i="5"/>
  <c r="L349" i="5"/>
  <c r="I349" i="5"/>
  <c r="G349" i="5"/>
  <c r="F349" i="5"/>
  <c r="P348" i="5"/>
  <c r="N348" i="5"/>
  <c r="M348" i="5"/>
  <c r="L348" i="5"/>
  <c r="I348" i="5"/>
  <c r="G348" i="5"/>
  <c r="F348" i="5"/>
  <c r="P347" i="5"/>
  <c r="N347" i="5"/>
  <c r="M347" i="5"/>
  <c r="L347" i="5"/>
  <c r="S347" i="5" s="1"/>
  <c r="I347" i="5"/>
  <c r="G347" i="5"/>
  <c r="F347" i="5"/>
  <c r="P346" i="5"/>
  <c r="N346" i="5"/>
  <c r="M346" i="5"/>
  <c r="L346" i="5"/>
  <c r="I346" i="5"/>
  <c r="G346" i="5"/>
  <c r="F346" i="5"/>
  <c r="P345" i="5"/>
  <c r="N345" i="5"/>
  <c r="M345" i="5"/>
  <c r="L345" i="5"/>
  <c r="S345" i="5" s="1"/>
  <c r="I345" i="5"/>
  <c r="G345" i="5"/>
  <c r="F345" i="5"/>
  <c r="P344" i="5"/>
  <c r="N344" i="5"/>
  <c r="M344" i="5"/>
  <c r="L344" i="5"/>
  <c r="I344" i="5"/>
  <c r="G344" i="5"/>
  <c r="F344" i="5"/>
  <c r="P343" i="5"/>
  <c r="N343" i="5"/>
  <c r="M343" i="5"/>
  <c r="L343" i="5"/>
  <c r="I343" i="5"/>
  <c r="G343" i="5"/>
  <c r="F343" i="5"/>
  <c r="P342" i="5"/>
  <c r="N342" i="5"/>
  <c r="M342" i="5"/>
  <c r="L342" i="5"/>
  <c r="I342" i="5"/>
  <c r="G342" i="5"/>
  <c r="F342" i="5"/>
  <c r="P341" i="5"/>
  <c r="N341" i="5"/>
  <c r="M341" i="5"/>
  <c r="L341" i="5"/>
  <c r="I341" i="5"/>
  <c r="G341" i="5"/>
  <c r="F341" i="5"/>
  <c r="P340" i="5"/>
  <c r="N340" i="5"/>
  <c r="M340" i="5"/>
  <c r="L340" i="5"/>
  <c r="S340" i="5" s="1"/>
  <c r="I340" i="5"/>
  <c r="G340" i="5"/>
  <c r="F340" i="5"/>
  <c r="P339" i="5"/>
  <c r="N339" i="5"/>
  <c r="M339" i="5"/>
  <c r="L339" i="5"/>
  <c r="I339" i="5"/>
  <c r="G339" i="5"/>
  <c r="F339" i="5"/>
  <c r="P338" i="5"/>
  <c r="N338" i="5"/>
  <c r="M338" i="5"/>
  <c r="L338" i="5"/>
  <c r="I338" i="5"/>
  <c r="G338" i="5"/>
  <c r="F338" i="5"/>
  <c r="P337" i="5"/>
  <c r="N337" i="5"/>
  <c r="M337" i="5"/>
  <c r="L337" i="5"/>
  <c r="S337" i="5" s="1"/>
  <c r="I337" i="5"/>
  <c r="G337" i="5"/>
  <c r="F337" i="5"/>
  <c r="P336" i="5"/>
  <c r="N336" i="5"/>
  <c r="M336" i="5"/>
  <c r="L336" i="5"/>
  <c r="S336" i="5" s="1"/>
  <c r="I336" i="5"/>
  <c r="G336" i="5"/>
  <c r="F336" i="5"/>
  <c r="P335" i="5"/>
  <c r="N335" i="5"/>
  <c r="M335" i="5"/>
  <c r="L335" i="5"/>
  <c r="S335" i="5" s="1"/>
  <c r="I335" i="5"/>
  <c r="G335" i="5"/>
  <c r="F335" i="5"/>
  <c r="P334" i="5"/>
  <c r="N334" i="5"/>
  <c r="M334" i="5"/>
  <c r="L334" i="5"/>
  <c r="S334" i="5" s="1"/>
  <c r="I334" i="5"/>
  <c r="G334" i="5"/>
  <c r="F334" i="5"/>
  <c r="P333" i="5"/>
  <c r="N333" i="5"/>
  <c r="M333" i="5"/>
  <c r="L333" i="5"/>
  <c r="S333" i="5" s="1"/>
  <c r="I333" i="5"/>
  <c r="G333" i="5"/>
  <c r="F333" i="5"/>
  <c r="P332" i="5"/>
  <c r="N332" i="5"/>
  <c r="M332" i="5"/>
  <c r="L332" i="5"/>
  <c r="S332" i="5" s="1"/>
  <c r="I332" i="5"/>
  <c r="G332" i="5"/>
  <c r="F332" i="5"/>
  <c r="P331" i="5"/>
  <c r="N331" i="5"/>
  <c r="M331" i="5"/>
  <c r="L331" i="5"/>
  <c r="I331" i="5"/>
  <c r="G331" i="5"/>
  <c r="F331" i="5"/>
  <c r="P330" i="5"/>
  <c r="N330" i="5"/>
  <c r="M330" i="5"/>
  <c r="L330" i="5"/>
  <c r="I330" i="5"/>
  <c r="G330" i="5"/>
  <c r="F330" i="5"/>
  <c r="P329" i="5"/>
  <c r="N329" i="5"/>
  <c r="M329" i="5"/>
  <c r="L329" i="5"/>
  <c r="S329" i="5" s="1"/>
  <c r="I329" i="5"/>
  <c r="G329" i="5"/>
  <c r="F329" i="5"/>
  <c r="P328" i="5"/>
  <c r="N328" i="5"/>
  <c r="M328" i="5"/>
  <c r="L328" i="5"/>
  <c r="S328" i="5" s="1"/>
  <c r="I328" i="5"/>
  <c r="G328" i="5"/>
  <c r="F328" i="5"/>
  <c r="P327" i="5"/>
  <c r="N327" i="5"/>
  <c r="M327" i="5"/>
  <c r="L327" i="5"/>
  <c r="S327" i="5" s="1"/>
  <c r="I327" i="5"/>
  <c r="G327" i="5"/>
  <c r="F327" i="5"/>
  <c r="P326" i="5"/>
  <c r="N326" i="5"/>
  <c r="M326" i="5"/>
  <c r="L326" i="5"/>
  <c r="S326" i="5" s="1"/>
  <c r="I326" i="5"/>
  <c r="G326" i="5"/>
  <c r="F326" i="5"/>
  <c r="P325" i="5"/>
  <c r="N325" i="5"/>
  <c r="M325" i="5"/>
  <c r="L325" i="5"/>
  <c r="S325" i="5" s="1"/>
  <c r="I325" i="5"/>
  <c r="G325" i="5"/>
  <c r="F325" i="5"/>
  <c r="P324" i="5"/>
  <c r="N324" i="5"/>
  <c r="M324" i="5"/>
  <c r="L324" i="5"/>
  <c r="S324" i="5" s="1"/>
  <c r="I324" i="5"/>
  <c r="G324" i="5"/>
  <c r="F324" i="5"/>
  <c r="P323" i="5"/>
  <c r="N323" i="5"/>
  <c r="M323" i="5"/>
  <c r="L323" i="5"/>
  <c r="S323" i="5" s="1"/>
  <c r="I323" i="5"/>
  <c r="G323" i="5"/>
  <c r="F323" i="5"/>
  <c r="P322" i="5"/>
  <c r="N322" i="5"/>
  <c r="M322" i="5"/>
  <c r="L322" i="5"/>
  <c r="I322" i="5"/>
  <c r="G322" i="5"/>
  <c r="F322" i="5"/>
  <c r="P321" i="5"/>
  <c r="N321" i="5"/>
  <c r="M321" i="5"/>
  <c r="L321" i="5"/>
  <c r="S321" i="5" s="1"/>
  <c r="I321" i="5"/>
  <c r="G321" i="5"/>
  <c r="F321" i="5"/>
  <c r="P320" i="5"/>
  <c r="N320" i="5"/>
  <c r="M320" i="5"/>
  <c r="L320" i="5"/>
  <c r="S320" i="5" s="1"/>
  <c r="I320" i="5"/>
  <c r="G320" i="5"/>
  <c r="F320" i="5"/>
  <c r="P319" i="5"/>
  <c r="N319" i="5"/>
  <c r="M319" i="5"/>
  <c r="L319" i="5"/>
  <c r="S319" i="5" s="1"/>
  <c r="I319" i="5"/>
  <c r="G319" i="5"/>
  <c r="F319" i="5"/>
  <c r="P318" i="5"/>
  <c r="N318" i="5"/>
  <c r="M318" i="5"/>
  <c r="L318" i="5"/>
  <c r="S318" i="5" s="1"/>
  <c r="I318" i="5"/>
  <c r="G318" i="5"/>
  <c r="F318" i="5"/>
  <c r="P317" i="5"/>
  <c r="N317" i="5"/>
  <c r="M317" i="5"/>
  <c r="L317" i="5"/>
  <c r="S317" i="5" s="1"/>
  <c r="I317" i="5"/>
  <c r="G317" i="5"/>
  <c r="F317" i="5"/>
  <c r="P316" i="5"/>
  <c r="N316" i="5"/>
  <c r="M316" i="5"/>
  <c r="L316" i="5"/>
  <c r="S316" i="5" s="1"/>
  <c r="I316" i="5"/>
  <c r="G316" i="5"/>
  <c r="F316" i="5"/>
  <c r="P315" i="5"/>
  <c r="N315" i="5"/>
  <c r="M315" i="5"/>
  <c r="L315" i="5"/>
  <c r="S315" i="5" s="1"/>
  <c r="I315" i="5"/>
  <c r="G315" i="5"/>
  <c r="F315" i="5"/>
  <c r="P314" i="5"/>
  <c r="N314" i="5"/>
  <c r="M314" i="5"/>
  <c r="L314" i="5"/>
  <c r="I314" i="5"/>
  <c r="G314" i="5"/>
  <c r="F314" i="5"/>
  <c r="P313" i="5"/>
  <c r="N313" i="5"/>
  <c r="M313" i="5"/>
  <c r="L313" i="5"/>
  <c r="S313" i="5" s="1"/>
  <c r="I313" i="5"/>
  <c r="G313" i="5"/>
  <c r="F313" i="5"/>
  <c r="P312" i="5"/>
  <c r="N312" i="5"/>
  <c r="M312" i="5"/>
  <c r="L312" i="5"/>
  <c r="S312" i="5" s="1"/>
  <c r="I312" i="5"/>
  <c r="G312" i="5"/>
  <c r="F312" i="5"/>
  <c r="P311" i="5"/>
  <c r="N311" i="5"/>
  <c r="M311" i="5"/>
  <c r="L311" i="5"/>
  <c r="S311" i="5" s="1"/>
  <c r="I311" i="5"/>
  <c r="G311" i="5"/>
  <c r="F311" i="5"/>
  <c r="P310" i="5"/>
  <c r="N310" i="5"/>
  <c r="M310" i="5"/>
  <c r="L310" i="5"/>
  <c r="S310" i="5" s="1"/>
  <c r="I310" i="5"/>
  <c r="G310" i="5"/>
  <c r="F310" i="5"/>
  <c r="P309" i="5"/>
  <c r="N309" i="5"/>
  <c r="M309" i="5"/>
  <c r="L309" i="5"/>
  <c r="S309" i="5" s="1"/>
  <c r="I309" i="5"/>
  <c r="G309" i="5"/>
  <c r="F309" i="5"/>
  <c r="P308" i="5"/>
  <c r="N308" i="5"/>
  <c r="M308" i="5"/>
  <c r="L308" i="5"/>
  <c r="S308" i="5" s="1"/>
  <c r="I308" i="5"/>
  <c r="G308" i="5"/>
  <c r="F308" i="5"/>
  <c r="P307" i="5"/>
  <c r="N307" i="5"/>
  <c r="M307" i="5"/>
  <c r="L307" i="5"/>
  <c r="S307" i="5" s="1"/>
  <c r="I307" i="5"/>
  <c r="G307" i="5"/>
  <c r="F307" i="5"/>
  <c r="P306" i="5"/>
  <c r="N306" i="5"/>
  <c r="M306" i="5"/>
  <c r="L306" i="5"/>
  <c r="I306" i="5"/>
  <c r="G306" i="5"/>
  <c r="F306" i="5"/>
  <c r="P305" i="5"/>
  <c r="N305" i="5"/>
  <c r="M305" i="5"/>
  <c r="L305" i="5"/>
  <c r="S305" i="5" s="1"/>
  <c r="I305" i="5"/>
  <c r="G305" i="5"/>
  <c r="F305" i="5"/>
  <c r="P304" i="5"/>
  <c r="N304" i="5"/>
  <c r="M304" i="5"/>
  <c r="L304" i="5"/>
  <c r="S304" i="5" s="1"/>
  <c r="I304" i="5"/>
  <c r="G304" i="5"/>
  <c r="F304" i="5"/>
  <c r="P303" i="5"/>
  <c r="N303" i="5"/>
  <c r="M303" i="5"/>
  <c r="L303" i="5"/>
  <c r="S303" i="5" s="1"/>
  <c r="I303" i="5"/>
  <c r="G303" i="5"/>
  <c r="F303" i="5"/>
  <c r="P302" i="5"/>
  <c r="N302" i="5"/>
  <c r="M302" i="5"/>
  <c r="L302" i="5"/>
  <c r="S302" i="5" s="1"/>
  <c r="I302" i="5"/>
  <c r="G302" i="5"/>
  <c r="F302" i="5"/>
  <c r="P301" i="5"/>
  <c r="N301" i="5"/>
  <c r="M301" i="5"/>
  <c r="L301" i="5"/>
  <c r="S301" i="5" s="1"/>
  <c r="I301" i="5"/>
  <c r="G301" i="5"/>
  <c r="F301" i="5"/>
  <c r="P300" i="5"/>
  <c r="N300" i="5"/>
  <c r="M300" i="5"/>
  <c r="L300" i="5"/>
  <c r="S300" i="5" s="1"/>
  <c r="I300" i="5"/>
  <c r="G300" i="5"/>
  <c r="F300" i="5"/>
  <c r="P299" i="5"/>
  <c r="N299" i="5"/>
  <c r="M299" i="5"/>
  <c r="L299" i="5"/>
  <c r="S299" i="5" s="1"/>
  <c r="I299" i="5"/>
  <c r="G299" i="5"/>
  <c r="F299" i="5"/>
  <c r="P298" i="5"/>
  <c r="N298" i="5"/>
  <c r="M298" i="5"/>
  <c r="L298" i="5"/>
  <c r="I298" i="5"/>
  <c r="G298" i="5"/>
  <c r="F298" i="5"/>
  <c r="P297" i="5"/>
  <c r="N297" i="5"/>
  <c r="M297" i="5"/>
  <c r="L297" i="5"/>
  <c r="S297" i="5" s="1"/>
  <c r="I297" i="5"/>
  <c r="G297" i="5"/>
  <c r="F297" i="5"/>
  <c r="P296" i="5"/>
  <c r="N296" i="5"/>
  <c r="M296" i="5"/>
  <c r="L296" i="5"/>
  <c r="S296" i="5" s="1"/>
  <c r="I296" i="5"/>
  <c r="G296" i="5"/>
  <c r="F296" i="5"/>
  <c r="P295" i="5"/>
  <c r="N295" i="5"/>
  <c r="M295" i="5"/>
  <c r="L295" i="5"/>
  <c r="S295" i="5" s="1"/>
  <c r="I295" i="5"/>
  <c r="G295" i="5"/>
  <c r="F295" i="5"/>
  <c r="P294" i="5"/>
  <c r="N294" i="5"/>
  <c r="M294" i="5"/>
  <c r="L294" i="5"/>
  <c r="S294" i="5" s="1"/>
  <c r="I294" i="5"/>
  <c r="G294" i="5"/>
  <c r="F294" i="5"/>
  <c r="P293" i="5"/>
  <c r="N293" i="5"/>
  <c r="M293" i="5"/>
  <c r="L293" i="5"/>
  <c r="S293" i="5" s="1"/>
  <c r="I293" i="5"/>
  <c r="G293" i="5"/>
  <c r="F293" i="5"/>
  <c r="P292" i="5"/>
  <c r="N292" i="5"/>
  <c r="M292" i="5"/>
  <c r="L292" i="5"/>
  <c r="S292" i="5" s="1"/>
  <c r="I292" i="5"/>
  <c r="G292" i="5"/>
  <c r="F292" i="5"/>
  <c r="P291" i="5"/>
  <c r="N291" i="5"/>
  <c r="M291" i="5"/>
  <c r="L291" i="5"/>
  <c r="S291" i="5" s="1"/>
  <c r="I291" i="5"/>
  <c r="G291" i="5"/>
  <c r="F291" i="5"/>
  <c r="P290" i="5"/>
  <c r="N290" i="5"/>
  <c r="M290" i="5"/>
  <c r="L290" i="5"/>
  <c r="I290" i="5"/>
  <c r="G290" i="5"/>
  <c r="F290" i="5"/>
  <c r="P289" i="5"/>
  <c r="N289" i="5"/>
  <c r="M289" i="5"/>
  <c r="L289" i="5"/>
  <c r="I289" i="5"/>
  <c r="G289" i="5"/>
  <c r="F289" i="5"/>
  <c r="P288" i="5"/>
  <c r="N288" i="5"/>
  <c r="M288" i="5"/>
  <c r="L288" i="5"/>
  <c r="I288" i="5"/>
  <c r="G288" i="5"/>
  <c r="F288" i="5"/>
  <c r="P287" i="5"/>
  <c r="N287" i="5"/>
  <c r="M287" i="5"/>
  <c r="L287" i="5"/>
  <c r="S287" i="5" s="1"/>
  <c r="I287" i="5"/>
  <c r="G287" i="5"/>
  <c r="F287" i="5"/>
  <c r="P286" i="5"/>
  <c r="N286" i="5"/>
  <c r="M286" i="5"/>
  <c r="L286" i="5"/>
  <c r="I286" i="5"/>
  <c r="G286" i="5"/>
  <c r="F286" i="5"/>
  <c r="P285" i="5"/>
  <c r="N285" i="5"/>
  <c r="M285" i="5"/>
  <c r="L285" i="5"/>
  <c r="S285" i="5" s="1"/>
  <c r="I285" i="5"/>
  <c r="G285" i="5"/>
  <c r="F285" i="5"/>
  <c r="P284" i="5"/>
  <c r="N284" i="5"/>
  <c r="M284" i="5"/>
  <c r="L284" i="5"/>
  <c r="S284" i="5" s="1"/>
  <c r="I284" i="5"/>
  <c r="G284" i="5"/>
  <c r="F284" i="5"/>
  <c r="P283" i="5"/>
  <c r="N283" i="5"/>
  <c r="M283" i="5"/>
  <c r="L283" i="5"/>
  <c r="S283" i="5" s="1"/>
  <c r="I283" i="5"/>
  <c r="G283" i="5"/>
  <c r="F283" i="5"/>
  <c r="P282" i="5"/>
  <c r="N282" i="5"/>
  <c r="M282" i="5"/>
  <c r="L282" i="5"/>
  <c r="I282" i="5"/>
  <c r="G282" i="5"/>
  <c r="F282" i="5"/>
  <c r="P281" i="5"/>
  <c r="N281" i="5"/>
  <c r="M281" i="5"/>
  <c r="L281" i="5"/>
  <c r="S281" i="5" s="1"/>
  <c r="I281" i="5"/>
  <c r="G281" i="5"/>
  <c r="F281" i="5"/>
  <c r="P280" i="5"/>
  <c r="N280" i="5"/>
  <c r="M280" i="5"/>
  <c r="L280" i="5"/>
  <c r="I280" i="5"/>
  <c r="G280" i="5"/>
  <c r="F280" i="5"/>
  <c r="P279" i="5"/>
  <c r="N279" i="5"/>
  <c r="M279" i="5"/>
  <c r="L279" i="5"/>
  <c r="S279" i="5" s="1"/>
  <c r="I279" i="5"/>
  <c r="G279" i="5"/>
  <c r="F279" i="5"/>
  <c r="P278" i="5"/>
  <c r="N278" i="5"/>
  <c r="M278" i="5"/>
  <c r="L278" i="5"/>
  <c r="I278" i="5"/>
  <c r="G278" i="5"/>
  <c r="F278" i="5"/>
  <c r="P277" i="5"/>
  <c r="N277" i="5"/>
  <c r="M277" i="5"/>
  <c r="L277" i="5"/>
  <c r="S277" i="5" s="1"/>
  <c r="I277" i="5"/>
  <c r="G277" i="5"/>
  <c r="F277" i="5"/>
  <c r="P276" i="5"/>
  <c r="N276" i="5"/>
  <c r="M276" i="5"/>
  <c r="L276" i="5"/>
  <c r="S276" i="5" s="1"/>
  <c r="I276" i="5"/>
  <c r="G276" i="5"/>
  <c r="F276" i="5"/>
  <c r="P275" i="5"/>
  <c r="N275" i="5"/>
  <c r="M275" i="5"/>
  <c r="L275" i="5"/>
  <c r="S275" i="5" s="1"/>
  <c r="I275" i="5"/>
  <c r="G275" i="5"/>
  <c r="F275" i="5"/>
  <c r="P274" i="5"/>
  <c r="N274" i="5"/>
  <c r="M274" i="5"/>
  <c r="L274" i="5"/>
  <c r="I274" i="5"/>
  <c r="G274" i="5"/>
  <c r="F274" i="5"/>
  <c r="P273" i="5"/>
  <c r="N273" i="5"/>
  <c r="M273" i="5"/>
  <c r="L273" i="5"/>
  <c r="S273" i="5" s="1"/>
  <c r="I273" i="5"/>
  <c r="G273" i="5"/>
  <c r="F273" i="5"/>
  <c r="P272" i="5"/>
  <c r="N272" i="5"/>
  <c r="M272" i="5"/>
  <c r="L272" i="5"/>
  <c r="I272" i="5"/>
  <c r="G272" i="5"/>
  <c r="F272" i="5"/>
  <c r="P271" i="5"/>
  <c r="N271" i="5"/>
  <c r="M271" i="5"/>
  <c r="L271" i="5"/>
  <c r="S271" i="5" s="1"/>
  <c r="I271" i="5"/>
  <c r="G271" i="5"/>
  <c r="F271" i="5"/>
  <c r="P270" i="5"/>
  <c r="N270" i="5"/>
  <c r="M270" i="5"/>
  <c r="L270" i="5"/>
  <c r="I270" i="5"/>
  <c r="G270" i="5"/>
  <c r="F270" i="5"/>
  <c r="P269" i="5"/>
  <c r="N269" i="5"/>
  <c r="M269" i="5"/>
  <c r="L269" i="5"/>
  <c r="S269" i="5" s="1"/>
  <c r="I269" i="5"/>
  <c r="G269" i="5"/>
  <c r="F269" i="5"/>
  <c r="P268" i="5"/>
  <c r="N268" i="5"/>
  <c r="M268" i="5"/>
  <c r="L268" i="5"/>
  <c r="S268" i="5" s="1"/>
  <c r="I268" i="5"/>
  <c r="G268" i="5"/>
  <c r="F268" i="5"/>
  <c r="P267" i="5"/>
  <c r="N267" i="5"/>
  <c r="M267" i="5"/>
  <c r="L267" i="5"/>
  <c r="S267" i="5" s="1"/>
  <c r="I267" i="5"/>
  <c r="G267" i="5"/>
  <c r="F267" i="5"/>
  <c r="P266" i="5"/>
  <c r="N266" i="5"/>
  <c r="M266" i="5"/>
  <c r="L266" i="5"/>
  <c r="I266" i="5"/>
  <c r="G266" i="5"/>
  <c r="F266" i="5"/>
  <c r="P265" i="5"/>
  <c r="N265" i="5"/>
  <c r="M265" i="5"/>
  <c r="L265" i="5"/>
  <c r="S265" i="5" s="1"/>
  <c r="I265" i="5"/>
  <c r="G265" i="5"/>
  <c r="F265" i="5"/>
  <c r="P264" i="5"/>
  <c r="N264" i="5"/>
  <c r="M264" i="5"/>
  <c r="L264" i="5"/>
  <c r="I264" i="5"/>
  <c r="G264" i="5"/>
  <c r="F264" i="5"/>
  <c r="P263" i="5"/>
  <c r="N263" i="5"/>
  <c r="M263" i="5"/>
  <c r="L263" i="5"/>
  <c r="S263" i="5" s="1"/>
  <c r="I263" i="5"/>
  <c r="G263" i="5"/>
  <c r="F263" i="5"/>
  <c r="P262" i="5"/>
  <c r="N262" i="5"/>
  <c r="M262" i="5"/>
  <c r="L262" i="5"/>
  <c r="I262" i="5"/>
  <c r="G262" i="5"/>
  <c r="F262" i="5"/>
  <c r="P261" i="5"/>
  <c r="N261" i="5"/>
  <c r="M261" i="5"/>
  <c r="L261" i="5"/>
  <c r="S261" i="5" s="1"/>
  <c r="I261" i="5"/>
  <c r="G261" i="5"/>
  <c r="F261" i="5"/>
  <c r="P260" i="5"/>
  <c r="N260" i="5"/>
  <c r="M260" i="5"/>
  <c r="L260" i="5"/>
  <c r="S260" i="5" s="1"/>
  <c r="I260" i="5"/>
  <c r="G260" i="5"/>
  <c r="F260" i="5"/>
  <c r="P259" i="5"/>
  <c r="N259" i="5"/>
  <c r="M259" i="5"/>
  <c r="L259" i="5"/>
  <c r="S259" i="5" s="1"/>
  <c r="I259" i="5"/>
  <c r="G259" i="5"/>
  <c r="F259" i="5"/>
  <c r="P258" i="5"/>
  <c r="N258" i="5"/>
  <c r="M258" i="5"/>
  <c r="L258" i="5"/>
  <c r="I258" i="5"/>
  <c r="G258" i="5"/>
  <c r="F258" i="5"/>
  <c r="P257" i="5"/>
  <c r="N257" i="5"/>
  <c r="M257" i="5"/>
  <c r="L257" i="5"/>
  <c r="S257" i="5" s="1"/>
  <c r="I257" i="5"/>
  <c r="G257" i="5"/>
  <c r="F257" i="5"/>
  <c r="P256" i="5"/>
  <c r="N256" i="5"/>
  <c r="M256" i="5"/>
  <c r="L256" i="5"/>
  <c r="I256" i="5"/>
  <c r="G256" i="5"/>
  <c r="F256" i="5"/>
  <c r="P255" i="5"/>
  <c r="N255" i="5"/>
  <c r="M255" i="5"/>
  <c r="L255" i="5"/>
  <c r="S255" i="5" s="1"/>
  <c r="I255" i="5"/>
  <c r="G255" i="5"/>
  <c r="F255" i="5"/>
  <c r="P254" i="5"/>
  <c r="N254" i="5"/>
  <c r="M254" i="5"/>
  <c r="L254" i="5"/>
  <c r="I254" i="5"/>
  <c r="G254" i="5"/>
  <c r="F254" i="5"/>
  <c r="P253" i="5"/>
  <c r="N253" i="5"/>
  <c r="M253" i="5"/>
  <c r="L253" i="5"/>
  <c r="S253" i="5" s="1"/>
  <c r="I253" i="5"/>
  <c r="G253" i="5"/>
  <c r="F253" i="5"/>
  <c r="P252" i="5"/>
  <c r="N252" i="5"/>
  <c r="M252" i="5"/>
  <c r="L252" i="5"/>
  <c r="I252" i="5"/>
  <c r="G252" i="5"/>
  <c r="F252" i="5"/>
  <c r="P251" i="5"/>
  <c r="N251" i="5"/>
  <c r="M251" i="5"/>
  <c r="L251" i="5"/>
  <c r="S251" i="5" s="1"/>
  <c r="I251" i="5"/>
  <c r="G251" i="5"/>
  <c r="F251" i="5"/>
  <c r="P250" i="5"/>
  <c r="N250" i="5"/>
  <c r="M250" i="5"/>
  <c r="L250" i="5"/>
  <c r="I250" i="5"/>
  <c r="G250" i="5"/>
  <c r="F250" i="5"/>
  <c r="P249" i="5"/>
  <c r="N249" i="5"/>
  <c r="M249" i="5"/>
  <c r="L249" i="5"/>
  <c r="S249" i="5" s="1"/>
  <c r="I249" i="5"/>
  <c r="G249" i="5"/>
  <c r="F249" i="5"/>
  <c r="P248" i="5"/>
  <c r="N248" i="5"/>
  <c r="M248" i="5"/>
  <c r="L248" i="5"/>
  <c r="I248" i="5"/>
  <c r="G248" i="5"/>
  <c r="F248" i="5"/>
  <c r="P247" i="5"/>
  <c r="N247" i="5"/>
  <c r="M247" i="5"/>
  <c r="L247" i="5"/>
  <c r="S247" i="5" s="1"/>
  <c r="I247" i="5"/>
  <c r="G247" i="5"/>
  <c r="F247" i="5"/>
  <c r="P246" i="5"/>
  <c r="N246" i="5"/>
  <c r="M246" i="5"/>
  <c r="L246" i="5"/>
  <c r="I246" i="5"/>
  <c r="G246" i="5"/>
  <c r="F246" i="5"/>
  <c r="P245" i="5"/>
  <c r="N245" i="5"/>
  <c r="M245" i="5"/>
  <c r="L245" i="5"/>
  <c r="S245" i="5" s="1"/>
  <c r="I245" i="5"/>
  <c r="G245" i="5"/>
  <c r="F245" i="5"/>
  <c r="P244" i="5"/>
  <c r="N244" i="5"/>
  <c r="M244" i="5"/>
  <c r="L244" i="5"/>
  <c r="S244" i="5" s="1"/>
  <c r="I244" i="5"/>
  <c r="G244" i="5"/>
  <c r="F244" i="5"/>
  <c r="P243" i="5"/>
  <c r="N243" i="5"/>
  <c r="M243" i="5"/>
  <c r="L243" i="5"/>
  <c r="S243" i="5" s="1"/>
  <c r="I243" i="5"/>
  <c r="G243" i="5"/>
  <c r="F243" i="5"/>
  <c r="P242" i="5"/>
  <c r="N242" i="5"/>
  <c r="M242" i="5"/>
  <c r="L242" i="5"/>
  <c r="I242" i="5"/>
  <c r="G242" i="5"/>
  <c r="F242" i="5"/>
  <c r="P241" i="5"/>
  <c r="N241" i="5"/>
  <c r="M241" i="5"/>
  <c r="L241" i="5"/>
  <c r="S241" i="5" s="1"/>
  <c r="I241" i="5"/>
  <c r="G241" i="5"/>
  <c r="F241" i="5"/>
  <c r="P240" i="5"/>
  <c r="N240" i="5"/>
  <c r="M240" i="5"/>
  <c r="L240" i="5"/>
  <c r="S240" i="5" s="1"/>
  <c r="I240" i="5"/>
  <c r="G240" i="5"/>
  <c r="F240" i="5"/>
  <c r="P239" i="5"/>
  <c r="N239" i="5"/>
  <c r="M239" i="5"/>
  <c r="L239" i="5"/>
  <c r="S239" i="5" s="1"/>
  <c r="I239" i="5"/>
  <c r="G239" i="5"/>
  <c r="F239" i="5"/>
  <c r="P238" i="5"/>
  <c r="N238" i="5"/>
  <c r="M238" i="5"/>
  <c r="L238" i="5"/>
  <c r="S238" i="5" s="1"/>
  <c r="I238" i="5"/>
  <c r="G238" i="5"/>
  <c r="F238" i="5"/>
  <c r="P237" i="5"/>
  <c r="N237" i="5"/>
  <c r="M237" i="5"/>
  <c r="L237" i="5"/>
  <c r="S237" i="5" s="1"/>
  <c r="I237" i="5"/>
  <c r="G237" i="5"/>
  <c r="F237" i="5"/>
  <c r="P236" i="5"/>
  <c r="N236" i="5"/>
  <c r="M236" i="5"/>
  <c r="L236" i="5"/>
  <c r="S236" i="5" s="1"/>
  <c r="I236" i="5"/>
  <c r="G236" i="5"/>
  <c r="F236" i="5"/>
  <c r="P235" i="5"/>
  <c r="N235" i="5"/>
  <c r="M235" i="5"/>
  <c r="L235" i="5"/>
  <c r="S235" i="5" s="1"/>
  <c r="I235" i="5"/>
  <c r="G235" i="5"/>
  <c r="F235" i="5"/>
  <c r="P234" i="5"/>
  <c r="N234" i="5"/>
  <c r="M234" i="5"/>
  <c r="L234" i="5"/>
  <c r="S234" i="5" s="1"/>
  <c r="I234" i="5"/>
  <c r="G234" i="5"/>
  <c r="F234" i="5"/>
  <c r="P233" i="5"/>
  <c r="N233" i="5"/>
  <c r="M233" i="5"/>
  <c r="L233" i="5"/>
  <c r="S233" i="5" s="1"/>
  <c r="I233" i="5"/>
  <c r="G233" i="5"/>
  <c r="F233" i="5"/>
  <c r="P232" i="5"/>
  <c r="N232" i="5"/>
  <c r="M232" i="5"/>
  <c r="L232" i="5"/>
  <c r="S232" i="5" s="1"/>
  <c r="I232" i="5"/>
  <c r="G232" i="5"/>
  <c r="F232" i="5"/>
  <c r="P231" i="5"/>
  <c r="N231" i="5"/>
  <c r="M231" i="5"/>
  <c r="L231" i="5"/>
  <c r="S231" i="5" s="1"/>
  <c r="I231" i="5"/>
  <c r="G231" i="5"/>
  <c r="F231" i="5"/>
  <c r="P230" i="5"/>
  <c r="N230" i="5"/>
  <c r="M230" i="5"/>
  <c r="L230" i="5"/>
  <c r="I230" i="5"/>
  <c r="G230" i="5"/>
  <c r="F230" i="5"/>
  <c r="P229" i="5"/>
  <c r="N229" i="5"/>
  <c r="M229" i="5"/>
  <c r="L229" i="5"/>
  <c r="S229" i="5" s="1"/>
  <c r="I229" i="5"/>
  <c r="G229" i="5"/>
  <c r="F229" i="5"/>
  <c r="P228" i="5"/>
  <c r="N228" i="5"/>
  <c r="M228" i="5"/>
  <c r="L228" i="5"/>
  <c r="S228" i="5" s="1"/>
  <c r="I228" i="5"/>
  <c r="G228" i="5"/>
  <c r="F228" i="5"/>
  <c r="P227" i="5"/>
  <c r="N227" i="5"/>
  <c r="M227" i="5"/>
  <c r="L227" i="5"/>
  <c r="S227" i="5" s="1"/>
  <c r="I227" i="5"/>
  <c r="G227" i="5"/>
  <c r="F227" i="5"/>
  <c r="P226" i="5"/>
  <c r="N226" i="5"/>
  <c r="M226" i="5"/>
  <c r="L226" i="5"/>
  <c r="S226" i="5" s="1"/>
  <c r="I226" i="5"/>
  <c r="G226" i="5"/>
  <c r="F226" i="5"/>
  <c r="P225" i="5"/>
  <c r="N225" i="5"/>
  <c r="M225" i="5"/>
  <c r="L225" i="5"/>
  <c r="S225" i="5" s="1"/>
  <c r="I225" i="5"/>
  <c r="G225" i="5"/>
  <c r="F225" i="5"/>
  <c r="P224" i="5"/>
  <c r="N224" i="5"/>
  <c r="M224" i="5"/>
  <c r="L224" i="5"/>
  <c r="S224" i="5" s="1"/>
  <c r="I224" i="5"/>
  <c r="G224" i="5"/>
  <c r="F224" i="5"/>
  <c r="P223" i="5"/>
  <c r="N223" i="5"/>
  <c r="M223" i="5"/>
  <c r="L223" i="5"/>
  <c r="S223" i="5" s="1"/>
  <c r="I223" i="5"/>
  <c r="G223" i="5"/>
  <c r="F223" i="5"/>
  <c r="P222" i="5"/>
  <c r="N222" i="5"/>
  <c r="M222" i="5"/>
  <c r="L222" i="5"/>
  <c r="I222" i="5"/>
  <c r="G222" i="5"/>
  <c r="F222" i="5"/>
  <c r="P221" i="5"/>
  <c r="N221" i="5"/>
  <c r="M221" i="5"/>
  <c r="L221" i="5"/>
  <c r="I221" i="5"/>
  <c r="G221" i="5"/>
  <c r="F221" i="5"/>
  <c r="P220" i="5"/>
  <c r="N220" i="5"/>
  <c r="M220" i="5"/>
  <c r="L220" i="5"/>
  <c r="S220" i="5" s="1"/>
  <c r="I220" i="5"/>
  <c r="G220" i="5"/>
  <c r="F220" i="5"/>
  <c r="P219" i="5"/>
  <c r="N219" i="5"/>
  <c r="M219" i="5"/>
  <c r="L219" i="5"/>
  <c r="S219" i="5" s="1"/>
  <c r="I219" i="5"/>
  <c r="G219" i="5"/>
  <c r="F219" i="5"/>
  <c r="P218" i="5"/>
  <c r="N218" i="5"/>
  <c r="M218" i="5"/>
  <c r="L218" i="5"/>
  <c r="I218" i="5"/>
  <c r="G218" i="5"/>
  <c r="F218" i="5"/>
  <c r="P217" i="5"/>
  <c r="N217" i="5"/>
  <c r="M217" i="5"/>
  <c r="L217" i="5"/>
  <c r="S217" i="5" s="1"/>
  <c r="I217" i="5"/>
  <c r="G217" i="5"/>
  <c r="F217" i="5"/>
  <c r="P216" i="5"/>
  <c r="N216" i="5"/>
  <c r="M216" i="5"/>
  <c r="L216" i="5"/>
  <c r="I216" i="5"/>
  <c r="G216" i="5"/>
  <c r="F216" i="5"/>
  <c r="P215" i="5"/>
  <c r="N215" i="5"/>
  <c r="M215" i="5"/>
  <c r="L215" i="5"/>
  <c r="S215" i="5" s="1"/>
  <c r="I215" i="5"/>
  <c r="G215" i="5"/>
  <c r="F215" i="5"/>
  <c r="P214" i="5"/>
  <c r="N214" i="5"/>
  <c r="M214" i="5"/>
  <c r="L214" i="5"/>
  <c r="I214" i="5"/>
  <c r="G214" i="5"/>
  <c r="F214" i="5"/>
  <c r="P213" i="5"/>
  <c r="N213" i="5"/>
  <c r="M213" i="5"/>
  <c r="L213" i="5"/>
  <c r="S213" i="5" s="1"/>
  <c r="I213" i="5"/>
  <c r="G213" i="5"/>
  <c r="F213" i="5"/>
  <c r="P212" i="5"/>
  <c r="N212" i="5"/>
  <c r="M212" i="5"/>
  <c r="L212" i="5"/>
  <c r="I212" i="5"/>
  <c r="G212" i="5"/>
  <c r="F212" i="5"/>
  <c r="P211" i="5"/>
  <c r="N211" i="5"/>
  <c r="M211" i="5"/>
  <c r="L211" i="5"/>
  <c r="I211" i="5"/>
  <c r="G211" i="5"/>
  <c r="F211" i="5"/>
  <c r="P210" i="5"/>
  <c r="N210" i="5"/>
  <c r="M210" i="5"/>
  <c r="L210" i="5"/>
  <c r="I210" i="5"/>
  <c r="G210" i="5"/>
  <c r="F210" i="5"/>
  <c r="P209" i="5"/>
  <c r="N209" i="5"/>
  <c r="M209" i="5"/>
  <c r="L209" i="5"/>
  <c r="I209" i="5"/>
  <c r="G209" i="5"/>
  <c r="F209" i="5"/>
  <c r="P208" i="5"/>
  <c r="N208" i="5"/>
  <c r="M208" i="5"/>
  <c r="L208" i="5"/>
  <c r="S208" i="5" s="1"/>
  <c r="I208" i="5"/>
  <c r="G208" i="5"/>
  <c r="F208" i="5"/>
  <c r="P207" i="5"/>
  <c r="N207" i="5"/>
  <c r="M207" i="5"/>
  <c r="L207" i="5"/>
  <c r="I207" i="5"/>
  <c r="G207" i="5"/>
  <c r="F207" i="5"/>
  <c r="P206" i="5"/>
  <c r="N206" i="5"/>
  <c r="M206" i="5"/>
  <c r="L206" i="5"/>
  <c r="S206" i="5" s="1"/>
  <c r="I206" i="5"/>
  <c r="G206" i="5"/>
  <c r="F206" i="5"/>
  <c r="P205" i="5"/>
  <c r="N205" i="5"/>
  <c r="M205" i="5"/>
  <c r="L205" i="5"/>
  <c r="S205" i="5" s="1"/>
  <c r="I205" i="5"/>
  <c r="G205" i="5"/>
  <c r="F205" i="5"/>
  <c r="P204" i="5"/>
  <c r="N204" i="5"/>
  <c r="M204" i="5"/>
  <c r="L204" i="5"/>
  <c r="I204" i="5"/>
  <c r="G204" i="5"/>
  <c r="F204" i="5"/>
  <c r="P203" i="5"/>
  <c r="N203" i="5"/>
  <c r="M203" i="5"/>
  <c r="L203" i="5"/>
  <c r="S203" i="5" s="1"/>
  <c r="I203" i="5"/>
  <c r="G203" i="5"/>
  <c r="F203" i="5"/>
  <c r="P202" i="5"/>
  <c r="N202" i="5"/>
  <c r="M202" i="5"/>
  <c r="L202" i="5"/>
  <c r="I202" i="5"/>
  <c r="G202" i="5"/>
  <c r="F202" i="5"/>
  <c r="P201" i="5"/>
  <c r="N201" i="5"/>
  <c r="M201" i="5"/>
  <c r="L201" i="5"/>
  <c r="S201" i="5" s="1"/>
  <c r="I201" i="5"/>
  <c r="G201" i="5"/>
  <c r="F201" i="5"/>
  <c r="P200" i="5"/>
  <c r="N200" i="5"/>
  <c r="M200" i="5"/>
  <c r="L200" i="5"/>
  <c r="I200" i="5"/>
  <c r="G200" i="5"/>
  <c r="F200" i="5"/>
  <c r="P199" i="5"/>
  <c r="N199" i="5"/>
  <c r="M199" i="5"/>
  <c r="L199" i="5"/>
  <c r="S199" i="5" s="1"/>
  <c r="I199" i="5"/>
  <c r="G199" i="5"/>
  <c r="F199" i="5"/>
  <c r="P198" i="5"/>
  <c r="N198" i="5"/>
  <c r="M198" i="5"/>
  <c r="L198" i="5"/>
  <c r="I198" i="5"/>
  <c r="G198" i="5"/>
  <c r="F198" i="5"/>
  <c r="P197" i="5"/>
  <c r="N197" i="5"/>
  <c r="M197" i="5"/>
  <c r="L197" i="5"/>
  <c r="I197" i="5"/>
  <c r="G197" i="5"/>
  <c r="F197" i="5"/>
  <c r="P196" i="5"/>
  <c r="N196" i="5"/>
  <c r="M196" i="5"/>
  <c r="L196" i="5"/>
  <c r="I196" i="5"/>
  <c r="G196" i="5"/>
  <c r="F196" i="5"/>
  <c r="P195" i="5"/>
  <c r="N195" i="5"/>
  <c r="M195" i="5"/>
  <c r="L195" i="5"/>
  <c r="I195" i="5"/>
  <c r="G195" i="5"/>
  <c r="F195" i="5"/>
  <c r="P194" i="5"/>
  <c r="N194" i="5"/>
  <c r="M194" i="5"/>
  <c r="L194" i="5"/>
  <c r="I194" i="5"/>
  <c r="G194" i="5"/>
  <c r="F194" i="5"/>
  <c r="P193" i="5"/>
  <c r="N193" i="5"/>
  <c r="M193" i="5"/>
  <c r="L193" i="5"/>
  <c r="I193" i="5"/>
  <c r="G193" i="5"/>
  <c r="F193" i="5"/>
  <c r="P192" i="5"/>
  <c r="N192" i="5"/>
  <c r="M192" i="5"/>
  <c r="L192" i="5"/>
  <c r="S192" i="5" s="1"/>
  <c r="I192" i="5"/>
  <c r="G192" i="5"/>
  <c r="F192" i="5"/>
  <c r="P191" i="5"/>
  <c r="N191" i="5"/>
  <c r="M191" i="5"/>
  <c r="L191" i="5"/>
  <c r="I191" i="5"/>
  <c r="G191" i="5"/>
  <c r="F191" i="5"/>
  <c r="P190" i="5"/>
  <c r="N190" i="5"/>
  <c r="M190" i="5"/>
  <c r="L190" i="5"/>
  <c r="S190" i="5" s="1"/>
  <c r="I190" i="5"/>
  <c r="G190" i="5"/>
  <c r="F190" i="5"/>
  <c r="P189" i="5"/>
  <c r="N189" i="5"/>
  <c r="M189" i="5"/>
  <c r="L189" i="5"/>
  <c r="I189" i="5"/>
  <c r="G189" i="5"/>
  <c r="F189" i="5"/>
  <c r="P188" i="5"/>
  <c r="N188" i="5"/>
  <c r="M188" i="5"/>
  <c r="L188" i="5"/>
  <c r="S188" i="5" s="1"/>
  <c r="I188" i="5"/>
  <c r="G188" i="5"/>
  <c r="F188" i="5"/>
  <c r="P187" i="5"/>
  <c r="N187" i="5"/>
  <c r="M187" i="5"/>
  <c r="L187" i="5"/>
  <c r="S187" i="5" s="1"/>
  <c r="I187" i="5"/>
  <c r="G187" i="5"/>
  <c r="F187" i="5"/>
  <c r="P186" i="5"/>
  <c r="N186" i="5"/>
  <c r="M186" i="5"/>
  <c r="L186" i="5"/>
  <c r="S186" i="5" s="1"/>
  <c r="I186" i="5"/>
  <c r="G186" i="5"/>
  <c r="F186" i="5"/>
  <c r="P185" i="5"/>
  <c r="N185" i="5"/>
  <c r="M185" i="5"/>
  <c r="L185" i="5"/>
  <c r="S185" i="5" s="1"/>
  <c r="I185" i="5"/>
  <c r="G185" i="5"/>
  <c r="F185" i="5"/>
  <c r="P184" i="5"/>
  <c r="N184" i="5"/>
  <c r="M184" i="5"/>
  <c r="L184" i="5"/>
  <c r="S184" i="5" s="1"/>
  <c r="I184" i="5"/>
  <c r="G184" i="5"/>
  <c r="F184" i="5"/>
  <c r="P183" i="5"/>
  <c r="N183" i="5"/>
  <c r="M183" i="5"/>
  <c r="L183" i="5"/>
  <c r="S183" i="5" s="1"/>
  <c r="I183" i="5"/>
  <c r="G183" i="5"/>
  <c r="F183" i="5"/>
  <c r="P182" i="5"/>
  <c r="N182" i="5"/>
  <c r="M182" i="5"/>
  <c r="L182" i="5"/>
  <c r="S182" i="5" s="1"/>
  <c r="I182" i="5"/>
  <c r="G182" i="5"/>
  <c r="F182" i="5"/>
  <c r="P181" i="5"/>
  <c r="N181" i="5"/>
  <c r="M181" i="5"/>
  <c r="L181" i="5"/>
  <c r="S181" i="5" s="1"/>
  <c r="I181" i="5"/>
  <c r="G181" i="5"/>
  <c r="F181" i="5"/>
  <c r="P180" i="5"/>
  <c r="N180" i="5"/>
  <c r="M180" i="5"/>
  <c r="L180" i="5"/>
  <c r="S180" i="5" s="1"/>
  <c r="I180" i="5"/>
  <c r="G180" i="5"/>
  <c r="F180" i="5"/>
  <c r="P179" i="5"/>
  <c r="N179" i="5"/>
  <c r="M179" i="5"/>
  <c r="L179" i="5"/>
  <c r="I179" i="5"/>
  <c r="G179" i="5"/>
  <c r="F179" i="5"/>
  <c r="P178" i="5"/>
  <c r="N178" i="5"/>
  <c r="M178" i="5"/>
  <c r="L178" i="5"/>
  <c r="S178" i="5" s="1"/>
  <c r="I178" i="5"/>
  <c r="G178" i="5"/>
  <c r="F178" i="5"/>
  <c r="P177" i="5"/>
  <c r="N177" i="5"/>
  <c r="M177" i="5"/>
  <c r="L177" i="5"/>
  <c r="I177" i="5"/>
  <c r="G177" i="5"/>
  <c r="F177" i="5"/>
  <c r="P176" i="5"/>
  <c r="N176" i="5"/>
  <c r="M176" i="5"/>
  <c r="L176" i="5"/>
  <c r="S176" i="5" s="1"/>
  <c r="I176" i="5"/>
  <c r="G176" i="5"/>
  <c r="F176" i="5"/>
  <c r="P175" i="5"/>
  <c r="N175" i="5"/>
  <c r="M175" i="5"/>
  <c r="L175" i="5"/>
  <c r="I175" i="5"/>
  <c r="G175" i="5"/>
  <c r="F175" i="5"/>
  <c r="P174" i="5"/>
  <c r="N174" i="5"/>
  <c r="M174" i="5"/>
  <c r="L174" i="5"/>
  <c r="S174" i="5" s="1"/>
  <c r="I174" i="5"/>
  <c r="G174" i="5"/>
  <c r="F174" i="5"/>
  <c r="P173" i="5"/>
  <c r="N173" i="5"/>
  <c r="M173" i="5"/>
  <c r="L173" i="5"/>
  <c r="I173" i="5"/>
  <c r="G173" i="5"/>
  <c r="F173" i="5"/>
  <c r="P172" i="5"/>
  <c r="N172" i="5"/>
  <c r="M172" i="5"/>
  <c r="L172" i="5"/>
  <c r="S172" i="5" s="1"/>
  <c r="I172" i="5"/>
  <c r="G172" i="5"/>
  <c r="F172" i="5"/>
  <c r="P171" i="5"/>
  <c r="N171" i="5"/>
  <c r="M171" i="5"/>
  <c r="L171" i="5"/>
  <c r="S171" i="5" s="1"/>
  <c r="I171" i="5"/>
  <c r="G171" i="5"/>
  <c r="F171" i="5"/>
  <c r="P170" i="5"/>
  <c r="N170" i="5"/>
  <c r="M170" i="5"/>
  <c r="L170" i="5"/>
  <c r="S170" i="5" s="1"/>
  <c r="I170" i="5"/>
  <c r="G170" i="5"/>
  <c r="F170" i="5"/>
  <c r="P169" i="5"/>
  <c r="N169" i="5"/>
  <c r="M169" i="5"/>
  <c r="L169" i="5"/>
  <c r="S169" i="5" s="1"/>
  <c r="I169" i="5"/>
  <c r="G169" i="5"/>
  <c r="F169" i="5"/>
  <c r="P168" i="5"/>
  <c r="N168" i="5"/>
  <c r="M168" i="5"/>
  <c r="L168" i="5"/>
  <c r="S168" i="5" s="1"/>
  <c r="I168" i="5"/>
  <c r="G168" i="5"/>
  <c r="F168" i="5"/>
  <c r="P167" i="5"/>
  <c r="N167" i="5"/>
  <c r="M167" i="5"/>
  <c r="L167" i="5"/>
  <c r="S167" i="5" s="1"/>
  <c r="I167" i="5"/>
  <c r="G167" i="5"/>
  <c r="F167" i="5"/>
  <c r="P166" i="5"/>
  <c r="N166" i="5"/>
  <c r="M166" i="5"/>
  <c r="L166" i="5"/>
  <c r="S166" i="5" s="1"/>
  <c r="I166" i="5"/>
  <c r="G166" i="5"/>
  <c r="F166" i="5"/>
  <c r="P165" i="5"/>
  <c r="N165" i="5"/>
  <c r="M165" i="5"/>
  <c r="L165" i="5"/>
  <c r="S165" i="5" s="1"/>
  <c r="I165" i="5"/>
  <c r="G165" i="5"/>
  <c r="F165" i="5"/>
  <c r="P164" i="5"/>
  <c r="N164" i="5"/>
  <c r="M164" i="5"/>
  <c r="L164" i="5"/>
  <c r="S164" i="5" s="1"/>
  <c r="I164" i="5"/>
  <c r="G164" i="5"/>
  <c r="F164" i="5"/>
  <c r="P163" i="5"/>
  <c r="N163" i="5"/>
  <c r="M163" i="5"/>
  <c r="L163" i="5"/>
  <c r="I163" i="5"/>
  <c r="G163" i="5"/>
  <c r="F163" i="5"/>
  <c r="P162" i="5"/>
  <c r="N162" i="5"/>
  <c r="M162" i="5"/>
  <c r="L162" i="5"/>
  <c r="S162" i="5" s="1"/>
  <c r="I162" i="5"/>
  <c r="G162" i="5"/>
  <c r="F162" i="5"/>
  <c r="P161" i="5"/>
  <c r="N161" i="5"/>
  <c r="M161" i="5"/>
  <c r="L161" i="5"/>
  <c r="I161" i="5"/>
  <c r="G161" i="5"/>
  <c r="F161" i="5"/>
  <c r="P160" i="5"/>
  <c r="N160" i="5"/>
  <c r="M160" i="5"/>
  <c r="L160" i="5"/>
  <c r="S160" i="5" s="1"/>
  <c r="I160" i="5"/>
  <c r="G160" i="5"/>
  <c r="F160" i="5"/>
  <c r="P159" i="5"/>
  <c r="N159" i="5"/>
  <c r="M159" i="5"/>
  <c r="L159" i="5"/>
  <c r="I159" i="5"/>
  <c r="G159" i="5"/>
  <c r="F159" i="5"/>
  <c r="P158" i="5"/>
  <c r="N158" i="5"/>
  <c r="M158" i="5"/>
  <c r="L158" i="5"/>
  <c r="S158" i="5" s="1"/>
  <c r="I158" i="5"/>
  <c r="G158" i="5"/>
  <c r="F158" i="5"/>
  <c r="P157" i="5"/>
  <c r="N157" i="5"/>
  <c r="M157" i="5"/>
  <c r="L157" i="5"/>
  <c r="I157" i="5"/>
  <c r="G157" i="5"/>
  <c r="F157" i="5"/>
  <c r="P156" i="5"/>
  <c r="N156" i="5"/>
  <c r="M156" i="5"/>
  <c r="L156" i="5"/>
  <c r="S156" i="5" s="1"/>
  <c r="I156" i="5"/>
  <c r="G156" i="5"/>
  <c r="F156" i="5"/>
  <c r="P155" i="5"/>
  <c r="N155" i="5"/>
  <c r="M155" i="5"/>
  <c r="L155" i="5"/>
  <c r="S155" i="5" s="1"/>
  <c r="I155" i="5"/>
  <c r="G155" i="5"/>
  <c r="F155" i="5"/>
  <c r="P154" i="5"/>
  <c r="N154" i="5"/>
  <c r="M154" i="5"/>
  <c r="L154" i="5"/>
  <c r="S154" i="5" s="1"/>
  <c r="I154" i="5"/>
  <c r="G154" i="5"/>
  <c r="F154" i="5"/>
  <c r="P153" i="5"/>
  <c r="N153" i="5"/>
  <c r="M153" i="5"/>
  <c r="L153" i="5"/>
  <c r="S153" i="5" s="1"/>
  <c r="I153" i="5"/>
  <c r="G153" i="5"/>
  <c r="F153" i="5"/>
  <c r="P152" i="5"/>
  <c r="N152" i="5"/>
  <c r="M152" i="5"/>
  <c r="L152" i="5"/>
  <c r="S152" i="5" s="1"/>
  <c r="I152" i="5"/>
  <c r="G152" i="5"/>
  <c r="F152" i="5"/>
  <c r="P151" i="5"/>
  <c r="N151" i="5"/>
  <c r="M151" i="5"/>
  <c r="L151" i="5"/>
  <c r="S151" i="5" s="1"/>
  <c r="I151" i="5"/>
  <c r="G151" i="5"/>
  <c r="F151" i="5"/>
  <c r="P150" i="5"/>
  <c r="N150" i="5"/>
  <c r="M150" i="5"/>
  <c r="L150" i="5"/>
  <c r="S150" i="5" s="1"/>
  <c r="I150" i="5"/>
  <c r="G150" i="5"/>
  <c r="F150" i="5"/>
  <c r="P149" i="5"/>
  <c r="N149" i="5"/>
  <c r="M149" i="5"/>
  <c r="L149" i="5"/>
  <c r="S149" i="5" s="1"/>
  <c r="I149" i="5"/>
  <c r="G149" i="5"/>
  <c r="F149" i="5"/>
  <c r="P148" i="5"/>
  <c r="N148" i="5"/>
  <c r="M148" i="5"/>
  <c r="L148" i="5"/>
  <c r="S148" i="5" s="1"/>
  <c r="I148" i="5"/>
  <c r="G148" i="5"/>
  <c r="F148" i="5"/>
  <c r="P147" i="5"/>
  <c r="N147" i="5"/>
  <c r="M147" i="5"/>
  <c r="L147" i="5"/>
  <c r="I147" i="5"/>
  <c r="G147" i="5"/>
  <c r="F147" i="5"/>
  <c r="P146" i="5"/>
  <c r="N146" i="5"/>
  <c r="M146" i="5"/>
  <c r="L146" i="5"/>
  <c r="S146" i="5" s="1"/>
  <c r="I146" i="5"/>
  <c r="G146" i="5"/>
  <c r="F146" i="5"/>
  <c r="P145" i="5"/>
  <c r="N145" i="5"/>
  <c r="M145" i="5"/>
  <c r="L145" i="5"/>
  <c r="I145" i="5"/>
  <c r="G145" i="5"/>
  <c r="F145" i="5"/>
  <c r="P144" i="5"/>
  <c r="N144" i="5"/>
  <c r="M144" i="5"/>
  <c r="L144" i="5"/>
  <c r="S144" i="5" s="1"/>
  <c r="I144" i="5"/>
  <c r="G144" i="5"/>
  <c r="F144" i="5"/>
  <c r="P143" i="5"/>
  <c r="N143" i="5"/>
  <c r="M143" i="5"/>
  <c r="L143" i="5"/>
  <c r="I143" i="5"/>
  <c r="G143" i="5"/>
  <c r="F143" i="5"/>
  <c r="P142" i="5"/>
  <c r="N142" i="5"/>
  <c r="M142" i="5"/>
  <c r="L142" i="5"/>
  <c r="S142" i="5" s="1"/>
  <c r="I142" i="5"/>
  <c r="G142" i="5"/>
  <c r="F142" i="5"/>
  <c r="P141" i="5"/>
  <c r="N141" i="5"/>
  <c r="M141" i="5"/>
  <c r="L141" i="5"/>
  <c r="I141" i="5"/>
  <c r="G141" i="5"/>
  <c r="F141" i="5"/>
  <c r="P140" i="5"/>
  <c r="N140" i="5"/>
  <c r="M140" i="5"/>
  <c r="L140" i="5"/>
  <c r="S140" i="5" s="1"/>
  <c r="I140" i="5"/>
  <c r="G140" i="5"/>
  <c r="F140" i="5"/>
  <c r="P139" i="5"/>
  <c r="N139" i="5"/>
  <c r="M139" i="5"/>
  <c r="L139" i="5"/>
  <c r="S139" i="5" s="1"/>
  <c r="I139" i="5"/>
  <c r="G139" i="5"/>
  <c r="F139" i="5"/>
  <c r="P138" i="5"/>
  <c r="N138" i="5"/>
  <c r="M138" i="5"/>
  <c r="L138" i="5"/>
  <c r="S138" i="5" s="1"/>
  <c r="I138" i="5"/>
  <c r="G138" i="5"/>
  <c r="F138" i="5"/>
  <c r="P137" i="5"/>
  <c r="N137" i="5"/>
  <c r="M137" i="5"/>
  <c r="L137" i="5"/>
  <c r="S137" i="5" s="1"/>
  <c r="I137" i="5"/>
  <c r="G137" i="5"/>
  <c r="F137" i="5"/>
  <c r="P136" i="5"/>
  <c r="N136" i="5"/>
  <c r="M136" i="5"/>
  <c r="L136" i="5"/>
  <c r="S136" i="5" s="1"/>
  <c r="I136" i="5"/>
  <c r="G136" i="5"/>
  <c r="F136" i="5"/>
  <c r="P135" i="5"/>
  <c r="N135" i="5"/>
  <c r="M135" i="5"/>
  <c r="L135" i="5"/>
  <c r="S135" i="5" s="1"/>
  <c r="I135" i="5"/>
  <c r="G135" i="5"/>
  <c r="F135" i="5"/>
  <c r="P134" i="5"/>
  <c r="N134" i="5"/>
  <c r="M134" i="5"/>
  <c r="L134" i="5"/>
  <c r="S134" i="5" s="1"/>
  <c r="I134" i="5"/>
  <c r="G134" i="5"/>
  <c r="F134" i="5"/>
  <c r="P133" i="5"/>
  <c r="N133" i="5"/>
  <c r="M133" i="5"/>
  <c r="L133" i="5"/>
  <c r="S133" i="5" s="1"/>
  <c r="I133" i="5"/>
  <c r="G133" i="5"/>
  <c r="F133" i="5"/>
  <c r="P132" i="5"/>
  <c r="N132" i="5"/>
  <c r="M132" i="5"/>
  <c r="L132" i="5"/>
  <c r="S132" i="5" s="1"/>
  <c r="I132" i="5"/>
  <c r="G132" i="5"/>
  <c r="F132" i="5"/>
  <c r="P131" i="5"/>
  <c r="N131" i="5"/>
  <c r="M131" i="5"/>
  <c r="L131" i="5"/>
  <c r="I131" i="5"/>
  <c r="G131" i="5"/>
  <c r="F131" i="5"/>
  <c r="P130" i="5"/>
  <c r="N130" i="5"/>
  <c r="M130" i="5"/>
  <c r="L130" i="5"/>
  <c r="S130" i="5" s="1"/>
  <c r="I130" i="5"/>
  <c r="G130" i="5"/>
  <c r="F130" i="5"/>
  <c r="P129" i="5"/>
  <c r="N129" i="5"/>
  <c r="M129" i="5"/>
  <c r="L129" i="5"/>
  <c r="I129" i="5"/>
  <c r="G129" i="5"/>
  <c r="F129" i="5"/>
  <c r="P128" i="5"/>
  <c r="N128" i="5"/>
  <c r="M128" i="5"/>
  <c r="L128" i="5"/>
  <c r="S128" i="5" s="1"/>
  <c r="I128" i="5"/>
  <c r="G128" i="5"/>
  <c r="F128" i="5"/>
  <c r="P127" i="5"/>
  <c r="N127" i="5"/>
  <c r="M127" i="5"/>
  <c r="L127" i="5"/>
  <c r="I127" i="5"/>
  <c r="G127" i="5"/>
  <c r="F127" i="5"/>
  <c r="P126" i="5"/>
  <c r="N126" i="5"/>
  <c r="M126" i="5"/>
  <c r="L126" i="5"/>
  <c r="S126" i="5" s="1"/>
  <c r="I126" i="5"/>
  <c r="G126" i="5"/>
  <c r="F126" i="5"/>
  <c r="P125" i="5"/>
  <c r="N125" i="5"/>
  <c r="M125" i="5"/>
  <c r="L125" i="5"/>
  <c r="I125" i="5"/>
  <c r="G125" i="5"/>
  <c r="F125" i="5"/>
  <c r="P124" i="5"/>
  <c r="N124" i="5"/>
  <c r="M124" i="5"/>
  <c r="L124" i="5"/>
  <c r="S124" i="5" s="1"/>
  <c r="I124" i="5"/>
  <c r="G124" i="5"/>
  <c r="F124" i="5"/>
  <c r="P123" i="5"/>
  <c r="N123" i="5"/>
  <c r="M123" i="5"/>
  <c r="L123" i="5"/>
  <c r="S123" i="5" s="1"/>
  <c r="I123" i="5"/>
  <c r="G123" i="5"/>
  <c r="F123" i="5"/>
  <c r="P122" i="5"/>
  <c r="N122" i="5"/>
  <c r="M122" i="5"/>
  <c r="L122" i="5"/>
  <c r="S122" i="5" s="1"/>
  <c r="I122" i="5"/>
  <c r="G122" i="5"/>
  <c r="F122" i="5"/>
  <c r="P121" i="5"/>
  <c r="N121" i="5"/>
  <c r="M121" i="5"/>
  <c r="L121" i="5"/>
  <c r="S121" i="5" s="1"/>
  <c r="I121" i="5"/>
  <c r="G121" i="5"/>
  <c r="F121" i="5"/>
  <c r="P120" i="5"/>
  <c r="N120" i="5"/>
  <c r="M120" i="5"/>
  <c r="L120" i="5"/>
  <c r="S120" i="5" s="1"/>
  <c r="I120" i="5"/>
  <c r="G120" i="5"/>
  <c r="F120" i="5"/>
  <c r="P119" i="5"/>
  <c r="N119" i="5"/>
  <c r="M119" i="5"/>
  <c r="L119" i="5"/>
  <c r="S119" i="5" s="1"/>
  <c r="I119" i="5"/>
  <c r="G119" i="5"/>
  <c r="F119" i="5"/>
  <c r="P118" i="5"/>
  <c r="N118" i="5"/>
  <c r="M118" i="5"/>
  <c r="L118" i="5"/>
  <c r="S118" i="5" s="1"/>
  <c r="I118" i="5"/>
  <c r="G118" i="5"/>
  <c r="F118" i="5"/>
  <c r="P117" i="5"/>
  <c r="N117" i="5"/>
  <c r="M117" i="5"/>
  <c r="L117" i="5"/>
  <c r="S117" i="5" s="1"/>
  <c r="I117" i="5"/>
  <c r="G117" i="5"/>
  <c r="F117" i="5"/>
  <c r="P116" i="5"/>
  <c r="N116" i="5"/>
  <c r="M116" i="5"/>
  <c r="L116" i="5"/>
  <c r="S116" i="5" s="1"/>
  <c r="I116" i="5"/>
  <c r="G116" i="5"/>
  <c r="F116" i="5"/>
  <c r="P115" i="5"/>
  <c r="N115" i="5"/>
  <c r="M115" i="5"/>
  <c r="L115" i="5"/>
  <c r="I115" i="5"/>
  <c r="G115" i="5"/>
  <c r="F115" i="5"/>
  <c r="P114" i="5"/>
  <c r="N114" i="5"/>
  <c r="M114" i="5"/>
  <c r="L114" i="5"/>
  <c r="S114" i="5" s="1"/>
  <c r="I114" i="5"/>
  <c r="G114" i="5"/>
  <c r="F114" i="5"/>
  <c r="P113" i="5"/>
  <c r="N113" i="5"/>
  <c r="M113" i="5"/>
  <c r="L113" i="5"/>
  <c r="I113" i="5"/>
  <c r="G113" i="5"/>
  <c r="F113" i="5"/>
  <c r="P112" i="5"/>
  <c r="N112" i="5"/>
  <c r="M112" i="5"/>
  <c r="L112" i="5"/>
  <c r="S112" i="5" s="1"/>
  <c r="I112" i="5"/>
  <c r="G112" i="5"/>
  <c r="F112" i="5"/>
  <c r="P111" i="5"/>
  <c r="N111" i="5"/>
  <c r="M111" i="5"/>
  <c r="L111" i="5"/>
  <c r="I111" i="5"/>
  <c r="G111" i="5"/>
  <c r="F111" i="5"/>
  <c r="P110" i="5"/>
  <c r="N110" i="5"/>
  <c r="M110" i="5"/>
  <c r="L110" i="5"/>
  <c r="S110" i="5" s="1"/>
  <c r="I110" i="5"/>
  <c r="G110" i="5"/>
  <c r="F110" i="5"/>
  <c r="P109" i="5"/>
  <c r="N109" i="5"/>
  <c r="M109" i="5"/>
  <c r="L109" i="5"/>
  <c r="I109" i="5"/>
  <c r="G109" i="5"/>
  <c r="F109" i="5"/>
  <c r="P108" i="5"/>
  <c r="N108" i="5"/>
  <c r="M108" i="5"/>
  <c r="L108" i="5"/>
  <c r="S108" i="5" s="1"/>
  <c r="I108" i="5"/>
  <c r="G108" i="5"/>
  <c r="F108" i="5"/>
  <c r="P107" i="5"/>
  <c r="N107" i="5"/>
  <c r="M107" i="5"/>
  <c r="L107" i="5"/>
  <c r="S107" i="5" s="1"/>
  <c r="I107" i="5"/>
  <c r="G107" i="5"/>
  <c r="F107" i="5"/>
  <c r="P106" i="5"/>
  <c r="N106" i="5"/>
  <c r="M106" i="5"/>
  <c r="L106" i="5"/>
  <c r="S106" i="5" s="1"/>
  <c r="I106" i="5"/>
  <c r="G106" i="5"/>
  <c r="F106" i="5"/>
  <c r="P105" i="5"/>
  <c r="N105" i="5"/>
  <c r="M105" i="5"/>
  <c r="L105" i="5"/>
  <c r="S105" i="5" s="1"/>
  <c r="I105" i="5"/>
  <c r="G105" i="5"/>
  <c r="F105" i="5"/>
  <c r="P104" i="5"/>
  <c r="N104" i="5"/>
  <c r="M104" i="5"/>
  <c r="L104" i="5"/>
  <c r="S104" i="5" s="1"/>
  <c r="I104" i="5"/>
  <c r="G104" i="5"/>
  <c r="F104" i="5"/>
  <c r="P103" i="5"/>
  <c r="N103" i="5"/>
  <c r="M103" i="5"/>
  <c r="L103" i="5"/>
  <c r="S103" i="5" s="1"/>
  <c r="I103" i="5"/>
  <c r="G103" i="5"/>
  <c r="F103" i="5"/>
  <c r="P102" i="5"/>
  <c r="N102" i="5"/>
  <c r="M102" i="5"/>
  <c r="L102" i="5"/>
  <c r="S102" i="5" s="1"/>
  <c r="I102" i="5"/>
  <c r="G102" i="5"/>
  <c r="F102" i="5"/>
  <c r="P101" i="5"/>
  <c r="N101" i="5"/>
  <c r="M101" i="5"/>
  <c r="L101" i="5"/>
  <c r="S101" i="5" s="1"/>
  <c r="I101" i="5"/>
  <c r="G101" i="5"/>
  <c r="F101" i="5"/>
  <c r="P100" i="5"/>
  <c r="N100" i="5"/>
  <c r="M100" i="5"/>
  <c r="L100" i="5"/>
  <c r="S100" i="5" s="1"/>
  <c r="I100" i="5"/>
  <c r="G100" i="5"/>
  <c r="F100" i="5"/>
  <c r="P99" i="5"/>
  <c r="N99" i="5"/>
  <c r="M99" i="5"/>
  <c r="L99" i="5"/>
  <c r="S99" i="5" s="1"/>
  <c r="I99" i="5"/>
  <c r="G99" i="5"/>
  <c r="F99" i="5"/>
  <c r="P98" i="5"/>
  <c r="N98" i="5"/>
  <c r="M98" i="5"/>
  <c r="L98" i="5"/>
  <c r="S98" i="5" s="1"/>
  <c r="I98" i="5"/>
  <c r="G98" i="5"/>
  <c r="F98" i="5"/>
  <c r="P97" i="5"/>
  <c r="N97" i="5"/>
  <c r="M97" i="5"/>
  <c r="L97" i="5"/>
  <c r="I97" i="5"/>
  <c r="G97" i="5"/>
  <c r="F97" i="5"/>
  <c r="P96" i="5"/>
  <c r="N96" i="5"/>
  <c r="M96" i="5"/>
  <c r="L96" i="5"/>
  <c r="S96" i="5" s="1"/>
  <c r="I96" i="5"/>
  <c r="G96" i="5"/>
  <c r="F96" i="5"/>
  <c r="P95" i="5"/>
  <c r="N95" i="5"/>
  <c r="M95" i="5"/>
  <c r="L95" i="5"/>
  <c r="I95" i="5"/>
  <c r="G95" i="5"/>
  <c r="F95" i="5"/>
  <c r="P94" i="5"/>
  <c r="N94" i="5"/>
  <c r="M94" i="5"/>
  <c r="L94" i="5"/>
  <c r="I94" i="5"/>
  <c r="G94" i="5"/>
  <c r="F94" i="5"/>
  <c r="P93" i="5"/>
  <c r="N93" i="5"/>
  <c r="M93" i="5"/>
  <c r="L93" i="5"/>
  <c r="S93" i="5" s="1"/>
  <c r="I93" i="5"/>
  <c r="G93" i="5"/>
  <c r="F93" i="5"/>
  <c r="P92" i="5"/>
  <c r="N92" i="5"/>
  <c r="M92" i="5"/>
  <c r="L92" i="5"/>
  <c r="I92" i="5"/>
  <c r="G92" i="5"/>
  <c r="F92" i="5"/>
  <c r="P91" i="5"/>
  <c r="N91" i="5"/>
  <c r="M91" i="5"/>
  <c r="L91" i="5"/>
  <c r="S91" i="5" s="1"/>
  <c r="I91" i="5"/>
  <c r="G91" i="5"/>
  <c r="F91" i="5"/>
  <c r="P90" i="5"/>
  <c r="N90" i="5"/>
  <c r="M90" i="5"/>
  <c r="L90" i="5"/>
  <c r="S90" i="5" s="1"/>
  <c r="I90" i="5"/>
  <c r="G90" i="5"/>
  <c r="F90" i="5"/>
  <c r="P89" i="5"/>
  <c r="N89" i="5"/>
  <c r="M89" i="5"/>
  <c r="L89" i="5"/>
  <c r="S89" i="5" s="1"/>
  <c r="I89" i="5"/>
  <c r="G89" i="5"/>
  <c r="F89" i="5"/>
  <c r="P88" i="5"/>
  <c r="N88" i="5"/>
  <c r="M88" i="5"/>
  <c r="L88" i="5"/>
  <c r="S88" i="5" s="1"/>
  <c r="I88" i="5"/>
  <c r="G88" i="5"/>
  <c r="F88" i="5"/>
  <c r="P87" i="5"/>
  <c r="N87" i="5"/>
  <c r="M87" i="5"/>
  <c r="L87" i="5"/>
  <c r="S87" i="5" s="1"/>
  <c r="I87" i="5"/>
  <c r="G87" i="5"/>
  <c r="F87" i="5"/>
  <c r="P86" i="5"/>
  <c r="N86" i="5"/>
  <c r="M86" i="5"/>
  <c r="L86" i="5"/>
  <c r="S86" i="5" s="1"/>
  <c r="I86" i="5"/>
  <c r="G86" i="5"/>
  <c r="F86" i="5"/>
  <c r="P85" i="5"/>
  <c r="N85" i="5"/>
  <c r="M85" i="5"/>
  <c r="L85" i="5"/>
  <c r="S85" i="5" s="1"/>
  <c r="I85" i="5"/>
  <c r="G85" i="5"/>
  <c r="F85" i="5"/>
  <c r="P84" i="5"/>
  <c r="N84" i="5"/>
  <c r="M84" i="5"/>
  <c r="L84" i="5"/>
  <c r="S84" i="5" s="1"/>
  <c r="I84" i="5"/>
  <c r="G84" i="5"/>
  <c r="F84" i="5"/>
  <c r="P83" i="5"/>
  <c r="N83" i="5"/>
  <c r="M83" i="5"/>
  <c r="L83" i="5"/>
  <c r="S83" i="5" s="1"/>
  <c r="I83" i="5"/>
  <c r="G83" i="5"/>
  <c r="F83" i="5"/>
  <c r="P82" i="5"/>
  <c r="N82" i="5"/>
  <c r="M82" i="5"/>
  <c r="L82" i="5"/>
  <c r="S82" i="5" s="1"/>
  <c r="I82" i="5"/>
  <c r="G82" i="5"/>
  <c r="F82" i="5"/>
  <c r="P81" i="5"/>
  <c r="N81" i="5"/>
  <c r="M81" i="5"/>
  <c r="L81" i="5"/>
  <c r="S81" i="5" s="1"/>
  <c r="I81" i="5"/>
  <c r="G81" i="5"/>
  <c r="F81" i="5"/>
  <c r="P80" i="5"/>
  <c r="N80" i="5"/>
  <c r="M80" i="5"/>
  <c r="L80" i="5"/>
  <c r="S80" i="5" s="1"/>
  <c r="I80" i="5"/>
  <c r="G80" i="5"/>
  <c r="F80" i="5"/>
  <c r="P79" i="5"/>
  <c r="N79" i="5"/>
  <c r="M79" i="5"/>
  <c r="L79" i="5"/>
  <c r="S79" i="5" s="1"/>
  <c r="I79" i="5"/>
  <c r="G79" i="5"/>
  <c r="F79" i="5"/>
  <c r="P78" i="5"/>
  <c r="N78" i="5"/>
  <c r="M78" i="5"/>
  <c r="L78" i="5"/>
  <c r="I78" i="5"/>
  <c r="G78" i="5"/>
  <c r="F78" i="5"/>
  <c r="P77" i="5"/>
  <c r="N77" i="5"/>
  <c r="M77" i="5"/>
  <c r="L77" i="5"/>
  <c r="S77" i="5" s="1"/>
  <c r="I77" i="5"/>
  <c r="G77" i="5"/>
  <c r="F77" i="5"/>
  <c r="P76" i="5"/>
  <c r="N76" i="5"/>
  <c r="M76" i="5"/>
  <c r="L76" i="5"/>
  <c r="I76" i="5"/>
  <c r="G76" i="5"/>
  <c r="F76" i="5"/>
  <c r="P75" i="5"/>
  <c r="N75" i="5"/>
  <c r="M75" i="5"/>
  <c r="L75" i="5"/>
  <c r="I75" i="5"/>
  <c r="G75" i="5"/>
  <c r="F75" i="5"/>
  <c r="P74" i="5"/>
  <c r="N74" i="5"/>
  <c r="M74" i="5"/>
  <c r="L74" i="5"/>
  <c r="I74" i="5"/>
  <c r="G74" i="5"/>
  <c r="F74" i="5"/>
  <c r="P73" i="5"/>
  <c r="N73" i="5"/>
  <c r="M73" i="5"/>
  <c r="L73" i="5"/>
  <c r="S73" i="5" s="1"/>
  <c r="I73" i="5"/>
  <c r="G73" i="5"/>
  <c r="F73" i="5"/>
  <c r="P72" i="5"/>
  <c r="N72" i="5"/>
  <c r="M72" i="5"/>
  <c r="L72" i="5"/>
  <c r="I72" i="5"/>
  <c r="G72" i="5"/>
  <c r="F72" i="5"/>
  <c r="P71" i="5"/>
  <c r="N71" i="5"/>
  <c r="M71" i="5"/>
  <c r="L71" i="5"/>
  <c r="S71" i="5" s="1"/>
  <c r="I71" i="5"/>
  <c r="G71" i="5"/>
  <c r="F71" i="5"/>
  <c r="P70" i="5"/>
  <c r="N70" i="5"/>
  <c r="M70" i="5"/>
  <c r="L70" i="5"/>
  <c r="I70" i="5"/>
  <c r="G70" i="5"/>
  <c r="F70" i="5"/>
  <c r="P69" i="5"/>
  <c r="N69" i="5"/>
  <c r="M69" i="5"/>
  <c r="L69" i="5"/>
  <c r="S69" i="5" s="1"/>
  <c r="I69" i="5"/>
  <c r="G69" i="5"/>
  <c r="F69" i="5"/>
  <c r="P68" i="5"/>
  <c r="N68" i="5"/>
  <c r="M68" i="5"/>
  <c r="L68" i="5"/>
  <c r="I68" i="5"/>
  <c r="G68" i="5"/>
  <c r="F68" i="5"/>
  <c r="P67" i="5"/>
  <c r="N67" i="5"/>
  <c r="M67" i="5"/>
  <c r="L67" i="5"/>
  <c r="S67" i="5" s="1"/>
  <c r="I67" i="5"/>
  <c r="G67" i="5"/>
  <c r="F67" i="5"/>
  <c r="P66" i="5"/>
  <c r="N66" i="5"/>
  <c r="M66" i="5"/>
  <c r="L66" i="5"/>
  <c r="I66" i="5"/>
  <c r="G66" i="5"/>
  <c r="F66" i="5"/>
  <c r="P65" i="5"/>
  <c r="N65" i="5"/>
  <c r="M65" i="5"/>
  <c r="L65" i="5"/>
  <c r="S65" i="5" s="1"/>
  <c r="I65" i="5"/>
  <c r="G65" i="5"/>
  <c r="F65" i="5"/>
  <c r="P64" i="5"/>
  <c r="N64" i="5"/>
  <c r="M64" i="5"/>
  <c r="L64" i="5"/>
  <c r="I64" i="5"/>
  <c r="G64" i="5"/>
  <c r="F64" i="5"/>
  <c r="P63" i="5"/>
  <c r="N63" i="5"/>
  <c r="M63" i="5"/>
  <c r="L63" i="5"/>
  <c r="S63" i="5" s="1"/>
  <c r="I63" i="5"/>
  <c r="G63" i="5"/>
  <c r="F63" i="5"/>
  <c r="P62" i="5"/>
  <c r="N62" i="5"/>
  <c r="M62" i="5"/>
  <c r="L62" i="5"/>
  <c r="I62" i="5"/>
  <c r="G62" i="5"/>
  <c r="F62" i="5"/>
  <c r="P61" i="5"/>
  <c r="N61" i="5"/>
  <c r="M61" i="5"/>
  <c r="L61" i="5"/>
  <c r="S61" i="5" s="1"/>
  <c r="I61" i="5"/>
  <c r="G61" i="5"/>
  <c r="F61" i="5"/>
  <c r="P60" i="5"/>
  <c r="N60" i="5"/>
  <c r="M60" i="5"/>
  <c r="L60" i="5"/>
  <c r="S60" i="5" s="1"/>
  <c r="I60" i="5"/>
  <c r="G60" i="5"/>
  <c r="F60" i="5"/>
  <c r="P59" i="5"/>
  <c r="N59" i="5"/>
  <c r="M59" i="5"/>
  <c r="L59" i="5"/>
  <c r="S59" i="5" s="1"/>
  <c r="I59" i="5"/>
  <c r="G59" i="5"/>
  <c r="F59" i="5"/>
  <c r="P58" i="5"/>
  <c r="N58" i="5"/>
  <c r="M58" i="5"/>
  <c r="L58" i="5"/>
  <c r="S58" i="5" s="1"/>
  <c r="I58" i="5"/>
  <c r="G58" i="5"/>
  <c r="F58" i="5"/>
  <c r="P57" i="5"/>
  <c r="N57" i="5"/>
  <c r="M57" i="5"/>
  <c r="L57" i="5"/>
  <c r="S57" i="5" s="1"/>
  <c r="I57" i="5"/>
  <c r="G57" i="5"/>
  <c r="F57" i="5"/>
  <c r="P56" i="5"/>
  <c r="N56" i="5"/>
  <c r="M56" i="5"/>
  <c r="L56" i="5"/>
  <c r="S56" i="5" s="1"/>
  <c r="I56" i="5"/>
  <c r="G56" i="5"/>
  <c r="F56" i="5"/>
  <c r="P55" i="5"/>
  <c r="N55" i="5"/>
  <c r="M55" i="5"/>
  <c r="L55" i="5"/>
  <c r="S55" i="5" s="1"/>
  <c r="I55" i="5"/>
  <c r="G55" i="5"/>
  <c r="F55" i="5"/>
  <c r="P54" i="5"/>
  <c r="N54" i="5"/>
  <c r="M54" i="5"/>
  <c r="L54" i="5"/>
  <c r="S54" i="5" s="1"/>
  <c r="I54" i="5"/>
  <c r="G54" i="5"/>
  <c r="F54" i="5"/>
  <c r="P53" i="5"/>
  <c r="N53" i="5"/>
  <c r="M53" i="5"/>
  <c r="L53" i="5"/>
  <c r="S53" i="5" s="1"/>
  <c r="I53" i="5"/>
  <c r="G53" i="5"/>
  <c r="F53" i="5"/>
  <c r="P52" i="5"/>
  <c r="N52" i="5"/>
  <c r="M52" i="5"/>
  <c r="L52" i="5"/>
  <c r="S52" i="5" s="1"/>
  <c r="I52" i="5"/>
  <c r="G52" i="5"/>
  <c r="F52" i="5"/>
  <c r="P51" i="5"/>
  <c r="N51" i="5"/>
  <c r="M51" i="5"/>
  <c r="L51" i="5"/>
  <c r="S51" i="5" s="1"/>
  <c r="I51" i="5"/>
  <c r="G51" i="5"/>
  <c r="F51" i="5"/>
  <c r="P50" i="5"/>
  <c r="N50" i="5"/>
  <c r="M50" i="5"/>
  <c r="L50" i="5"/>
  <c r="S50" i="5" s="1"/>
  <c r="I50" i="5"/>
  <c r="G50" i="5"/>
  <c r="F50" i="5"/>
  <c r="P49" i="5"/>
  <c r="N49" i="5"/>
  <c r="M49" i="5"/>
  <c r="L49" i="5"/>
  <c r="S49" i="5" s="1"/>
  <c r="I49" i="5"/>
  <c r="G49" i="5"/>
  <c r="F49" i="5"/>
  <c r="P48" i="5"/>
  <c r="N48" i="5"/>
  <c r="M48" i="5"/>
  <c r="L48" i="5"/>
  <c r="S48" i="5" s="1"/>
  <c r="I48" i="5"/>
  <c r="G48" i="5"/>
  <c r="F48" i="5"/>
  <c r="P47" i="5"/>
  <c r="N47" i="5"/>
  <c r="M47" i="5"/>
  <c r="L47" i="5"/>
  <c r="S47" i="5" s="1"/>
  <c r="I47" i="5"/>
  <c r="G47" i="5"/>
  <c r="F47" i="5"/>
  <c r="P46" i="5"/>
  <c r="N46" i="5"/>
  <c r="M46" i="5"/>
  <c r="L46" i="5"/>
  <c r="S46" i="5" s="1"/>
  <c r="I46" i="5"/>
  <c r="G46" i="5"/>
  <c r="F46" i="5"/>
  <c r="P45" i="5"/>
  <c r="N45" i="5"/>
  <c r="M45" i="5"/>
  <c r="L45" i="5"/>
  <c r="S45" i="5" s="1"/>
  <c r="I45" i="5"/>
  <c r="G45" i="5"/>
  <c r="F45" i="5"/>
  <c r="P44" i="5"/>
  <c r="N44" i="5"/>
  <c r="M44" i="5"/>
  <c r="L44" i="5"/>
  <c r="S44" i="5" s="1"/>
  <c r="I44" i="5"/>
  <c r="G44" i="5"/>
  <c r="F44" i="5"/>
  <c r="P43" i="5"/>
  <c r="N43" i="5"/>
  <c r="M43" i="5"/>
  <c r="L43" i="5"/>
  <c r="S43" i="5" s="1"/>
  <c r="I43" i="5"/>
  <c r="G43" i="5"/>
  <c r="F43" i="5"/>
  <c r="P42" i="5"/>
  <c r="N42" i="5"/>
  <c r="M42" i="5"/>
  <c r="L42" i="5"/>
  <c r="I42" i="5"/>
  <c r="G42" i="5"/>
  <c r="F42" i="5"/>
  <c r="P41" i="5"/>
  <c r="N41" i="5"/>
  <c r="M41" i="5"/>
  <c r="L41" i="5"/>
  <c r="S41" i="5" s="1"/>
  <c r="I41" i="5"/>
  <c r="G41" i="5"/>
  <c r="F41" i="5"/>
  <c r="P40" i="5"/>
  <c r="N40" i="5"/>
  <c r="M40" i="5"/>
  <c r="L40" i="5"/>
  <c r="I40" i="5"/>
  <c r="G40" i="5"/>
  <c r="F40" i="5"/>
  <c r="P39" i="5"/>
  <c r="N39" i="5"/>
  <c r="M39" i="5"/>
  <c r="L39" i="5"/>
  <c r="S39" i="5" s="1"/>
  <c r="I39" i="5"/>
  <c r="G39" i="5"/>
  <c r="F39" i="5"/>
  <c r="P38" i="5"/>
  <c r="N38" i="5"/>
  <c r="M38" i="5"/>
  <c r="L38" i="5"/>
  <c r="I38" i="5"/>
  <c r="G38" i="5"/>
  <c r="F38" i="5"/>
  <c r="P37" i="5"/>
  <c r="N37" i="5"/>
  <c r="M37" i="5"/>
  <c r="L37" i="5"/>
  <c r="S37" i="5" s="1"/>
  <c r="I37" i="5"/>
  <c r="G37" i="5"/>
  <c r="F37" i="5"/>
  <c r="P36" i="5"/>
  <c r="N36" i="5"/>
  <c r="M36" i="5"/>
  <c r="L36" i="5"/>
  <c r="I36" i="5"/>
  <c r="G36" i="5"/>
  <c r="F36" i="5"/>
  <c r="P35" i="5"/>
  <c r="N35" i="5"/>
  <c r="M35" i="5"/>
  <c r="L35" i="5"/>
  <c r="S35" i="5" s="1"/>
  <c r="I35" i="5"/>
  <c r="G35" i="5"/>
  <c r="F35" i="5"/>
  <c r="P34" i="5"/>
  <c r="N34" i="5"/>
  <c r="M34" i="5"/>
  <c r="L34" i="5"/>
  <c r="I34" i="5"/>
  <c r="G34" i="5"/>
  <c r="F34" i="5"/>
  <c r="P33" i="5"/>
  <c r="N33" i="5"/>
  <c r="M33" i="5"/>
  <c r="L33" i="5"/>
  <c r="S33" i="5" s="1"/>
  <c r="I33" i="5"/>
  <c r="G33" i="5"/>
  <c r="F33" i="5"/>
  <c r="P32" i="5"/>
  <c r="N32" i="5"/>
  <c r="M32" i="5"/>
  <c r="L32" i="5"/>
  <c r="I32" i="5"/>
  <c r="G32" i="5"/>
  <c r="F32" i="5"/>
  <c r="P31" i="5"/>
  <c r="N31" i="5"/>
  <c r="M31" i="5"/>
  <c r="L31" i="5"/>
  <c r="S31" i="5" s="1"/>
  <c r="I31" i="5"/>
  <c r="G31" i="5"/>
  <c r="F31" i="5"/>
  <c r="P30" i="5"/>
  <c r="N30" i="5"/>
  <c r="M30" i="5"/>
  <c r="L30" i="5"/>
  <c r="I30" i="5"/>
  <c r="G30" i="5"/>
  <c r="F30" i="5"/>
  <c r="P29" i="5"/>
  <c r="N29" i="5"/>
  <c r="M29" i="5"/>
  <c r="L29" i="5"/>
  <c r="S29" i="5" s="1"/>
  <c r="I29" i="5"/>
  <c r="G29" i="5"/>
  <c r="F29" i="5"/>
  <c r="P28" i="5"/>
  <c r="N28" i="5"/>
  <c r="M28" i="5"/>
  <c r="L28" i="5"/>
  <c r="S28" i="5" s="1"/>
  <c r="I28" i="5"/>
  <c r="G28" i="5"/>
  <c r="F28" i="5"/>
  <c r="P27" i="5"/>
  <c r="N27" i="5"/>
  <c r="M27" i="5"/>
  <c r="L27" i="5"/>
  <c r="S27" i="5" s="1"/>
  <c r="I27" i="5"/>
  <c r="G27" i="5"/>
  <c r="F27" i="5"/>
  <c r="P26" i="5"/>
  <c r="N26" i="5"/>
  <c r="M26" i="5"/>
  <c r="L26" i="5"/>
  <c r="I26" i="5"/>
  <c r="G26" i="5"/>
  <c r="F26" i="5"/>
  <c r="P25" i="5"/>
  <c r="N25" i="5"/>
  <c r="M25" i="5"/>
  <c r="L25" i="5"/>
  <c r="S25" i="5" s="1"/>
  <c r="I25" i="5"/>
  <c r="G25" i="5"/>
  <c r="F25" i="5"/>
  <c r="P24" i="5"/>
  <c r="N24" i="5"/>
  <c r="M24" i="5"/>
  <c r="L24" i="5"/>
  <c r="I24" i="5"/>
  <c r="G24" i="5"/>
  <c r="F24" i="5"/>
  <c r="P23" i="5"/>
  <c r="N23" i="5"/>
  <c r="M23" i="5"/>
  <c r="L23" i="5"/>
  <c r="S23" i="5" s="1"/>
  <c r="I23" i="5"/>
  <c r="G23" i="5"/>
  <c r="F23" i="5"/>
  <c r="P22" i="5"/>
  <c r="N22" i="5"/>
  <c r="M22" i="5"/>
  <c r="L22" i="5"/>
  <c r="S22" i="5" s="1"/>
  <c r="I22" i="5"/>
  <c r="G22" i="5"/>
  <c r="F22" i="5"/>
  <c r="P21" i="5"/>
  <c r="N21" i="5"/>
  <c r="M21" i="5"/>
  <c r="L21" i="5"/>
  <c r="S21" i="5" s="1"/>
  <c r="I21" i="5"/>
  <c r="G21" i="5"/>
  <c r="F21" i="5"/>
  <c r="P20" i="5"/>
  <c r="N20" i="5"/>
  <c r="M20" i="5"/>
  <c r="L20" i="5"/>
  <c r="S20" i="5" s="1"/>
  <c r="I20" i="5"/>
  <c r="G20" i="5"/>
  <c r="F20" i="5"/>
  <c r="P19" i="5"/>
  <c r="N19" i="5"/>
  <c r="M19" i="5"/>
  <c r="L19" i="5"/>
  <c r="S19" i="5" s="1"/>
  <c r="I19" i="5"/>
  <c r="G19" i="5"/>
  <c r="F19" i="5"/>
  <c r="P18" i="5"/>
  <c r="N18" i="5"/>
  <c r="M18" i="5"/>
  <c r="L18" i="5"/>
  <c r="S18" i="5" s="1"/>
  <c r="I18" i="5"/>
  <c r="G18" i="5"/>
  <c r="F18" i="5"/>
  <c r="P17" i="5"/>
  <c r="N17" i="5"/>
  <c r="M17" i="5"/>
  <c r="L17" i="5"/>
  <c r="S17" i="5" s="1"/>
  <c r="I17" i="5"/>
  <c r="G17" i="5"/>
  <c r="F17" i="5"/>
  <c r="P16" i="5"/>
  <c r="N16" i="5"/>
  <c r="M16" i="5"/>
  <c r="L16" i="5"/>
  <c r="S16" i="5" s="1"/>
  <c r="I16" i="5"/>
  <c r="G16" i="5"/>
  <c r="F16" i="5"/>
  <c r="P15" i="5"/>
  <c r="N15" i="5"/>
  <c r="M15" i="5"/>
  <c r="L15" i="5"/>
  <c r="S15" i="5" s="1"/>
  <c r="I15" i="5"/>
  <c r="G15" i="5"/>
  <c r="F15" i="5"/>
  <c r="P14" i="5"/>
  <c r="N14" i="5"/>
  <c r="M14" i="5"/>
  <c r="L14" i="5"/>
  <c r="S14" i="5" s="1"/>
  <c r="I14" i="5"/>
  <c r="G14" i="5"/>
  <c r="F14" i="5"/>
  <c r="P13" i="5"/>
  <c r="N13" i="5"/>
  <c r="M13" i="5"/>
  <c r="L13" i="5"/>
  <c r="S13" i="5" s="1"/>
  <c r="I13" i="5"/>
  <c r="G13" i="5"/>
  <c r="F13" i="5"/>
  <c r="P12" i="5"/>
  <c r="N12" i="5"/>
  <c r="M12" i="5"/>
  <c r="L12" i="5"/>
  <c r="S12" i="5" s="1"/>
  <c r="I12" i="5"/>
  <c r="G12" i="5"/>
  <c r="F12" i="5"/>
  <c r="P11" i="5"/>
  <c r="N11" i="5"/>
  <c r="M11" i="5"/>
  <c r="L11" i="5"/>
  <c r="S11" i="5" s="1"/>
  <c r="I11" i="5"/>
  <c r="G11" i="5"/>
  <c r="F11" i="5"/>
  <c r="P10" i="5"/>
  <c r="N10" i="5"/>
  <c r="M10" i="5"/>
  <c r="L10" i="5"/>
  <c r="S10" i="5" s="1"/>
  <c r="I10" i="5"/>
  <c r="G10" i="5"/>
  <c r="F10" i="5"/>
  <c r="P9" i="5"/>
  <c r="N9" i="5"/>
  <c r="M9" i="5"/>
  <c r="L9" i="5"/>
  <c r="S9" i="5" s="1"/>
  <c r="I9" i="5"/>
  <c r="G9" i="5"/>
  <c r="F9" i="5"/>
  <c r="P8" i="5"/>
  <c r="N8" i="5"/>
  <c r="M8" i="5"/>
  <c r="L8" i="5"/>
  <c r="S8" i="5" s="1"/>
  <c r="I8" i="5"/>
  <c r="G8" i="5"/>
  <c r="F8" i="5"/>
  <c r="P7" i="5"/>
  <c r="N7" i="5"/>
  <c r="M7" i="5"/>
  <c r="L7" i="5"/>
  <c r="S7" i="5" s="1"/>
  <c r="I7" i="5"/>
  <c r="G7" i="5"/>
  <c r="F7" i="5"/>
  <c r="P1241" i="3"/>
  <c r="O1241" i="3"/>
  <c r="P789" i="3"/>
  <c r="O789" i="3"/>
  <c r="P1202" i="3"/>
  <c r="O1202" i="3"/>
  <c r="P1201" i="3"/>
  <c r="O1201" i="3"/>
  <c r="P898" i="3"/>
  <c r="O898" i="3"/>
  <c r="P899" i="3"/>
  <c r="O899" i="3"/>
  <c r="P2187" i="3"/>
  <c r="O2187" i="3"/>
  <c r="P2188" i="3"/>
  <c r="O2188" i="3"/>
  <c r="P2189" i="3"/>
  <c r="O2189" i="3"/>
  <c r="P2190" i="3"/>
  <c r="O2190" i="3"/>
  <c r="P1593" i="3"/>
  <c r="O1593" i="3"/>
  <c r="P1595" i="3"/>
  <c r="O1595" i="3"/>
  <c r="P1592" i="3"/>
  <c r="O1592" i="3"/>
  <c r="P1594" i="3"/>
  <c r="O1594" i="3"/>
  <c r="P1436" i="3"/>
  <c r="O1436" i="3"/>
  <c r="P1437" i="3"/>
  <c r="O1437" i="3"/>
  <c r="P1405" i="3"/>
  <c r="O1405" i="3"/>
  <c r="P1850" i="3"/>
  <c r="O1850" i="3"/>
  <c r="P1403" i="3"/>
  <c r="O1403" i="3"/>
  <c r="P906" i="3"/>
  <c r="O906" i="3"/>
  <c r="P908" i="3"/>
  <c r="O908" i="3"/>
  <c r="P907" i="3"/>
  <c r="O907" i="3"/>
  <c r="P1404" i="3"/>
  <c r="O1404" i="3"/>
  <c r="P139" i="3"/>
  <c r="O139" i="3"/>
  <c r="P1376" i="3"/>
  <c r="O1376" i="3"/>
  <c r="P1435" i="3"/>
  <c r="O1435" i="3"/>
  <c r="P1433" i="3"/>
  <c r="O1433" i="3"/>
  <c r="P1434" i="3"/>
  <c r="O1434" i="3"/>
  <c r="P709" i="3"/>
  <c r="O709" i="3"/>
  <c r="P1289" i="3"/>
  <c r="O1289" i="3"/>
  <c r="P570" i="3"/>
  <c r="O570" i="3"/>
  <c r="P1076" i="3"/>
  <c r="O1076" i="3"/>
  <c r="P969" i="3"/>
  <c r="O969" i="3"/>
  <c r="P1892" i="3"/>
  <c r="O1892" i="3"/>
  <c r="P645" i="3"/>
  <c r="O645" i="3"/>
  <c r="P643" i="3"/>
  <c r="O643" i="3"/>
  <c r="P642" i="3"/>
  <c r="O642" i="3"/>
  <c r="P2151" i="3"/>
  <c r="O2151" i="3"/>
  <c r="P2452" i="3"/>
  <c r="O2452" i="3"/>
  <c r="P2451" i="3"/>
  <c r="O2451" i="3"/>
  <c r="P1019" i="3"/>
  <c r="O1019" i="3"/>
  <c r="P1017" i="3"/>
  <c r="O1017" i="3"/>
  <c r="P10" i="3"/>
  <c r="O10" i="3"/>
  <c r="P2153" i="3"/>
  <c r="O2153" i="3"/>
  <c r="P2155" i="3"/>
  <c r="O2155" i="3"/>
  <c r="P1199" i="3"/>
  <c r="O1199" i="3"/>
  <c r="P889" i="3"/>
  <c r="O889" i="3"/>
  <c r="P697" i="3"/>
  <c r="O697" i="3"/>
  <c r="P2090" i="3"/>
  <c r="O2090" i="3"/>
  <c r="P696" i="3"/>
  <c r="O696" i="3"/>
  <c r="P890" i="3"/>
  <c r="O890" i="3"/>
  <c r="P2490" i="3"/>
  <c r="O2490" i="3"/>
  <c r="P800" i="3"/>
  <c r="O800" i="3"/>
  <c r="P2456" i="3"/>
  <c r="O2456" i="3"/>
  <c r="P792" i="3"/>
  <c r="O792" i="3"/>
  <c r="P1377" i="3"/>
  <c r="O1377" i="3"/>
  <c r="P833" i="3"/>
  <c r="O833" i="3"/>
  <c r="P829" i="3"/>
  <c r="O829" i="3"/>
  <c r="P827" i="3"/>
  <c r="O827" i="3"/>
  <c r="P831" i="3"/>
  <c r="O831" i="3"/>
  <c r="P7" i="3"/>
  <c r="O7" i="3"/>
  <c r="P130" i="3"/>
  <c r="O130" i="3"/>
  <c r="P1475" i="3"/>
  <c r="O1475" i="3"/>
  <c r="P712" i="3"/>
  <c r="O712" i="3"/>
  <c r="P1695" i="3"/>
  <c r="O1695" i="3"/>
  <c r="P2514" i="3"/>
  <c r="O2514" i="3"/>
  <c r="P100" i="3"/>
  <c r="O100" i="3"/>
  <c r="P1215" i="3"/>
  <c r="O1215" i="3"/>
  <c r="P453" i="3"/>
  <c r="O453" i="3"/>
  <c r="P2045" i="3"/>
  <c r="O2045" i="3"/>
  <c r="P979" i="3"/>
  <c r="O979" i="3"/>
  <c r="P2184" i="3"/>
  <c r="O2184" i="3"/>
  <c r="P2031" i="3"/>
  <c r="O2031" i="3"/>
  <c r="P2079" i="3"/>
  <c r="O2079" i="3"/>
  <c r="P2432" i="3"/>
  <c r="O2432" i="3"/>
  <c r="P2431" i="3"/>
  <c r="O2431" i="3"/>
  <c r="P1432" i="3"/>
  <c r="O1432" i="3"/>
  <c r="P2433" i="3"/>
  <c r="O2433" i="3"/>
  <c r="P2437" i="3"/>
  <c r="O2437" i="3"/>
  <c r="P386" i="3"/>
  <c r="O386" i="3"/>
  <c r="P2430" i="3"/>
  <c r="O2430" i="3"/>
  <c r="P2427" i="3"/>
  <c r="O2427" i="3"/>
  <c r="P2438" i="3"/>
  <c r="O2438" i="3"/>
  <c r="P2429" i="3"/>
  <c r="O2429" i="3"/>
  <c r="P521" i="3"/>
  <c r="O521" i="3"/>
  <c r="P56" i="3"/>
  <c r="O56" i="3"/>
  <c r="P14" i="3"/>
  <c r="O14" i="3"/>
  <c r="P653" i="3"/>
  <c r="O653" i="3"/>
  <c r="P54" i="3"/>
  <c r="O54" i="3"/>
  <c r="P55" i="3"/>
  <c r="O55" i="3"/>
  <c r="P978" i="3"/>
  <c r="O978" i="3"/>
  <c r="P33" i="3"/>
  <c r="O33" i="3"/>
  <c r="P59" i="3"/>
  <c r="O59" i="3"/>
  <c r="P1448" i="3"/>
  <c r="O1448" i="3"/>
  <c r="P1446" i="3"/>
  <c r="O1446" i="3"/>
  <c r="P60" i="3"/>
  <c r="O60" i="3"/>
  <c r="P1451" i="3"/>
  <c r="O1451" i="3"/>
  <c r="P13" i="3"/>
  <c r="O13" i="3"/>
  <c r="P2439" i="3"/>
  <c r="O2439" i="3"/>
  <c r="P1741" i="3"/>
  <c r="O1741" i="3"/>
  <c r="P1443" i="3"/>
  <c r="O1443" i="3"/>
  <c r="P1647" i="3"/>
  <c r="O1647" i="3"/>
  <c r="P12" i="3"/>
  <c r="O12" i="3"/>
  <c r="P1648" i="3"/>
  <c r="O1648" i="3"/>
  <c r="P980" i="3"/>
  <c r="O980" i="3"/>
  <c r="P2087" i="3"/>
  <c r="O2087" i="3"/>
  <c r="P1459" i="3"/>
  <c r="O1459" i="3"/>
  <c r="P2086" i="3"/>
  <c r="O2086" i="3"/>
  <c r="P2089" i="3"/>
  <c r="O2089" i="3"/>
  <c r="P2088" i="3"/>
  <c r="O2088" i="3"/>
  <c r="P916" i="3"/>
  <c r="O916" i="3"/>
  <c r="P1952" i="3"/>
  <c r="O1952" i="3"/>
  <c r="P2500" i="3"/>
  <c r="O2500" i="3"/>
  <c r="P2503" i="3"/>
  <c r="O2503" i="3"/>
  <c r="P819" i="3"/>
  <c r="O819" i="3"/>
  <c r="P1992" i="3"/>
  <c r="O1992" i="3"/>
  <c r="P2254" i="3"/>
  <c r="O2254" i="3"/>
  <c r="P2075" i="3"/>
  <c r="O2075" i="3"/>
  <c r="P2499" i="3"/>
  <c r="O2499" i="3"/>
  <c r="P1991" i="3"/>
  <c r="O1991" i="3"/>
  <c r="P2074" i="3"/>
  <c r="O2074" i="3"/>
  <c r="P2502" i="3"/>
  <c r="O2502" i="3"/>
  <c r="P1990" i="3"/>
  <c r="O1990" i="3"/>
  <c r="P2434" i="3"/>
  <c r="O2434" i="3"/>
  <c r="P2233" i="3"/>
  <c r="O2233" i="3"/>
  <c r="P2239" i="3"/>
  <c r="O2239" i="3"/>
  <c r="P2489" i="3"/>
  <c r="O2489" i="3"/>
  <c r="P2491" i="3"/>
  <c r="O2491" i="3"/>
  <c r="P822" i="3"/>
  <c r="O822" i="3"/>
  <c r="P787" i="3"/>
  <c r="O787" i="3"/>
  <c r="P786" i="3"/>
  <c r="O786" i="3"/>
  <c r="P1439" i="3"/>
  <c r="O1439" i="3"/>
  <c r="P1393" i="3"/>
  <c r="O1393" i="3"/>
  <c r="P1394" i="3"/>
  <c r="O1394" i="3"/>
  <c r="P1851" i="3"/>
  <c r="O1851" i="3"/>
  <c r="P1440" i="3"/>
  <c r="O1440" i="3"/>
  <c r="P1441" i="3"/>
  <c r="O1441" i="3"/>
  <c r="P1442" i="3"/>
  <c r="O1442" i="3"/>
  <c r="P1092" i="3"/>
  <c r="O1092" i="3"/>
  <c r="P1028" i="3"/>
  <c r="O1028" i="3"/>
  <c r="P2268" i="3"/>
  <c r="O2268" i="3"/>
  <c r="P1022" i="3"/>
  <c r="O1022" i="3"/>
  <c r="P1089" i="3"/>
  <c r="O1089" i="3"/>
  <c r="P140" i="3"/>
  <c r="O140" i="3"/>
  <c r="P808" i="3"/>
  <c r="O808" i="3"/>
  <c r="P644" i="3"/>
  <c r="O644" i="3"/>
  <c r="P1193" i="3"/>
  <c r="O1193" i="3"/>
  <c r="P2372" i="3"/>
  <c r="O2372" i="3"/>
  <c r="P1465" i="3"/>
  <c r="O1465" i="3"/>
  <c r="P679" i="3"/>
  <c r="O679" i="3"/>
  <c r="P1295" i="3"/>
  <c r="O1295" i="3"/>
  <c r="P1407" i="3"/>
  <c r="O1407" i="3"/>
  <c r="P142" i="3"/>
  <c r="O142" i="3"/>
  <c r="P989" i="3"/>
  <c r="O989" i="3"/>
  <c r="P571" i="3"/>
  <c r="O571" i="3"/>
  <c r="P1409" i="3"/>
  <c r="O1409" i="3"/>
  <c r="P972" i="3"/>
  <c r="O972" i="3"/>
  <c r="P1290" i="3"/>
  <c r="O1290" i="3"/>
  <c r="P971" i="3"/>
  <c r="O971" i="3"/>
  <c r="P2435" i="3"/>
  <c r="O2435" i="3"/>
  <c r="P2436" i="3"/>
  <c r="O2436" i="3"/>
  <c r="P1283" i="3"/>
  <c r="O1283" i="3"/>
  <c r="P634" i="3"/>
  <c r="O634" i="3"/>
  <c r="P1170" i="3"/>
  <c r="O1170" i="3"/>
  <c r="P1021" i="3"/>
  <c r="O1021" i="3"/>
  <c r="P2440" i="3"/>
  <c r="O2440" i="3"/>
  <c r="P1458" i="3"/>
  <c r="O1458" i="3"/>
  <c r="P129" i="3"/>
  <c r="O129" i="3"/>
  <c r="P2426" i="3"/>
  <c r="O2426" i="3"/>
  <c r="P1120" i="3"/>
  <c r="O1120" i="3"/>
  <c r="P1043" i="3"/>
  <c r="O1043" i="3"/>
  <c r="P970" i="3"/>
  <c r="O970" i="3"/>
  <c r="P1953" i="3"/>
  <c r="O1953" i="3"/>
  <c r="P1044" i="3"/>
  <c r="O1044" i="3"/>
  <c r="P745" i="3"/>
  <c r="O745" i="3"/>
  <c r="P918" i="3"/>
  <c r="O918" i="3"/>
  <c r="P1597" i="3"/>
  <c r="O1597" i="3"/>
  <c r="P1408" i="3"/>
  <c r="O1408" i="3"/>
  <c r="P845" i="3"/>
  <c r="O845" i="3"/>
  <c r="P843" i="3"/>
  <c r="O843" i="3"/>
  <c r="P842" i="3"/>
  <c r="O842" i="3"/>
  <c r="P841" i="3"/>
  <c r="O841" i="3"/>
  <c r="P2156" i="3"/>
  <c r="O2156" i="3"/>
  <c r="P844" i="3"/>
  <c r="O844" i="3"/>
  <c r="P863" i="3"/>
  <c r="O863" i="3"/>
  <c r="P2386" i="3"/>
  <c r="O2386" i="3"/>
  <c r="P2384" i="3"/>
  <c r="O2384" i="3"/>
  <c r="P2383" i="3"/>
  <c r="O2383" i="3"/>
  <c r="P2496" i="3"/>
  <c r="O2496" i="3"/>
  <c r="P2385" i="3"/>
  <c r="O2385" i="3"/>
  <c r="P346" i="3"/>
  <c r="O346" i="3"/>
  <c r="P8" i="3"/>
  <c r="O8" i="3"/>
  <c r="P9" i="3"/>
  <c r="O9" i="3"/>
  <c r="P2091" i="3"/>
  <c r="O2091" i="3"/>
  <c r="P741" i="3"/>
  <c r="O741" i="3"/>
  <c r="P753" i="3"/>
  <c r="O753" i="3"/>
  <c r="P278" i="3"/>
  <c r="O278" i="3"/>
  <c r="P744" i="3"/>
  <c r="O744" i="3"/>
  <c r="P2092" i="3"/>
  <c r="O2092" i="3"/>
  <c r="P345" i="3"/>
  <c r="O345" i="3"/>
  <c r="P85" i="3"/>
  <c r="O85" i="3"/>
  <c r="P343" i="3"/>
  <c r="O343" i="3"/>
  <c r="P749" i="3"/>
  <c r="O749" i="3"/>
  <c r="P279" i="3"/>
  <c r="O279" i="3"/>
  <c r="P740" i="3"/>
  <c r="O740" i="3"/>
  <c r="P743" i="3"/>
  <c r="O743" i="3"/>
  <c r="P742" i="3"/>
  <c r="O742" i="3"/>
  <c r="P747" i="3"/>
  <c r="O747" i="3"/>
  <c r="P750" i="3"/>
  <c r="O750" i="3"/>
  <c r="P751" i="3"/>
  <c r="O751" i="3"/>
  <c r="P748" i="3"/>
  <c r="O748" i="3"/>
  <c r="P752" i="3"/>
  <c r="O752" i="3"/>
  <c r="P344" i="3"/>
  <c r="O344" i="3"/>
  <c r="P169" i="3"/>
  <c r="O169" i="3"/>
  <c r="P734" i="3"/>
  <c r="O734" i="3"/>
  <c r="P733" i="3"/>
  <c r="O733" i="3"/>
  <c r="P732" i="3"/>
  <c r="O732" i="3"/>
  <c r="P731" i="3"/>
  <c r="O731" i="3"/>
  <c r="P1810" i="3"/>
  <c r="O1810" i="3"/>
  <c r="P1811" i="3"/>
  <c r="O1811" i="3"/>
  <c r="P1663" i="3"/>
  <c r="O1663" i="3"/>
  <c r="P1664" i="3"/>
  <c r="O1664" i="3"/>
  <c r="P1659" i="3"/>
  <c r="O1659" i="3"/>
  <c r="P1808" i="3"/>
  <c r="O1808" i="3"/>
  <c r="P943" i="3"/>
  <c r="O943" i="3"/>
  <c r="P935" i="3"/>
  <c r="O935" i="3"/>
  <c r="P941" i="3"/>
  <c r="O941" i="3"/>
  <c r="P1809" i="3"/>
  <c r="O1809" i="3"/>
  <c r="P931" i="3"/>
  <c r="O931" i="3"/>
  <c r="P936" i="3"/>
  <c r="O936" i="3"/>
  <c r="P932" i="3"/>
  <c r="O932" i="3"/>
  <c r="P933" i="3"/>
  <c r="O933" i="3"/>
  <c r="P934" i="3"/>
  <c r="O934" i="3"/>
  <c r="P930" i="3"/>
  <c r="O930" i="3"/>
  <c r="P929" i="3"/>
  <c r="O929" i="3"/>
  <c r="P1812" i="3"/>
  <c r="O1812" i="3"/>
  <c r="P938" i="3"/>
  <c r="O938" i="3"/>
  <c r="P937" i="3"/>
  <c r="O937" i="3"/>
  <c r="P1814" i="3"/>
  <c r="O1814" i="3"/>
  <c r="P945" i="3"/>
  <c r="O945" i="3"/>
  <c r="P928" i="3"/>
  <c r="O928" i="3"/>
  <c r="P1815" i="3"/>
  <c r="O1815" i="3"/>
  <c r="P939" i="3"/>
  <c r="O939" i="3"/>
  <c r="P1813" i="3"/>
  <c r="O1813" i="3"/>
  <c r="P942" i="3"/>
  <c r="O942" i="3"/>
  <c r="P944" i="3"/>
  <c r="O944" i="3"/>
  <c r="P940" i="3"/>
  <c r="O940" i="3"/>
  <c r="P948" i="3"/>
  <c r="O948" i="3"/>
  <c r="P950" i="3"/>
  <c r="O950" i="3"/>
  <c r="P949" i="3"/>
  <c r="O949" i="3"/>
  <c r="P947" i="3"/>
  <c r="O947" i="3"/>
  <c r="P946" i="3"/>
  <c r="O946" i="3"/>
  <c r="P1111" i="3"/>
  <c r="O1111" i="3"/>
  <c r="P1109" i="3"/>
  <c r="O1109" i="3"/>
  <c r="P1110" i="3"/>
  <c r="O1110" i="3"/>
  <c r="P1114" i="3"/>
  <c r="O1114" i="3"/>
  <c r="P1113" i="3"/>
  <c r="O1113" i="3"/>
  <c r="P1112" i="3"/>
  <c r="O1112" i="3"/>
  <c r="P1115" i="3"/>
  <c r="O1115" i="3"/>
  <c r="P1117" i="3"/>
  <c r="O1117" i="3"/>
  <c r="P1116" i="3"/>
  <c r="O1116" i="3"/>
  <c r="P1108" i="3"/>
  <c r="O1108" i="3"/>
  <c r="P1123" i="3"/>
  <c r="O1123" i="3"/>
  <c r="P1122" i="3"/>
  <c r="O1122" i="3"/>
  <c r="P1121" i="3"/>
  <c r="O1121" i="3"/>
  <c r="P1018" i="3"/>
  <c r="O1018" i="3"/>
  <c r="P1118" i="3"/>
  <c r="O1118" i="3"/>
  <c r="P1020" i="3"/>
  <c r="O1020" i="3"/>
  <c r="P2416" i="3"/>
  <c r="O2416" i="3"/>
  <c r="P1119" i="3"/>
  <c r="O1119" i="3"/>
  <c r="P1875" i="3"/>
  <c r="O1875" i="3"/>
  <c r="P900" i="3"/>
  <c r="O900" i="3"/>
  <c r="P2327" i="3"/>
  <c r="O2327" i="3"/>
  <c r="P2328" i="3"/>
  <c r="O2328" i="3"/>
  <c r="P2326" i="3"/>
  <c r="O2326" i="3"/>
  <c r="P523" i="3"/>
  <c r="O523" i="3"/>
  <c r="P522" i="3"/>
  <c r="O522" i="3"/>
  <c r="P921" i="3"/>
  <c r="O921" i="3"/>
  <c r="P920" i="3"/>
  <c r="O920" i="3"/>
  <c r="P919" i="3"/>
  <c r="O919" i="3"/>
  <c r="P2134" i="3"/>
  <c r="O2134" i="3"/>
  <c r="P143" i="3"/>
  <c r="O143" i="3"/>
  <c r="P1925" i="3"/>
  <c r="O1925" i="3"/>
  <c r="P1924" i="3"/>
  <c r="O1924" i="3"/>
  <c r="P1923" i="3"/>
  <c r="O1923" i="3"/>
  <c r="P1656" i="3"/>
  <c r="O1656" i="3"/>
  <c r="P1655" i="3"/>
  <c r="O1655" i="3"/>
  <c r="P2414" i="3"/>
  <c r="O2414" i="3"/>
  <c r="P2413" i="3"/>
  <c r="O2413" i="3"/>
  <c r="P2412" i="3"/>
  <c r="O2412" i="3"/>
  <c r="P2411" i="3"/>
  <c r="O2411" i="3"/>
  <c r="P2410" i="3"/>
  <c r="O2410" i="3"/>
  <c r="P2409" i="3"/>
  <c r="O2409" i="3"/>
  <c r="P2408" i="3"/>
  <c r="O2408" i="3"/>
  <c r="P2407" i="3"/>
  <c r="O2407" i="3"/>
  <c r="P2406" i="3"/>
  <c r="O2406" i="3"/>
  <c r="P2405" i="3"/>
  <c r="O2405" i="3"/>
  <c r="P2404" i="3"/>
  <c r="O2404" i="3"/>
  <c r="P2403" i="3"/>
  <c r="O2403" i="3"/>
  <c r="P2402" i="3"/>
  <c r="O2402" i="3"/>
  <c r="P1698" i="3"/>
  <c r="O1698" i="3"/>
  <c r="P1608" i="3"/>
  <c r="O1608" i="3"/>
  <c r="P1457" i="3"/>
  <c r="O1457" i="3"/>
  <c r="P1340" i="3"/>
  <c r="O1340" i="3"/>
  <c r="P356" i="3"/>
  <c r="O356" i="3"/>
  <c r="P355" i="3"/>
  <c r="O355" i="3"/>
  <c r="P297" i="3"/>
  <c r="O297" i="3"/>
  <c r="P296" i="3"/>
  <c r="O296" i="3"/>
  <c r="P287" i="3"/>
  <c r="O287" i="3"/>
  <c r="P286" i="3"/>
  <c r="O286" i="3"/>
  <c r="P285" i="3"/>
  <c r="O285" i="3"/>
  <c r="P136" i="3"/>
  <c r="O136" i="3"/>
  <c r="P2459" i="3"/>
  <c r="O2459" i="3"/>
  <c r="P2458" i="3"/>
  <c r="O2458" i="3"/>
  <c r="P2457" i="3"/>
  <c r="O2457" i="3"/>
  <c r="P1874" i="3"/>
  <c r="O1874" i="3"/>
  <c r="P818" i="3"/>
  <c r="O818" i="3"/>
  <c r="P539" i="3"/>
  <c r="O539" i="3"/>
  <c r="P2495" i="3"/>
  <c r="O2495" i="3"/>
  <c r="P2494" i="3"/>
  <c r="O2494" i="3"/>
  <c r="P2493" i="3"/>
  <c r="O2493" i="3"/>
  <c r="P2492" i="3"/>
  <c r="O2492" i="3"/>
  <c r="P2117" i="3"/>
  <c r="O2117" i="3"/>
  <c r="P1462" i="3"/>
  <c r="O1462" i="3"/>
  <c r="P1062" i="3"/>
  <c r="O1062" i="3"/>
  <c r="P1057" i="3"/>
  <c r="O1057" i="3"/>
  <c r="P1055" i="3"/>
  <c r="O1055" i="3"/>
  <c r="P1053" i="3"/>
  <c r="O1053" i="3"/>
  <c r="P115" i="3"/>
  <c r="O115" i="3"/>
  <c r="P114" i="3"/>
  <c r="O114" i="3"/>
  <c r="P112" i="3"/>
  <c r="O112" i="3"/>
  <c r="P111" i="3"/>
  <c r="O111" i="3"/>
  <c r="P110" i="3"/>
  <c r="O110" i="3"/>
  <c r="P109" i="3"/>
  <c r="O109" i="3"/>
  <c r="P108" i="3"/>
  <c r="O108" i="3"/>
  <c r="P107" i="3"/>
  <c r="O107" i="3"/>
  <c r="P106" i="3"/>
  <c r="O106" i="3"/>
  <c r="P105" i="3"/>
  <c r="O105" i="3"/>
  <c r="P104" i="3"/>
  <c r="O104" i="3"/>
  <c r="P103" i="3"/>
  <c r="O103" i="3"/>
  <c r="P102" i="3"/>
  <c r="O102" i="3"/>
  <c r="P101" i="3"/>
  <c r="O101" i="3"/>
  <c r="P814" i="3"/>
  <c r="O814" i="3"/>
  <c r="P430" i="3"/>
  <c r="O430" i="3"/>
  <c r="P429" i="3"/>
  <c r="O429" i="3"/>
  <c r="P428" i="3"/>
  <c r="O428" i="3"/>
  <c r="P427" i="3"/>
  <c r="O427" i="3"/>
  <c r="P426" i="3"/>
  <c r="O426" i="3"/>
  <c r="P425" i="3"/>
  <c r="O425" i="3"/>
  <c r="P424" i="3"/>
  <c r="O424" i="3"/>
  <c r="P423" i="3"/>
  <c r="O423" i="3"/>
  <c r="P422" i="3"/>
  <c r="O422" i="3"/>
  <c r="P421" i="3"/>
  <c r="O421" i="3"/>
  <c r="P420" i="3"/>
  <c r="O420" i="3"/>
  <c r="P2506" i="3"/>
  <c r="O2506" i="3"/>
  <c r="P2471" i="3"/>
  <c r="O2471" i="3"/>
  <c r="P2470" i="3"/>
  <c r="O2470" i="3"/>
  <c r="P2419" i="3"/>
  <c r="O2419" i="3"/>
  <c r="P2375" i="3"/>
  <c r="O2375" i="3"/>
  <c r="P2374" i="3"/>
  <c r="O2374" i="3"/>
  <c r="P2373" i="3"/>
  <c r="O2373" i="3"/>
  <c r="P2367" i="3"/>
  <c r="O2367" i="3"/>
  <c r="P2366" i="3"/>
  <c r="O2366" i="3"/>
  <c r="P2365" i="3"/>
  <c r="O2365" i="3"/>
  <c r="P2358" i="3"/>
  <c r="O2358" i="3"/>
  <c r="P2357" i="3"/>
  <c r="O2357" i="3"/>
  <c r="P2356" i="3"/>
  <c r="O2356" i="3"/>
  <c r="P2355" i="3"/>
  <c r="O2355" i="3"/>
  <c r="P2354" i="3"/>
  <c r="O2354" i="3"/>
  <c r="P2353" i="3"/>
  <c r="O2353" i="3"/>
  <c r="P2352" i="3"/>
  <c r="O2352" i="3"/>
  <c r="P2351" i="3"/>
  <c r="O2351" i="3"/>
  <c r="P2350" i="3"/>
  <c r="O2350" i="3"/>
  <c r="P2349" i="3"/>
  <c r="O2349" i="3"/>
  <c r="P2348" i="3"/>
  <c r="O2348" i="3"/>
  <c r="P2186" i="3"/>
  <c r="O2186" i="3"/>
  <c r="P2185" i="3"/>
  <c r="O2185" i="3"/>
  <c r="P2183" i="3"/>
  <c r="O2183" i="3"/>
  <c r="P2182" i="3"/>
  <c r="O2182" i="3"/>
  <c r="P2181" i="3"/>
  <c r="O2181" i="3"/>
  <c r="P2180" i="3"/>
  <c r="O2180" i="3"/>
  <c r="P2179" i="3"/>
  <c r="O2179" i="3"/>
  <c r="P2178" i="3"/>
  <c r="O2178" i="3"/>
  <c r="P2177" i="3"/>
  <c r="O2177" i="3"/>
  <c r="P2176" i="3"/>
  <c r="O2176" i="3"/>
  <c r="P2175" i="3"/>
  <c r="O2175" i="3"/>
  <c r="P2174" i="3"/>
  <c r="O2174" i="3"/>
  <c r="P2026" i="3"/>
  <c r="O2026" i="3"/>
  <c r="P2025" i="3"/>
  <c r="O2025" i="3"/>
  <c r="P2024" i="3"/>
  <c r="O2024" i="3"/>
  <c r="P2023" i="3"/>
  <c r="O2023" i="3"/>
  <c r="P1785" i="3"/>
  <c r="O1785" i="3"/>
  <c r="P1784" i="3"/>
  <c r="O1784" i="3"/>
  <c r="P1771" i="3"/>
  <c r="O1771" i="3"/>
  <c r="P1770" i="3"/>
  <c r="O1770" i="3"/>
  <c r="P1769" i="3"/>
  <c r="O1769" i="3"/>
  <c r="P1768" i="3"/>
  <c r="O1768" i="3"/>
  <c r="P1679" i="3"/>
  <c r="O1679" i="3"/>
  <c r="P1677" i="3"/>
  <c r="O1677" i="3"/>
  <c r="P1675" i="3"/>
  <c r="O1675" i="3"/>
  <c r="P1422" i="3"/>
  <c r="O1422" i="3"/>
  <c r="P1421" i="3"/>
  <c r="O1421" i="3"/>
  <c r="P1420" i="3"/>
  <c r="O1420" i="3"/>
  <c r="P1419" i="3"/>
  <c r="O1419" i="3"/>
  <c r="P1418" i="3"/>
  <c r="O1418" i="3"/>
  <c r="P1417" i="3"/>
  <c r="O1417" i="3"/>
  <c r="P1416" i="3"/>
  <c r="O1416" i="3"/>
  <c r="P1415" i="3"/>
  <c r="O1415" i="3"/>
  <c r="P1414" i="3"/>
  <c r="O1414" i="3"/>
  <c r="P1412" i="3"/>
  <c r="O1412" i="3"/>
  <c r="P1411" i="3"/>
  <c r="O1411" i="3"/>
  <c r="P1344" i="3"/>
  <c r="O1344" i="3"/>
  <c r="P1343" i="3"/>
  <c r="O1343" i="3"/>
  <c r="P1342" i="3"/>
  <c r="O1342" i="3"/>
  <c r="P1191" i="3"/>
  <c r="O1191" i="3"/>
  <c r="P1190" i="3"/>
  <c r="O1190" i="3"/>
  <c r="P1189" i="3"/>
  <c r="O1189" i="3"/>
  <c r="P1188" i="3"/>
  <c r="O1188" i="3"/>
  <c r="P1187" i="3"/>
  <c r="O1187" i="3"/>
  <c r="P1151" i="3"/>
  <c r="O1151" i="3"/>
  <c r="P1149" i="3"/>
  <c r="O1149" i="3"/>
  <c r="P1148" i="3"/>
  <c r="O1148" i="3"/>
  <c r="P1060" i="3"/>
  <c r="O1060" i="3"/>
  <c r="P1059" i="3"/>
  <c r="O1059" i="3"/>
  <c r="P1058" i="3"/>
  <c r="O1058" i="3"/>
  <c r="P1048" i="3"/>
  <c r="O1048" i="3"/>
  <c r="P1047" i="3"/>
  <c r="O1047" i="3"/>
  <c r="P816" i="3"/>
  <c r="O816" i="3"/>
  <c r="P815" i="3"/>
  <c r="O815" i="3"/>
  <c r="P707" i="3"/>
  <c r="O707" i="3"/>
  <c r="P706" i="3"/>
  <c r="O706" i="3"/>
  <c r="P705" i="3"/>
  <c r="O705" i="3"/>
  <c r="P704" i="3"/>
  <c r="O704" i="3"/>
  <c r="P703" i="3"/>
  <c r="O703" i="3"/>
  <c r="P702" i="3"/>
  <c r="O702" i="3"/>
  <c r="P701" i="3"/>
  <c r="O701" i="3"/>
  <c r="P700" i="3"/>
  <c r="O700" i="3"/>
  <c r="P699" i="3"/>
  <c r="O699" i="3"/>
  <c r="P410" i="3"/>
  <c r="O410" i="3"/>
  <c r="P409" i="3"/>
  <c r="O409" i="3"/>
  <c r="P408" i="3"/>
  <c r="O408" i="3"/>
  <c r="P407" i="3"/>
  <c r="O407" i="3"/>
  <c r="P406" i="3"/>
  <c r="O406" i="3"/>
  <c r="P405" i="3"/>
  <c r="O405" i="3"/>
  <c r="P113" i="3"/>
  <c r="O113" i="3"/>
  <c r="P1917" i="3"/>
  <c r="O1917" i="3"/>
  <c r="P1916" i="3"/>
  <c r="O1916" i="3"/>
  <c r="P1687" i="3"/>
  <c r="O1687" i="3"/>
  <c r="P1061" i="3"/>
  <c r="O1061" i="3"/>
  <c r="P1056" i="3"/>
  <c r="O1056" i="3"/>
  <c r="P1054" i="3"/>
  <c r="O1054" i="3"/>
  <c r="P1052" i="3"/>
  <c r="O1052" i="3"/>
  <c r="P2417" i="3"/>
  <c r="O2417" i="3"/>
  <c r="P2415" i="3"/>
  <c r="O2415" i="3"/>
  <c r="P2150" i="3"/>
  <c r="O2150" i="3"/>
  <c r="P2154" i="3"/>
  <c r="O2154" i="3"/>
  <c r="P1690" i="3"/>
  <c r="O1690" i="3"/>
  <c r="P1248" i="3"/>
  <c r="O1248" i="3"/>
  <c r="P1692" i="3"/>
  <c r="O1692" i="3"/>
  <c r="P1691" i="3"/>
  <c r="O1691" i="3"/>
  <c r="P515" i="3"/>
  <c r="O515" i="3"/>
  <c r="P1919" i="3"/>
  <c r="O1919" i="3"/>
  <c r="P1920" i="3"/>
  <c r="O1920" i="3"/>
  <c r="P134" i="3"/>
  <c r="O134" i="3"/>
  <c r="P1915" i="3"/>
  <c r="O1915" i="3"/>
  <c r="P133" i="3"/>
  <c r="O133" i="3"/>
  <c r="P1909" i="3"/>
  <c r="O1909" i="3"/>
  <c r="P132" i="3"/>
  <c r="O132" i="3"/>
  <c r="P1908" i="3"/>
  <c r="O1908" i="3"/>
  <c r="P131" i="3"/>
  <c r="O131" i="3"/>
  <c r="P1911" i="3"/>
  <c r="O1911" i="3"/>
  <c r="P1918" i="3"/>
  <c r="O1918" i="3"/>
  <c r="P1912" i="3"/>
  <c r="O1912" i="3"/>
  <c r="P1907" i="3"/>
  <c r="O1907" i="3"/>
  <c r="P1914" i="3"/>
  <c r="O1914" i="3"/>
  <c r="P1913" i="3"/>
  <c r="O1913" i="3"/>
  <c r="P1910" i="3"/>
  <c r="O1910" i="3"/>
  <c r="P2497" i="3"/>
  <c r="O2497" i="3"/>
  <c r="P821" i="3"/>
  <c r="O821" i="3"/>
  <c r="P1027" i="3"/>
  <c r="O1027" i="3"/>
  <c r="P2037" i="3"/>
  <c r="O2037" i="3"/>
  <c r="P2504" i="3"/>
  <c r="O2504" i="3"/>
  <c r="P1954" i="3"/>
  <c r="O1954" i="3"/>
  <c r="P2049" i="3"/>
  <c r="O2049" i="3"/>
  <c r="P1955" i="3"/>
  <c r="O1955" i="3"/>
  <c r="P2038" i="3"/>
  <c r="O2038" i="3"/>
  <c r="P1957" i="3"/>
  <c r="O1957" i="3"/>
  <c r="P1958" i="3"/>
  <c r="O1958" i="3"/>
  <c r="P2048" i="3"/>
  <c r="O2048" i="3"/>
  <c r="P1956" i="3"/>
  <c r="O1956" i="3"/>
  <c r="P1959" i="3"/>
  <c r="O1959" i="3"/>
  <c r="P1985" i="3"/>
  <c r="O1985" i="3"/>
  <c r="P1986" i="3"/>
  <c r="O1986" i="3"/>
  <c r="P1075" i="3"/>
  <c r="O1075" i="3"/>
  <c r="P135" i="3"/>
  <c r="O135" i="3"/>
  <c r="P1007" i="3"/>
  <c r="O1007" i="3"/>
  <c r="P2531" i="3"/>
  <c r="O2531" i="3"/>
  <c r="P1186" i="3"/>
  <c r="O1186" i="3"/>
  <c r="P2501" i="3"/>
  <c r="O2501" i="3"/>
  <c r="P273" i="3"/>
  <c r="O273" i="3"/>
  <c r="P2039" i="3"/>
  <c r="O2039" i="3"/>
  <c r="P2040" i="3"/>
  <c r="O2040" i="3"/>
  <c r="P2042" i="3"/>
  <c r="O2042" i="3"/>
  <c r="P2044" i="3"/>
  <c r="O2044" i="3"/>
  <c r="P2043" i="3"/>
  <c r="O2043" i="3"/>
  <c r="P2041" i="3"/>
  <c r="O2041" i="3"/>
  <c r="P2532" i="3"/>
  <c r="O2532" i="3"/>
  <c r="P1761" i="3"/>
  <c r="O1761" i="3"/>
  <c r="P2526" i="3"/>
  <c r="O2526" i="3"/>
  <c r="P1008" i="3"/>
  <c r="O1008" i="3"/>
  <c r="P98" i="3"/>
  <c r="O98" i="3"/>
  <c r="P99" i="3"/>
  <c r="O99" i="3"/>
  <c r="P2036" i="3"/>
  <c r="O2036" i="3"/>
  <c r="P1727" i="3"/>
  <c r="O1727" i="3"/>
  <c r="P1147" i="3"/>
  <c r="O1147" i="3"/>
  <c r="P1477" i="3"/>
  <c r="O1477" i="3"/>
  <c r="P1661" i="3"/>
  <c r="O1661" i="3"/>
  <c r="P1662" i="3"/>
  <c r="O1662" i="3"/>
  <c r="P1660" i="3"/>
  <c r="O1660" i="3"/>
  <c r="P909" i="3"/>
  <c r="O909" i="3"/>
  <c r="P2447" i="3"/>
  <c r="O2447" i="3"/>
  <c r="P2446" i="3"/>
  <c r="O2446" i="3"/>
  <c r="P809" i="3"/>
  <c r="O809" i="3"/>
  <c r="P711" i="3"/>
  <c r="O711" i="3"/>
  <c r="P2445" i="3"/>
  <c r="O2445" i="3"/>
  <c r="P1469" i="3"/>
  <c r="O1469" i="3"/>
  <c r="P2252" i="3"/>
  <c r="O2252" i="3"/>
  <c r="P1071" i="3"/>
  <c r="O1071" i="3"/>
  <c r="P1073" i="3"/>
  <c r="O1073" i="3"/>
  <c r="P1074" i="3"/>
  <c r="O1074" i="3"/>
  <c r="P1072" i="3"/>
  <c r="O1072" i="3"/>
  <c r="P1070" i="3"/>
  <c r="O1070" i="3"/>
  <c r="P2443" i="3"/>
  <c r="O2443" i="3"/>
  <c r="P1087" i="3"/>
  <c r="O1087" i="3"/>
  <c r="P1029" i="3"/>
  <c r="O1029" i="3"/>
  <c r="P2444" i="3"/>
  <c r="O2444" i="3"/>
  <c r="P1088" i="3"/>
  <c r="O1088" i="3"/>
  <c r="P1476" i="3"/>
  <c r="O1476" i="3"/>
  <c r="P1686" i="3"/>
  <c r="O1686" i="3"/>
  <c r="P810" i="3"/>
  <c r="O810" i="3"/>
  <c r="P1210" i="3"/>
  <c r="O1210" i="3"/>
  <c r="P902" i="3"/>
  <c r="O902" i="3"/>
  <c r="P820" i="3"/>
  <c r="O820" i="3"/>
  <c r="P2421" i="3"/>
  <c r="O2421" i="3"/>
  <c r="P1200" i="3"/>
  <c r="O1200" i="3"/>
  <c r="P1400" i="3"/>
  <c r="O1400" i="3"/>
  <c r="P1192" i="3"/>
  <c r="O1192" i="3"/>
  <c r="P1401" i="3"/>
  <c r="O1401" i="3"/>
  <c r="P541" i="3"/>
  <c r="O541" i="3"/>
  <c r="P2423" i="3"/>
  <c r="O2423" i="3"/>
  <c r="P235" i="3"/>
  <c r="O235" i="3"/>
  <c r="P540" i="3"/>
  <c r="O540" i="3"/>
  <c r="P1559" i="3"/>
  <c r="O1559" i="3"/>
  <c r="P1402" i="3"/>
  <c r="O1402" i="3"/>
  <c r="P1947" i="3"/>
  <c r="O1947" i="3"/>
  <c r="P1399" i="3"/>
  <c r="O1399" i="3"/>
  <c r="P2511" i="3"/>
  <c r="O2511" i="3"/>
  <c r="P2422" i="3"/>
  <c r="O2422" i="3"/>
  <c r="P2420" i="3"/>
  <c r="O2420" i="3"/>
  <c r="P2508" i="3"/>
  <c r="O2508" i="3"/>
  <c r="P1398" i="3"/>
  <c r="O1398" i="3"/>
  <c r="P675" i="3"/>
  <c r="O675" i="3"/>
  <c r="P1046" i="3"/>
  <c r="O1046" i="3"/>
  <c r="P2507" i="3"/>
  <c r="O2507" i="3"/>
  <c r="P1045" i="3"/>
  <c r="O1045" i="3"/>
  <c r="P566" i="3"/>
  <c r="O566" i="3"/>
  <c r="P2512" i="3"/>
  <c r="O2512" i="3"/>
  <c r="P151" i="3"/>
  <c r="O151" i="3"/>
  <c r="P1321" i="3"/>
  <c r="O1321" i="3"/>
  <c r="P2509" i="3"/>
  <c r="O2509" i="3"/>
  <c r="P726" i="3"/>
  <c r="O726" i="3"/>
  <c r="P2510" i="3"/>
  <c r="O2510" i="3"/>
  <c r="P1951" i="3"/>
  <c r="O1951" i="3"/>
  <c r="P16" i="3"/>
  <c r="O16" i="3"/>
  <c r="P15" i="3"/>
  <c r="O15" i="3"/>
  <c r="P1921" i="3"/>
  <c r="O1921" i="3"/>
  <c r="P2371" i="3"/>
  <c r="O2371" i="3"/>
  <c r="P1272" i="3"/>
  <c r="O1272" i="3"/>
  <c r="P2387" i="3"/>
  <c r="O2387" i="3"/>
  <c r="P658" i="3"/>
  <c r="O658" i="3"/>
  <c r="P2146" i="3"/>
  <c r="O2146" i="3"/>
  <c r="P651" i="3"/>
  <c r="O651" i="3"/>
  <c r="P2149" i="3"/>
  <c r="O2149" i="3"/>
  <c r="P649" i="3"/>
  <c r="O649" i="3"/>
  <c r="P2147" i="3"/>
  <c r="O2147" i="3"/>
  <c r="P1819" i="3"/>
  <c r="O1819" i="3"/>
  <c r="P1818" i="3"/>
  <c r="O1818" i="3"/>
  <c r="P1820" i="3"/>
  <c r="O1820" i="3"/>
  <c r="P1816" i="3"/>
  <c r="O1816" i="3"/>
  <c r="P1817" i="3"/>
  <c r="O1817" i="3"/>
  <c r="P739" i="3"/>
  <c r="O739" i="3"/>
  <c r="P227" i="3"/>
  <c r="O227" i="3"/>
  <c r="P2359" i="3"/>
  <c r="O2359" i="3"/>
  <c r="P650" i="3"/>
  <c r="O650" i="3"/>
  <c r="P2144" i="3"/>
  <c r="O2144" i="3"/>
  <c r="P2145" i="3"/>
  <c r="O2145" i="3"/>
  <c r="P2148" i="3"/>
  <c r="O2148" i="3"/>
  <c r="P652" i="3"/>
  <c r="O652" i="3"/>
  <c r="P1039" i="3"/>
  <c r="O1039" i="3"/>
  <c r="P2528" i="3"/>
  <c r="O2528" i="3"/>
  <c r="P2498" i="3"/>
  <c r="O2498" i="3"/>
  <c r="P417" i="3"/>
  <c r="O417" i="3"/>
  <c r="P2360" i="3"/>
  <c r="O2360" i="3"/>
  <c r="P2376" i="3"/>
  <c r="O2376" i="3"/>
  <c r="P419" i="3"/>
  <c r="O419" i="3"/>
  <c r="P2377" i="3"/>
  <c r="O2377" i="3"/>
  <c r="P418" i="3"/>
  <c r="O418" i="3"/>
  <c r="P2441" i="3"/>
  <c r="O2441" i="3"/>
  <c r="P41" i="3"/>
  <c r="O41" i="3"/>
  <c r="P555" i="3"/>
  <c r="O555" i="3"/>
  <c r="P2442" i="3"/>
  <c r="O2442" i="3"/>
  <c r="P1203" i="3"/>
  <c r="O1203" i="3"/>
  <c r="P1204" i="3"/>
  <c r="O1204" i="3"/>
  <c r="P554" i="3"/>
  <c r="O554" i="3"/>
  <c r="P1152" i="3"/>
  <c r="O1152" i="3"/>
  <c r="P234" i="3"/>
  <c r="O234" i="3"/>
  <c r="P1150" i="3"/>
  <c r="O1150" i="3"/>
  <c r="P231" i="3"/>
  <c r="O231" i="3"/>
  <c r="P1091" i="3"/>
  <c r="O1091" i="3"/>
  <c r="P1341" i="3"/>
  <c r="O1341" i="3"/>
  <c r="P2428" i="3"/>
  <c r="O2428" i="3"/>
  <c r="P1541" i="3"/>
  <c r="O1541" i="3"/>
  <c r="P1506" i="3"/>
  <c r="O1506" i="3"/>
  <c r="P206" i="3"/>
  <c r="O206" i="3"/>
  <c r="P1195" i="3"/>
  <c r="O1195" i="3"/>
  <c r="P1507" i="3"/>
  <c r="O1507" i="3"/>
  <c r="P975" i="3"/>
  <c r="O975" i="3"/>
  <c r="P674" i="3"/>
  <c r="O674" i="3"/>
  <c r="P226" i="3"/>
  <c r="O226" i="3"/>
  <c r="P1159" i="3"/>
  <c r="O1159" i="3"/>
  <c r="P1413" i="3"/>
  <c r="O1413" i="3"/>
  <c r="P1410" i="3"/>
  <c r="O1410" i="3"/>
  <c r="P1438" i="3"/>
  <c r="O1438" i="3"/>
  <c r="P2032" i="3"/>
  <c r="O2032" i="3"/>
  <c r="P1922" i="3"/>
  <c r="O1922" i="3"/>
  <c r="P1540" i="3"/>
  <c r="O1540" i="3"/>
  <c r="P1322" i="3"/>
  <c r="O1322" i="3"/>
  <c r="P1772" i="3"/>
  <c r="O1772" i="3"/>
  <c r="P1324" i="3"/>
  <c r="O1324" i="3"/>
  <c r="P1334" i="3"/>
  <c r="O1334" i="3"/>
  <c r="P927" i="3"/>
  <c r="O927" i="3"/>
  <c r="P144" i="3"/>
  <c r="O144" i="3"/>
  <c r="P1326" i="3"/>
  <c r="O1326" i="3"/>
  <c r="P1333" i="3"/>
  <c r="O1333" i="3"/>
  <c r="P1327" i="3"/>
  <c r="O1327" i="3"/>
  <c r="P1332" i="3"/>
  <c r="O1332" i="3"/>
  <c r="P1329" i="3"/>
  <c r="O1329" i="3"/>
  <c r="P1325" i="3"/>
  <c r="O1325" i="3"/>
  <c r="P1328" i="3"/>
  <c r="O1328" i="3"/>
  <c r="P1331" i="3"/>
  <c r="O1331" i="3"/>
  <c r="P2152" i="3"/>
  <c r="O2152" i="3"/>
  <c r="P1330" i="3"/>
  <c r="O1330" i="3"/>
  <c r="P917" i="3"/>
  <c r="O917" i="3"/>
  <c r="P964" i="3"/>
  <c r="O964" i="3"/>
  <c r="P1335" i="3"/>
  <c r="O1335" i="3"/>
  <c r="P963" i="3"/>
  <c r="O963" i="3"/>
  <c r="P965" i="3"/>
  <c r="O965" i="3"/>
  <c r="P558" i="3"/>
  <c r="O558" i="3"/>
  <c r="P538" i="3"/>
  <c r="O538" i="3"/>
  <c r="P556" i="3"/>
  <c r="O556" i="3"/>
  <c r="P222" i="3"/>
  <c r="O222" i="3"/>
  <c r="P910" i="3"/>
  <c r="O910" i="3"/>
  <c r="P557" i="3"/>
  <c r="O557" i="3"/>
  <c r="P223" i="3"/>
  <c r="O223" i="3"/>
  <c r="P537" i="3"/>
  <c r="O537" i="3"/>
  <c r="P2046" i="3"/>
  <c r="O2046" i="3"/>
  <c r="P2034" i="3"/>
  <c r="O2034" i="3"/>
  <c r="P2035" i="3"/>
  <c r="O2035" i="3"/>
  <c r="P2047" i="3"/>
  <c r="O2047" i="3"/>
  <c r="P1468" i="3"/>
  <c r="O1468" i="3"/>
  <c r="P2529" i="3"/>
  <c r="O2529" i="3"/>
  <c r="P225" i="3"/>
  <c r="O225" i="3"/>
  <c r="P1198" i="3"/>
  <c r="O1198" i="3"/>
  <c r="P1466" i="3"/>
  <c r="O1466" i="3"/>
  <c r="P1423" i="3"/>
  <c r="O1423" i="3"/>
  <c r="P2325" i="3"/>
  <c r="O2325" i="3"/>
  <c r="P2135" i="3"/>
  <c r="O2135" i="3"/>
  <c r="P2253" i="3"/>
  <c r="O2253" i="3"/>
  <c r="P517" i="3"/>
  <c r="O517" i="3"/>
  <c r="P897" i="3"/>
  <c r="O897" i="3"/>
  <c r="P518" i="3"/>
  <c r="O518" i="3"/>
  <c r="P746" i="3"/>
  <c r="O746" i="3"/>
  <c r="P901" i="3"/>
  <c r="O901" i="3"/>
  <c r="P896" i="3"/>
  <c r="O896" i="3"/>
  <c r="P1268" i="3"/>
  <c r="O1268" i="3"/>
  <c r="P516" i="3"/>
  <c r="O516" i="3"/>
  <c r="P1100" i="3"/>
  <c r="O1100" i="3"/>
  <c r="P459" i="3"/>
  <c r="O459" i="3"/>
  <c r="P1101" i="3"/>
  <c r="O1101" i="3"/>
  <c r="P458" i="3"/>
  <c r="O458" i="3"/>
  <c r="P1273" i="3"/>
  <c r="O1273" i="3"/>
  <c r="P1596" i="3"/>
  <c r="O1596" i="3"/>
  <c r="P1467" i="3"/>
  <c r="O1467" i="3"/>
  <c r="P1269" i="3"/>
  <c r="O1269" i="3"/>
  <c r="P224" i="3"/>
  <c r="O224" i="3"/>
  <c r="P1270" i="3"/>
  <c r="O1270" i="3"/>
  <c r="P2192" i="3"/>
  <c r="O2192" i="3"/>
  <c r="P2191" i="3"/>
  <c r="O2191" i="3"/>
  <c r="P1480" i="3"/>
  <c r="O1480" i="3"/>
  <c r="P1231" i="3"/>
  <c r="O1231" i="3"/>
  <c r="P1069" i="3"/>
  <c r="O1069" i="3"/>
  <c r="P1479" i="3"/>
  <c r="O1479" i="3"/>
  <c r="P1478" i="3"/>
  <c r="O1478" i="3"/>
  <c r="P1229" i="3"/>
  <c r="O1229" i="3"/>
  <c r="P1230" i="3"/>
  <c r="O1230" i="3"/>
  <c r="P2530" i="3"/>
  <c r="O2530" i="3"/>
  <c r="P2095" i="3"/>
  <c r="O2095" i="3"/>
  <c r="P1271" i="3"/>
  <c r="O1271" i="3"/>
  <c r="P2094" i="3"/>
  <c r="O2094" i="3"/>
  <c r="P2093" i="3"/>
  <c r="O2093" i="3"/>
  <c r="P1157" i="3"/>
  <c r="O1157" i="3"/>
  <c r="P1153" i="3"/>
  <c r="O1153" i="3"/>
  <c r="P1156" i="3"/>
  <c r="O1156" i="3"/>
  <c r="P1155" i="3"/>
  <c r="O1155" i="3"/>
  <c r="P1154" i="3"/>
  <c r="O1154" i="3"/>
  <c r="P1158" i="3"/>
  <c r="O1158" i="3"/>
  <c r="P531" i="3"/>
  <c r="O531" i="3"/>
  <c r="P533" i="3"/>
  <c r="O533" i="3"/>
  <c r="P536" i="3"/>
  <c r="O536" i="3"/>
  <c r="P534" i="3"/>
  <c r="O534" i="3"/>
  <c r="P535" i="3"/>
  <c r="O535" i="3"/>
  <c r="P532" i="3"/>
  <c r="O532" i="3"/>
  <c r="P530" i="3"/>
  <c r="O530" i="3"/>
  <c r="P684" i="3"/>
  <c r="O684" i="3"/>
  <c r="P683" i="3"/>
  <c r="O683" i="3"/>
  <c r="P682" i="3"/>
  <c r="O682" i="3"/>
  <c r="P1277" i="3"/>
  <c r="O1277" i="3"/>
  <c r="P1278" i="3"/>
  <c r="O1278" i="3"/>
  <c r="P1279" i="3"/>
  <c r="O1279" i="3"/>
  <c r="P1280" i="3"/>
  <c r="O1280" i="3"/>
  <c r="P1281" i="3"/>
  <c r="O1281" i="3"/>
  <c r="P1282" i="3"/>
  <c r="O1282" i="3"/>
  <c r="P1275" i="3"/>
  <c r="O1275" i="3"/>
  <c r="P1274" i="3"/>
  <c r="O1274" i="3"/>
  <c r="P1276" i="3"/>
  <c r="O1276" i="3"/>
  <c r="P607" i="3"/>
  <c r="O607" i="3"/>
  <c r="P601" i="3"/>
  <c r="O601" i="3"/>
  <c r="P605" i="3"/>
  <c r="O605" i="3"/>
  <c r="P600" i="3"/>
  <c r="O600" i="3"/>
  <c r="P604" i="3"/>
  <c r="O604" i="3"/>
  <c r="P603" i="3"/>
  <c r="O603" i="3"/>
  <c r="P602" i="3"/>
  <c r="O602" i="3"/>
  <c r="P573" i="3"/>
  <c r="O573" i="3"/>
  <c r="P606" i="3"/>
  <c r="O606" i="3"/>
  <c r="P587" i="3"/>
  <c r="O587" i="3"/>
  <c r="P588" i="3"/>
  <c r="O588" i="3"/>
  <c r="P594" i="3"/>
  <c r="O594" i="3"/>
  <c r="P593" i="3"/>
  <c r="O593" i="3"/>
  <c r="P572" i="3"/>
  <c r="O572" i="3"/>
  <c r="P596" i="3"/>
  <c r="O596" i="3"/>
  <c r="P599" i="3"/>
  <c r="O599" i="3"/>
  <c r="P597" i="3"/>
  <c r="O597" i="3"/>
  <c r="P598" i="3"/>
  <c r="O598" i="3"/>
  <c r="P590" i="3"/>
  <c r="O590" i="3"/>
  <c r="P589" i="3"/>
  <c r="O589" i="3"/>
  <c r="P591" i="3"/>
  <c r="O591" i="3"/>
  <c r="P592" i="3"/>
  <c r="O592" i="3"/>
  <c r="P586" i="3"/>
  <c r="O586" i="3"/>
  <c r="P584" i="3"/>
  <c r="O584" i="3"/>
  <c r="P585" i="3"/>
  <c r="O585" i="3"/>
  <c r="P583" i="3"/>
  <c r="O583" i="3"/>
  <c r="P581" i="3"/>
  <c r="O581" i="3"/>
  <c r="P580" i="3"/>
  <c r="O580" i="3"/>
  <c r="P579" i="3"/>
  <c r="O579" i="3"/>
  <c r="P582" i="3"/>
  <c r="O582" i="3"/>
  <c r="P575" i="3"/>
  <c r="O575" i="3"/>
  <c r="P574" i="3"/>
  <c r="O574" i="3"/>
  <c r="P595" i="3"/>
  <c r="O595" i="3"/>
  <c r="P578" i="3"/>
  <c r="O578" i="3"/>
  <c r="P577" i="3"/>
  <c r="O577" i="3"/>
  <c r="P576" i="3"/>
  <c r="O576" i="3"/>
  <c r="P1786" i="3"/>
  <c r="O1786" i="3"/>
  <c r="P718" i="3"/>
  <c r="O718" i="3"/>
  <c r="P719" i="3"/>
  <c r="O719" i="3"/>
  <c r="P721" i="3"/>
  <c r="O721" i="3"/>
  <c r="P720" i="3"/>
  <c r="O720" i="3"/>
  <c r="P690" i="3"/>
  <c r="O690" i="3"/>
  <c r="P686" i="3"/>
  <c r="O686" i="3"/>
  <c r="P689" i="3"/>
  <c r="O689" i="3"/>
  <c r="P687" i="3"/>
  <c r="O687" i="3"/>
  <c r="P694" i="3"/>
  <c r="O694" i="3"/>
  <c r="P685" i="3"/>
  <c r="O685" i="3"/>
  <c r="P688" i="3"/>
  <c r="O688" i="3"/>
  <c r="P691" i="3"/>
  <c r="O691" i="3"/>
  <c r="P692" i="3"/>
  <c r="O692" i="3"/>
  <c r="P693" i="3"/>
  <c r="O693" i="3"/>
  <c r="P695" i="3"/>
  <c r="O695" i="3"/>
  <c r="P2240" i="3"/>
  <c r="O2240" i="3"/>
  <c r="P2241" i="3"/>
  <c r="O2241" i="3"/>
  <c r="P2242" i="3"/>
  <c r="O2242" i="3"/>
  <c r="P2243" i="3"/>
  <c r="O2243" i="3"/>
  <c r="P2245" i="3"/>
  <c r="O2245" i="3"/>
  <c r="P2244" i="3"/>
  <c r="O2244" i="3"/>
  <c r="P2236" i="3"/>
  <c r="O2236" i="3"/>
  <c r="P2235" i="3"/>
  <c r="O2235" i="3"/>
  <c r="P2238" i="3"/>
  <c r="O2238" i="3"/>
  <c r="P2237" i="3"/>
  <c r="O2237" i="3"/>
  <c r="P2234" i="3"/>
  <c r="O2234" i="3"/>
  <c r="P2229" i="3"/>
  <c r="O2229" i="3"/>
  <c r="P2230" i="3"/>
  <c r="O2230" i="3"/>
  <c r="P2201" i="3"/>
  <c r="O2201" i="3"/>
  <c r="P2196" i="3"/>
  <c r="O2196" i="3"/>
  <c r="P2232" i="3"/>
  <c r="O2232" i="3"/>
  <c r="P2231" i="3"/>
  <c r="O2231" i="3"/>
  <c r="P2228" i="3"/>
  <c r="O2228" i="3"/>
  <c r="P2227" i="3"/>
  <c r="O2227" i="3"/>
  <c r="P2226" i="3"/>
  <c r="O2226" i="3"/>
  <c r="P2225" i="3"/>
  <c r="O2225" i="3"/>
  <c r="P2224" i="3"/>
  <c r="O2224" i="3"/>
  <c r="P2223" i="3"/>
  <c r="O2223" i="3"/>
  <c r="P2222" i="3"/>
  <c r="O2222" i="3"/>
  <c r="P2220" i="3"/>
  <c r="O2220" i="3"/>
  <c r="P2219" i="3"/>
  <c r="O2219" i="3"/>
  <c r="P2218" i="3"/>
  <c r="O2218" i="3"/>
  <c r="P2217" i="3"/>
  <c r="O2217" i="3"/>
  <c r="P2216" i="3"/>
  <c r="O2216" i="3"/>
  <c r="P2215" i="3"/>
  <c r="O2215" i="3"/>
  <c r="P2214" i="3"/>
  <c r="O2214" i="3"/>
  <c r="P2213" i="3"/>
  <c r="O2213" i="3"/>
  <c r="P2212" i="3"/>
  <c r="O2212" i="3"/>
  <c r="P2211" i="3"/>
  <c r="O2211" i="3"/>
  <c r="P2210" i="3"/>
  <c r="O2210" i="3"/>
  <c r="P2209" i="3"/>
  <c r="O2209" i="3"/>
  <c r="P2208" i="3"/>
  <c r="O2208" i="3"/>
  <c r="P2207" i="3"/>
  <c r="O2207" i="3"/>
  <c r="P2206" i="3"/>
  <c r="O2206" i="3"/>
  <c r="P2205" i="3"/>
  <c r="O2205" i="3"/>
  <c r="P2204" i="3"/>
  <c r="O2204" i="3"/>
  <c r="P2203" i="3"/>
  <c r="O2203" i="3"/>
  <c r="P2202" i="3"/>
  <c r="O2202" i="3"/>
  <c r="P2200" i="3"/>
  <c r="O2200" i="3"/>
  <c r="P2199" i="3"/>
  <c r="O2199" i="3"/>
  <c r="P2198" i="3"/>
  <c r="O2198" i="3"/>
  <c r="P2197" i="3"/>
  <c r="O2197" i="3"/>
  <c r="P2195" i="3"/>
  <c r="O2195" i="3"/>
  <c r="P2194" i="3"/>
  <c r="O2194" i="3"/>
  <c r="P2193" i="3"/>
  <c r="O2193" i="3"/>
  <c r="P2221" i="3"/>
  <c r="O2221" i="3"/>
  <c r="P2363" i="3"/>
  <c r="O2363" i="3"/>
  <c r="P2361" i="3"/>
  <c r="O2361" i="3"/>
  <c r="P2362" i="3"/>
  <c r="O2362" i="3"/>
  <c r="P1556" i="3"/>
  <c r="O1556" i="3"/>
  <c r="P1554" i="3"/>
  <c r="O1554" i="3"/>
  <c r="P1555" i="3"/>
  <c r="O1555" i="3"/>
  <c r="P2424" i="3"/>
  <c r="O2424" i="3"/>
  <c r="P2425" i="3"/>
  <c r="O2425" i="3"/>
  <c r="P2160" i="3"/>
  <c r="O2160" i="3"/>
  <c r="P2158" i="3"/>
  <c r="O2158" i="3"/>
  <c r="P2161" i="3"/>
  <c r="O2161" i="3"/>
  <c r="P2159" i="3"/>
  <c r="O2159" i="3"/>
  <c r="P1650" i="3"/>
  <c r="O1650" i="3"/>
  <c r="P1649" i="3"/>
  <c r="O1649" i="3"/>
  <c r="P1651" i="3"/>
  <c r="O1651" i="3"/>
  <c r="P1653" i="3"/>
  <c r="O1653" i="3"/>
  <c r="P1652" i="3"/>
  <c r="O1652" i="3"/>
  <c r="P1654" i="3"/>
  <c r="O1654" i="3"/>
  <c r="P1546" i="3"/>
  <c r="O1546" i="3"/>
  <c r="P1551" i="3"/>
  <c r="O1551" i="3"/>
  <c r="P1553" i="3"/>
  <c r="O1553" i="3"/>
  <c r="P1550" i="3"/>
  <c r="O1550" i="3"/>
  <c r="P1552" i="3"/>
  <c r="O1552" i="3"/>
  <c r="P1549" i="3"/>
  <c r="O1549" i="3"/>
  <c r="P1548" i="3"/>
  <c r="O1548" i="3"/>
  <c r="P1547" i="3"/>
  <c r="O1547" i="3"/>
  <c r="P1515" i="3"/>
  <c r="O1515" i="3"/>
  <c r="P1514" i="3"/>
  <c r="O1514" i="3"/>
  <c r="P1516" i="3"/>
  <c r="O1516" i="3"/>
  <c r="P1500" i="3"/>
  <c r="O1500" i="3"/>
  <c r="P1385" i="3"/>
  <c r="O1385" i="3"/>
  <c r="P1386" i="3"/>
  <c r="O1386" i="3"/>
  <c r="P1384" i="3"/>
  <c r="O1384" i="3"/>
  <c r="P1388" i="3"/>
  <c r="O1388" i="3"/>
  <c r="P1379" i="3"/>
  <c r="O1379" i="3"/>
  <c r="P1381" i="3"/>
  <c r="O1381" i="3"/>
  <c r="P1390" i="3"/>
  <c r="O1390" i="3"/>
  <c r="P1389" i="3"/>
  <c r="O1389" i="3"/>
  <c r="P1380" i="3"/>
  <c r="O1380" i="3"/>
  <c r="P1378" i="3"/>
  <c r="O1378" i="3"/>
  <c r="P1387" i="3"/>
  <c r="O1387" i="3"/>
  <c r="P1383" i="3"/>
  <c r="O1383" i="3"/>
  <c r="P1382" i="3"/>
  <c r="O1382" i="3"/>
  <c r="P1299" i="3"/>
  <c r="O1299" i="3"/>
  <c r="P1300" i="3"/>
  <c r="O1300" i="3"/>
  <c r="P1298" i="3"/>
  <c r="O1298" i="3"/>
  <c r="P1296" i="3"/>
  <c r="O1296" i="3"/>
  <c r="P1297" i="3"/>
  <c r="O1297" i="3"/>
  <c r="P1012" i="3"/>
  <c r="O1012" i="3"/>
  <c r="P996" i="3"/>
  <c r="O996" i="3"/>
  <c r="P994" i="3"/>
  <c r="O994" i="3"/>
  <c r="P993" i="3"/>
  <c r="O993" i="3"/>
  <c r="P992" i="3"/>
  <c r="O992" i="3"/>
  <c r="P999" i="3"/>
  <c r="O999" i="3"/>
  <c r="P997" i="3"/>
  <c r="O997" i="3"/>
  <c r="P995" i="3"/>
  <c r="O995" i="3"/>
  <c r="P998" i="3"/>
  <c r="O998" i="3"/>
  <c r="P1294" i="3"/>
  <c r="O1294" i="3"/>
  <c r="P2332" i="3"/>
  <c r="O2332" i="3"/>
  <c r="P2331" i="3"/>
  <c r="O2331" i="3"/>
  <c r="P2330" i="3"/>
  <c r="O2330" i="3"/>
  <c r="P2329" i="3"/>
  <c r="O2329" i="3"/>
  <c r="P2122" i="3"/>
  <c r="O2122" i="3"/>
  <c r="P2125" i="3"/>
  <c r="O2125" i="3"/>
  <c r="P2127" i="3"/>
  <c r="O2127" i="3"/>
  <c r="P2121" i="3"/>
  <c r="O2121" i="3"/>
  <c r="P2131" i="3"/>
  <c r="O2131" i="3"/>
  <c r="P2118" i="3"/>
  <c r="O2118" i="3"/>
  <c r="P2132" i="3"/>
  <c r="O2132" i="3"/>
  <c r="P2128" i="3"/>
  <c r="O2128" i="3"/>
  <c r="P2119" i="3"/>
  <c r="O2119" i="3"/>
  <c r="P2126" i="3"/>
  <c r="O2126" i="3"/>
  <c r="P2129" i="3"/>
  <c r="O2129" i="3"/>
  <c r="P2133" i="3"/>
  <c r="O2133" i="3"/>
  <c r="P2124" i="3"/>
  <c r="O2124" i="3"/>
  <c r="P2123" i="3"/>
  <c r="O2123" i="3"/>
  <c r="P2120" i="3"/>
  <c r="O2120" i="3"/>
  <c r="P2130" i="3"/>
  <c r="O2130" i="3"/>
  <c r="P1742" i="3"/>
  <c r="O1742" i="3"/>
  <c r="P1758" i="3"/>
  <c r="O1758" i="3"/>
  <c r="P1757" i="3"/>
  <c r="O1757" i="3"/>
  <c r="P1756" i="3"/>
  <c r="O1756" i="3"/>
  <c r="P1755" i="3"/>
  <c r="O1755" i="3"/>
  <c r="P1754" i="3"/>
  <c r="O1754" i="3"/>
  <c r="P1753" i="3"/>
  <c r="O1753" i="3"/>
  <c r="P1752" i="3"/>
  <c r="O1752" i="3"/>
  <c r="P1751" i="3"/>
  <c r="O1751" i="3"/>
  <c r="P1750" i="3"/>
  <c r="O1750" i="3"/>
  <c r="P1749" i="3"/>
  <c r="O1749" i="3"/>
  <c r="P1748" i="3"/>
  <c r="O1748" i="3"/>
  <c r="P1747" i="3"/>
  <c r="O1747" i="3"/>
  <c r="P1746" i="3"/>
  <c r="O1746" i="3"/>
  <c r="P1745" i="3"/>
  <c r="O1745" i="3"/>
  <c r="P1744" i="3"/>
  <c r="O1744" i="3"/>
  <c r="P1743" i="3"/>
  <c r="O1743" i="3"/>
  <c r="P977" i="3"/>
  <c r="O977" i="3"/>
  <c r="P976" i="3"/>
  <c r="O976" i="3"/>
  <c r="P1533" i="3"/>
  <c r="O1533" i="3"/>
  <c r="P1539" i="3"/>
  <c r="O1539" i="3"/>
  <c r="P1525" i="3"/>
  <c r="O1525" i="3"/>
  <c r="P1538" i="3"/>
  <c r="O1538" i="3"/>
  <c r="P1523" i="3"/>
  <c r="O1523" i="3"/>
  <c r="P1524" i="3"/>
  <c r="O1524" i="3"/>
  <c r="P1537" i="3"/>
  <c r="O1537" i="3"/>
  <c r="P1535" i="3"/>
  <c r="O1535" i="3"/>
  <c r="P1536" i="3"/>
  <c r="O1536" i="3"/>
  <c r="P1527" i="3"/>
  <c r="O1527" i="3"/>
  <c r="P1529" i="3"/>
  <c r="O1529" i="3"/>
  <c r="P1528" i="3"/>
  <c r="O1528" i="3"/>
  <c r="P1526" i="3"/>
  <c r="O1526" i="3"/>
  <c r="P1534" i="3"/>
  <c r="O1534" i="3"/>
  <c r="P1530" i="3"/>
  <c r="O1530" i="3"/>
  <c r="P1531" i="3"/>
  <c r="O1531" i="3"/>
  <c r="P1532" i="3"/>
  <c r="O1532" i="3"/>
  <c r="P2398" i="3"/>
  <c r="O2398" i="3"/>
  <c r="P2399" i="3"/>
  <c r="O2399" i="3"/>
  <c r="P2400" i="3"/>
  <c r="O2400" i="3"/>
  <c r="P2401" i="3"/>
  <c r="O2401" i="3"/>
  <c r="P2067" i="3"/>
  <c r="O2067" i="3"/>
  <c r="P2066" i="3"/>
  <c r="O2066" i="3"/>
  <c r="P2070" i="3"/>
  <c r="O2070" i="3"/>
  <c r="P2069" i="3"/>
  <c r="O2069" i="3"/>
  <c r="P2068" i="3"/>
  <c r="O2068" i="3"/>
  <c r="P2073" i="3"/>
  <c r="O2073" i="3"/>
  <c r="P2071" i="3"/>
  <c r="O2071" i="3"/>
  <c r="P2072" i="3"/>
  <c r="O2072" i="3"/>
  <c r="P2061" i="3"/>
  <c r="O2061" i="3"/>
  <c r="P2062" i="3"/>
  <c r="O2062" i="3"/>
  <c r="P2064" i="3"/>
  <c r="O2064" i="3"/>
  <c r="P2063" i="3"/>
  <c r="O2063" i="3"/>
  <c r="P2065" i="3"/>
  <c r="O2065" i="3"/>
  <c r="P2058" i="3"/>
  <c r="O2058" i="3"/>
  <c r="P2059" i="3"/>
  <c r="O2059" i="3"/>
  <c r="P2060" i="3"/>
  <c r="O2060" i="3"/>
  <c r="P2053" i="3"/>
  <c r="O2053" i="3"/>
  <c r="P2054" i="3"/>
  <c r="O2054" i="3"/>
  <c r="P2056" i="3"/>
  <c r="O2056" i="3"/>
  <c r="P2057" i="3"/>
  <c r="O2057" i="3"/>
  <c r="P2055" i="3"/>
  <c r="O2055" i="3"/>
  <c r="P1803" i="3"/>
  <c r="O1803" i="3"/>
  <c r="P1802" i="3"/>
  <c r="O1802" i="3"/>
  <c r="P1807" i="3"/>
  <c r="O1807" i="3"/>
  <c r="P1806" i="3"/>
  <c r="O1806" i="3"/>
  <c r="P1805" i="3"/>
  <c r="O1805" i="3"/>
  <c r="P1804" i="3"/>
  <c r="O1804" i="3"/>
  <c r="P968" i="3"/>
  <c r="O968" i="3"/>
  <c r="P967" i="3"/>
  <c r="O967" i="3"/>
  <c r="P966" i="3"/>
  <c r="O966" i="3"/>
  <c r="P811" i="3"/>
  <c r="O811" i="3"/>
  <c r="P813" i="3"/>
  <c r="O813" i="3"/>
  <c r="P812" i="3"/>
  <c r="O812" i="3"/>
  <c r="P1855" i="3"/>
  <c r="O1855" i="3"/>
  <c r="P1854" i="3"/>
  <c r="O1854" i="3"/>
  <c r="P1853" i="3"/>
  <c r="O1853" i="3"/>
  <c r="P1852" i="3"/>
  <c r="O1852" i="3"/>
  <c r="P1732" i="3"/>
  <c r="O1732" i="3"/>
  <c r="P1731" i="3"/>
  <c r="O1731" i="3"/>
  <c r="P1734" i="3"/>
  <c r="O1734" i="3"/>
  <c r="P1728" i="3"/>
  <c r="O1728" i="3"/>
  <c r="P1729" i="3"/>
  <c r="O1729" i="3"/>
  <c r="P1730" i="3"/>
  <c r="O1730" i="3"/>
  <c r="P1733" i="3"/>
  <c r="O1733" i="3"/>
  <c r="P1584" i="3"/>
  <c r="O1584" i="3"/>
  <c r="P1583" i="3"/>
  <c r="O1583" i="3"/>
  <c r="P1582" i="3"/>
  <c r="O1582" i="3"/>
  <c r="P1581" i="3"/>
  <c r="O1581" i="3"/>
  <c r="P460" i="3"/>
  <c r="O460" i="3"/>
  <c r="P464" i="3"/>
  <c r="O464" i="3"/>
  <c r="P463" i="3"/>
  <c r="O463" i="3"/>
  <c r="P462" i="3"/>
  <c r="O462" i="3"/>
  <c r="P461" i="3"/>
  <c r="O461" i="3"/>
  <c r="P465" i="3"/>
  <c r="O465" i="3"/>
  <c r="P1372" i="3"/>
  <c r="O1372" i="3"/>
  <c r="P1373" i="3"/>
  <c r="O1373" i="3"/>
  <c r="P1374" i="3"/>
  <c r="O1374" i="3"/>
  <c r="P1350" i="3"/>
  <c r="O1350" i="3"/>
  <c r="P1352" i="3"/>
  <c r="O1352" i="3"/>
  <c r="P1351" i="3"/>
  <c r="O1351" i="3"/>
  <c r="P1349" i="3"/>
  <c r="O1349" i="3"/>
  <c r="P1347" i="3"/>
  <c r="O1347" i="3"/>
  <c r="P1346" i="3"/>
  <c r="O1346" i="3"/>
  <c r="P1345" i="3"/>
  <c r="O1345" i="3"/>
  <c r="P1348" i="3"/>
  <c r="O1348" i="3"/>
  <c r="P1354" i="3"/>
  <c r="O1354" i="3"/>
  <c r="P1353" i="3"/>
  <c r="O1353" i="3"/>
  <c r="P1245" i="3"/>
  <c r="O1245" i="3"/>
  <c r="P1244" i="3"/>
  <c r="O1244" i="3"/>
  <c r="P1247" i="3"/>
  <c r="O1247" i="3"/>
  <c r="P1243" i="3"/>
  <c r="O1243" i="3"/>
  <c r="P1246" i="3"/>
  <c r="O1246" i="3"/>
  <c r="P1797" i="3"/>
  <c r="O1797" i="3"/>
  <c r="P1792" i="3"/>
  <c r="O1792" i="3"/>
  <c r="P1798" i="3"/>
  <c r="O1798" i="3"/>
  <c r="P1795" i="3"/>
  <c r="O1795" i="3"/>
  <c r="P1796" i="3"/>
  <c r="O1796" i="3"/>
  <c r="P1794" i="3"/>
  <c r="O1794" i="3"/>
  <c r="P1793" i="3"/>
  <c r="O1793" i="3"/>
  <c r="P1218" i="3"/>
  <c r="O1218" i="3"/>
  <c r="P1217" i="3"/>
  <c r="O1217" i="3"/>
  <c r="P1222" i="3"/>
  <c r="O1222" i="3"/>
  <c r="P1221" i="3"/>
  <c r="O1221" i="3"/>
  <c r="P1220" i="3"/>
  <c r="O1220" i="3"/>
  <c r="P1219" i="3"/>
  <c r="O1219" i="3"/>
  <c r="P1034" i="3"/>
  <c r="O1034" i="3"/>
  <c r="P1033" i="3"/>
  <c r="O1033" i="3"/>
  <c r="P1038" i="3"/>
  <c r="O1038" i="3"/>
  <c r="P1037" i="3"/>
  <c r="O1037" i="3"/>
  <c r="P1036" i="3"/>
  <c r="O1036" i="3"/>
  <c r="P1032" i="3"/>
  <c r="O1032" i="3"/>
  <c r="P1035" i="3"/>
  <c r="O1035" i="3"/>
  <c r="P988" i="3"/>
  <c r="O988" i="3"/>
  <c r="P984" i="3"/>
  <c r="O984" i="3"/>
  <c r="P985" i="3"/>
  <c r="O985" i="3"/>
  <c r="P983" i="3"/>
  <c r="O983" i="3"/>
  <c r="P987" i="3"/>
  <c r="O987" i="3"/>
  <c r="P986" i="3"/>
  <c r="O986" i="3"/>
  <c r="P981" i="3"/>
  <c r="O981" i="3"/>
  <c r="P982" i="3"/>
  <c r="O982" i="3"/>
  <c r="P525" i="3"/>
  <c r="O525" i="3"/>
  <c r="P526" i="3"/>
  <c r="O526" i="3"/>
  <c r="P524" i="3"/>
  <c r="O524" i="3"/>
  <c r="P527" i="3"/>
  <c r="O527" i="3"/>
  <c r="P528" i="3"/>
  <c r="O528" i="3"/>
  <c r="P529" i="3"/>
  <c r="O529" i="3"/>
  <c r="P479" i="3"/>
  <c r="O479" i="3"/>
  <c r="P481" i="3"/>
  <c r="O481" i="3"/>
  <c r="P480" i="3"/>
  <c r="O480" i="3"/>
  <c r="P477" i="3"/>
  <c r="O477" i="3"/>
  <c r="P476" i="3"/>
  <c r="O476" i="3"/>
  <c r="P478" i="3"/>
  <c r="O478" i="3"/>
  <c r="P468" i="3"/>
  <c r="O468" i="3"/>
  <c r="P467" i="3"/>
  <c r="O467" i="3"/>
  <c r="P466" i="3"/>
  <c r="O466" i="3"/>
  <c r="P485" i="3"/>
  <c r="O485" i="3"/>
  <c r="P484" i="3"/>
  <c r="O484" i="3"/>
  <c r="P483" i="3"/>
  <c r="O483" i="3"/>
  <c r="P472" i="3"/>
  <c r="O472" i="3"/>
  <c r="P471" i="3"/>
  <c r="O471" i="3"/>
  <c r="P470" i="3"/>
  <c r="O470" i="3"/>
  <c r="P469" i="3"/>
  <c r="O469" i="3"/>
  <c r="P482" i="3"/>
  <c r="O482" i="3"/>
  <c r="P475" i="3"/>
  <c r="O475" i="3"/>
  <c r="P474" i="3"/>
  <c r="O474" i="3"/>
  <c r="P473" i="3"/>
  <c r="O473" i="3"/>
  <c r="P552" i="3"/>
  <c r="O552" i="3"/>
  <c r="P551" i="3"/>
  <c r="O551" i="3"/>
  <c r="P553" i="3"/>
  <c r="O553" i="3"/>
  <c r="P347" i="3"/>
  <c r="O347" i="3"/>
  <c r="P348" i="3"/>
  <c r="O348" i="3"/>
  <c r="P350" i="3"/>
  <c r="O350" i="3"/>
  <c r="P352" i="3"/>
  <c r="O352" i="3"/>
  <c r="P349" i="3"/>
  <c r="O349" i="3"/>
  <c r="P353" i="3"/>
  <c r="O353" i="3"/>
  <c r="P354" i="3"/>
  <c r="O354" i="3"/>
  <c r="P351" i="3"/>
  <c r="O351" i="3"/>
  <c r="P40" i="3"/>
  <c r="O40" i="3"/>
  <c r="P38" i="3"/>
  <c r="O38" i="3"/>
  <c r="P35" i="3"/>
  <c r="O35" i="3"/>
  <c r="P34" i="3"/>
  <c r="O34" i="3"/>
  <c r="P37" i="3"/>
  <c r="O37" i="3"/>
  <c r="P36" i="3"/>
  <c r="O36" i="3"/>
  <c r="P39" i="3"/>
  <c r="O39" i="3"/>
  <c r="P894" i="3"/>
  <c r="O894" i="3"/>
  <c r="P893" i="3"/>
  <c r="O893" i="3"/>
  <c r="P892" i="3"/>
  <c r="O892" i="3"/>
  <c r="P891" i="3"/>
  <c r="O891" i="3"/>
  <c r="P1359" i="3"/>
  <c r="O1359" i="3"/>
  <c r="P1363" i="3"/>
  <c r="O1363" i="3"/>
  <c r="P1357" i="3"/>
  <c r="O1357" i="3"/>
  <c r="P1356" i="3"/>
  <c r="O1356" i="3"/>
  <c r="P1361" i="3"/>
  <c r="O1361" i="3"/>
  <c r="P1358" i="3"/>
  <c r="O1358" i="3"/>
  <c r="P1360" i="3"/>
  <c r="O1360" i="3"/>
  <c r="P1362" i="3"/>
  <c r="O1362" i="3"/>
  <c r="P1943" i="3"/>
  <c r="O1943" i="3"/>
  <c r="P1946" i="3"/>
  <c r="O1946" i="3"/>
  <c r="P1942" i="3"/>
  <c r="O1942" i="3"/>
  <c r="P1944" i="3"/>
  <c r="O1944" i="3"/>
  <c r="P1940" i="3"/>
  <c r="O1940" i="3"/>
  <c r="P1941" i="3"/>
  <c r="O1941" i="3"/>
  <c r="P1945" i="3"/>
  <c r="O1945" i="3"/>
  <c r="P616" i="3"/>
  <c r="O616" i="3"/>
  <c r="P619" i="3"/>
  <c r="O619" i="3"/>
  <c r="P617" i="3"/>
  <c r="O617" i="3"/>
  <c r="P618" i="3"/>
  <c r="O618" i="3"/>
  <c r="P620" i="3"/>
  <c r="O620" i="3"/>
  <c r="P520" i="3"/>
  <c r="O520" i="3"/>
  <c r="P519" i="3"/>
  <c r="O519" i="3"/>
  <c r="P511" i="3"/>
  <c r="O511" i="3"/>
  <c r="P514" i="3"/>
  <c r="O514" i="3"/>
  <c r="P512" i="3"/>
  <c r="O512" i="3"/>
  <c r="P513" i="3"/>
  <c r="O513" i="3"/>
  <c r="P1016" i="3"/>
  <c r="O1016" i="3"/>
  <c r="P1015" i="3"/>
  <c r="O1015" i="3"/>
  <c r="P1014" i="3"/>
  <c r="O1014" i="3"/>
  <c r="P1013" i="3"/>
  <c r="O1013" i="3"/>
  <c r="P730" i="3"/>
  <c r="O730" i="3"/>
  <c r="P729" i="3"/>
  <c r="O729" i="3"/>
  <c r="P728" i="3"/>
  <c r="O728" i="3"/>
  <c r="P727" i="3"/>
  <c r="O727" i="3"/>
  <c r="P366" i="3"/>
  <c r="O366" i="3"/>
  <c r="P367" i="3"/>
  <c r="O367" i="3"/>
  <c r="P364" i="3"/>
  <c r="O364" i="3"/>
  <c r="P368" i="3"/>
  <c r="O368" i="3"/>
  <c r="P365" i="3"/>
  <c r="O365" i="3"/>
  <c r="P363" i="3"/>
  <c r="O363" i="3"/>
  <c r="P362" i="3"/>
  <c r="O362" i="3"/>
  <c r="P360" i="3"/>
  <c r="O360" i="3"/>
  <c r="P361" i="3"/>
  <c r="O361" i="3"/>
  <c r="P369" i="3"/>
  <c r="O369" i="3"/>
  <c r="P275" i="3"/>
  <c r="O275" i="3"/>
  <c r="P274" i="3"/>
  <c r="O274" i="3"/>
  <c r="P276" i="3"/>
  <c r="O276" i="3"/>
  <c r="P277" i="3"/>
  <c r="O277" i="3"/>
  <c r="P1646" i="3"/>
  <c r="O1646" i="3"/>
  <c r="P1644" i="3"/>
  <c r="O1644" i="3"/>
  <c r="P232" i="3"/>
  <c r="O232" i="3"/>
  <c r="P233" i="3"/>
  <c r="O233" i="3"/>
  <c r="P1162" i="3"/>
  <c r="O1162" i="3"/>
  <c r="P1168" i="3"/>
  <c r="O1168" i="3"/>
  <c r="P1169" i="3"/>
  <c r="O1169" i="3"/>
  <c r="P1167" i="3"/>
  <c r="O1167" i="3"/>
  <c r="P1166" i="3"/>
  <c r="O1166" i="3"/>
  <c r="P1165" i="3"/>
  <c r="O1165" i="3"/>
  <c r="P1163" i="3"/>
  <c r="O1163" i="3"/>
  <c r="P1164" i="3"/>
  <c r="O1164" i="3"/>
  <c r="P773" i="3"/>
  <c r="O773" i="3"/>
  <c r="P777" i="3"/>
  <c r="O777" i="3"/>
  <c r="P776" i="3"/>
  <c r="O776" i="3"/>
  <c r="P775" i="3"/>
  <c r="O775" i="3"/>
  <c r="P774" i="3"/>
  <c r="O774" i="3"/>
  <c r="P1050" i="3"/>
  <c r="O1050" i="3"/>
  <c r="P1051" i="3"/>
  <c r="O1051" i="3"/>
  <c r="P1049" i="3"/>
  <c r="O1049" i="3"/>
  <c r="P1585" i="3"/>
  <c r="O1585" i="3"/>
  <c r="P2486" i="3"/>
  <c r="O2486" i="3"/>
  <c r="P2487" i="3"/>
  <c r="O2487" i="3"/>
  <c r="P2485" i="3"/>
  <c r="O2485" i="3"/>
  <c r="P2488" i="3"/>
  <c r="O2488" i="3"/>
  <c r="P1773" i="3"/>
  <c r="O1773" i="3"/>
  <c r="P1774" i="3"/>
  <c r="O1774" i="3"/>
  <c r="P1775" i="3"/>
  <c r="O1775" i="3"/>
  <c r="P1781" i="3"/>
  <c r="O1781" i="3"/>
  <c r="P1777" i="3"/>
  <c r="O1777" i="3"/>
  <c r="P1778" i="3"/>
  <c r="O1778" i="3"/>
  <c r="P1776" i="3"/>
  <c r="O1776" i="3"/>
  <c r="P1779" i="3"/>
  <c r="O1779" i="3"/>
  <c r="P1780" i="3"/>
  <c r="O1780" i="3"/>
  <c r="P1783" i="3"/>
  <c r="O1783" i="3"/>
  <c r="P1782" i="3"/>
  <c r="O1782" i="3"/>
  <c r="P757" i="3"/>
  <c r="O757" i="3"/>
  <c r="P756" i="3"/>
  <c r="O756" i="3"/>
  <c r="P754" i="3"/>
  <c r="O754" i="3"/>
  <c r="P755" i="3"/>
  <c r="O755" i="3"/>
  <c r="P1491" i="3"/>
  <c r="O1491" i="3"/>
  <c r="P1490" i="3"/>
  <c r="O1490" i="3"/>
  <c r="P1488" i="3"/>
  <c r="O1488" i="3"/>
  <c r="P1484" i="3"/>
  <c r="O1484" i="3"/>
  <c r="P1481" i="3"/>
  <c r="O1481" i="3"/>
  <c r="P1482" i="3"/>
  <c r="O1482" i="3"/>
  <c r="P1489" i="3"/>
  <c r="O1489" i="3"/>
  <c r="P1485" i="3"/>
  <c r="O1485" i="3"/>
  <c r="P1486" i="3"/>
  <c r="O1486" i="3"/>
  <c r="P1487" i="3"/>
  <c r="O1487" i="3"/>
  <c r="P1483" i="3"/>
  <c r="O1483" i="3"/>
  <c r="P797" i="3"/>
  <c r="O797" i="3"/>
  <c r="P795" i="3"/>
  <c r="O795" i="3"/>
  <c r="P794" i="3"/>
  <c r="O794" i="3"/>
  <c r="P793" i="3"/>
  <c r="O793" i="3"/>
  <c r="P801" i="3"/>
  <c r="O801" i="3"/>
  <c r="P790" i="3"/>
  <c r="O790" i="3"/>
  <c r="P791" i="3"/>
  <c r="O791" i="3"/>
  <c r="P798" i="3"/>
  <c r="O798" i="3"/>
  <c r="P796" i="3"/>
  <c r="O796" i="3"/>
  <c r="P799" i="3"/>
  <c r="O799" i="3"/>
  <c r="P1213" i="3"/>
  <c r="O1213" i="3"/>
  <c r="P1211" i="3"/>
  <c r="O1211" i="3"/>
  <c r="P1212" i="3"/>
  <c r="O1212" i="3"/>
  <c r="P2364" i="3"/>
  <c r="O2364" i="3"/>
  <c r="P895" i="3"/>
  <c r="O895" i="3"/>
  <c r="P1789" i="3"/>
  <c r="O1789" i="3"/>
  <c r="P1788" i="3"/>
  <c r="O1788" i="3"/>
  <c r="P1790" i="3"/>
  <c r="O1790" i="3"/>
  <c r="P1791" i="3"/>
  <c r="O1791" i="3"/>
  <c r="P1787" i="3"/>
  <c r="O1787" i="3"/>
  <c r="P1837" i="3"/>
  <c r="O1837" i="3"/>
  <c r="P137" i="3"/>
  <c r="O137" i="3"/>
  <c r="P138" i="3"/>
  <c r="O138" i="3"/>
  <c r="P1472" i="3"/>
  <c r="O1472" i="3"/>
  <c r="P1470" i="3"/>
  <c r="O1470" i="3"/>
  <c r="P1473" i="3"/>
  <c r="O1473" i="3"/>
  <c r="P1474" i="3"/>
  <c r="O1474" i="3"/>
  <c r="P1471" i="3"/>
  <c r="O1471" i="3"/>
  <c r="P657" i="3"/>
  <c r="O657" i="3"/>
  <c r="P656" i="3"/>
  <c r="O656" i="3"/>
  <c r="P654" i="3"/>
  <c r="O654" i="3"/>
  <c r="P655" i="3"/>
  <c r="O655" i="3"/>
  <c r="P914" i="3"/>
  <c r="O914" i="3"/>
  <c r="P913" i="3"/>
  <c r="O913" i="3"/>
  <c r="P915" i="3"/>
  <c r="O915" i="3"/>
  <c r="P912" i="3"/>
  <c r="O912" i="3"/>
  <c r="P911" i="3"/>
  <c r="O911" i="3"/>
  <c r="P497" i="3"/>
  <c r="O497" i="3"/>
  <c r="P495" i="3"/>
  <c r="O495" i="3"/>
  <c r="P496" i="3"/>
  <c r="O496" i="3"/>
  <c r="P494" i="3"/>
  <c r="O494" i="3"/>
  <c r="P1871" i="3"/>
  <c r="O1871" i="3"/>
  <c r="P1867" i="3"/>
  <c r="O1867" i="3"/>
  <c r="P1866" i="3"/>
  <c r="O1866" i="3"/>
  <c r="P1872" i="3"/>
  <c r="O1872" i="3"/>
  <c r="P1864" i="3"/>
  <c r="O1864" i="3"/>
  <c r="P1873" i="3"/>
  <c r="O1873" i="3"/>
  <c r="P1865" i="3"/>
  <c r="O1865" i="3"/>
  <c r="P1870" i="3"/>
  <c r="O1870" i="3"/>
  <c r="P1869" i="3"/>
  <c r="O1869" i="3"/>
  <c r="P1868" i="3"/>
  <c r="O1868" i="3"/>
  <c r="P1557" i="3"/>
  <c r="O1557" i="3"/>
  <c r="P1558" i="3"/>
  <c r="O1558" i="3"/>
  <c r="P1371" i="3"/>
  <c r="O1371" i="3"/>
  <c r="P1369" i="3"/>
  <c r="O1369" i="3"/>
  <c r="P1370" i="3"/>
  <c r="O1370" i="3"/>
  <c r="P1658" i="3"/>
  <c r="O1658" i="3"/>
  <c r="P1657" i="3"/>
  <c r="O1657" i="3"/>
  <c r="P1801" i="3"/>
  <c r="O1801" i="3"/>
  <c r="P1800" i="3"/>
  <c r="O1800" i="3"/>
  <c r="P1799" i="3"/>
  <c r="O1799" i="3"/>
  <c r="P1699" i="3"/>
  <c r="O1699" i="3"/>
  <c r="P1701" i="3"/>
  <c r="O1701" i="3"/>
  <c r="P1700" i="3"/>
  <c r="O1700" i="3"/>
  <c r="P1696" i="3"/>
  <c r="O1696" i="3"/>
  <c r="P1697" i="3"/>
  <c r="O1697" i="3"/>
  <c r="P926" i="3"/>
  <c r="O926" i="3"/>
  <c r="P2269" i="3"/>
  <c r="O2269" i="3"/>
  <c r="P1291" i="3"/>
  <c r="O1291" i="3"/>
  <c r="P1293" i="3"/>
  <c r="O1293" i="3"/>
  <c r="P1292" i="3"/>
  <c r="O1292" i="3"/>
  <c r="P990" i="3"/>
  <c r="O990" i="3"/>
  <c r="P991" i="3"/>
  <c r="O991" i="3"/>
  <c r="P1948" i="3"/>
  <c r="O1948" i="3"/>
  <c r="P1950" i="3"/>
  <c r="O1950" i="3"/>
  <c r="P1949" i="3"/>
  <c r="O1949" i="3"/>
  <c r="P1522" i="3"/>
  <c r="O1522" i="3"/>
  <c r="P1521" i="3"/>
  <c r="O1521" i="3"/>
  <c r="P1520" i="3"/>
  <c r="O1520" i="3"/>
  <c r="P1518" i="3"/>
  <c r="O1518" i="3"/>
  <c r="P1519" i="3"/>
  <c r="O1519" i="3"/>
  <c r="P1517" i="3"/>
  <c r="O1517" i="3"/>
  <c r="P1603" i="3"/>
  <c r="O1603" i="3"/>
  <c r="P1601" i="3"/>
  <c r="O1601" i="3"/>
  <c r="P1604" i="3"/>
  <c r="O1604" i="3"/>
  <c r="P1610" i="3"/>
  <c r="O1610" i="3"/>
  <c r="P1598" i="3"/>
  <c r="O1598" i="3"/>
  <c r="P1599" i="3"/>
  <c r="O1599" i="3"/>
  <c r="P1600" i="3"/>
  <c r="O1600" i="3"/>
  <c r="P1605" i="3"/>
  <c r="O1605" i="3"/>
  <c r="P1607" i="3"/>
  <c r="O1607" i="3"/>
  <c r="P1606" i="3"/>
  <c r="O1606" i="3"/>
  <c r="P1602" i="3"/>
  <c r="O1602" i="3"/>
  <c r="P1609" i="3"/>
  <c r="O1609" i="3"/>
  <c r="P1671" i="3"/>
  <c r="O1671" i="3"/>
  <c r="P1673" i="3"/>
  <c r="O1673" i="3"/>
  <c r="P1667" i="3"/>
  <c r="O1667" i="3"/>
  <c r="P1670" i="3"/>
  <c r="O1670" i="3"/>
  <c r="P1666" i="3"/>
  <c r="O1666" i="3"/>
  <c r="P1672" i="3"/>
  <c r="O1672" i="3"/>
  <c r="P1668" i="3"/>
  <c r="O1668" i="3"/>
  <c r="P1669" i="3"/>
  <c r="O1669" i="3"/>
  <c r="P333" i="3"/>
  <c r="O333" i="3"/>
  <c r="P335" i="3"/>
  <c r="O335" i="3"/>
  <c r="P334" i="3"/>
  <c r="O334" i="3"/>
  <c r="P329" i="3"/>
  <c r="O329" i="3"/>
  <c r="P330" i="3"/>
  <c r="O330" i="3"/>
  <c r="P340" i="3"/>
  <c r="O340" i="3"/>
  <c r="P341" i="3"/>
  <c r="O341" i="3"/>
  <c r="P331" i="3"/>
  <c r="O331" i="3"/>
  <c r="P332" i="3"/>
  <c r="O332" i="3"/>
  <c r="P338" i="3"/>
  <c r="O338" i="3"/>
  <c r="P337" i="3"/>
  <c r="O337" i="3"/>
  <c r="P342" i="3"/>
  <c r="O342" i="3"/>
  <c r="P336" i="3"/>
  <c r="O336" i="3"/>
  <c r="P339" i="3"/>
  <c r="O339" i="3"/>
  <c r="P1926" i="3"/>
  <c r="O1926" i="3"/>
  <c r="P1928" i="3"/>
  <c r="O1928" i="3"/>
  <c r="P1927" i="3"/>
  <c r="O1927" i="3"/>
  <c r="P951" i="3"/>
  <c r="O951" i="3"/>
  <c r="P955" i="3"/>
  <c r="O955" i="3"/>
  <c r="P952" i="3"/>
  <c r="O952" i="3"/>
  <c r="P953" i="3"/>
  <c r="O953" i="3"/>
  <c r="P954" i="3"/>
  <c r="O954" i="3"/>
  <c r="P960" i="3"/>
  <c r="O960" i="3"/>
  <c r="P962" i="3"/>
  <c r="O962" i="3"/>
  <c r="P958" i="3"/>
  <c r="O958" i="3"/>
  <c r="P956" i="3"/>
  <c r="O956" i="3"/>
  <c r="P959" i="3"/>
  <c r="O959" i="3"/>
  <c r="P961" i="3"/>
  <c r="O961" i="3"/>
  <c r="P957" i="3"/>
  <c r="O957" i="3"/>
  <c r="P807" i="3"/>
  <c r="O807" i="3"/>
  <c r="P806" i="3"/>
  <c r="O806" i="3"/>
  <c r="P804" i="3"/>
  <c r="O804" i="3"/>
  <c r="P805" i="3"/>
  <c r="O805" i="3"/>
  <c r="P803" i="3"/>
  <c r="O803" i="3"/>
  <c r="P802" i="3"/>
  <c r="O802" i="3"/>
  <c r="P858" i="3"/>
  <c r="O858" i="3"/>
  <c r="P873" i="3"/>
  <c r="O873" i="3"/>
  <c r="P866" i="3"/>
  <c r="O866" i="3"/>
  <c r="P862" i="3"/>
  <c r="O862" i="3"/>
  <c r="P861" i="3"/>
  <c r="O861" i="3"/>
  <c r="P869" i="3"/>
  <c r="O869" i="3"/>
  <c r="P877" i="3"/>
  <c r="O877" i="3"/>
  <c r="P850" i="3"/>
  <c r="O850" i="3"/>
  <c r="P853" i="3"/>
  <c r="O853" i="3"/>
  <c r="P857" i="3"/>
  <c r="O857" i="3"/>
  <c r="P856" i="3"/>
  <c r="O856" i="3"/>
  <c r="P864" i="3"/>
  <c r="O864" i="3"/>
  <c r="P852" i="3"/>
  <c r="O852" i="3"/>
  <c r="P848" i="3"/>
  <c r="O848" i="3"/>
  <c r="P849" i="3"/>
  <c r="O849" i="3"/>
  <c r="P854" i="3"/>
  <c r="O854" i="3"/>
  <c r="P851" i="3"/>
  <c r="O851" i="3"/>
  <c r="P855" i="3"/>
  <c r="O855" i="3"/>
  <c r="P872" i="3"/>
  <c r="O872" i="3"/>
  <c r="P875" i="3"/>
  <c r="O875" i="3"/>
  <c r="P874" i="3"/>
  <c r="O874" i="3"/>
  <c r="P876" i="3"/>
  <c r="O876" i="3"/>
  <c r="P871" i="3"/>
  <c r="O871" i="3"/>
  <c r="P870" i="3"/>
  <c r="O870" i="3"/>
  <c r="P868" i="3"/>
  <c r="O868" i="3"/>
  <c r="P860" i="3"/>
  <c r="O860" i="3"/>
  <c r="P859" i="3"/>
  <c r="O859" i="3"/>
  <c r="P846" i="3"/>
  <c r="O846" i="3"/>
  <c r="P867" i="3"/>
  <c r="O867" i="3"/>
  <c r="P847" i="3"/>
  <c r="O847" i="3"/>
  <c r="P865" i="3"/>
  <c r="O865" i="3"/>
  <c r="P506" i="3"/>
  <c r="O506" i="3"/>
  <c r="P508" i="3"/>
  <c r="O508" i="3"/>
  <c r="P504" i="3"/>
  <c r="O504" i="3"/>
  <c r="P510" i="3"/>
  <c r="O510" i="3"/>
  <c r="P542" i="3"/>
  <c r="O542" i="3"/>
  <c r="P543" i="3"/>
  <c r="O543" i="3"/>
  <c r="P549" i="3"/>
  <c r="O549" i="3"/>
  <c r="P550" i="3"/>
  <c r="O550" i="3"/>
  <c r="P548" i="3"/>
  <c r="O548" i="3"/>
  <c r="P547" i="3"/>
  <c r="O547" i="3"/>
  <c r="P546" i="3"/>
  <c r="O546" i="3"/>
  <c r="P544" i="3"/>
  <c r="O544" i="3"/>
  <c r="P545" i="3"/>
  <c r="O545" i="3"/>
  <c r="P2008" i="3"/>
  <c r="O2008" i="3"/>
  <c r="P2009" i="3"/>
  <c r="O2009" i="3"/>
  <c r="P1997" i="3"/>
  <c r="O1997" i="3"/>
  <c r="P1996" i="3"/>
  <c r="O1996" i="3"/>
  <c r="P1995" i="3"/>
  <c r="O1995" i="3"/>
  <c r="P2000" i="3"/>
  <c r="O2000" i="3"/>
  <c r="P1999" i="3"/>
  <c r="O1999" i="3"/>
  <c r="P2003" i="3"/>
  <c r="O2003" i="3"/>
  <c r="P2001" i="3"/>
  <c r="O2001" i="3"/>
  <c r="P1994" i="3"/>
  <c r="O1994" i="3"/>
  <c r="P1993" i="3"/>
  <c r="O1993" i="3"/>
  <c r="P2004" i="3"/>
  <c r="O2004" i="3"/>
  <c r="P2002" i="3"/>
  <c r="O2002" i="3"/>
  <c r="P1998" i="3"/>
  <c r="O1998" i="3"/>
  <c r="P2005" i="3"/>
  <c r="O2005" i="3"/>
  <c r="P2006" i="3"/>
  <c r="O2006" i="3"/>
  <c r="P2007" i="3"/>
  <c r="O2007" i="3"/>
  <c r="P295" i="3"/>
  <c r="O295" i="3"/>
  <c r="P293" i="3"/>
  <c r="O293" i="3"/>
  <c r="P294" i="3"/>
  <c r="O294" i="3"/>
  <c r="P307" i="3"/>
  <c r="O307" i="3"/>
  <c r="P303" i="3"/>
  <c r="O303" i="3"/>
  <c r="P308" i="3"/>
  <c r="O308" i="3"/>
  <c r="P306" i="3"/>
  <c r="O306" i="3"/>
  <c r="P309" i="3"/>
  <c r="O309" i="3"/>
  <c r="P305" i="3"/>
  <c r="O305" i="3"/>
  <c r="P304" i="3"/>
  <c r="O304" i="3"/>
  <c r="P288" i="3"/>
  <c r="O288" i="3"/>
  <c r="P291" i="3"/>
  <c r="O291" i="3"/>
  <c r="P292" i="3"/>
  <c r="O292" i="3"/>
  <c r="P290" i="3"/>
  <c r="O290" i="3"/>
  <c r="P289" i="3"/>
  <c r="O289" i="3"/>
  <c r="P283" i="3"/>
  <c r="O283" i="3"/>
  <c r="P284" i="3"/>
  <c r="O284" i="3"/>
  <c r="P310" i="3"/>
  <c r="O310" i="3"/>
  <c r="P281" i="3"/>
  <c r="O281" i="3"/>
  <c r="P282" i="3"/>
  <c r="O282" i="3"/>
  <c r="P280" i="3"/>
  <c r="O280" i="3"/>
  <c r="P300" i="3"/>
  <c r="O300" i="3"/>
  <c r="P302" i="3"/>
  <c r="O302" i="3"/>
  <c r="P299" i="3"/>
  <c r="O299" i="3"/>
  <c r="P298" i="3"/>
  <c r="O298" i="3"/>
  <c r="P301" i="3"/>
  <c r="O301" i="3"/>
  <c r="P1320" i="3"/>
  <c r="O1320" i="3"/>
  <c r="P1317" i="3"/>
  <c r="O1317" i="3"/>
  <c r="P1318" i="3"/>
  <c r="O1318" i="3"/>
  <c r="P1315" i="3"/>
  <c r="O1315" i="3"/>
  <c r="P1316" i="3"/>
  <c r="O1316" i="3"/>
  <c r="P1313" i="3"/>
  <c r="O1313" i="3"/>
  <c r="P1312" i="3"/>
  <c r="O1312" i="3"/>
  <c r="P1319" i="3"/>
  <c r="O1319" i="3"/>
  <c r="P1311" i="3"/>
  <c r="O1311" i="3"/>
  <c r="P1314" i="3"/>
  <c r="O1314" i="3"/>
  <c r="P660" i="3"/>
  <c r="O660" i="3"/>
  <c r="P661" i="3"/>
  <c r="O661" i="3"/>
  <c r="P659" i="3"/>
  <c r="O659" i="3"/>
  <c r="P663" i="3"/>
  <c r="O663" i="3"/>
  <c r="P662" i="3"/>
  <c r="O662" i="3"/>
  <c r="P380" i="3"/>
  <c r="O380" i="3"/>
  <c r="P381" i="3"/>
  <c r="O381" i="3"/>
  <c r="P379" i="3"/>
  <c r="O379" i="3"/>
  <c r="P382" i="3"/>
  <c r="O382" i="3"/>
  <c r="P383" i="3"/>
  <c r="O383" i="3"/>
  <c r="P384" i="3"/>
  <c r="O384" i="3"/>
  <c r="P385" i="3"/>
  <c r="O385" i="3"/>
  <c r="P46" i="3"/>
  <c r="O46" i="3"/>
  <c r="P44" i="3"/>
  <c r="O44" i="3"/>
  <c r="P43" i="3"/>
  <c r="O43" i="3"/>
  <c r="P45" i="3"/>
  <c r="O45" i="3"/>
  <c r="P42" i="3"/>
  <c r="O42" i="3"/>
  <c r="P47" i="3"/>
  <c r="O47" i="3"/>
  <c r="P48" i="3"/>
  <c r="O48" i="3"/>
  <c r="P49" i="3"/>
  <c r="O49" i="3"/>
  <c r="P1209" i="3"/>
  <c r="O1209" i="3"/>
  <c r="P1206" i="3"/>
  <c r="O1206" i="3"/>
  <c r="P1205" i="3"/>
  <c r="O1205" i="3"/>
  <c r="P1207" i="3"/>
  <c r="O1207" i="3"/>
  <c r="P1208" i="3"/>
  <c r="O1208" i="3"/>
  <c r="P1619" i="3"/>
  <c r="O1619" i="3"/>
  <c r="P1612" i="3"/>
  <c r="O1612" i="3"/>
  <c r="P1616" i="3"/>
  <c r="O1616" i="3"/>
  <c r="P1615" i="3"/>
  <c r="O1615" i="3"/>
  <c r="P1614" i="3"/>
  <c r="O1614" i="3"/>
  <c r="P1613" i="3"/>
  <c r="O1613" i="3"/>
  <c r="P1611" i="3"/>
  <c r="O1611" i="3"/>
  <c r="P1618" i="3"/>
  <c r="O1618" i="3"/>
  <c r="P1617" i="3"/>
  <c r="O1617" i="3"/>
  <c r="P1621" i="3"/>
  <c r="O1621" i="3"/>
  <c r="P1622" i="3"/>
  <c r="O1622" i="3"/>
  <c r="P1620" i="3"/>
  <c r="O1620" i="3"/>
  <c r="P1627" i="3"/>
  <c r="O1627" i="3"/>
  <c r="P1626" i="3"/>
  <c r="O1626" i="3"/>
  <c r="P1628" i="3"/>
  <c r="O1628" i="3"/>
  <c r="P1624" i="3"/>
  <c r="O1624" i="3"/>
  <c r="P1631" i="3"/>
  <c r="O1631" i="3"/>
  <c r="P1623" i="3"/>
  <c r="O1623" i="3"/>
  <c r="P1625" i="3"/>
  <c r="O1625" i="3"/>
  <c r="P1629" i="3"/>
  <c r="O1629" i="3"/>
  <c r="P1632" i="3"/>
  <c r="O1632" i="3"/>
  <c r="P1633" i="3"/>
  <c r="O1633" i="3"/>
  <c r="P1630" i="3"/>
  <c r="O1630" i="3"/>
  <c r="P378" i="3"/>
  <c r="O378" i="3"/>
  <c r="P377" i="3"/>
  <c r="O377" i="3"/>
  <c r="P375" i="3"/>
  <c r="O375" i="3"/>
  <c r="P374" i="3"/>
  <c r="O374" i="3"/>
  <c r="P376" i="3"/>
  <c r="O376" i="3"/>
  <c r="P370" i="3"/>
  <c r="O370" i="3"/>
  <c r="P373" i="3"/>
  <c r="O373" i="3"/>
  <c r="P371" i="3"/>
  <c r="O371" i="3"/>
  <c r="P372" i="3"/>
  <c r="O372" i="3"/>
  <c r="P1705" i="3"/>
  <c r="O1705" i="3"/>
  <c r="P1704" i="3"/>
  <c r="O1704" i="3"/>
  <c r="P1703" i="3"/>
  <c r="O1703" i="3"/>
  <c r="P1702" i="3"/>
  <c r="O1702" i="3"/>
  <c r="P1716" i="3"/>
  <c r="O1716" i="3"/>
  <c r="P1715" i="3"/>
  <c r="O1715" i="3"/>
  <c r="P1713" i="3"/>
  <c r="O1713" i="3"/>
  <c r="P1714" i="3"/>
  <c r="O1714" i="3"/>
  <c r="P1717" i="3"/>
  <c r="O1717" i="3"/>
  <c r="P1720" i="3"/>
  <c r="O1720" i="3"/>
  <c r="P1719" i="3"/>
  <c r="O1719" i="3"/>
  <c r="P1718" i="3"/>
  <c r="O1718" i="3"/>
  <c r="P1712" i="3"/>
  <c r="O1712" i="3"/>
  <c r="P1707" i="3"/>
  <c r="O1707" i="3"/>
  <c r="P1708" i="3"/>
  <c r="O1708" i="3"/>
  <c r="P1711" i="3"/>
  <c r="O1711" i="3"/>
  <c r="P1709" i="3"/>
  <c r="O1709" i="3"/>
  <c r="P1710" i="3"/>
  <c r="O1710" i="3"/>
  <c r="P1706" i="3"/>
  <c r="O1706" i="3"/>
  <c r="P1306" i="3"/>
  <c r="O1306" i="3"/>
  <c r="P1310" i="3"/>
  <c r="O1310" i="3"/>
  <c r="P1308" i="3"/>
  <c r="O1308" i="3"/>
  <c r="P1307" i="3"/>
  <c r="O1307" i="3"/>
  <c r="P1309" i="3"/>
  <c r="O1309" i="3"/>
  <c r="P1238" i="3"/>
  <c r="O1238" i="3"/>
  <c r="P1235" i="3"/>
  <c r="O1235" i="3"/>
  <c r="P1233" i="3"/>
  <c r="O1233" i="3"/>
  <c r="P1237" i="3"/>
  <c r="O1237" i="3"/>
  <c r="P1232" i="3"/>
  <c r="O1232" i="3"/>
  <c r="P1239" i="3"/>
  <c r="O1239" i="3"/>
  <c r="P1236" i="3"/>
  <c r="O1236" i="3"/>
  <c r="P1234" i="3"/>
  <c r="O1234" i="3"/>
  <c r="P1240" i="3"/>
  <c r="O1240" i="3"/>
  <c r="P1504" i="3"/>
  <c r="O1504" i="3"/>
  <c r="P1505" i="3"/>
  <c r="O1505" i="3"/>
  <c r="P1501" i="3"/>
  <c r="O1501" i="3"/>
  <c r="P1502" i="3"/>
  <c r="O1502" i="3"/>
  <c r="P1503" i="3"/>
  <c r="O1503" i="3"/>
  <c r="P1337" i="3"/>
  <c r="O1337" i="3"/>
  <c r="P1339" i="3"/>
  <c r="O1339" i="3"/>
  <c r="P1338" i="3"/>
  <c r="O1338" i="3"/>
  <c r="P2138" i="3"/>
  <c r="O2138" i="3"/>
  <c r="P2139" i="3"/>
  <c r="O2139" i="3"/>
  <c r="P2140" i="3"/>
  <c r="O2140" i="3"/>
  <c r="P2143" i="3"/>
  <c r="O2143" i="3"/>
  <c r="P2142" i="3"/>
  <c r="O2142" i="3"/>
  <c r="P2137" i="3"/>
  <c r="O2137" i="3"/>
  <c r="P2136" i="3"/>
  <c r="O2136" i="3"/>
  <c r="P2141" i="3"/>
  <c r="O2141" i="3"/>
  <c r="P322" i="3"/>
  <c r="O322" i="3"/>
  <c r="P325" i="3"/>
  <c r="O325" i="3"/>
  <c r="P324" i="3"/>
  <c r="O324" i="3"/>
  <c r="P326" i="3"/>
  <c r="O326" i="3"/>
  <c r="P327" i="3"/>
  <c r="O327" i="3"/>
  <c r="P323" i="3"/>
  <c r="O323" i="3"/>
  <c r="P328" i="3"/>
  <c r="O328" i="3"/>
  <c r="P221" i="3"/>
  <c r="O221" i="3"/>
  <c r="P220" i="3"/>
  <c r="O220" i="3"/>
  <c r="P52" i="3"/>
  <c r="O52" i="3"/>
  <c r="P51" i="3"/>
  <c r="O51" i="3"/>
  <c r="P50" i="3"/>
  <c r="O50" i="3"/>
  <c r="P53" i="3"/>
  <c r="O53" i="3"/>
  <c r="P2076" i="3"/>
  <c r="O2076" i="3"/>
  <c r="P229" i="3"/>
  <c r="O229" i="3"/>
  <c r="P230" i="3"/>
  <c r="O230" i="3"/>
  <c r="P228" i="3"/>
  <c r="O228" i="3"/>
  <c r="P677" i="3"/>
  <c r="O677" i="3"/>
  <c r="P678" i="3"/>
  <c r="O678" i="3"/>
  <c r="P676" i="3"/>
  <c r="O676" i="3"/>
  <c r="P664" i="3"/>
  <c r="O664" i="3"/>
  <c r="P665" i="3"/>
  <c r="O665" i="3"/>
  <c r="P2257" i="3"/>
  <c r="O2257" i="3"/>
  <c r="P2258" i="3"/>
  <c r="O2258" i="3"/>
  <c r="P2255" i="3"/>
  <c r="O2255" i="3"/>
  <c r="P2256" i="3"/>
  <c r="O2256" i="3"/>
  <c r="P2259" i="3"/>
  <c r="O2259" i="3"/>
  <c r="P2262" i="3"/>
  <c r="O2262" i="3"/>
  <c r="P2261" i="3"/>
  <c r="O2261" i="3"/>
  <c r="P2263" i="3"/>
  <c r="O2263" i="3"/>
  <c r="P2260" i="3"/>
  <c r="O2260" i="3"/>
  <c r="P1561" i="3"/>
  <c r="O1561" i="3"/>
  <c r="P1560" i="3"/>
  <c r="O1560" i="3"/>
  <c r="P1565" i="3"/>
  <c r="O1565" i="3"/>
  <c r="P1564" i="3"/>
  <c r="O1564" i="3"/>
  <c r="P1562" i="3"/>
  <c r="O1562" i="3"/>
  <c r="P1563" i="3"/>
  <c r="O1563" i="3"/>
  <c r="P2474" i="3"/>
  <c r="O2474" i="3"/>
  <c r="P2472" i="3"/>
  <c r="O2472" i="3"/>
  <c r="P2473" i="3"/>
  <c r="O2473" i="3"/>
  <c r="P2475" i="3"/>
  <c r="O2475" i="3"/>
  <c r="P2477" i="3"/>
  <c r="O2477" i="3"/>
  <c r="P2476" i="3"/>
  <c r="O2476" i="3"/>
  <c r="P2483" i="3"/>
  <c r="O2483" i="3"/>
  <c r="P2484" i="3"/>
  <c r="O2484" i="3"/>
  <c r="P2479" i="3"/>
  <c r="O2479" i="3"/>
  <c r="P2482" i="3"/>
  <c r="O2482" i="3"/>
  <c r="P2480" i="3"/>
  <c r="O2480" i="3"/>
  <c r="P2481" i="3"/>
  <c r="O2481" i="3"/>
  <c r="P2478" i="3"/>
  <c r="O2478" i="3"/>
  <c r="P2083" i="3"/>
  <c r="O2083" i="3"/>
  <c r="P2085" i="3"/>
  <c r="O2085" i="3"/>
  <c r="P2084" i="3"/>
  <c r="O2084" i="3"/>
  <c r="P1566" i="3"/>
  <c r="O1566" i="3"/>
  <c r="P1567" i="3"/>
  <c r="O1567" i="3"/>
  <c r="P1568" i="3"/>
  <c r="O1568" i="3"/>
  <c r="P1030" i="3"/>
  <c r="O1030" i="3"/>
  <c r="P1031" i="3"/>
  <c r="O1031" i="3"/>
  <c r="P1542" i="3"/>
  <c r="O1542" i="3"/>
  <c r="P1544" i="3"/>
  <c r="O1544" i="3"/>
  <c r="P1545" i="3"/>
  <c r="O1545" i="3"/>
  <c r="P1543" i="3"/>
  <c r="O1543" i="3"/>
  <c r="P2267" i="3"/>
  <c r="O2267" i="3"/>
  <c r="P2265" i="3"/>
  <c r="O2265" i="3"/>
  <c r="P2266" i="3"/>
  <c r="O2266" i="3"/>
  <c r="P2264" i="3"/>
  <c r="O2264" i="3"/>
  <c r="P738" i="3"/>
  <c r="O738" i="3"/>
  <c r="P736" i="3"/>
  <c r="O736" i="3"/>
  <c r="P737" i="3"/>
  <c r="O737" i="3"/>
  <c r="P735" i="3"/>
  <c r="O735" i="3"/>
  <c r="P1588" i="3"/>
  <c r="O1588" i="3"/>
  <c r="P1590" i="3"/>
  <c r="O1590" i="3"/>
  <c r="P1586" i="3"/>
  <c r="O1586" i="3"/>
  <c r="P1589" i="3"/>
  <c r="O1589" i="3"/>
  <c r="P1591" i="3"/>
  <c r="O1591" i="3"/>
  <c r="P1587" i="3"/>
  <c r="O1587" i="3"/>
  <c r="P1429" i="3"/>
  <c r="O1429" i="3"/>
  <c r="P1426" i="3"/>
  <c r="O1426" i="3"/>
  <c r="P1430" i="3"/>
  <c r="O1430" i="3"/>
  <c r="P1428" i="3"/>
  <c r="O1428" i="3"/>
  <c r="P1425" i="3"/>
  <c r="O1425" i="3"/>
  <c r="P1424" i="3"/>
  <c r="O1424" i="3"/>
  <c r="P1427" i="3"/>
  <c r="O1427" i="3"/>
  <c r="P1431" i="3"/>
  <c r="O1431" i="3"/>
  <c r="P717" i="3"/>
  <c r="O717" i="3"/>
  <c r="P716" i="3"/>
  <c r="O716" i="3"/>
  <c r="P713" i="3"/>
  <c r="O713" i="3"/>
  <c r="P715" i="3"/>
  <c r="O715" i="3"/>
  <c r="P714" i="3"/>
  <c r="O714" i="3"/>
  <c r="P673" i="3"/>
  <c r="O673" i="3"/>
  <c r="P669" i="3"/>
  <c r="O669" i="3"/>
  <c r="P668" i="3"/>
  <c r="O668" i="3"/>
  <c r="P671" i="3"/>
  <c r="O671" i="3"/>
  <c r="P672" i="3"/>
  <c r="O672" i="3"/>
  <c r="P667" i="3"/>
  <c r="O667" i="3"/>
  <c r="P666" i="3"/>
  <c r="O666" i="3"/>
  <c r="P670" i="3"/>
  <c r="O670" i="3"/>
  <c r="P922" i="3"/>
  <c r="O922" i="3"/>
  <c r="P923" i="3"/>
  <c r="O923" i="3"/>
  <c r="P925" i="3"/>
  <c r="O925" i="3"/>
  <c r="P924" i="3"/>
  <c r="O924" i="3"/>
  <c r="P314" i="3"/>
  <c r="O314" i="3"/>
  <c r="P313" i="3"/>
  <c r="O313" i="3"/>
  <c r="P316" i="3"/>
  <c r="O316" i="3"/>
  <c r="P315" i="3"/>
  <c r="O315" i="3"/>
  <c r="P311" i="3"/>
  <c r="O311" i="3"/>
  <c r="P312" i="3"/>
  <c r="O312" i="3"/>
  <c r="P321" i="3"/>
  <c r="O321" i="3"/>
  <c r="P318" i="3"/>
  <c r="O318" i="3"/>
  <c r="P320" i="3"/>
  <c r="O320" i="3"/>
  <c r="P317" i="3"/>
  <c r="O317" i="3"/>
  <c r="P319" i="3"/>
  <c r="O319" i="3"/>
  <c r="P2304" i="3"/>
  <c r="O2304" i="3"/>
  <c r="P2298" i="3"/>
  <c r="O2298" i="3"/>
  <c r="P2299" i="3"/>
  <c r="O2299" i="3"/>
  <c r="P2300" i="3"/>
  <c r="O2300" i="3"/>
  <c r="P2303" i="3"/>
  <c r="O2303" i="3"/>
  <c r="P2301" i="3"/>
  <c r="O2301" i="3"/>
  <c r="P2302" i="3"/>
  <c r="O2302" i="3"/>
  <c r="P641" i="3"/>
  <c r="O641" i="3"/>
  <c r="P636" i="3"/>
  <c r="O636" i="3"/>
  <c r="P635" i="3"/>
  <c r="O635" i="3"/>
  <c r="P639" i="3"/>
  <c r="O639" i="3"/>
  <c r="P637" i="3"/>
  <c r="O637" i="3"/>
  <c r="P640" i="3"/>
  <c r="O640" i="3"/>
  <c r="P638" i="3"/>
  <c r="O638" i="3"/>
  <c r="P1128" i="3"/>
  <c r="O1128" i="3"/>
  <c r="P1127" i="3"/>
  <c r="O1127" i="3"/>
  <c r="P1126" i="3"/>
  <c r="O1126" i="3"/>
  <c r="P1136" i="3"/>
  <c r="O1136" i="3"/>
  <c r="P1124" i="3"/>
  <c r="O1124" i="3"/>
  <c r="P1125" i="3"/>
  <c r="O1125" i="3"/>
  <c r="P1135" i="3"/>
  <c r="O1135" i="3"/>
  <c r="P1134" i="3"/>
  <c r="O1134" i="3"/>
  <c r="P1133" i="3"/>
  <c r="O1133" i="3"/>
  <c r="P1146" i="3"/>
  <c r="O1146" i="3"/>
  <c r="P1145" i="3"/>
  <c r="O1145" i="3"/>
  <c r="P1144" i="3"/>
  <c r="O1144" i="3"/>
  <c r="P1143" i="3"/>
  <c r="O1143" i="3"/>
  <c r="P1142" i="3"/>
  <c r="O1142" i="3"/>
  <c r="P1141" i="3"/>
  <c r="O1141" i="3"/>
  <c r="P1140" i="3"/>
  <c r="O1140" i="3"/>
  <c r="P1138" i="3"/>
  <c r="O1138" i="3"/>
  <c r="P1139" i="3"/>
  <c r="O1139" i="3"/>
  <c r="P1137" i="3"/>
  <c r="O1137" i="3"/>
  <c r="P1132" i="3"/>
  <c r="O1132" i="3"/>
  <c r="P1130" i="3"/>
  <c r="O1130" i="3"/>
  <c r="P1131" i="3"/>
  <c r="O1131" i="3"/>
  <c r="P1129" i="3"/>
  <c r="O1129" i="3"/>
  <c r="P1261" i="3"/>
  <c r="O1261" i="3"/>
  <c r="P1263" i="3"/>
  <c r="O1263" i="3"/>
  <c r="P1262" i="3"/>
  <c r="O1262" i="3"/>
  <c r="P1250" i="3"/>
  <c r="O1250" i="3"/>
  <c r="P1252" i="3"/>
  <c r="O1252" i="3"/>
  <c r="P1251" i="3"/>
  <c r="O1251" i="3"/>
  <c r="P1249" i="3"/>
  <c r="O1249" i="3"/>
  <c r="P1254" i="3"/>
  <c r="O1254" i="3"/>
  <c r="P1253" i="3"/>
  <c r="O1253" i="3"/>
  <c r="P1264" i="3"/>
  <c r="O1264" i="3"/>
  <c r="P1266" i="3"/>
  <c r="O1266" i="3"/>
  <c r="P1265" i="3"/>
  <c r="O1265" i="3"/>
  <c r="P1258" i="3"/>
  <c r="O1258" i="3"/>
  <c r="P1257" i="3"/>
  <c r="O1257" i="3"/>
  <c r="P1259" i="3"/>
  <c r="O1259" i="3"/>
  <c r="P1256" i="3"/>
  <c r="O1256" i="3"/>
  <c r="P1267" i="3"/>
  <c r="O1267" i="3"/>
  <c r="P1260" i="3"/>
  <c r="O1260" i="3"/>
  <c r="P1255" i="3"/>
  <c r="O1255" i="3"/>
  <c r="P2369" i="3"/>
  <c r="O2369" i="3"/>
  <c r="P2370" i="3"/>
  <c r="O2370" i="3"/>
  <c r="P2368" i="3"/>
  <c r="O2368" i="3"/>
  <c r="P2251" i="3"/>
  <c r="O2251" i="3"/>
  <c r="P2247" i="3"/>
  <c r="O2247" i="3"/>
  <c r="P2246" i="3"/>
  <c r="O2246" i="3"/>
  <c r="P2249" i="3"/>
  <c r="O2249" i="3"/>
  <c r="P2250" i="3"/>
  <c r="O2250" i="3"/>
  <c r="P2248" i="3"/>
  <c r="O2248" i="3"/>
  <c r="P2525" i="3"/>
  <c r="O2525" i="3"/>
  <c r="P2523" i="3"/>
  <c r="O2523" i="3"/>
  <c r="P2522" i="3"/>
  <c r="O2522" i="3"/>
  <c r="P2520" i="3"/>
  <c r="O2520" i="3"/>
  <c r="P2524" i="3"/>
  <c r="O2524" i="3"/>
  <c r="P2521" i="3"/>
  <c r="O2521" i="3"/>
  <c r="P2517" i="3"/>
  <c r="O2517" i="3"/>
  <c r="P2516" i="3"/>
  <c r="O2516" i="3"/>
  <c r="P2515" i="3"/>
  <c r="O2515" i="3"/>
  <c r="P2518" i="3"/>
  <c r="O2518" i="3"/>
  <c r="P2519" i="3"/>
  <c r="O2519" i="3"/>
  <c r="P1174" i="3"/>
  <c r="O1174" i="3"/>
  <c r="P1176" i="3"/>
  <c r="O1176" i="3"/>
  <c r="P1173" i="3"/>
  <c r="O1173" i="3"/>
  <c r="P1171" i="3"/>
  <c r="O1171" i="3"/>
  <c r="P1177" i="3"/>
  <c r="O1177" i="3"/>
  <c r="P1172" i="3"/>
  <c r="O1172" i="3"/>
  <c r="P1175" i="3"/>
  <c r="O1175" i="3"/>
  <c r="P1006" i="3"/>
  <c r="O1006" i="3"/>
  <c r="P1005" i="3"/>
  <c r="O1005" i="3"/>
  <c r="P1004" i="3"/>
  <c r="O1004" i="3"/>
  <c r="P1000" i="3"/>
  <c r="O1000" i="3"/>
  <c r="P1002" i="3"/>
  <c r="O1002" i="3"/>
  <c r="P1001" i="3"/>
  <c r="O1001" i="3"/>
  <c r="P1003" i="3"/>
  <c r="O1003" i="3"/>
  <c r="P834" i="3"/>
  <c r="O834" i="3"/>
  <c r="P838" i="3"/>
  <c r="O838" i="3"/>
  <c r="P837" i="3"/>
  <c r="O837" i="3"/>
  <c r="P836" i="3"/>
  <c r="O836" i="3"/>
  <c r="P835" i="3"/>
  <c r="O835" i="3"/>
  <c r="P2397" i="3"/>
  <c r="O2397" i="3"/>
  <c r="P2394" i="3"/>
  <c r="O2394" i="3"/>
  <c r="P2396" i="3"/>
  <c r="O2396" i="3"/>
  <c r="P2395" i="3"/>
  <c r="O2395" i="3"/>
  <c r="P2391" i="3"/>
  <c r="O2391" i="3"/>
  <c r="P2393" i="3"/>
  <c r="O2393" i="3"/>
  <c r="P2392" i="3"/>
  <c r="O2392" i="3"/>
  <c r="P2390" i="3"/>
  <c r="O2390" i="3"/>
  <c r="P2388" i="3"/>
  <c r="O2388" i="3"/>
  <c r="P2389" i="3"/>
  <c r="O2389" i="3"/>
  <c r="P1025" i="3"/>
  <c r="O1025" i="3"/>
  <c r="P1026" i="3"/>
  <c r="O1026" i="3"/>
  <c r="P1024" i="3"/>
  <c r="O1024" i="3"/>
  <c r="P1023" i="3"/>
  <c r="O1023" i="3"/>
  <c r="P880" i="3"/>
  <c r="O880" i="3"/>
  <c r="P879" i="3"/>
  <c r="O879" i="3"/>
  <c r="P883" i="3"/>
  <c r="O883" i="3"/>
  <c r="P884" i="3"/>
  <c r="O884" i="3"/>
  <c r="P885" i="3"/>
  <c r="O885" i="3"/>
  <c r="P886" i="3"/>
  <c r="O886" i="3"/>
  <c r="P887" i="3"/>
  <c r="O887" i="3"/>
  <c r="P878" i="3"/>
  <c r="O878" i="3"/>
  <c r="P881" i="3"/>
  <c r="O881" i="3"/>
  <c r="P882" i="3"/>
  <c r="O882" i="3"/>
  <c r="P2080" i="3"/>
  <c r="O2080" i="3"/>
  <c r="P2078" i="3"/>
  <c r="O2078" i="3"/>
  <c r="P2077" i="3"/>
  <c r="O2077" i="3"/>
  <c r="P2318" i="3"/>
  <c r="O2318" i="3"/>
  <c r="P2319" i="3"/>
  <c r="O2319" i="3"/>
  <c r="P2317" i="3"/>
  <c r="O2317" i="3"/>
  <c r="P2323" i="3"/>
  <c r="O2323" i="3"/>
  <c r="P2320" i="3"/>
  <c r="O2320" i="3"/>
  <c r="P2324" i="3"/>
  <c r="O2324" i="3"/>
  <c r="P2321" i="3"/>
  <c r="O2321" i="3"/>
  <c r="P2322" i="3"/>
  <c r="O2322" i="3"/>
  <c r="P1009" i="3"/>
  <c r="O1009" i="3"/>
  <c r="P1010" i="3"/>
  <c r="O1010" i="3"/>
  <c r="P1011" i="3"/>
  <c r="O1011" i="3"/>
  <c r="P1575" i="3"/>
  <c r="O1575" i="3"/>
  <c r="P1577" i="3"/>
  <c r="O1577" i="3"/>
  <c r="P1576" i="3"/>
  <c r="O1576" i="3"/>
  <c r="P1574" i="3"/>
  <c r="O1574" i="3"/>
  <c r="P1579" i="3"/>
  <c r="O1579" i="3"/>
  <c r="P1580" i="3"/>
  <c r="O1580" i="3"/>
  <c r="P1578" i="3"/>
  <c r="O1578" i="3"/>
  <c r="P1395" i="3"/>
  <c r="O1395" i="3"/>
  <c r="P1396" i="3"/>
  <c r="O1396" i="3"/>
  <c r="P1397" i="3"/>
  <c r="O1397" i="3"/>
  <c r="P1452" i="3"/>
  <c r="O1452" i="3"/>
  <c r="P1455" i="3"/>
  <c r="O1455" i="3"/>
  <c r="P1454" i="3"/>
  <c r="O1454" i="3"/>
  <c r="P1453" i="3"/>
  <c r="O1453" i="3"/>
  <c r="P1456" i="3"/>
  <c r="O1456" i="3"/>
  <c r="P1989" i="3"/>
  <c r="O1989" i="3"/>
  <c r="P1988" i="3"/>
  <c r="O1988" i="3"/>
  <c r="P1987" i="3"/>
  <c r="O1987" i="3"/>
  <c r="P2020" i="3"/>
  <c r="O2020" i="3"/>
  <c r="P2021" i="3"/>
  <c r="O2021" i="3"/>
  <c r="P2019" i="3"/>
  <c r="O2019" i="3"/>
  <c r="P2022" i="3"/>
  <c r="O2022" i="3"/>
  <c r="P454" i="3"/>
  <c r="O454" i="3"/>
  <c r="P456" i="3"/>
  <c r="O456" i="3"/>
  <c r="P455" i="3"/>
  <c r="O455" i="3"/>
  <c r="P457" i="3"/>
  <c r="O457" i="3"/>
  <c r="P1286" i="3"/>
  <c r="O1286" i="3"/>
  <c r="P1285" i="3"/>
  <c r="O1285" i="3"/>
  <c r="P1284" i="3"/>
  <c r="O1284" i="3"/>
  <c r="P1288" i="3"/>
  <c r="O1288" i="3"/>
  <c r="P1287" i="3"/>
  <c r="O1287" i="3"/>
  <c r="P1848" i="3"/>
  <c r="O1848" i="3"/>
  <c r="P1849" i="3"/>
  <c r="O1849" i="3"/>
  <c r="P1847" i="3"/>
  <c r="O1847" i="3"/>
  <c r="P1846" i="3"/>
  <c r="O1846" i="3"/>
  <c r="P1841" i="3"/>
  <c r="O1841" i="3"/>
  <c r="P1840" i="3"/>
  <c r="O1840" i="3"/>
  <c r="P1842" i="3"/>
  <c r="O1842" i="3"/>
  <c r="P1845" i="3"/>
  <c r="O1845" i="3"/>
  <c r="P1844" i="3"/>
  <c r="O1844" i="3"/>
  <c r="P1839" i="3"/>
  <c r="O1839" i="3"/>
  <c r="P394" i="3"/>
  <c r="O394" i="3"/>
  <c r="P387" i="3"/>
  <c r="O387" i="3"/>
  <c r="P395" i="3"/>
  <c r="O395" i="3"/>
  <c r="P391" i="3"/>
  <c r="O391" i="3"/>
  <c r="P393" i="3"/>
  <c r="O393" i="3"/>
  <c r="P392" i="3"/>
  <c r="O392" i="3"/>
  <c r="P390" i="3"/>
  <c r="O390" i="3"/>
  <c r="P389" i="3"/>
  <c r="O389" i="3"/>
  <c r="P388" i="3"/>
  <c r="O388" i="3"/>
  <c r="P148" i="3"/>
  <c r="O148" i="3"/>
  <c r="P149" i="3"/>
  <c r="O149" i="3"/>
  <c r="P498" i="3"/>
  <c r="O498" i="3"/>
  <c r="P500" i="3"/>
  <c r="O500" i="3"/>
  <c r="P499" i="3"/>
  <c r="O499" i="3"/>
  <c r="P501" i="3"/>
  <c r="O501" i="3"/>
  <c r="P502" i="3"/>
  <c r="O502" i="3"/>
  <c r="P608" i="3"/>
  <c r="O608" i="3"/>
  <c r="P609" i="3"/>
  <c r="O609" i="3"/>
  <c r="P610" i="3"/>
  <c r="O610" i="3"/>
  <c r="P611" i="3"/>
  <c r="O611" i="3"/>
  <c r="P615" i="3"/>
  <c r="O615" i="3"/>
  <c r="P612" i="3"/>
  <c r="O612" i="3"/>
  <c r="P614" i="3"/>
  <c r="O614" i="3"/>
  <c r="P613" i="3"/>
  <c r="O613" i="3"/>
  <c r="P759" i="3"/>
  <c r="O759" i="3"/>
  <c r="P762" i="3"/>
  <c r="O762" i="3"/>
  <c r="P763" i="3"/>
  <c r="O763" i="3"/>
  <c r="P772" i="3"/>
  <c r="O772" i="3"/>
  <c r="P760" i="3"/>
  <c r="O760" i="3"/>
  <c r="P768" i="3"/>
  <c r="O768" i="3"/>
  <c r="P769" i="3"/>
  <c r="O769" i="3"/>
  <c r="P758" i="3"/>
  <c r="O758" i="3"/>
  <c r="P761" i="3"/>
  <c r="O761" i="3"/>
  <c r="P767" i="3"/>
  <c r="O767" i="3"/>
  <c r="P766" i="3"/>
  <c r="O766" i="3"/>
  <c r="P765" i="3"/>
  <c r="O765" i="3"/>
  <c r="P764" i="3"/>
  <c r="O764" i="3"/>
  <c r="P1573" i="3"/>
  <c r="O1573" i="3"/>
  <c r="P1572" i="3"/>
  <c r="O1572" i="3"/>
  <c r="P1569" i="3"/>
  <c r="O1569" i="3"/>
  <c r="P1570" i="3"/>
  <c r="O1570" i="3"/>
  <c r="P1571" i="3"/>
  <c r="O1571" i="3"/>
  <c r="P2165" i="3"/>
  <c r="O2165" i="3"/>
  <c r="P2172" i="3"/>
  <c r="O2172" i="3"/>
  <c r="P2164" i="3"/>
  <c r="O2164" i="3"/>
  <c r="P2173" i="3"/>
  <c r="O2173" i="3"/>
  <c r="P2162" i="3"/>
  <c r="O2162" i="3"/>
  <c r="P2163" i="3"/>
  <c r="O2163" i="3"/>
  <c r="P2170" i="3"/>
  <c r="O2170" i="3"/>
  <c r="P2169" i="3"/>
  <c r="O2169" i="3"/>
  <c r="P2166" i="3"/>
  <c r="O2166" i="3"/>
  <c r="P2171" i="3"/>
  <c r="O2171" i="3"/>
  <c r="P2168" i="3"/>
  <c r="O2168" i="3"/>
  <c r="P2167" i="3"/>
  <c r="O2167" i="3"/>
  <c r="P2316" i="3"/>
  <c r="O2316" i="3"/>
  <c r="P2314" i="3"/>
  <c r="O2314" i="3"/>
  <c r="P2315" i="3"/>
  <c r="O2315" i="3"/>
  <c r="P2311" i="3"/>
  <c r="O2311" i="3"/>
  <c r="P2310" i="3"/>
  <c r="O2310" i="3"/>
  <c r="P2309" i="3"/>
  <c r="O2309" i="3"/>
  <c r="P2312" i="3"/>
  <c r="O2312" i="3"/>
  <c r="P2306" i="3"/>
  <c r="O2306" i="3"/>
  <c r="P2307" i="3"/>
  <c r="O2307" i="3"/>
  <c r="P2305" i="3"/>
  <c r="O2305" i="3"/>
  <c r="P2308" i="3"/>
  <c r="O2308" i="3"/>
  <c r="P1499" i="3"/>
  <c r="O1499" i="3"/>
  <c r="P1493" i="3"/>
  <c r="O1493" i="3"/>
  <c r="P1494" i="3"/>
  <c r="O1494" i="3"/>
  <c r="P1492" i="3"/>
  <c r="O1492" i="3"/>
  <c r="P1495" i="3"/>
  <c r="O1495" i="3"/>
  <c r="P1496" i="3"/>
  <c r="O1496" i="3"/>
  <c r="P1497" i="3"/>
  <c r="O1497" i="3"/>
  <c r="P1498" i="3"/>
  <c r="O1498" i="3"/>
  <c r="P1726" i="3"/>
  <c r="O1726" i="3"/>
  <c r="P1725" i="3"/>
  <c r="O1725" i="3"/>
  <c r="P1724" i="3"/>
  <c r="O1724" i="3"/>
  <c r="P1723" i="3"/>
  <c r="O1723" i="3"/>
  <c r="P1722" i="3"/>
  <c r="O1722" i="3"/>
  <c r="P1721" i="3"/>
  <c r="O1721" i="3"/>
  <c r="P486" i="3"/>
  <c r="O486" i="3"/>
  <c r="P489" i="3"/>
  <c r="O489" i="3"/>
  <c r="P487" i="3"/>
  <c r="O487" i="3"/>
  <c r="P488" i="3"/>
  <c r="O488" i="3"/>
  <c r="P492" i="3"/>
  <c r="O492" i="3"/>
  <c r="P490" i="3"/>
  <c r="O490" i="3"/>
  <c r="P491" i="3"/>
  <c r="O491" i="3"/>
  <c r="P569" i="3"/>
  <c r="O569" i="3"/>
  <c r="P568" i="3"/>
  <c r="O568" i="3"/>
  <c r="P567" i="3"/>
  <c r="O567" i="3"/>
  <c r="P1099" i="3"/>
  <c r="O1099" i="3"/>
  <c r="P1094" i="3"/>
  <c r="O1094" i="3"/>
  <c r="P1093" i="3"/>
  <c r="O1093" i="3"/>
  <c r="P1096" i="3"/>
  <c r="O1096" i="3"/>
  <c r="P1095" i="3"/>
  <c r="O1095" i="3"/>
  <c r="P1098" i="3"/>
  <c r="O1098" i="3"/>
  <c r="P1097" i="3"/>
  <c r="O1097" i="3"/>
  <c r="P1367" i="3"/>
  <c r="O1367" i="3"/>
  <c r="P1364" i="3"/>
  <c r="O1364" i="3"/>
  <c r="P1365" i="3"/>
  <c r="O1365" i="3"/>
  <c r="P1366" i="3"/>
  <c r="O1366" i="3"/>
  <c r="P1368" i="3"/>
  <c r="O1368" i="3"/>
  <c r="P2461" i="3"/>
  <c r="O2461" i="3"/>
  <c r="P2467" i="3"/>
  <c r="O2467" i="3"/>
  <c r="P2464" i="3"/>
  <c r="O2464" i="3"/>
  <c r="P2463" i="3"/>
  <c r="O2463" i="3"/>
  <c r="P2462" i="3"/>
  <c r="O2462" i="3"/>
  <c r="P2466" i="3"/>
  <c r="O2466" i="3"/>
  <c r="P2460" i="3"/>
  <c r="O2460" i="3"/>
  <c r="P2465" i="3"/>
  <c r="O2465" i="3"/>
  <c r="P399" i="3"/>
  <c r="O399" i="3"/>
  <c r="P396" i="3"/>
  <c r="O396" i="3"/>
  <c r="P400" i="3"/>
  <c r="O400" i="3"/>
  <c r="P398" i="3"/>
  <c r="O398" i="3"/>
  <c r="P397" i="3"/>
  <c r="O397" i="3"/>
  <c r="P404" i="3"/>
  <c r="O404" i="3"/>
  <c r="P401" i="3"/>
  <c r="O401" i="3"/>
  <c r="P403" i="3"/>
  <c r="O403" i="3"/>
  <c r="P402" i="3"/>
  <c r="O402" i="3"/>
  <c r="P180" i="3"/>
  <c r="O180" i="3"/>
  <c r="P179" i="3"/>
  <c r="O179" i="3"/>
  <c r="P181" i="3"/>
  <c r="O181" i="3"/>
  <c r="P178" i="3"/>
  <c r="O178" i="3"/>
  <c r="P192" i="3"/>
  <c r="O192" i="3"/>
  <c r="P193" i="3"/>
  <c r="O193" i="3"/>
  <c r="P194" i="3"/>
  <c r="O194" i="3"/>
  <c r="P190" i="3"/>
  <c r="O190" i="3"/>
  <c r="P191" i="3"/>
  <c r="O191" i="3"/>
  <c r="P198" i="3"/>
  <c r="O198" i="3"/>
  <c r="P197" i="3"/>
  <c r="O197" i="3"/>
  <c r="P196" i="3"/>
  <c r="O196" i="3"/>
  <c r="P195" i="3"/>
  <c r="O195" i="3"/>
  <c r="P205" i="3"/>
  <c r="O205" i="3"/>
  <c r="P187" i="3"/>
  <c r="O187" i="3"/>
  <c r="P176" i="3"/>
  <c r="O176" i="3"/>
  <c r="P175" i="3"/>
  <c r="O175" i="3"/>
  <c r="P177" i="3"/>
  <c r="O177" i="3"/>
  <c r="P172" i="3"/>
  <c r="O172" i="3"/>
  <c r="P174" i="3"/>
  <c r="O174" i="3"/>
  <c r="P173" i="3"/>
  <c r="O173" i="3"/>
  <c r="P183" i="3"/>
  <c r="O183" i="3"/>
  <c r="P184" i="3"/>
  <c r="O184" i="3"/>
  <c r="P182" i="3"/>
  <c r="O182" i="3"/>
  <c r="P185" i="3"/>
  <c r="O185" i="3"/>
  <c r="P189" i="3"/>
  <c r="O189" i="3"/>
  <c r="P188" i="3"/>
  <c r="O188" i="3"/>
  <c r="P186" i="3"/>
  <c r="O186" i="3"/>
  <c r="P203" i="3"/>
  <c r="O203" i="3"/>
  <c r="P204" i="3"/>
  <c r="O204" i="3"/>
  <c r="P171" i="3"/>
  <c r="O171" i="3"/>
  <c r="P199" i="3"/>
  <c r="O199" i="3"/>
  <c r="P201" i="3"/>
  <c r="O201" i="3"/>
  <c r="P200" i="3"/>
  <c r="O200" i="3"/>
  <c r="P202" i="3"/>
  <c r="O202" i="3"/>
  <c r="P2448" i="3"/>
  <c r="O2448" i="3"/>
  <c r="P2449" i="3"/>
  <c r="O2449" i="3"/>
  <c r="P2450" i="3"/>
  <c r="O2450" i="3"/>
  <c r="P358" i="3"/>
  <c r="O358" i="3"/>
  <c r="P357" i="3"/>
  <c r="O357" i="3"/>
  <c r="P359" i="3"/>
  <c r="O359" i="3"/>
  <c r="P648" i="3"/>
  <c r="O648" i="3"/>
  <c r="P646" i="3"/>
  <c r="O646" i="3"/>
  <c r="P647" i="3"/>
  <c r="O647" i="3"/>
  <c r="P167" i="3"/>
  <c r="O167" i="3"/>
  <c r="P168" i="3"/>
  <c r="O168" i="3"/>
  <c r="P166" i="3"/>
  <c r="O166" i="3"/>
  <c r="P165" i="3"/>
  <c r="O165" i="3"/>
  <c r="P170" i="3"/>
  <c r="O170" i="3"/>
  <c r="P1693" i="3"/>
  <c r="O1693" i="3"/>
  <c r="P1694" i="3"/>
  <c r="O1694" i="3"/>
  <c r="P452" i="3"/>
  <c r="O452" i="3"/>
  <c r="P451" i="3"/>
  <c r="O451" i="3"/>
  <c r="P450" i="3"/>
  <c r="O450" i="3"/>
  <c r="P449" i="3"/>
  <c r="O449" i="3"/>
  <c r="P448" i="3"/>
  <c r="O448" i="3"/>
  <c r="P447" i="3"/>
  <c r="O447" i="3"/>
  <c r="P2012" i="3"/>
  <c r="O2012" i="3"/>
  <c r="P2011" i="3"/>
  <c r="O2011" i="3"/>
  <c r="P2010" i="3"/>
  <c r="O2010" i="3"/>
  <c r="P2453" i="3"/>
  <c r="O2453" i="3"/>
  <c r="P2455" i="3"/>
  <c r="O2455" i="3"/>
  <c r="P2454" i="3"/>
  <c r="O2454" i="3"/>
  <c r="P1067" i="3"/>
  <c r="O1067" i="3"/>
  <c r="P1068" i="3"/>
  <c r="O1068" i="3"/>
  <c r="P1064" i="3"/>
  <c r="O1064" i="3"/>
  <c r="P1066" i="3"/>
  <c r="O1066" i="3"/>
  <c r="P1065" i="3"/>
  <c r="O1065" i="3"/>
  <c r="P1063" i="3"/>
  <c r="O1063" i="3"/>
  <c r="P1929" i="3"/>
  <c r="O1929" i="3"/>
  <c r="P1160" i="3"/>
  <c r="O1160" i="3"/>
  <c r="P1161" i="3"/>
  <c r="O1161" i="3"/>
  <c r="P1042" i="3"/>
  <c r="O1042" i="3"/>
  <c r="P1040" i="3"/>
  <c r="O1040" i="3"/>
  <c r="P1041" i="3"/>
  <c r="O1041" i="3"/>
  <c r="P627" i="3"/>
  <c r="O627" i="3"/>
  <c r="P621" i="3"/>
  <c r="O621" i="3"/>
  <c r="P624" i="3"/>
  <c r="O624" i="3"/>
  <c r="P623" i="3"/>
  <c r="O623" i="3"/>
  <c r="P622" i="3"/>
  <c r="O622" i="3"/>
  <c r="P626" i="3"/>
  <c r="O626" i="3"/>
  <c r="P625" i="3"/>
  <c r="O625" i="3"/>
  <c r="P75" i="3"/>
  <c r="O75" i="3"/>
  <c r="P83" i="3"/>
  <c r="O83" i="3"/>
  <c r="P81" i="3"/>
  <c r="O81" i="3"/>
  <c r="P79" i="3"/>
  <c r="O79" i="3"/>
  <c r="P77" i="3"/>
  <c r="O77" i="3"/>
  <c r="P76" i="3"/>
  <c r="O76" i="3"/>
  <c r="P82" i="3"/>
  <c r="O82" i="3"/>
  <c r="P80" i="3"/>
  <c r="O80" i="3"/>
  <c r="P78" i="3"/>
  <c r="O78" i="3"/>
  <c r="P84" i="3"/>
  <c r="O84" i="3"/>
  <c r="P74" i="3"/>
  <c r="O74" i="3"/>
  <c r="P73" i="3"/>
  <c r="O73" i="3"/>
  <c r="P1843" i="3"/>
  <c r="O1843" i="3"/>
  <c r="P2313" i="3"/>
  <c r="O2313" i="3"/>
  <c r="P840" i="3"/>
  <c r="O840" i="3"/>
  <c r="P839" i="3"/>
  <c r="O839" i="3"/>
  <c r="P147" i="3"/>
  <c r="O147" i="3"/>
  <c r="P146" i="3"/>
  <c r="O146" i="3"/>
  <c r="P770" i="3"/>
  <c r="O770" i="3"/>
  <c r="P771" i="3"/>
  <c r="O771" i="3"/>
  <c r="P1828" i="3"/>
  <c r="O1828" i="3"/>
  <c r="P1836" i="3"/>
  <c r="O1836" i="3"/>
  <c r="P1833" i="3"/>
  <c r="O1833" i="3"/>
  <c r="P1834" i="3"/>
  <c r="O1834" i="3"/>
  <c r="P1830" i="3"/>
  <c r="O1830" i="3"/>
  <c r="P1829" i="3"/>
  <c r="O1829" i="3"/>
  <c r="P1835" i="3"/>
  <c r="O1835" i="3"/>
  <c r="P1825" i="3"/>
  <c r="O1825" i="3"/>
  <c r="P1823" i="3"/>
  <c r="O1823" i="3"/>
  <c r="P1831" i="3"/>
  <c r="O1831" i="3"/>
  <c r="P1826" i="3"/>
  <c r="O1826" i="3"/>
  <c r="P1827" i="3"/>
  <c r="O1827" i="3"/>
  <c r="P1832" i="3"/>
  <c r="O1832" i="3"/>
  <c r="P1824" i="3"/>
  <c r="O1824" i="3"/>
  <c r="P145" i="3"/>
  <c r="O145" i="3"/>
  <c r="P779" i="3"/>
  <c r="O779" i="3"/>
  <c r="P785" i="3"/>
  <c r="O785" i="3"/>
  <c r="P778" i="3"/>
  <c r="O778" i="3"/>
  <c r="P784" i="3"/>
  <c r="O784" i="3"/>
  <c r="P782" i="3"/>
  <c r="O782" i="3"/>
  <c r="P783" i="3"/>
  <c r="O783" i="3"/>
  <c r="P780" i="3"/>
  <c r="O780" i="3"/>
  <c r="P781" i="3"/>
  <c r="O781" i="3"/>
  <c r="P2335" i="3"/>
  <c r="O2335" i="3"/>
  <c r="P2334" i="3"/>
  <c r="O2334" i="3"/>
  <c r="P2333" i="3"/>
  <c r="O2333" i="3"/>
  <c r="P2337" i="3"/>
  <c r="O2337" i="3"/>
  <c r="P2336" i="3"/>
  <c r="O2336" i="3"/>
  <c r="P2013" i="3"/>
  <c r="O2013" i="3"/>
  <c r="P2015" i="3"/>
  <c r="O2015" i="3"/>
  <c r="P2016" i="3"/>
  <c r="O2016" i="3"/>
  <c r="P2017" i="3"/>
  <c r="O2017" i="3"/>
  <c r="P2014" i="3"/>
  <c r="O2014" i="3"/>
  <c r="P1445" i="3"/>
  <c r="O1445" i="3"/>
  <c r="P1447" i="3"/>
  <c r="O1447" i="3"/>
  <c r="P823" i="3"/>
  <c r="O823" i="3"/>
  <c r="P825" i="3"/>
  <c r="O825" i="3"/>
  <c r="P830" i="3"/>
  <c r="O830" i="3"/>
  <c r="P828" i="3"/>
  <c r="O828" i="3"/>
  <c r="P832" i="3"/>
  <c r="O832" i="3"/>
  <c r="P826" i="3"/>
  <c r="O826" i="3"/>
  <c r="P824" i="3"/>
  <c r="O824" i="3"/>
  <c r="P1688" i="3"/>
  <c r="O1688" i="3"/>
  <c r="P1689" i="3"/>
  <c r="O1689" i="3"/>
  <c r="P2291" i="3"/>
  <c r="O2291" i="3"/>
  <c r="P2294" i="3"/>
  <c r="O2294" i="3"/>
  <c r="P2296" i="3"/>
  <c r="O2296" i="3"/>
  <c r="P2292" i="3"/>
  <c r="O2292" i="3"/>
  <c r="P2293" i="3"/>
  <c r="O2293" i="3"/>
  <c r="P2295" i="3"/>
  <c r="O2295" i="3"/>
  <c r="P436" i="3"/>
  <c r="O436" i="3"/>
  <c r="P431" i="3"/>
  <c r="O431" i="3"/>
  <c r="P434" i="3"/>
  <c r="O434" i="3"/>
  <c r="P433" i="3"/>
  <c r="O433" i="3"/>
  <c r="P435" i="3"/>
  <c r="O435" i="3"/>
  <c r="P432" i="3"/>
  <c r="O432" i="3"/>
  <c r="P443" i="3"/>
  <c r="O443" i="3"/>
  <c r="P444" i="3"/>
  <c r="O444" i="3"/>
  <c r="P440" i="3"/>
  <c r="O440" i="3"/>
  <c r="P441" i="3"/>
  <c r="O441" i="3"/>
  <c r="P439" i="3"/>
  <c r="O439" i="3"/>
  <c r="P437" i="3"/>
  <c r="O437" i="3"/>
  <c r="P438" i="3"/>
  <c r="O438" i="3"/>
  <c r="P442" i="3"/>
  <c r="O442" i="3"/>
  <c r="P123" i="3"/>
  <c r="O123" i="3"/>
  <c r="P122" i="3"/>
  <c r="O122" i="3"/>
  <c r="P121" i="3"/>
  <c r="O121" i="3"/>
  <c r="P120" i="3"/>
  <c r="O120" i="3"/>
  <c r="P124" i="3"/>
  <c r="O124" i="3"/>
  <c r="P127" i="3"/>
  <c r="O127" i="3"/>
  <c r="P128" i="3"/>
  <c r="O128" i="3"/>
  <c r="P125" i="3"/>
  <c r="O125" i="3"/>
  <c r="P119" i="3"/>
  <c r="O119" i="3"/>
  <c r="P126" i="3"/>
  <c r="O126" i="3"/>
  <c r="P1216" i="3"/>
  <c r="O1216" i="3"/>
  <c r="P1214" i="3"/>
  <c r="O1214" i="3"/>
  <c r="P2274" i="3"/>
  <c r="O2274" i="3"/>
  <c r="P2282" i="3"/>
  <c r="O2282" i="3"/>
  <c r="P2277" i="3"/>
  <c r="O2277" i="3"/>
  <c r="P2290" i="3"/>
  <c r="O2290" i="3"/>
  <c r="P2289" i="3"/>
  <c r="O2289" i="3"/>
  <c r="P2287" i="3"/>
  <c r="O2287" i="3"/>
  <c r="P2286" i="3"/>
  <c r="O2286" i="3"/>
  <c r="P2288" i="3"/>
  <c r="O2288" i="3"/>
  <c r="P2271" i="3"/>
  <c r="O2271" i="3"/>
  <c r="P2273" i="3"/>
  <c r="O2273" i="3"/>
  <c r="P2272" i="3"/>
  <c r="O2272" i="3"/>
  <c r="P2276" i="3"/>
  <c r="O2276" i="3"/>
  <c r="P2275" i="3"/>
  <c r="O2275" i="3"/>
  <c r="P2280" i="3"/>
  <c r="O2280" i="3"/>
  <c r="P2284" i="3"/>
  <c r="O2284" i="3"/>
  <c r="P2283" i="3"/>
  <c r="O2283" i="3"/>
  <c r="P2279" i="3"/>
  <c r="O2279" i="3"/>
  <c r="P2281" i="3"/>
  <c r="O2281" i="3"/>
  <c r="P2285" i="3"/>
  <c r="O2285" i="3"/>
  <c r="P2278" i="3"/>
  <c r="O2278" i="3"/>
  <c r="P21" i="3"/>
  <c r="O21" i="3"/>
  <c r="P19" i="3"/>
  <c r="O19" i="3"/>
  <c r="P20" i="3"/>
  <c r="O20" i="3"/>
  <c r="P28" i="3"/>
  <c r="O28" i="3"/>
  <c r="P30" i="3"/>
  <c r="O30" i="3"/>
  <c r="P29" i="3"/>
  <c r="O29" i="3"/>
  <c r="P31" i="3"/>
  <c r="O31" i="3"/>
  <c r="P22" i="3"/>
  <c r="O22" i="3"/>
  <c r="P17" i="3"/>
  <c r="O17" i="3"/>
  <c r="P23" i="3"/>
  <c r="O23" i="3"/>
  <c r="P18" i="3"/>
  <c r="O18" i="3"/>
  <c r="P27" i="3"/>
  <c r="O27" i="3"/>
  <c r="P26" i="3"/>
  <c r="O26" i="3"/>
  <c r="P24" i="3"/>
  <c r="O24" i="3"/>
  <c r="P25" i="3"/>
  <c r="O25" i="3"/>
  <c r="P1890" i="3"/>
  <c r="O1890" i="3"/>
  <c r="P1888" i="3"/>
  <c r="O1888" i="3"/>
  <c r="P1887" i="3"/>
  <c r="O1887" i="3"/>
  <c r="P1886" i="3"/>
  <c r="O1886" i="3"/>
  <c r="P1877" i="3"/>
  <c r="O1877" i="3"/>
  <c r="P1878" i="3"/>
  <c r="O1878" i="3"/>
  <c r="P1879" i="3"/>
  <c r="O1879" i="3"/>
  <c r="P1880" i="3"/>
  <c r="O1880" i="3"/>
  <c r="P1881" i="3"/>
  <c r="O1881" i="3"/>
  <c r="P1882" i="3"/>
  <c r="O1882" i="3"/>
  <c r="P1891" i="3"/>
  <c r="O1891" i="3"/>
  <c r="P1889" i="3"/>
  <c r="O1889" i="3"/>
  <c r="P1884" i="3"/>
  <c r="O1884" i="3"/>
  <c r="P1885" i="3"/>
  <c r="O1885" i="3"/>
  <c r="P1883" i="3"/>
  <c r="O1883" i="3"/>
  <c r="P1876" i="3"/>
  <c r="O1876" i="3"/>
  <c r="P160" i="3"/>
  <c r="O160" i="3"/>
  <c r="P162" i="3"/>
  <c r="O162" i="3"/>
  <c r="P159" i="3"/>
  <c r="O159" i="3"/>
  <c r="P161" i="3"/>
  <c r="O161" i="3"/>
  <c r="P152" i="3"/>
  <c r="O152" i="3"/>
  <c r="P153" i="3"/>
  <c r="O153" i="3"/>
  <c r="P154" i="3"/>
  <c r="O154" i="3"/>
  <c r="P163" i="3"/>
  <c r="O163" i="3"/>
  <c r="P164" i="3"/>
  <c r="O164" i="3"/>
  <c r="P156" i="3"/>
  <c r="O156" i="3"/>
  <c r="P155" i="3"/>
  <c r="O155" i="3"/>
  <c r="P157" i="3"/>
  <c r="O157" i="3"/>
  <c r="P158" i="3"/>
  <c r="O158" i="3"/>
  <c r="P1859" i="3"/>
  <c r="O1859" i="3"/>
  <c r="P1860" i="3"/>
  <c r="O1860" i="3"/>
  <c r="P1857" i="3"/>
  <c r="O1857" i="3"/>
  <c r="P1858" i="3"/>
  <c r="O1858" i="3"/>
  <c r="P1856" i="3"/>
  <c r="O1856" i="3"/>
  <c r="P1861" i="3"/>
  <c r="O1861" i="3"/>
  <c r="P1862" i="3"/>
  <c r="O1862" i="3"/>
  <c r="P1863" i="3"/>
  <c r="O1863" i="3"/>
  <c r="P1185" i="3"/>
  <c r="O1185" i="3"/>
  <c r="P1183" i="3"/>
  <c r="O1183" i="3"/>
  <c r="P1184" i="3"/>
  <c r="O1184" i="3"/>
  <c r="P1180" i="3"/>
  <c r="O1180" i="3"/>
  <c r="P1182" i="3"/>
  <c r="O1182" i="3"/>
  <c r="P1181" i="3"/>
  <c r="O1181" i="3"/>
  <c r="P1179" i="3"/>
  <c r="O1179" i="3"/>
  <c r="P1178" i="3"/>
  <c r="O1178" i="3"/>
  <c r="P68" i="3"/>
  <c r="O68" i="3"/>
  <c r="P67" i="3"/>
  <c r="O67" i="3"/>
  <c r="P66" i="3"/>
  <c r="O66" i="3"/>
  <c r="P62" i="3"/>
  <c r="O62" i="3"/>
  <c r="P61" i="3"/>
  <c r="O61" i="3"/>
  <c r="P64" i="3"/>
  <c r="O64" i="3"/>
  <c r="P70" i="3"/>
  <c r="O70" i="3"/>
  <c r="P65" i="3"/>
  <c r="O65" i="3"/>
  <c r="P63" i="3"/>
  <c r="O63" i="3"/>
  <c r="P69" i="3"/>
  <c r="O69" i="3"/>
  <c r="P903" i="3"/>
  <c r="O903" i="3"/>
  <c r="P904" i="3"/>
  <c r="O904" i="3"/>
  <c r="P905" i="3"/>
  <c r="O905" i="3"/>
  <c r="P1893" i="3"/>
  <c r="O1893" i="3"/>
  <c r="P1894" i="3"/>
  <c r="O1894" i="3"/>
  <c r="P1906" i="3"/>
  <c r="O1906" i="3"/>
  <c r="P1898" i="3"/>
  <c r="O1898" i="3"/>
  <c r="P1899" i="3"/>
  <c r="O1899" i="3"/>
  <c r="P1905" i="3"/>
  <c r="O1905" i="3"/>
  <c r="P1900" i="3"/>
  <c r="O1900" i="3"/>
  <c r="P1904" i="3"/>
  <c r="O1904" i="3"/>
  <c r="P1903" i="3"/>
  <c r="O1903" i="3"/>
  <c r="P1897" i="3"/>
  <c r="O1897" i="3"/>
  <c r="P1895" i="3"/>
  <c r="O1895" i="3"/>
  <c r="P1902" i="3"/>
  <c r="O1902" i="3"/>
  <c r="P1901" i="3"/>
  <c r="O1901" i="3"/>
  <c r="P1896" i="3"/>
  <c r="O1896" i="3"/>
  <c r="P2018" i="3"/>
  <c r="O2018" i="3"/>
  <c r="P565" i="3"/>
  <c r="O565" i="3"/>
  <c r="P559" i="3"/>
  <c r="O559" i="3"/>
  <c r="P561" i="3"/>
  <c r="O561" i="3"/>
  <c r="P562" i="3"/>
  <c r="O562" i="3"/>
  <c r="P560" i="3"/>
  <c r="O560" i="3"/>
  <c r="P563" i="3"/>
  <c r="O563" i="3"/>
  <c r="P564" i="3"/>
  <c r="O564" i="3"/>
  <c r="P1081" i="3"/>
  <c r="O1081" i="3"/>
  <c r="P1077" i="3"/>
  <c r="O1077" i="3"/>
  <c r="P1085" i="3"/>
  <c r="O1085" i="3"/>
  <c r="P1084" i="3"/>
  <c r="O1084" i="3"/>
  <c r="P1079" i="3"/>
  <c r="O1079" i="3"/>
  <c r="P1080" i="3"/>
  <c r="O1080" i="3"/>
  <c r="P1083" i="3"/>
  <c r="O1083" i="3"/>
  <c r="P1086" i="3"/>
  <c r="O1086" i="3"/>
  <c r="P1078" i="3"/>
  <c r="O1078" i="3"/>
  <c r="P1082" i="3"/>
  <c r="O1082" i="3"/>
  <c r="P2378" i="3"/>
  <c r="O2378" i="3"/>
  <c r="P2380" i="3"/>
  <c r="O2380" i="3"/>
  <c r="P2381" i="3"/>
  <c r="O2381" i="3"/>
  <c r="P2379" i="3"/>
  <c r="O2379" i="3"/>
  <c r="P2382" i="3"/>
  <c r="O2382" i="3"/>
  <c r="P630" i="3"/>
  <c r="O630" i="3"/>
  <c r="P629" i="3"/>
  <c r="O629" i="3"/>
  <c r="P633" i="3"/>
  <c r="O633" i="3"/>
  <c r="P631" i="3"/>
  <c r="O631" i="3"/>
  <c r="P628" i="3"/>
  <c r="O628" i="3"/>
  <c r="P632" i="3"/>
  <c r="O632" i="3"/>
  <c r="P1684" i="3"/>
  <c r="O1684" i="3"/>
  <c r="P1682" i="3"/>
  <c r="O1682" i="3"/>
  <c r="P1685" i="3"/>
  <c r="O1685" i="3"/>
  <c r="P1683" i="3"/>
  <c r="O1683" i="3"/>
  <c r="P1681" i="3"/>
  <c r="O1681" i="3"/>
  <c r="P1680" i="3"/>
  <c r="O1680" i="3"/>
  <c r="P257" i="3"/>
  <c r="O257" i="3"/>
  <c r="P245" i="3"/>
  <c r="O245" i="3"/>
  <c r="P260" i="3"/>
  <c r="O260" i="3"/>
  <c r="P240" i="3"/>
  <c r="O240" i="3"/>
  <c r="P265" i="3"/>
  <c r="O265" i="3"/>
  <c r="P261" i="3"/>
  <c r="O261" i="3"/>
  <c r="P238" i="3"/>
  <c r="O238" i="3"/>
  <c r="P258" i="3"/>
  <c r="O258" i="3"/>
  <c r="P259" i="3"/>
  <c r="O259" i="3"/>
  <c r="P243" i="3"/>
  <c r="O243" i="3"/>
  <c r="P256" i="3"/>
  <c r="O256" i="3"/>
  <c r="P254" i="3"/>
  <c r="O254" i="3"/>
  <c r="P255" i="3"/>
  <c r="O255" i="3"/>
  <c r="P252" i="3"/>
  <c r="O252" i="3"/>
  <c r="P244" i="3"/>
  <c r="O244" i="3"/>
  <c r="P246" i="3"/>
  <c r="O246" i="3"/>
  <c r="P251" i="3"/>
  <c r="O251" i="3"/>
  <c r="P263" i="3"/>
  <c r="O263" i="3"/>
  <c r="P262" i="3"/>
  <c r="O262" i="3"/>
  <c r="P264" i="3"/>
  <c r="O264" i="3"/>
  <c r="P241" i="3"/>
  <c r="O241" i="3"/>
  <c r="P242" i="3"/>
  <c r="O242" i="3"/>
  <c r="P253" i="3"/>
  <c r="O253" i="3"/>
  <c r="P250" i="3"/>
  <c r="O250" i="3"/>
  <c r="P247" i="3"/>
  <c r="O247" i="3"/>
  <c r="P249" i="3"/>
  <c r="O249" i="3"/>
  <c r="P248" i="3"/>
  <c r="O248" i="3"/>
  <c r="P236" i="3"/>
  <c r="O236" i="3"/>
  <c r="P239" i="3"/>
  <c r="O239" i="3"/>
  <c r="P237" i="3"/>
  <c r="O237" i="3"/>
  <c r="P269" i="3"/>
  <c r="O269" i="3"/>
  <c r="P270" i="3"/>
  <c r="O270" i="3"/>
  <c r="P272" i="3"/>
  <c r="O272" i="3"/>
  <c r="P266" i="3"/>
  <c r="O266" i="3"/>
  <c r="P271" i="3"/>
  <c r="O271" i="3"/>
  <c r="P267" i="3"/>
  <c r="O267" i="3"/>
  <c r="P268" i="3"/>
  <c r="O268" i="3"/>
  <c r="P1449" i="3"/>
  <c r="O1449" i="3"/>
  <c r="P1450" i="3"/>
  <c r="O1450" i="3"/>
  <c r="P1444" i="3"/>
  <c r="O1444" i="3"/>
  <c r="P2338" i="3"/>
  <c r="O2338" i="3"/>
  <c r="P2344" i="3"/>
  <c r="O2344" i="3"/>
  <c r="P2345" i="3"/>
  <c r="O2345" i="3"/>
  <c r="P2342" i="3"/>
  <c r="O2342" i="3"/>
  <c r="P2347" i="3"/>
  <c r="O2347" i="3"/>
  <c r="P2339" i="3"/>
  <c r="O2339" i="3"/>
  <c r="P2340" i="3"/>
  <c r="O2340" i="3"/>
  <c r="P2341" i="3"/>
  <c r="O2341" i="3"/>
  <c r="P2343" i="3"/>
  <c r="O2343" i="3"/>
  <c r="P2346" i="3"/>
  <c r="O2346" i="3"/>
  <c r="P89" i="3"/>
  <c r="O89" i="3"/>
  <c r="P87" i="3"/>
  <c r="O87" i="3"/>
  <c r="P90" i="3"/>
  <c r="O90" i="3"/>
  <c r="P88" i="3"/>
  <c r="O88" i="3"/>
  <c r="P86" i="3"/>
  <c r="O86" i="3"/>
  <c r="P95" i="3"/>
  <c r="O95" i="3"/>
  <c r="P91" i="3"/>
  <c r="O91" i="3"/>
  <c r="P92" i="3"/>
  <c r="O92" i="3"/>
  <c r="P94" i="3"/>
  <c r="O94" i="3"/>
  <c r="P93" i="3"/>
  <c r="O93" i="3"/>
  <c r="P97" i="3"/>
  <c r="O97" i="3"/>
  <c r="P96" i="3"/>
  <c r="O96" i="3"/>
  <c r="P219" i="3"/>
  <c r="O219" i="3"/>
  <c r="P212" i="3"/>
  <c r="O212" i="3"/>
  <c r="P218" i="3"/>
  <c r="O218" i="3"/>
  <c r="P213" i="3"/>
  <c r="O213" i="3"/>
  <c r="P217" i="3"/>
  <c r="O217" i="3"/>
  <c r="P214" i="3"/>
  <c r="O214" i="3"/>
  <c r="P209" i="3"/>
  <c r="O209" i="3"/>
  <c r="P210" i="3"/>
  <c r="O210" i="3"/>
  <c r="P208" i="3"/>
  <c r="O208" i="3"/>
  <c r="P211" i="3"/>
  <c r="O211" i="3"/>
  <c r="P216" i="3"/>
  <c r="O216" i="3"/>
  <c r="P215" i="3"/>
  <c r="O215" i="3"/>
  <c r="P207" i="3"/>
  <c r="O207" i="3"/>
  <c r="P1304" i="3"/>
  <c r="O1304" i="3"/>
  <c r="P1302" i="3"/>
  <c r="O1302" i="3"/>
  <c r="P1305" i="3"/>
  <c r="O1305" i="3"/>
  <c r="P1303" i="3"/>
  <c r="O1303" i="3"/>
  <c r="P1301" i="3"/>
  <c r="O1301" i="3"/>
  <c r="P1645" i="3"/>
  <c r="O1645" i="3"/>
  <c r="P1643" i="3"/>
  <c r="O1643" i="3"/>
  <c r="P1676" i="3"/>
  <c r="O1676" i="3"/>
  <c r="P1678" i="3"/>
  <c r="O1678" i="3"/>
  <c r="P1674" i="3"/>
  <c r="O1674" i="3"/>
  <c r="P1737" i="3"/>
  <c r="O1737" i="3"/>
  <c r="P1735" i="3"/>
  <c r="O1735" i="3"/>
  <c r="P1736" i="3"/>
  <c r="O1736" i="3"/>
  <c r="P413" i="3"/>
  <c r="O413" i="3"/>
  <c r="P412" i="3"/>
  <c r="O412" i="3"/>
  <c r="P411" i="3"/>
  <c r="O411" i="3"/>
  <c r="P724" i="3"/>
  <c r="O724" i="3"/>
  <c r="P723" i="3"/>
  <c r="O723" i="3"/>
  <c r="P722" i="3"/>
  <c r="O722" i="3"/>
  <c r="P725" i="3"/>
  <c r="O725" i="3"/>
  <c r="P1103" i="3"/>
  <c r="O1103" i="3"/>
  <c r="P1102" i="3"/>
  <c r="O1102" i="3"/>
  <c r="P1107" i="3"/>
  <c r="O1107" i="3"/>
  <c r="P1106" i="3"/>
  <c r="O1106" i="3"/>
  <c r="P1105" i="3"/>
  <c r="O1105" i="3"/>
  <c r="P1104" i="3"/>
  <c r="O1104" i="3"/>
  <c r="P72" i="3"/>
  <c r="O72" i="3"/>
  <c r="P71" i="3"/>
  <c r="O71" i="3"/>
  <c r="P1982" i="3"/>
  <c r="O1982" i="3"/>
  <c r="P1984" i="3"/>
  <c r="O1984" i="3"/>
  <c r="P1968" i="3"/>
  <c r="O1968" i="3"/>
  <c r="P1966" i="3"/>
  <c r="O1966" i="3"/>
  <c r="P1963" i="3"/>
  <c r="O1963" i="3"/>
  <c r="P1965" i="3"/>
  <c r="O1965" i="3"/>
  <c r="P1980" i="3"/>
  <c r="O1980" i="3"/>
  <c r="P1981" i="3"/>
  <c r="O1981" i="3"/>
  <c r="P1972" i="3"/>
  <c r="O1972" i="3"/>
  <c r="P1967" i="3"/>
  <c r="O1967" i="3"/>
  <c r="P1961" i="3"/>
  <c r="O1961" i="3"/>
  <c r="P1960" i="3"/>
  <c r="O1960" i="3"/>
  <c r="P1970" i="3"/>
  <c r="O1970" i="3"/>
  <c r="P1971" i="3"/>
  <c r="O1971" i="3"/>
  <c r="P1962" i="3"/>
  <c r="O1962" i="3"/>
  <c r="P1983" i="3"/>
  <c r="O1983" i="3"/>
  <c r="P1969" i="3"/>
  <c r="O1969" i="3"/>
  <c r="P1964" i="3"/>
  <c r="O1964" i="3"/>
  <c r="P1978" i="3"/>
  <c r="O1978" i="3"/>
  <c r="P1976" i="3"/>
  <c r="O1976" i="3"/>
  <c r="P1974" i="3"/>
  <c r="O1974" i="3"/>
  <c r="P1979" i="3"/>
  <c r="O1979" i="3"/>
  <c r="P1975" i="3"/>
  <c r="O1975" i="3"/>
  <c r="P1977" i="3"/>
  <c r="O1977" i="3"/>
  <c r="P1973" i="3"/>
  <c r="O1973" i="3"/>
  <c r="P1242" i="3"/>
  <c r="O1242" i="3"/>
  <c r="P1375" i="3"/>
  <c r="O1375" i="3"/>
  <c r="P11" i="3"/>
  <c r="O11" i="3"/>
  <c r="P32" i="3"/>
  <c r="O32" i="3"/>
  <c r="P505" i="3"/>
  <c r="O505" i="3"/>
  <c r="P503" i="3"/>
  <c r="O503" i="3"/>
  <c r="P509" i="3"/>
  <c r="O509" i="3"/>
  <c r="P507" i="3"/>
  <c r="O507" i="3"/>
  <c r="P1461" i="3"/>
  <c r="O1461" i="3"/>
  <c r="P1392" i="3"/>
  <c r="O1392" i="3"/>
  <c r="P1391" i="3"/>
  <c r="O1391" i="3"/>
  <c r="P2116" i="3"/>
  <c r="O2116" i="3"/>
  <c r="P2029" i="3"/>
  <c r="O2029" i="3"/>
  <c r="P2027" i="3"/>
  <c r="O2027" i="3"/>
  <c r="P2505" i="3"/>
  <c r="O2505" i="3"/>
  <c r="P2112" i="3"/>
  <c r="O2112" i="3"/>
  <c r="P2115" i="3"/>
  <c r="O2115" i="3"/>
  <c r="P2113" i="3"/>
  <c r="O2113" i="3"/>
  <c r="P2114" i="3"/>
  <c r="O2114" i="3"/>
  <c r="P1740" i="3"/>
  <c r="O1740" i="3"/>
  <c r="P1739" i="3"/>
  <c r="O1739" i="3"/>
  <c r="P1738" i="3"/>
  <c r="O1738" i="3"/>
  <c r="P974" i="3"/>
  <c r="O974" i="3"/>
  <c r="P416" i="3"/>
  <c r="O416" i="3"/>
  <c r="P415" i="3"/>
  <c r="O415" i="3"/>
  <c r="P414" i="3"/>
  <c r="O414" i="3"/>
  <c r="P1938" i="3"/>
  <c r="O1938" i="3"/>
  <c r="P1935" i="3"/>
  <c r="O1935" i="3"/>
  <c r="P1930" i="3"/>
  <c r="O1930" i="3"/>
  <c r="P1934" i="3"/>
  <c r="O1934" i="3"/>
  <c r="P1932" i="3"/>
  <c r="O1932" i="3"/>
  <c r="P1939" i="3"/>
  <c r="O1939" i="3"/>
  <c r="P1936" i="3"/>
  <c r="O1936" i="3"/>
  <c r="P1933" i="3"/>
  <c r="O1933" i="3"/>
  <c r="P1931" i="3"/>
  <c r="O1931" i="3"/>
  <c r="P1937" i="3"/>
  <c r="O1937" i="3"/>
  <c r="P1463" i="3"/>
  <c r="O1463" i="3"/>
  <c r="P57" i="3"/>
  <c r="O57" i="3"/>
  <c r="P58" i="3"/>
  <c r="O58" i="3"/>
  <c r="P1197" i="3"/>
  <c r="O1197" i="3"/>
  <c r="P1196" i="3"/>
  <c r="O1196" i="3"/>
  <c r="P1822" i="3"/>
  <c r="O1822" i="3"/>
  <c r="P1821" i="3"/>
  <c r="O1821" i="3"/>
  <c r="P2028" i="3"/>
  <c r="O2028" i="3"/>
  <c r="P2030" i="3"/>
  <c r="O2030" i="3"/>
  <c r="P1464" i="3"/>
  <c r="O1464" i="3"/>
  <c r="P973" i="3"/>
  <c r="O973" i="3"/>
  <c r="P1762" i="3"/>
  <c r="O1762" i="3"/>
  <c r="P1767" i="3"/>
  <c r="O1767" i="3"/>
  <c r="P1766" i="3"/>
  <c r="O1766" i="3"/>
  <c r="P1764" i="3"/>
  <c r="O1764" i="3"/>
  <c r="P1765" i="3"/>
  <c r="O1765" i="3"/>
  <c r="P1763" i="3"/>
  <c r="O1763" i="3"/>
  <c r="P446" i="3"/>
  <c r="O446" i="3"/>
  <c r="P445" i="3"/>
  <c r="O445" i="3"/>
  <c r="P1508" i="3"/>
  <c r="O1508" i="3"/>
  <c r="P1323" i="3"/>
  <c r="O1323" i="3"/>
  <c r="P2469" i="3"/>
  <c r="O2469" i="3"/>
  <c r="P817" i="3"/>
  <c r="O817" i="3"/>
  <c r="P2418" i="3"/>
  <c r="O2418" i="3"/>
  <c r="P2081" i="3"/>
  <c r="O2081" i="3"/>
  <c r="P1665" i="3"/>
  <c r="O1665" i="3"/>
  <c r="P1460" i="3"/>
  <c r="O1460" i="3"/>
  <c r="P1639" i="3"/>
  <c r="O1639" i="3"/>
  <c r="P1194" i="3"/>
  <c r="O1194" i="3"/>
  <c r="P150" i="3"/>
  <c r="O150" i="3"/>
  <c r="P680" i="3"/>
  <c r="O680" i="3"/>
  <c r="P2270" i="3"/>
  <c r="O2270" i="3"/>
  <c r="P1406" i="3"/>
  <c r="O1406" i="3"/>
  <c r="P1838" i="3"/>
  <c r="O1838" i="3"/>
  <c r="P1509" i="3"/>
  <c r="O1509" i="3"/>
  <c r="P2099" i="3"/>
  <c r="O2099" i="3"/>
  <c r="P2098" i="3"/>
  <c r="O2098" i="3"/>
  <c r="P2097" i="3"/>
  <c r="O2097" i="3"/>
  <c r="P1638" i="3"/>
  <c r="O1638" i="3"/>
  <c r="P1090" i="3"/>
  <c r="O1090" i="3"/>
  <c r="P2157" i="3"/>
  <c r="O2157" i="3"/>
  <c r="P1513" i="3"/>
  <c r="O1513" i="3"/>
  <c r="P1511" i="3"/>
  <c r="O1511" i="3"/>
  <c r="P788" i="3"/>
  <c r="O788" i="3"/>
  <c r="P1760" i="3"/>
  <c r="O1760" i="3"/>
  <c r="P1759" i="3"/>
  <c r="O1759" i="3"/>
  <c r="P2527" i="3"/>
  <c r="O2527" i="3"/>
  <c r="P2513" i="3"/>
  <c r="O2513" i="3"/>
  <c r="P2297" i="3"/>
  <c r="O2297" i="3"/>
  <c r="P2468" i="3"/>
  <c r="O2468" i="3"/>
  <c r="P2096" i="3"/>
  <c r="O2096" i="3"/>
  <c r="P2111" i="3"/>
  <c r="O2111" i="3"/>
  <c r="P2110" i="3"/>
  <c r="O2110" i="3"/>
  <c r="P2109" i="3"/>
  <c r="O2109" i="3"/>
  <c r="P2102" i="3"/>
  <c r="O2102" i="3"/>
  <c r="P2101" i="3"/>
  <c r="O2101" i="3"/>
  <c r="P2100" i="3"/>
  <c r="O2100" i="3"/>
  <c r="P2105" i="3"/>
  <c r="O2105" i="3"/>
  <c r="P2104" i="3"/>
  <c r="O2104" i="3"/>
  <c r="P2103" i="3"/>
  <c r="O2103" i="3"/>
  <c r="P2108" i="3"/>
  <c r="O2108" i="3"/>
  <c r="P2107" i="3"/>
  <c r="O2107" i="3"/>
  <c r="P2106" i="3"/>
  <c r="O2106" i="3"/>
  <c r="P118" i="3"/>
  <c r="O118" i="3"/>
  <c r="P117" i="3"/>
  <c r="O117" i="3"/>
  <c r="P116" i="3"/>
  <c r="O116" i="3"/>
  <c r="P1640" i="3"/>
  <c r="O1640" i="3"/>
  <c r="P1637" i="3"/>
  <c r="O1637" i="3"/>
  <c r="P1642" i="3"/>
  <c r="O1642" i="3"/>
  <c r="P1355" i="3"/>
  <c r="O1355" i="3"/>
  <c r="P2050" i="3"/>
  <c r="O2050" i="3"/>
  <c r="P888" i="3"/>
  <c r="O888" i="3"/>
  <c r="P493" i="3"/>
  <c r="O493" i="3"/>
  <c r="P1635" i="3"/>
  <c r="O1635" i="3"/>
  <c r="P1636" i="3"/>
  <c r="O1636" i="3"/>
  <c r="P1641" i="3"/>
  <c r="O1641" i="3"/>
  <c r="P1224" i="3"/>
  <c r="O1224" i="3"/>
  <c r="P1226" i="3"/>
  <c r="O1226" i="3"/>
  <c r="P1223" i="3"/>
  <c r="O1223" i="3"/>
  <c r="P1227" i="3"/>
  <c r="O1227" i="3"/>
  <c r="P1228" i="3"/>
  <c r="O1228" i="3"/>
  <c r="P1225" i="3"/>
  <c r="O1225" i="3"/>
  <c r="P141" i="3"/>
  <c r="O141" i="3"/>
  <c r="P2052" i="3"/>
  <c r="O2052" i="3"/>
  <c r="P698" i="3"/>
  <c r="O698" i="3"/>
  <c r="P2033" i="3"/>
  <c r="O2033" i="3"/>
  <c r="P1510" i="3"/>
  <c r="O1510" i="3"/>
  <c r="P1634" i="3"/>
  <c r="O1634" i="3"/>
  <c r="P708" i="3"/>
  <c r="O708" i="3"/>
  <c r="P681" i="3"/>
  <c r="O681" i="3"/>
  <c r="P2082" i="3"/>
  <c r="O2082" i="3"/>
  <c r="P2051" i="3"/>
  <c r="O2051" i="3"/>
  <c r="P1336" i="3"/>
  <c r="O1336" i="3"/>
  <c r="P710" i="3"/>
  <c r="O710" i="3"/>
  <c r="P1512" i="3"/>
  <c r="O1512" i="3"/>
  <c r="U321" i="2"/>
  <c r="S321" i="2"/>
  <c r="R321" i="2"/>
  <c r="Q321" i="2"/>
  <c r="V321" i="2" s="1"/>
  <c r="P321" i="2"/>
  <c r="U320" i="2"/>
  <c r="S320" i="2"/>
  <c r="R320" i="2"/>
  <c r="Q320" i="2"/>
  <c r="V320" i="2" s="1"/>
  <c r="P320" i="2"/>
  <c r="U319" i="2"/>
  <c r="Q373" i="5" s="1"/>
  <c r="S319" i="2"/>
  <c r="R373" i="5" s="1"/>
  <c r="R319" i="2"/>
  <c r="O373" i="5" s="1"/>
  <c r="Q319" i="2"/>
  <c r="P319" i="2"/>
  <c r="U318" i="2"/>
  <c r="Q372" i="5" s="1"/>
  <c r="S318" i="2"/>
  <c r="R372" i="5" s="1"/>
  <c r="R318" i="2"/>
  <c r="O372" i="5" s="1"/>
  <c r="Q318" i="2"/>
  <c r="P318" i="2"/>
  <c r="V317" i="2"/>
  <c r="U317" i="2"/>
  <c r="S317" i="2"/>
  <c r="R317" i="2"/>
  <c r="Q317" i="2"/>
  <c r="W317" i="2" s="1"/>
  <c r="P317" i="2"/>
  <c r="V316" i="2"/>
  <c r="U316" i="2"/>
  <c r="S316" i="2"/>
  <c r="R316" i="2"/>
  <c r="Q316" i="2"/>
  <c r="W316" i="2" s="1"/>
  <c r="P316" i="2"/>
  <c r="W315" i="2"/>
  <c r="U315" i="2"/>
  <c r="S315" i="2"/>
  <c r="R315" i="2"/>
  <c r="Q315" i="2"/>
  <c r="V315" i="2" s="1"/>
  <c r="P315" i="2"/>
  <c r="U314" i="2"/>
  <c r="Q371" i="5" s="1"/>
  <c r="S314" i="2"/>
  <c r="R371" i="5" s="1"/>
  <c r="R314" i="2"/>
  <c r="O371" i="5" s="1"/>
  <c r="Q314" i="2"/>
  <c r="P314" i="2"/>
  <c r="U313" i="2"/>
  <c r="Q370" i="5" s="1"/>
  <c r="S313" i="2"/>
  <c r="R370" i="5" s="1"/>
  <c r="R313" i="2"/>
  <c r="O370" i="5" s="1"/>
  <c r="Q313" i="2"/>
  <c r="P313" i="2"/>
  <c r="U312" i="2"/>
  <c r="S312" i="2"/>
  <c r="R312" i="2"/>
  <c r="Q312" i="2"/>
  <c r="V312" i="2" s="1"/>
  <c r="P312" i="2"/>
  <c r="W311" i="2"/>
  <c r="V311" i="2"/>
  <c r="U311" i="2"/>
  <c r="S311" i="2"/>
  <c r="R311" i="2"/>
  <c r="Q311" i="2"/>
  <c r="P311" i="2"/>
  <c r="W310" i="2"/>
  <c r="V310" i="2"/>
  <c r="U310" i="2"/>
  <c r="S310" i="2"/>
  <c r="R310" i="2"/>
  <c r="Q310" i="2"/>
  <c r="P310" i="2"/>
  <c r="U309" i="2"/>
  <c r="Q369" i="5" s="1"/>
  <c r="S309" i="2"/>
  <c r="R369" i="5" s="1"/>
  <c r="R309" i="2"/>
  <c r="O369" i="5" s="1"/>
  <c r="Q309" i="2"/>
  <c r="P309" i="2"/>
  <c r="U308" i="2"/>
  <c r="Q368" i="5" s="1"/>
  <c r="S308" i="2"/>
  <c r="R368" i="5" s="1"/>
  <c r="R308" i="2"/>
  <c r="O368" i="5" s="1"/>
  <c r="Q308" i="2"/>
  <c r="P308" i="2"/>
  <c r="W307" i="2"/>
  <c r="U307" i="2"/>
  <c r="S307" i="2"/>
  <c r="R307" i="2"/>
  <c r="Q307" i="2"/>
  <c r="V307" i="2" s="1"/>
  <c r="P307" i="2"/>
  <c r="U306" i="2"/>
  <c r="S306" i="2"/>
  <c r="R306" i="2"/>
  <c r="Q306" i="2"/>
  <c r="W306" i="2" s="1"/>
  <c r="P306" i="2"/>
  <c r="U305" i="2"/>
  <c r="S305" i="2"/>
  <c r="R305" i="2"/>
  <c r="Q305" i="2"/>
  <c r="W305" i="2" s="1"/>
  <c r="P305" i="2"/>
  <c r="U304" i="2"/>
  <c r="Q367" i="5" s="1"/>
  <c r="S304" i="2"/>
  <c r="R367" i="5" s="1"/>
  <c r="R304" i="2"/>
  <c r="O367" i="5" s="1"/>
  <c r="Q304" i="2"/>
  <c r="P304" i="2"/>
  <c r="U303" i="2"/>
  <c r="Q366" i="5" s="1"/>
  <c r="S303" i="2"/>
  <c r="R366" i="5" s="1"/>
  <c r="R303" i="2"/>
  <c r="O366" i="5" s="1"/>
  <c r="Q303" i="2"/>
  <c r="P303" i="2"/>
  <c r="W302" i="2"/>
  <c r="V302" i="2"/>
  <c r="U302" i="2"/>
  <c r="S302" i="2"/>
  <c r="R302" i="2"/>
  <c r="Q302" i="2"/>
  <c r="P302" i="2"/>
  <c r="V301" i="2"/>
  <c r="U301" i="2"/>
  <c r="S301" i="2"/>
  <c r="R301" i="2"/>
  <c r="Q301" i="2"/>
  <c r="W301" i="2" s="1"/>
  <c r="P301" i="2"/>
  <c r="V300" i="2"/>
  <c r="U300" i="2"/>
  <c r="S300" i="2"/>
  <c r="R300" i="2"/>
  <c r="Q300" i="2"/>
  <c r="W300" i="2" s="1"/>
  <c r="P300" i="2"/>
  <c r="U299" i="2"/>
  <c r="Q365" i="5" s="1"/>
  <c r="S299" i="2"/>
  <c r="R365" i="5" s="1"/>
  <c r="R299" i="2"/>
  <c r="O365" i="5" s="1"/>
  <c r="Q299" i="2"/>
  <c r="P299" i="2"/>
  <c r="U298" i="2"/>
  <c r="Q364" i="5" s="1"/>
  <c r="S298" i="2"/>
  <c r="R364" i="5" s="1"/>
  <c r="R298" i="2"/>
  <c r="O364" i="5" s="1"/>
  <c r="Q298" i="2"/>
  <c r="P298" i="2"/>
  <c r="U297" i="2"/>
  <c r="S297" i="2"/>
  <c r="R297" i="2"/>
  <c r="Q297" i="2"/>
  <c r="W297" i="2" s="1"/>
  <c r="P297" i="2"/>
  <c r="U296" i="2"/>
  <c r="S296" i="2"/>
  <c r="R296" i="2"/>
  <c r="Q296" i="2"/>
  <c r="V296" i="2" s="1"/>
  <c r="P296" i="2"/>
  <c r="W295" i="2"/>
  <c r="V295" i="2"/>
  <c r="U295" i="2"/>
  <c r="S295" i="2"/>
  <c r="R295" i="2"/>
  <c r="Q295" i="2"/>
  <c r="P295" i="2"/>
  <c r="U294" i="2"/>
  <c r="Q363" i="5" s="1"/>
  <c r="S294" i="2"/>
  <c r="R363" i="5" s="1"/>
  <c r="R294" i="2"/>
  <c r="O363" i="5" s="1"/>
  <c r="Q294" i="2"/>
  <c r="P294" i="2"/>
  <c r="U293" i="2"/>
  <c r="Q362" i="5" s="1"/>
  <c r="S293" i="2"/>
  <c r="R362" i="5" s="1"/>
  <c r="R293" i="2"/>
  <c r="O362" i="5" s="1"/>
  <c r="Q293" i="2"/>
  <c r="P293" i="2"/>
  <c r="V292" i="2"/>
  <c r="U292" i="2"/>
  <c r="S292" i="2"/>
  <c r="R292" i="2"/>
  <c r="Q292" i="2"/>
  <c r="W292" i="2" s="1"/>
  <c r="P292" i="2"/>
  <c r="W291" i="2"/>
  <c r="U291" i="2"/>
  <c r="S291" i="2"/>
  <c r="R291" i="2"/>
  <c r="Q291" i="2"/>
  <c r="V291" i="2" s="1"/>
  <c r="P291" i="2"/>
  <c r="U290" i="2"/>
  <c r="S290" i="2"/>
  <c r="R290" i="2"/>
  <c r="Q290" i="2"/>
  <c r="W290" i="2" s="1"/>
  <c r="P290" i="2"/>
  <c r="U289" i="2"/>
  <c r="Q361" i="5" s="1"/>
  <c r="S289" i="2"/>
  <c r="R361" i="5" s="1"/>
  <c r="R289" i="2"/>
  <c r="O361" i="5" s="1"/>
  <c r="Q289" i="2"/>
  <c r="P289" i="2"/>
  <c r="U288" i="2"/>
  <c r="Q360" i="5" s="1"/>
  <c r="S288" i="2"/>
  <c r="R360" i="5" s="1"/>
  <c r="R288" i="2"/>
  <c r="O360" i="5" s="1"/>
  <c r="Q288" i="2"/>
  <c r="P288" i="2"/>
  <c r="W287" i="2"/>
  <c r="V287" i="2"/>
  <c r="U287" i="2"/>
  <c r="S287" i="2"/>
  <c r="R287" i="2"/>
  <c r="Q287" i="2"/>
  <c r="P287" i="2"/>
  <c r="W286" i="2"/>
  <c r="V286" i="2"/>
  <c r="U286" i="2"/>
  <c r="S286" i="2"/>
  <c r="R286" i="2"/>
  <c r="Q286" i="2"/>
  <c r="P286" i="2"/>
  <c r="V285" i="2"/>
  <c r="U285" i="2"/>
  <c r="S285" i="2"/>
  <c r="R285" i="2"/>
  <c r="Q285" i="2"/>
  <c r="W285" i="2" s="1"/>
  <c r="P285" i="2"/>
  <c r="U284" i="2"/>
  <c r="Q359" i="5" s="1"/>
  <c r="S284" i="2"/>
  <c r="R359" i="5" s="1"/>
  <c r="R284" i="2"/>
  <c r="O359" i="5" s="1"/>
  <c r="Q284" i="2"/>
  <c r="P284" i="2"/>
  <c r="U283" i="2"/>
  <c r="Q358" i="5" s="1"/>
  <c r="S283" i="2"/>
  <c r="R358" i="5" s="1"/>
  <c r="R283" i="2"/>
  <c r="O358" i="5" s="1"/>
  <c r="Q283" i="2"/>
  <c r="P283" i="2"/>
  <c r="U282" i="2"/>
  <c r="S282" i="2"/>
  <c r="R282" i="2"/>
  <c r="Q282" i="2"/>
  <c r="W282" i="2" s="1"/>
  <c r="P282" i="2"/>
  <c r="U281" i="2"/>
  <c r="S281" i="2"/>
  <c r="R281" i="2"/>
  <c r="Q281" i="2"/>
  <c r="W281" i="2" s="1"/>
  <c r="P281" i="2"/>
  <c r="U280" i="2"/>
  <c r="S280" i="2"/>
  <c r="R280" i="2"/>
  <c r="Q280" i="2"/>
  <c r="V280" i="2" s="1"/>
  <c r="P280" i="2"/>
  <c r="U279" i="2"/>
  <c r="Q357" i="5" s="1"/>
  <c r="S279" i="2"/>
  <c r="R357" i="5" s="1"/>
  <c r="R279" i="2"/>
  <c r="O357" i="5" s="1"/>
  <c r="Q279" i="2"/>
  <c r="P279" i="2"/>
  <c r="U278" i="2"/>
  <c r="Q356" i="5" s="1"/>
  <c r="S278" i="2"/>
  <c r="R356" i="5" s="1"/>
  <c r="R278" i="2"/>
  <c r="O356" i="5" s="1"/>
  <c r="Q278" i="2"/>
  <c r="P278" i="2"/>
  <c r="V277" i="2"/>
  <c r="U277" i="2"/>
  <c r="S277" i="2"/>
  <c r="R277" i="2"/>
  <c r="Q277" i="2"/>
  <c r="W277" i="2" s="1"/>
  <c r="P277" i="2"/>
  <c r="V276" i="2"/>
  <c r="U276" i="2"/>
  <c r="S276" i="2"/>
  <c r="R276" i="2"/>
  <c r="Q276" i="2"/>
  <c r="W276" i="2" s="1"/>
  <c r="P276" i="2"/>
  <c r="W275" i="2"/>
  <c r="U275" i="2"/>
  <c r="S275" i="2"/>
  <c r="R275" i="2"/>
  <c r="Q275" i="2"/>
  <c r="V275" i="2" s="1"/>
  <c r="P275" i="2"/>
  <c r="U274" i="2"/>
  <c r="Q355" i="5" s="1"/>
  <c r="S274" i="2"/>
  <c r="R355" i="5" s="1"/>
  <c r="R274" i="2"/>
  <c r="O355" i="5" s="1"/>
  <c r="Q274" i="2"/>
  <c r="P274" i="2"/>
  <c r="U273" i="2"/>
  <c r="Q354" i="5" s="1"/>
  <c r="S273" i="2"/>
  <c r="R354" i="5" s="1"/>
  <c r="R273" i="2"/>
  <c r="O354" i="5" s="1"/>
  <c r="Q273" i="2"/>
  <c r="P273" i="2"/>
  <c r="U272" i="2"/>
  <c r="S272" i="2"/>
  <c r="R272" i="2"/>
  <c r="Q272" i="2"/>
  <c r="V272" i="2" s="1"/>
  <c r="P272" i="2"/>
  <c r="W271" i="2"/>
  <c r="V271" i="2"/>
  <c r="U271" i="2"/>
  <c r="S271" i="2"/>
  <c r="R271" i="2"/>
  <c r="Q271" i="2"/>
  <c r="P271" i="2"/>
  <c r="W270" i="2"/>
  <c r="V270" i="2"/>
  <c r="U270" i="2"/>
  <c r="S270" i="2"/>
  <c r="R270" i="2"/>
  <c r="Q270" i="2"/>
  <c r="P270" i="2"/>
  <c r="U269" i="2"/>
  <c r="Q353" i="5" s="1"/>
  <c r="S269" i="2"/>
  <c r="R353" i="5" s="1"/>
  <c r="R269" i="2"/>
  <c r="O353" i="5" s="1"/>
  <c r="Q269" i="2"/>
  <c r="P269" i="2"/>
  <c r="U268" i="2"/>
  <c r="Q352" i="5" s="1"/>
  <c r="S268" i="2"/>
  <c r="R352" i="5" s="1"/>
  <c r="R268" i="2"/>
  <c r="O352" i="5" s="1"/>
  <c r="Q268" i="2"/>
  <c r="P268" i="2"/>
  <c r="W267" i="2"/>
  <c r="U267" i="2"/>
  <c r="S267" i="2"/>
  <c r="R267" i="2"/>
  <c r="Q267" i="2"/>
  <c r="V267" i="2" s="1"/>
  <c r="P267" i="2"/>
  <c r="U266" i="2"/>
  <c r="S266" i="2"/>
  <c r="R266" i="2"/>
  <c r="Q266" i="2"/>
  <c r="W266" i="2" s="1"/>
  <c r="P266" i="2"/>
  <c r="U265" i="2"/>
  <c r="S265" i="2"/>
  <c r="R265" i="2"/>
  <c r="Q265" i="2"/>
  <c r="W265" i="2" s="1"/>
  <c r="P265" i="2"/>
  <c r="U264" i="2"/>
  <c r="S264" i="2"/>
  <c r="R264" i="2"/>
  <c r="Q264" i="2"/>
  <c r="V264" i="2" s="1"/>
  <c r="P264" i="2"/>
  <c r="W263" i="2"/>
  <c r="V263" i="2"/>
  <c r="U263" i="2"/>
  <c r="S263" i="2"/>
  <c r="R263" i="2"/>
  <c r="Q263" i="2"/>
  <c r="P263" i="2"/>
  <c r="W262" i="2"/>
  <c r="V262" i="2"/>
  <c r="U262" i="2"/>
  <c r="S262" i="2"/>
  <c r="R262" i="2"/>
  <c r="Q262" i="2"/>
  <c r="P262" i="2"/>
  <c r="U261" i="2"/>
  <c r="S261" i="2"/>
  <c r="R261" i="2"/>
  <c r="Q261" i="2"/>
  <c r="P261" i="2"/>
  <c r="U260" i="2"/>
  <c r="S260" i="2"/>
  <c r="R260" i="2"/>
  <c r="Q260" i="2"/>
  <c r="P260" i="2"/>
  <c r="U259" i="2"/>
  <c r="Q347" i="5" s="1"/>
  <c r="S259" i="2"/>
  <c r="R347" i="5" s="1"/>
  <c r="R259" i="2"/>
  <c r="O347" i="5" s="1"/>
  <c r="Q259" i="2"/>
  <c r="P259" i="2"/>
  <c r="U258" i="2"/>
  <c r="S258" i="2"/>
  <c r="R258" i="2"/>
  <c r="Q258" i="2"/>
  <c r="P258" i="2"/>
  <c r="U257" i="2"/>
  <c r="Q344" i="5" s="1"/>
  <c r="S257" i="2"/>
  <c r="R344" i="5" s="1"/>
  <c r="R257" i="2"/>
  <c r="O344" i="5" s="1"/>
  <c r="Q257" i="2"/>
  <c r="P257" i="2"/>
  <c r="U256" i="2"/>
  <c r="S256" i="2"/>
  <c r="R256" i="2"/>
  <c r="Q256" i="2"/>
  <c r="P256" i="2"/>
  <c r="U255" i="2"/>
  <c r="S255" i="2"/>
  <c r="R255" i="2"/>
  <c r="Q255" i="2"/>
  <c r="P255" i="2"/>
  <c r="U254" i="2"/>
  <c r="S254" i="2"/>
  <c r="R254" i="2"/>
  <c r="Q254" i="2"/>
  <c r="P254" i="2"/>
  <c r="U253" i="2"/>
  <c r="S253" i="2"/>
  <c r="R253" i="2"/>
  <c r="Q253" i="2"/>
  <c r="P253" i="2"/>
  <c r="V252" i="2"/>
  <c r="U252" i="2"/>
  <c r="S252" i="2"/>
  <c r="R252" i="2"/>
  <c r="Q252" i="2"/>
  <c r="W252" i="2" s="1"/>
  <c r="P252" i="2"/>
  <c r="U251" i="2"/>
  <c r="Q335" i="5" s="1"/>
  <c r="S251" i="2"/>
  <c r="R335" i="5" s="1"/>
  <c r="R251" i="2"/>
  <c r="O335" i="5" s="1"/>
  <c r="Q251" i="2"/>
  <c r="P251" i="2"/>
  <c r="U250" i="2"/>
  <c r="S250" i="2"/>
  <c r="R250" i="2"/>
  <c r="Q250" i="2"/>
  <c r="P250" i="2"/>
  <c r="U249" i="2"/>
  <c r="S249" i="2"/>
  <c r="R249" i="2"/>
  <c r="Q249" i="2"/>
  <c r="P249" i="2"/>
  <c r="U248" i="2"/>
  <c r="S248" i="2"/>
  <c r="R248" i="2"/>
  <c r="Q248" i="2"/>
  <c r="P248" i="2"/>
  <c r="U247" i="2"/>
  <c r="S247" i="2"/>
  <c r="R247" i="2"/>
  <c r="Q247" i="2"/>
  <c r="P247" i="2"/>
  <c r="W246" i="2"/>
  <c r="V246" i="2"/>
  <c r="U246" i="2"/>
  <c r="S246" i="2"/>
  <c r="R246" i="2"/>
  <c r="Q246" i="2"/>
  <c r="P246" i="2"/>
  <c r="U245" i="2"/>
  <c r="Q326" i="5" s="1"/>
  <c r="S245" i="2"/>
  <c r="R326" i="5" s="1"/>
  <c r="R245" i="2"/>
  <c r="O326" i="5" s="1"/>
  <c r="Q245" i="2"/>
  <c r="P245" i="2"/>
  <c r="U244" i="2"/>
  <c r="S244" i="2"/>
  <c r="R244" i="2"/>
  <c r="Q244" i="2"/>
  <c r="P244" i="2"/>
  <c r="U243" i="2"/>
  <c r="Q323" i="5" s="1"/>
  <c r="S243" i="2"/>
  <c r="R323" i="5" s="1"/>
  <c r="R243" i="2"/>
  <c r="O323" i="5" s="1"/>
  <c r="Q243" i="2"/>
  <c r="P243" i="2"/>
  <c r="U242" i="2"/>
  <c r="S242" i="2"/>
  <c r="R242" i="2"/>
  <c r="Q242" i="2"/>
  <c r="W242" i="2" s="1"/>
  <c r="P242" i="2"/>
  <c r="U241" i="2"/>
  <c r="S241" i="2"/>
  <c r="R241" i="2"/>
  <c r="Q241" i="2"/>
  <c r="P241" i="2"/>
  <c r="T53" i="1" s="1"/>
  <c r="U240" i="2"/>
  <c r="S240" i="2"/>
  <c r="R240" i="2"/>
  <c r="Q240" i="2"/>
  <c r="P240" i="2"/>
  <c r="U239" i="2"/>
  <c r="Q317" i="5" s="1"/>
  <c r="S239" i="2"/>
  <c r="R317" i="5" s="1"/>
  <c r="R239" i="2"/>
  <c r="O317" i="5" s="1"/>
  <c r="Q239" i="2"/>
  <c r="P239" i="2"/>
  <c r="U238" i="2"/>
  <c r="S238" i="2"/>
  <c r="R238" i="2"/>
  <c r="Q238" i="2"/>
  <c r="P238" i="2"/>
  <c r="U237" i="2"/>
  <c r="S237" i="2"/>
  <c r="R237" i="2"/>
  <c r="Q237" i="2"/>
  <c r="P237" i="2"/>
  <c r="U236" i="2"/>
  <c r="Q312" i="5" s="1"/>
  <c r="S236" i="2"/>
  <c r="R312" i="5" s="1"/>
  <c r="R236" i="2"/>
  <c r="O312" i="5" s="1"/>
  <c r="Q236" i="2"/>
  <c r="P236" i="2"/>
  <c r="U235" i="2"/>
  <c r="Q311" i="5" s="1"/>
  <c r="S235" i="2"/>
  <c r="R311" i="5" s="1"/>
  <c r="R235" i="2"/>
  <c r="O311" i="5" s="1"/>
  <c r="Q235" i="2"/>
  <c r="P235" i="2"/>
  <c r="U234" i="2"/>
  <c r="S234" i="2"/>
  <c r="R234" i="2"/>
  <c r="Q234" i="2"/>
  <c r="P234" i="2"/>
  <c r="U233" i="2"/>
  <c r="S233" i="2"/>
  <c r="R233" i="2"/>
  <c r="Q233" i="2"/>
  <c r="P233" i="2"/>
  <c r="U232" i="2"/>
  <c r="S232" i="2"/>
  <c r="R232" i="2"/>
  <c r="Q232" i="2"/>
  <c r="P232" i="2"/>
  <c r="W231" i="2"/>
  <c r="V231" i="2"/>
  <c r="U231" i="2"/>
  <c r="S231" i="2"/>
  <c r="R231" i="2"/>
  <c r="Q231" i="2"/>
  <c r="P231" i="2"/>
  <c r="U230" i="2"/>
  <c r="S230" i="2"/>
  <c r="R230" i="2"/>
  <c r="Q230" i="2"/>
  <c r="P230" i="2"/>
  <c r="U229" i="2"/>
  <c r="Q302" i="5" s="1"/>
  <c r="S229" i="2"/>
  <c r="R302" i="5" s="1"/>
  <c r="R229" i="2"/>
  <c r="O302" i="5" s="1"/>
  <c r="Q229" i="2"/>
  <c r="P229" i="2"/>
  <c r="U228" i="2"/>
  <c r="S228" i="2"/>
  <c r="R228" i="2"/>
  <c r="Q228" i="2"/>
  <c r="P228" i="2"/>
  <c r="W227" i="2"/>
  <c r="U227" i="2"/>
  <c r="S227" i="2"/>
  <c r="R227" i="2"/>
  <c r="Q227" i="2"/>
  <c r="V227" i="2" s="1"/>
  <c r="P227" i="2"/>
  <c r="U226" i="2"/>
  <c r="S226" i="2"/>
  <c r="R226" i="2"/>
  <c r="Q226" i="2"/>
  <c r="P226" i="2"/>
  <c r="U225" i="2"/>
  <c r="S225" i="2"/>
  <c r="R225" i="2"/>
  <c r="Q225" i="2"/>
  <c r="P225" i="2"/>
  <c r="U224" i="2"/>
  <c r="S224" i="2"/>
  <c r="R224" i="2"/>
  <c r="Q224" i="2"/>
  <c r="P224" i="2"/>
  <c r="U223" i="2"/>
  <c r="S223" i="2"/>
  <c r="R223" i="2"/>
  <c r="Q223" i="2"/>
  <c r="P223" i="2"/>
  <c r="W222" i="2"/>
  <c r="V222" i="2"/>
  <c r="U222" i="2"/>
  <c r="S222" i="2"/>
  <c r="R222" i="2"/>
  <c r="Q222" i="2"/>
  <c r="P222" i="2"/>
  <c r="V221" i="2"/>
  <c r="U221" i="2"/>
  <c r="S221" i="2"/>
  <c r="R221" i="2"/>
  <c r="Q221" i="2"/>
  <c r="W221" i="2" s="1"/>
  <c r="P221" i="2"/>
  <c r="U220" i="2"/>
  <c r="Q290" i="5" s="1"/>
  <c r="S220" i="2"/>
  <c r="R290" i="5" s="1"/>
  <c r="R220" i="2"/>
  <c r="O290" i="5" s="1"/>
  <c r="Q220" i="2"/>
  <c r="P220" i="2"/>
  <c r="U219" i="2"/>
  <c r="Q289" i="5" s="1"/>
  <c r="S219" i="2"/>
  <c r="R289" i="5" s="1"/>
  <c r="R219" i="2"/>
  <c r="O289" i="5" s="1"/>
  <c r="Q219" i="2"/>
  <c r="P219" i="2"/>
  <c r="U218" i="2"/>
  <c r="S218" i="2"/>
  <c r="R218" i="2"/>
  <c r="Q218" i="2"/>
  <c r="P218" i="2"/>
  <c r="U217" i="2"/>
  <c r="S217" i="2"/>
  <c r="R217" i="2"/>
  <c r="Q217" i="2"/>
  <c r="W217" i="2" s="1"/>
  <c r="P217" i="2"/>
  <c r="T49" i="1" s="1"/>
  <c r="U216" i="2"/>
  <c r="Q285" i="5" s="1"/>
  <c r="S216" i="2"/>
  <c r="R285" i="5" s="1"/>
  <c r="R216" i="2"/>
  <c r="O285" i="5" s="1"/>
  <c r="Q216" i="2"/>
  <c r="P216" i="2"/>
  <c r="U215" i="2"/>
  <c r="S215" i="2"/>
  <c r="R215" i="2"/>
  <c r="Q215" i="2"/>
  <c r="P215" i="2"/>
  <c r="U214" i="2"/>
  <c r="S214" i="2"/>
  <c r="R214" i="2"/>
  <c r="Q214" i="2"/>
  <c r="P214" i="2"/>
  <c r="U213" i="2"/>
  <c r="S213" i="2"/>
  <c r="R213" i="2"/>
  <c r="Q213" i="2"/>
  <c r="P213" i="2"/>
  <c r="V212" i="2"/>
  <c r="U212" i="2"/>
  <c r="S212" i="2"/>
  <c r="R212" i="2"/>
  <c r="Q212" i="2"/>
  <c r="W212" i="2" s="1"/>
  <c r="P212" i="2"/>
  <c r="U211" i="2"/>
  <c r="Q278" i="5" s="1"/>
  <c r="S211" i="2"/>
  <c r="R278" i="5" s="1"/>
  <c r="R211" i="2"/>
  <c r="O278" i="5" s="1"/>
  <c r="Q211" i="2"/>
  <c r="P211" i="2"/>
  <c r="U210" i="2"/>
  <c r="Q277" i="5" s="1"/>
  <c r="S210" i="2"/>
  <c r="R277" i="5" s="1"/>
  <c r="R210" i="2"/>
  <c r="O277" i="5" s="1"/>
  <c r="Q210" i="2"/>
  <c r="P210" i="2"/>
  <c r="U209" i="2"/>
  <c r="S209" i="2"/>
  <c r="R209" i="2"/>
  <c r="Q209" i="2"/>
  <c r="P209" i="2"/>
  <c r="U208" i="2"/>
  <c r="S208" i="2"/>
  <c r="R208" i="2"/>
  <c r="Q208" i="2"/>
  <c r="P208" i="2"/>
  <c r="W207" i="2"/>
  <c r="V207" i="2"/>
  <c r="U207" i="2"/>
  <c r="S207" i="2"/>
  <c r="R207" i="2"/>
  <c r="Q207" i="2"/>
  <c r="P207" i="2"/>
  <c r="U206" i="2"/>
  <c r="Q272" i="5" s="1"/>
  <c r="S206" i="2"/>
  <c r="R272" i="5" s="1"/>
  <c r="R206" i="2"/>
  <c r="O272" i="5" s="1"/>
  <c r="Q206" i="2"/>
  <c r="P206" i="2"/>
  <c r="U205" i="2"/>
  <c r="Q271" i="5" s="1"/>
  <c r="S205" i="2"/>
  <c r="R271" i="5" s="1"/>
  <c r="R205" i="2"/>
  <c r="O271" i="5" s="1"/>
  <c r="Q205" i="2"/>
  <c r="P205" i="2"/>
  <c r="U204" i="2"/>
  <c r="Q270" i="5" s="1"/>
  <c r="S204" i="2"/>
  <c r="R270" i="5" s="1"/>
  <c r="R204" i="2"/>
  <c r="O270" i="5" s="1"/>
  <c r="Q204" i="2"/>
  <c r="P204" i="2"/>
  <c r="U203" i="2"/>
  <c r="Q269" i="5" s="1"/>
  <c r="S203" i="2"/>
  <c r="R269" i="5" s="1"/>
  <c r="R203" i="2"/>
  <c r="O269" i="5" s="1"/>
  <c r="Q203" i="2"/>
  <c r="P203" i="2"/>
  <c r="U202" i="2"/>
  <c r="S202" i="2"/>
  <c r="R202" i="2"/>
  <c r="Q202" i="2"/>
  <c r="W202" i="2" s="1"/>
  <c r="P202" i="2"/>
  <c r="U201" i="2"/>
  <c r="S201" i="2"/>
  <c r="R201" i="2"/>
  <c r="Q201" i="2"/>
  <c r="P201" i="2"/>
  <c r="U200" i="2"/>
  <c r="S200" i="2"/>
  <c r="R200" i="2"/>
  <c r="Q200" i="2"/>
  <c r="P200" i="2"/>
  <c r="U199" i="2"/>
  <c r="S199" i="2"/>
  <c r="R199" i="2"/>
  <c r="Q199" i="2"/>
  <c r="P199" i="2"/>
  <c r="U198" i="2"/>
  <c r="S198" i="2"/>
  <c r="R198" i="2"/>
  <c r="Q198" i="2"/>
  <c r="P198" i="2"/>
  <c r="V197" i="2"/>
  <c r="U197" i="2"/>
  <c r="S197" i="2"/>
  <c r="R197" i="2"/>
  <c r="Q197" i="2"/>
  <c r="W197" i="2" s="1"/>
  <c r="P197" i="2"/>
  <c r="T45" i="1" s="1"/>
  <c r="U196" i="2"/>
  <c r="S196" i="2"/>
  <c r="R196" i="2"/>
  <c r="Q196" i="2"/>
  <c r="P196" i="2"/>
  <c r="U195" i="2"/>
  <c r="S195" i="2"/>
  <c r="R195" i="2"/>
  <c r="Q195" i="2"/>
  <c r="P195" i="2"/>
  <c r="U194" i="2"/>
  <c r="Q255" i="5" s="1"/>
  <c r="S194" i="2"/>
  <c r="R255" i="5" s="1"/>
  <c r="R194" i="2"/>
  <c r="O255" i="5" s="1"/>
  <c r="Q194" i="2"/>
  <c r="P194" i="2"/>
  <c r="U193" i="2"/>
  <c r="S193" i="2"/>
  <c r="R193" i="2"/>
  <c r="Q193" i="2"/>
  <c r="P193" i="2"/>
  <c r="U192" i="2"/>
  <c r="S192" i="2"/>
  <c r="R192" i="2"/>
  <c r="Q192" i="2"/>
  <c r="V192" i="2" s="1"/>
  <c r="P192" i="2"/>
  <c r="U191" i="2"/>
  <c r="S191" i="2"/>
  <c r="R191" i="2"/>
  <c r="Q191" i="2"/>
  <c r="P191" i="2"/>
  <c r="U190" i="2"/>
  <c r="S190" i="2"/>
  <c r="R190" i="2"/>
  <c r="Q190" i="2"/>
  <c r="P190" i="2"/>
  <c r="U189" i="2"/>
  <c r="Q248" i="5" s="1"/>
  <c r="S189" i="2"/>
  <c r="R248" i="5" s="1"/>
  <c r="R189" i="2"/>
  <c r="O248" i="5" s="1"/>
  <c r="Q189" i="2"/>
  <c r="P189" i="2"/>
  <c r="U188" i="2"/>
  <c r="S188" i="2"/>
  <c r="R188" i="2"/>
  <c r="Q188" i="2"/>
  <c r="P188" i="2"/>
  <c r="W187" i="2"/>
  <c r="U187" i="2"/>
  <c r="S187" i="2"/>
  <c r="R187" i="2"/>
  <c r="Q187" i="2"/>
  <c r="V187" i="2" s="1"/>
  <c r="P187" i="2"/>
  <c r="U186" i="2"/>
  <c r="Q245" i="5" s="1"/>
  <c r="S186" i="2"/>
  <c r="R245" i="5" s="1"/>
  <c r="R186" i="2"/>
  <c r="O245" i="5" s="1"/>
  <c r="Q186" i="2"/>
  <c r="U42" i="1" s="1"/>
  <c r="P186" i="2"/>
  <c r="U185" i="2"/>
  <c r="S185" i="2"/>
  <c r="R185" i="2"/>
  <c r="Q185" i="2"/>
  <c r="P185" i="2"/>
  <c r="U184" i="2"/>
  <c r="S184" i="2"/>
  <c r="R184" i="2"/>
  <c r="Q184" i="2"/>
  <c r="P184" i="2"/>
  <c r="U183" i="2"/>
  <c r="Q239" i="5" s="1"/>
  <c r="S183" i="2"/>
  <c r="R239" i="5" s="1"/>
  <c r="R183" i="2"/>
  <c r="O239" i="5" s="1"/>
  <c r="Q183" i="2"/>
  <c r="P183" i="2"/>
  <c r="W182" i="2"/>
  <c r="V182" i="2"/>
  <c r="U182" i="2"/>
  <c r="S182" i="2"/>
  <c r="R182" i="2"/>
  <c r="Q182" i="2"/>
  <c r="P182" i="2"/>
  <c r="U181" i="2"/>
  <c r="S181" i="2"/>
  <c r="R181" i="2"/>
  <c r="Q181" i="2"/>
  <c r="P181" i="2"/>
  <c r="U180" i="2"/>
  <c r="Q236" i="5" s="1"/>
  <c r="S180" i="2"/>
  <c r="R236" i="5" s="1"/>
  <c r="R180" i="2"/>
  <c r="O236" i="5" s="1"/>
  <c r="Q180" i="2"/>
  <c r="P180" i="2"/>
  <c r="U179" i="2"/>
  <c r="S179" i="2"/>
  <c r="R179" i="2"/>
  <c r="Q179" i="2"/>
  <c r="P179" i="2"/>
  <c r="U178" i="2"/>
  <c r="S178" i="2"/>
  <c r="R178" i="2"/>
  <c r="Q178" i="2"/>
  <c r="P178" i="2"/>
  <c r="U177" i="2"/>
  <c r="S177" i="2"/>
  <c r="R177" i="2"/>
  <c r="Q177" i="2"/>
  <c r="W177" i="2" s="1"/>
  <c r="P177" i="2"/>
  <c r="T41" i="1" s="1"/>
  <c r="U176" i="2"/>
  <c r="S176" i="2"/>
  <c r="R176" i="2"/>
  <c r="Q176" i="2"/>
  <c r="P176" i="2"/>
  <c r="U175" i="2"/>
  <c r="S175" i="2"/>
  <c r="R175" i="2"/>
  <c r="Q175" i="2"/>
  <c r="P175" i="2"/>
  <c r="U174" i="2"/>
  <c r="S174" i="2"/>
  <c r="R174" i="2"/>
  <c r="Q174" i="2"/>
  <c r="P174" i="2"/>
  <c r="U173" i="2"/>
  <c r="Q225" i="5" s="1"/>
  <c r="S173" i="2"/>
  <c r="R225" i="5" s="1"/>
  <c r="R173" i="2"/>
  <c r="O225" i="5" s="1"/>
  <c r="Q173" i="2"/>
  <c r="P173" i="2"/>
  <c r="U172" i="2"/>
  <c r="S172" i="2"/>
  <c r="R172" i="2"/>
  <c r="Q172" i="2"/>
  <c r="P172" i="2"/>
  <c r="U171" i="2"/>
  <c r="S171" i="2"/>
  <c r="R171" i="2"/>
  <c r="Q171" i="2"/>
  <c r="P171" i="2"/>
  <c r="U170" i="2"/>
  <c r="S170" i="2"/>
  <c r="R170" i="2"/>
  <c r="Q170" i="2"/>
  <c r="P170" i="2"/>
  <c r="U169" i="2"/>
  <c r="Q218" i="5" s="1"/>
  <c r="S169" i="2"/>
  <c r="R218" i="5" s="1"/>
  <c r="R169" i="2"/>
  <c r="O218" i="5" s="1"/>
  <c r="Q169" i="2"/>
  <c r="P169" i="2"/>
  <c r="U168" i="2"/>
  <c r="S168" i="2"/>
  <c r="R168" i="2"/>
  <c r="Q168" i="2"/>
  <c r="P168" i="2"/>
  <c r="W167" i="2"/>
  <c r="V167" i="2"/>
  <c r="U167" i="2"/>
  <c r="S167" i="2"/>
  <c r="R167" i="2"/>
  <c r="Q167" i="2"/>
  <c r="P167" i="2"/>
  <c r="U166" i="2"/>
  <c r="Q215" i="5" s="1"/>
  <c r="S166" i="2"/>
  <c r="R215" i="5" s="1"/>
  <c r="R166" i="2"/>
  <c r="O215" i="5" s="1"/>
  <c r="Q166" i="2"/>
  <c r="P166" i="2"/>
  <c r="U165" i="2"/>
  <c r="S165" i="2"/>
  <c r="R165" i="2"/>
  <c r="Q165" i="2"/>
  <c r="P165" i="2"/>
  <c r="U164" i="2"/>
  <c r="S164" i="2"/>
  <c r="R164" i="2"/>
  <c r="Q164" i="2"/>
  <c r="P164" i="2"/>
  <c r="U163" i="2"/>
  <c r="S163" i="2"/>
  <c r="R163" i="2"/>
  <c r="Q163" i="2"/>
  <c r="P163" i="2"/>
  <c r="U162" i="2"/>
  <c r="S162" i="2"/>
  <c r="R162" i="2"/>
  <c r="Q162" i="2"/>
  <c r="P162" i="2"/>
  <c r="U161" i="2"/>
  <c r="Q208" i="5" s="1"/>
  <c r="S161" i="2"/>
  <c r="R208" i="5" s="1"/>
  <c r="R161" i="2"/>
  <c r="O208" i="5" s="1"/>
  <c r="Q161" i="2"/>
  <c r="P161" i="2"/>
  <c r="U160" i="2"/>
  <c r="S160" i="2"/>
  <c r="R160" i="2"/>
  <c r="Q160" i="2"/>
  <c r="P160" i="2"/>
  <c r="U159" i="2"/>
  <c r="S159" i="2"/>
  <c r="R159" i="2"/>
  <c r="Q159" i="2"/>
  <c r="P159" i="2"/>
  <c r="U158" i="2"/>
  <c r="S158" i="2"/>
  <c r="R158" i="2"/>
  <c r="Q158" i="2"/>
  <c r="P158" i="2"/>
  <c r="V157" i="2"/>
  <c r="U157" i="2"/>
  <c r="S157" i="2"/>
  <c r="R157" i="2"/>
  <c r="Q157" i="2"/>
  <c r="W157" i="2" s="1"/>
  <c r="P157" i="2"/>
  <c r="T37" i="1" s="1"/>
  <c r="V156" i="2"/>
  <c r="U156" i="2"/>
  <c r="S156" i="2"/>
  <c r="R156" i="2"/>
  <c r="Q156" i="2"/>
  <c r="W156" i="2" s="1"/>
  <c r="P156" i="2"/>
  <c r="U155" i="2"/>
  <c r="Q200" i="5" s="1"/>
  <c r="S155" i="2"/>
  <c r="R200" i="5" s="1"/>
  <c r="R155" i="2"/>
  <c r="O200" i="5" s="1"/>
  <c r="Q155" i="2"/>
  <c r="P155" i="2"/>
  <c r="U154" i="2"/>
  <c r="S154" i="2"/>
  <c r="R154" i="2"/>
  <c r="Q154" i="2"/>
  <c r="P154" i="2"/>
  <c r="U153" i="2"/>
  <c r="S153" i="2"/>
  <c r="R153" i="2"/>
  <c r="Q153" i="2"/>
  <c r="P153" i="2"/>
  <c r="U152" i="2"/>
  <c r="S152" i="2"/>
  <c r="R152" i="2"/>
  <c r="Q152" i="2"/>
  <c r="V152" i="2" s="1"/>
  <c r="P152" i="2"/>
  <c r="U151" i="2"/>
  <c r="Q195" i="5" s="1"/>
  <c r="S151" i="2"/>
  <c r="R195" i="5" s="1"/>
  <c r="R151" i="2"/>
  <c r="O195" i="5" s="1"/>
  <c r="Q151" i="2"/>
  <c r="P151" i="2"/>
  <c r="U150" i="2"/>
  <c r="Q194" i="5" s="1"/>
  <c r="S150" i="2"/>
  <c r="R194" i="5" s="1"/>
  <c r="R150" i="2"/>
  <c r="O194" i="5" s="1"/>
  <c r="Q150" i="2"/>
  <c r="P150" i="2"/>
  <c r="U149" i="2"/>
  <c r="S149" i="2"/>
  <c r="R149" i="2"/>
  <c r="Q149" i="2"/>
  <c r="P149" i="2"/>
  <c r="U148" i="2"/>
  <c r="S148" i="2"/>
  <c r="R148" i="2"/>
  <c r="Q148" i="2"/>
  <c r="P148" i="2"/>
  <c r="W147" i="2"/>
  <c r="U147" i="2"/>
  <c r="S147" i="2"/>
  <c r="R147" i="2"/>
  <c r="Q147" i="2"/>
  <c r="V147" i="2" s="1"/>
  <c r="P147" i="2"/>
  <c r="U146" i="2"/>
  <c r="S146" i="2"/>
  <c r="R146" i="2"/>
  <c r="Q146" i="2"/>
  <c r="P146" i="2"/>
  <c r="U145" i="2"/>
  <c r="Q189" i="5" s="1"/>
  <c r="S145" i="2"/>
  <c r="R189" i="5" s="1"/>
  <c r="R145" i="2"/>
  <c r="O189" i="5" s="1"/>
  <c r="Q145" i="2"/>
  <c r="P145" i="2"/>
  <c r="U144" i="2"/>
  <c r="S144" i="2"/>
  <c r="R144" i="2"/>
  <c r="Q144" i="2"/>
  <c r="P144" i="2"/>
  <c r="U143" i="2"/>
  <c r="S143" i="2"/>
  <c r="R143" i="2"/>
  <c r="Q143" i="2"/>
  <c r="P143" i="2"/>
  <c r="W142" i="2"/>
  <c r="V142" i="2"/>
  <c r="U142" i="2"/>
  <c r="S142" i="2"/>
  <c r="R142" i="2"/>
  <c r="Q142" i="2"/>
  <c r="U34" i="1" s="1"/>
  <c r="P142" i="2"/>
  <c r="U141" i="2"/>
  <c r="Q184" i="5" s="1"/>
  <c r="S141" i="2"/>
  <c r="R184" i="5" s="1"/>
  <c r="R141" i="2"/>
  <c r="O184" i="5" s="1"/>
  <c r="Q141" i="2"/>
  <c r="P141" i="2"/>
  <c r="U140" i="2"/>
  <c r="S140" i="2"/>
  <c r="R140" i="2"/>
  <c r="Q140" i="2"/>
  <c r="P140" i="2"/>
  <c r="U139" i="2"/>
  <c r="S139" i="2"/>
  <c r="R139" i="2"/>
  <c r="Q139" i="2"/>
  <c r="P139" i="2"/>
  <c r="U138" i="2"/>
  <c r="S138" i="2"/>
  <c r="R138" i="2"/>
  <c r="Q138" i="2"/>
  <c r="P138" i="2"/>
  <c r="U137" i="2"/>
  <c r="S137" i="2"/>
  <c r="R137" i="2"/>
  <c r="Q137" i="2"/>
  <c r="P137" i="2"/>
  <c r="T33" i="1" s="1"/>
  <c r="U136" i="2"/>
  <c r="S136" i="2"/>
  <c r="R136" i="2"/>
  <c r="Q136" i="2"/>
  <c r="V136" i="2" s="1"/>
  <c r="P136" i="2"/>
  <c r="U135" i="2"/>
  <c r="Q176" i="5" s="1"/>
  <c r="S135" i="2"/>
  <c r="R176" i="5" s="1"/>
  <c r="R135" i="2"/>
  <c r="O176" i="5" s="1"/>
  <c r="Q135" i="2"/>
  <c r="P135" i="2"/>
  <c r="U134" i="2"/>
  <c r="S134" i="2"/>
  <c r="R134" i="2"/>
  <c r="Q134" i="2"/>
  <c r="P134" i="2"/>
  <c r="U133" i="2"/>
  <c r="S133" i="2"/>
  <c r="R133" i="2"/>
  <c r="Q133" i="2"/>
  <c r="P133" i="2"/>
  <c r="V132" i="2"/>
  <c r="U132" i="2"/>
  <c r="S132" i="2"/>
  <c r="R132" i="2"/>
  <c r="Q132" i="2"/>
  <c r="W132" i="2" s="1"/>
  <c r="P132" i="2"/>
  <c r="U131" i="2"/>
  <c r="S131" i="2"/>
  <c r="R131" i="2"/>
  <c r="Q131" i="2"/>
  <c r="P131" i="2"/>
  <c r="U130" i="2"/>
  <c r="S130" i="2"/>
  <c r="R130" i="2"/>
  <c r="Q130" i="2"/>
  <c r="P130" i="2"/>
  <c r="U129" i="2"/>
  <c r="S129" i="2"/>
  <c r="R129" i="2"/>
  <c r="Q129" i="2"/>
  <c r="P129" i="2"/>
  <c r="U128" i="2"/>
  <c r="S128" i="2"/>
  <c r="R128" i="2"/>
  <c r="Q128" i="2"/>
  <c r="P128" i="2"/>
  <c r="W127" i="2"/>
  <c r="V127" i="2"/>
  <c r="U127" i="2"/>
  <c r="S127" i="2"/>
  <c r="R127" i="2"/>
  <c r="Q127" i="2"/>
  <c r="P127" i="2"/>
  <c r="W126" i="2"/>
  <c r="V126" i="2"/>
  <c r="U126" i="2"/>
  <c r="S126" i="2"/>
  <c r="R126" i="2"/>
  <c r="Q126" i="2"/>
  <c r="P126" i="2"/>
  <c r="U125" i="2"/>
  <c r="Q161" i="5" s="1"/>
  <c r="S125" i="2"/>
  <c r="R161" i="5" s="1"/>
  <c r="R125" i="2"/>
  <c r="O161" i="5" s="1"/>
  <c r="Q125" i="2"/>
  <c r="P125" i="2"/>
  <c r="U124" i="2"/>
  <c r="S124" i="2"/>
  <c r="R124" i="2"/>
  <c r="Q124" i="2"/>
  <c r="P124" i="2"/>
  <c r="U123" i="2"/>
  <c r="S123" i="2"/>
  <c r="R123" i="2"/>
  <c r="Q123" i="2"/>
  <c r="P123" i="2"/>
  <c r="U122" i="2"/>
  <c r="S122" i="2"/>
  <c r="R122" i="2"/>
  <c r="Q122" i="2"/>
  <c r="P122" i="2"/>
  <c r="U121" i="2"/>
  <c r="Q156" i="5" s="1"/>
  <c r="S121" i="2"/>
  <c r="R156" i="5" s="1"/>
  <c r="R121" i="2"/>
  <c r="O156" i="5" s="1"/>
  <c r="Q121" i="2"/>
  <c r="P121" i="2"/>
  <c r="U120" i="2"/>
  <c r="Q155" i="5" s="1"/>
  <c r="S120" i="2"/>
  <c r="R155" i="5" s="1"/>
  <c r="R120" i="2"/>
  <c r="O155" i="5" s="1"/>
  <c r="Q120" i="2"/>
  <c r="P120" i="2"/>
  <c r="U119" i="2"/>
  <c r="Q154" i="5" s="1"/>
  <c r="S119" i="2"/>
  <c r="R154" i="5" s="1"/>
  <c r="R119" i="2"/>
  <c r="O154" i="5" s="1"/>
  <c r="Q119" i="2"/>
  <c r="P119" i="2"/>
  <c r="U118" i="2"/>
  <c r="S118" i="2"/>
  <c r="R118" i="2"/>
  <c r="Q118" i="2"/>
  <c r="P118" i="2"/>
  <c r="V117" i="2"/>
  <c r="U117" i="2"/>
  <c r="S117" i="2"/>
  <c r="R117" i="2"/>
  <c r="Q117" i="2"/>
  <c r="W117" i="2" s="1"/>
  <c r="P117" i="2"/>
  <c r="T29" i="1" s="1"/>
  <c r="U116" i="2"/>
  <c r="Q151" i="5" s="1"/>
  <c r="S116" i="2"/>
  <c r="R151" i="5" s="1"/>
  <c r="R116" i="2"/>
  <c r="O151" i="5" s="1"/>
  <c r="Q116" i="2"/>
  <c r="P116" i="2"/>
  <c r="U115" i="2"/>
  <c r="Q150" i="5" s="1"/>
  <c r="S115" i="2"/>
  <c r="R150" i="5" s="1"/>
  <c r="R115" i="2"/>
  <c r="O150" i="5" s="1"/>
  <c r="Q115" i="2"/>
  <c r="P115" i="2"/>
  <c r="U114" i="2"/>
  <c r="Q149" i="5" s="1"/>
  <c r="S114" i="2"/>
  <c r="R149" i="5" s="1"/>
  <c r="R114" i="2"/>
  <c r="O149" i="5" s="1"/>
  <c r="Q114" i="2"/>
  <c r="P114" i="2"/>
  <c r="U113" i="2"/>
  <c r="Q148" i="5" s="1"/>
  <c r="S113" i="2"/>
  <c r="R148" i="5" s="1"/>
  <c r="R113" i="2"/>
  <c r="O148" i="5" s="1"/>
  <c r="Q113" i="2"/>
  <c r="P113" i="2"/>
  <c r="U112" i="2"/>
  <c r="S112" i="2"/>
  <c r="R112" i="2"/>
  <c r="Q112" i="2"/>
  <c r="V112" i="2" s="1"/>
  <c r="P112" i="2"/>
  <c r="U111" i="2"/>
  <c r="Q147" i="5" s="1"/>
  <c r="S111" i="2"/>
  <c r="R147" i="5" s="1"/>
  <c r="R111" i="2"/>
  <c r="O147" i="5" s="1"/>
  <c r="Q111" i="2"/>
  <c r="P111" i="2"/>
  <c r="U110" i="2"/>
  <c r="Q146" i="5" s="1"/>
  <c r="S110" i="2"/>
  <c r="R146" i="5" s="1"/>
  <c r="R110" i="2"/>
  <c r="O146" i="5" s="1"/>
  <c r="Q110" i="2"/>
  <c r="P110" i="2"/>
  <c r="U109" i="2"/>
  <c r="S109" i="2"/>
  <c r="R109" i="2"/>
  <c r="Q109" i="2"/>
  <c r="P109" i="2"/>
  <c r="U108" i="2"/>
  <c r="S108" i="2"/>
  <c r="R108" i="2"/>
  <c r="Q108" i="2"/>
  <c r="P108" i="2"/>
  <c r="W107" i="2"/>
  <c r="U107" i="2"/>
  <c r="S107" i="2"/>
  <c r="R107" i="2"/>
  <c r="Q107" i="2"/>
  <c r="V107" i="2" s="1"/>
  <c r="P107" i="2"/>
  <c r="U106" i="2"/>
  <c r="Q140" i="5" s="1"/>
  <c r="S106" i="2"/>
  <c r="R140" i="5" s="1"/>
  <c r="R106" i="2"/>
  <c r="O140" i="5" s="1"/>
  <c r="Q106" i="2"/>
  <c r="P106" i="2"/>
  <c r="U105" i="2"/>
  <c r="S105" i="2"/>
  <c r="R105" i="2"/>
  <c r="Q105" i="2"/>
  <c r="P105" i="2"/>
  <c r="U104" i="2"/>
  <c r="S104" i="2"/>
  <c r="R104" i="2"/>
  <c r="Q104" i="2"/>
  <c r="P104" i="2"/>
  <c r="U103" i="2"/>
  <c r="S103" i="2"/>
  <c r="R103" i="2"/>
  <c r="Q103" i="2"/>
  <c r="P103" i="2"/>
  <c r="U102" i="2"/>
  <c r="S102" i="2"/>
  <c r="R102" i="2"/>
  <c r="Q102" i="2"/>
  <c r="U26" i="1" s="1"/>
  <c r="P102" i="2"/>
  <c r="U101" i="2"/>
  <c r="S101" i="2"/>
  <c r="R101" i="2"/>
  <c r="Q101" i="2"/>
  <c r="P101" i="2"/>
  <c r="U100" i="2"/>
  <c r="S100" i="2"/>
  <c r="R100" i="2"/>
  <c r="Q100" i="2"/>
  <c r="P100" i="2"/>
  <c r="U99" i="2"/>
  <c r="S99" i="2"/>
  <c r="R99" i="2"/>
  <c r="Q99" i="2"/>
  <c r="P99" i="2"/>
  <c r="U98" i="2"/>
  <c r="S98" i="2"/>
  <c r="R98" i="2"/>
  <c r="Q98" i="2"/>
  <c r="P98" i="2"/>
  <c r="U97" i="2"/>
  <c r="S97" i="2"/>
  <c r="R97" i="2"/>
  <c r="Q97" i="2"/>
  <c r="P97" i="2"/>
  <c r="U96" i="2"/>
  <c r="S96" i="2"/>
  <c r="R96" i="2"/>
  <c r="Q96" i="2"/>
  <c r="P96" i="2"/>
  <c r="U95" i="2"/>
  <c r="S95" i="2"/>
  <c r="R95" i="2"/>
  <c r="Q95" i="2"/>
  <c r="P95" i="2"/>
  <c r="U94" i="2"/>
  <c r="S94" i="2"/>
  <c r="R94" i="2"/>
  <c r="Q94" i="2"/>
  <c r="P94" i="2"/>
  <c r="U93" i="2"/>
  <c r="S93" i="2"/>
  <c r="R93" i="2"/>
  <c r="Q93" i="2"/>
  <c r="P93" i="2"/>
  <c r="V92" i="2"/>
  <c r="U92" i="2"/>
  <c r="S92" i="2"/>
  <c r="R92" i="2"/>
  <c r="Q92" i="2"/>
  <c r="W92" i="2" s="1"/>
  <c r="P92" i="2"/>
  <c r="W91" i="2"/>
  <c r="U91" i="2"/>
  <c r="S91" i="2"/>
  <c r="R91" i="2"/>
  <c r="Q91" i="2"/>
  <c r="V91" i="2" s="1"/>
  <c r="P91" i="2"/>
  <c r="U90" i="2"/>
  <c r="Q116" i="5" s="1"/>
  <c r="S90" i="2"/>
  <c r="R116" i="5" s="1"/>
  <c r="R90" i="2"/>
  <c r="O116" i="5" s="1"/>
  <c r="Q90" i="2"/>
  <c r="P90" i="2"/>
  <c r="U89" i="2"/>
  <c r="Q115" i="5" s="1"/>
  <c r="S89" i="2"/>
  <c r="R115" i="5" s="1"/>
  <c r="R89" i="2"/>
  <c r="O115" i="5" s="1"/>
  <c r="Q89" i="2"/>
  <c r="P89" i="2"/>
  <c r="U88" i="2"/>
  <c r="Q114" i="5" s="1"/>
  <c r="S88" i="2"/>
  <c r="R114" i="5" s="1"/>
  <c r="R88" i="2"/>
  <c r="O114" i="5" s="1"/>
  <c r="Q88" i="2"/>
  <c r="P88" i="2"/>
  <c r="W87" i="2"/>
  <c r="V87" i="2"/>
  <c r="U87" i="2"/>
  <c r="S87" i="2"/>
  <c r="R87" i="2"/>
  <c r="Q87" i="2"/>
  <c r="P87" i="2"/>
  <c r="U86" i="2"/>
  <c r="S86" i="2"/>
  <c r="R86" i="2"/>
  <c r="Q86" i="2"/>
  <c r="W86" i="2" s="1"/>
  <c r="P86" i="2"/>
  <c r="U85" i="2"/>
  <c r="Q113" i="5" s="1"/>
  <c r="S85" i="2"/>
  <c r="R113" i="5" s="1"/>
  <c r="R85" i="2"/>
  <c r="O113" i="5" s="1"/>
  <c r="Q85" i="2"/>
  <c r="P85" i="2"/>
  <c r="U84" i="2"/>
  <c r="Q112" i="5" s="1"/>
  <c r="S84" i="2"/>
  <c r="R112" i="5" s="1"/>
  <c r="R84" i="2"/>
  <c r="O112" i="5" s="1"/>
  <c r="Q84" i="2"/>
  <c r="P84" i="2"/>
  <c r="U83" i="2"/>
  <c r="Q111" i="5" s="1"/>
  <c r="S83" i="2"/>
  <c r="R111" i="5" s="1"/>
  <c r="R83" i="2"/>
  <c r="O111" i="5" s="1"/>
  <c r="Q83" i="2"/>
  <c r="P83" i="2"/>
  <c r="U82" i="2"/>
  <c r="S82" i="2"/>
  <c r="R82" i="2"/>
  <c r="Q82" i="2"/>
  <c r="P82" i="2"/>
  <c r="U81" i="2"/>
  <c r="S81" i="2"/>
  <c r="R81" i="2"/>
  <c r="Q81" i="2"/>
  <c r="P81" i="2"/>
  <c r="U80" i="2"/>
  <c r="Q110" i="5" s="1"/>
  <c r="S80" i="2"/>
  <c r="R110" i="5" s="1"/>
  <c r="R80" i="2"/>
  <c r="O110" i="5" s="1"/>
  <c r="Q80" i="2"/>
  <c r="P80" i="2"/>
  <c r="U79" i="2"/>
  <c r="Q109" i="5" s="1"/>
  <c r="S79" i="2"/>
  <c r="R109" i="5" s="1"/>
  <c r="R79" i="2"/>
  <c r="O109" i="5" s="1"/>
  <c r="Q79" i="2"/>
  <c r="P79" i="2"/>
  <c r="U78" i="2"/>
  <c r="Q108" i="5" s="1"/>
  <c r="S78" i="2"/>
  <c r="R108" i="5" s="1"/>
  <c r="R78" i="2"/>
  <c r="O108" i="5" s="1"/>
  <c r="Q78" i="2"/>
  <c r="P78" i="2"/>
  <c r="V77" i="2"/>
  <c r="U77" i="2"/>
  <c r="S77" i="2"/>
  <c r="R77" i="2"/>
  <c r="Q77" i="2"/>
  <c r="W77" i="2" s="1"/>
  <c r="P77" i="2"/>
  <c r="V76" i="2"/>
  <c r="U76" i="2"/>
  <c r="S76" i="2"/>
  <c r="R76" i="2"/>
  <c r="Q76" i="2"/>
  <c r="W76" i="2" s="1"/>
  <c r="P76" i="2"/>
  <c r="U75" i="2"/>
  <c r="Q107" i="5" s="1"/>
  <c r="S75" i="2"/>
  <c r="R107" i="5" s="1"/>
  <c r="R75" i="2"/>
  <c r="O107" i="5" s="1"/>
  <c r="Q75" i="2"/>
  <c r="P75" i="2"/>
  <c r="U74" i="2"/>
  <c r="Q106" i="5" s="1"/>
  <c r="S74" i="2"/>
  <c r="R106" i="5" s="1"/>
  <c r="R74" i="2"/>
  <c r="O106" i="5" s="1"/>
  <c r="Q74" i="2"/>
  <c r="P74" i="2"/>
  <c r="U73" i="2"/>
  <c r="Q105" i="5" s="1"/>
  <c r="S73" i="2"/>
  <c r="R105" i="5" s="1"/>
  <c r="R73" i="2"/>
  <c r="O105" i="5" s="1"/>
  <c r="Q73" i="2"/>
  <c r="P73" i="2"/>
  <c r="W72" i="2"/>
  <c r="U72" i="2"/>
  <c r="S72" i="2"/>
  <c r="R72" i="2"/>
  <c r="Q72" i="2"/>
  <c r="V72" i="2" s="1"/>
  <c r="P72" i="2"/>
  <c r="W71" i="2"/>
  <c r="V71" i="2"/>
  <c r="U71" i="2"/>
  <c r="S71" i="2"/>
  <c r="R71" i="2"/>
  <c r="Q71" i="2"/>
  <c r="P71" i="2"/>
  <c r="W70" i="2"/>
  <c r="U70" i="2"/>
  <c r="S70" i="2"/>
  <c r="R70" i="2"/>
  <c r="Q70" i="2"/>
  <c r="V70" i="2" s="1"/>
  <c r="P70" i="2"/>
  <c r="V69" i="2"/>
  <c r="U69" i="2"/>
  <c r="S69" i="2"/>
  <c r="R69" i="2"/>
  <c r="Q69" i="2"/>
  <c r="W69" i="2" s="1"/>
  <c r="P69" i="2"/>
  <c r="V68" i="2"/>
  <c r="U68" i="2"/>
  <c r="S68" i="2"/>
  <c r="R68" i="2"/>
  <c r="Q68" i="2"/>
  <c r="W68" i="2" s="1"/>
  <c r="P68" i="2"/>
  <c r="W67" i="2"/>
  <c r="U67" i="2"/>
  <c r="S67" i="2"/>
  <c r="R67" i="2"/>
  <c r="Q67" i="2"/>
  <c r="V67" i="2" s="1"/>
  <c r="P67" i="2"/>
  <c r="U66" i="2"/>
  <c r="Q104" i="5" s="1"/>
  <c r="S66" i="2"/>
  <c r="R104" i="5" s="1"/>
  <c r="R66" i="2"/>
  <c r="O104" i="5" s="1"/>
  <c r="Q66" i="2"/>
  <c r="P66" i="2"/>
  <c r="U65" i="2"/>
  <c r="Q103" i="5" s="1"/>
  <c r="S65" i="2"/>
  <c r="R103" i="5" s="1"/>
  <c r="R65" i="2"/>
  <c r="O103" i="5" s="1"/>
  <c r="Q65" i="2"/>
  <c r="P65" i="2"/>
  <c r="U64" i="2"/>
  <c r="S64" i="2"/>
  <c r="R64" i="2"/>
  <c r="Q64" i="2"/>
  <c r="P64" i="2"/>
  <c r="U63" i="2"/>
  <c r="S63" i="2"/>
  <c r="R63" i="2"/>
  <c r="Q63" i="2"/>
  <c r="P63" i="2"/>
  <c r="U62" i="2"/>
  <c r="S62" i="2"/>
  <c r="R62" i="2"/>
  <c r="Q62" i="2"/>
  <c r="U18" i="1" s="1"/>
  <c r="P62" i="2"/>
  <c r="V61" i="2"/>
  <c r="U61" i="2"/>
  <c r="S61" i="2"/>
  <c r="R61" i="2"/>
  <c r="Q61" i="2"/>
  <c r="W61" i="2" s="1"/>
  <c r="P61" i="2"/>
  <c r="U60" i="2"/>
  <c r="Q98" i="5" s="1"/>
  <c r="S60" i="2"/>
  <c r="R98" i="5" s="1"/>
  <c r="R60" i="2"/>
  <c r="O98" i="5" s="1"/>
  <c r="Q60" i="2"/>
  <c r="P60" i="2"/>
  <c r="U59" i="2"/>
  <c r="Q97" i="5" s="1"/>
  <c r="S59" i="2"/>
  <c r="R97" i="5" s="1"/>
  <c r="R59" i="2"/>
  <c r="O97" i="5" s="1"/>
  <c r="Q59" i="2"/>
  <c r="P59" i="2"/>
  <c r="U58" i="2"/>
  <c r="Q96" i="5" s="1"/>
  <c r="S58" i="2"/>
  <c r="R96" i="5" s="1"/>
  <c r="R58" i="2"/>
  <c r="O96" i="5" s="1"/>
  <c r="Q58" i="2"/>
  <c r="P58" i="2"/>
  <c r="U57" i="2"/>
  <c r="S57" i="2"/>
  <c r="R57" i="2"/>
  <c r="Q57" i="2"/>
  <c r="P57" i="2"/>
  <c r="T17" i="1" s="1"/>
  <c r="W56" i="2"/>
  <c r="U56" i="2"/>
  <c r="S56" i="2"/>
  <c r="R56" i="2"/>
  <c r="Q56" i="2"/>
  <c r="V56" i="2" s="1"/>
  <c r="P56" i="2"/>
  <c r="U55" i="2"/>
  <c r="Q95" i="5" s="1"/>
  <c r="S55" i="2"/>
  <c r="R95" i="5" s="1"/>
  <c r="R55" i="2"/>
  <c r="O95" i="5" s="1"/>
  <c r="Q55" i="2"/>
  <c r="P55" i="2"/>
  <c r="U54" i="2"/>
  <c r="Q94" i="5" s="1"/>
  <c r="S54" i="2"/>
  <c r="R94" i="5" s="1"/>
  <c r="R54" i="2"/>
  <c r="O94" i="5" s="1"/>
  <c r="Q54" i="2"/>
  <c r="P54" i="2"/>
  <c r="U53" i="2"/>
  <c r="S53" i="2"/>
  <c r="R53" i="2"/>
  <c r="Q53" i="2"/>
  <c r="P53" i="2"/>
  <c r="V52" i="2"/>
  <c r="U52" i="2"/>
  <c r="S52" i="2"/>
  <c r="R52" i="2"/>
  <c r="Q52" i="2"/>
  <c r="W52" i="2" s="1"/>
  <c r="P52" i="2"/>
  <c r="U51" i="2"/>
  <c r="S51" i="2"/>
  <c r="R51" i="2"/>
  <c r="Q51" i="2"/>
  <c r="P51" i="2"/>
  <c r="U50" i="2"/>
  <c r="S50" i="2"/>
  <c r="R50" i="2"/>
  <c r="Q50" i="2"/>
  <c r="P50" i="2"/>
  <c r="U49" i="2"/>
  <c r="S49" i="2"/>
  <c r="R49" i="2"/>
  <c r="Q49" i="2"/>
  <c r="P49" i="2"/>
  <c r="U48" i="2"/>
  <c r="S48" i="2"/>
  <c r="R48" i="2"/>
  <c r="Q48" i="2"/>
  <c r="P48" i="2"/>
  <c r="U47" i="2"/>
  <c r="S47" i="2"/>
  <c r="R47" i="2"/>
  <c r="Q47" i="2"/>
  <c r="P47" i="2"/>
  <c r="U46" i="2"/>
  <c r="S46" i="2"/>
  <c r="R46" i="2"/>
  <c r="Q46" i="2"/>
  <c r="P46" i="2"/>
  <c r="U45" i="2"/>
  <c r="S45" i="2"/>
  <c r="R45" i="2"/>
  <c r="Q45" i="2"/>
  <c r="P45" i="2"/>
  <c r="U44" i="2"/>
  <c r="S44" i="2"/>
  <c r="R44" i="2"/>
  <c r="Q44" i="2"/>
  <c r="P44" i="2"/>
  <c r="U43" i="2"/>
  <c r="S43" i="2"/>
  <c r="R43" i="2"/>
  <c r="Q43" i="2"/>
  <c r="P43" i="2"/>
  <c r="U42" i="2"/>
  <c r="S42" i="2"/>
  <c r="R42" i="2"/>
  <c r="Q42" i="2"/>
  <c r="P42" i="2"/>
  <c r="U41" i="2"/>
  <c r="S41" i="2"/>
  <c r="R41" i="2"/>
  <c r="Q41" i="2"/>
  <c r="P41" i="2"/>
  <c r="U40" i="2"/>
  <c r="S40" i="2"/>
  <c r="R40" i="2"/>
  <c r="Q40" i="2"/>
  <c r="P40" i="2"/>
  <c r="U39" i="2"/>
  <c r="S39" i="2"/>
  <c r="R39" i="2"/>
  <c r="Q39" i="2"/>
  <c r="P39" i="2"/>
  <c r="U38" i="2"/>
  <c r="S38" i="2"/>
  <c r="R38" i="2"/>
  <c r="Q38" i="2"/>
  <c r="P38" i="2"/>
  <c r="U37" i="2"/>
  <c r="S37" i="2"/>
  <c r="R37" i="2"/>
  <c r="Q37" i="2"/>
  <c r="U13" i="1" s="1"/>
  <c r="P37" i="2"/>
  <c r="U36" i="2"/>
  <c r="S36" i="2"/>
  <c r="R36" i="2"/>
  <c r="Q36" i="2"/>
  <c r="P36" i="2"/>
  <c r="U35" i="2"/>
  <c r="S35" i="2"/>
  <c r="R35" i="2"/>
  <c r="Q35" i="2"/>
  <c r="P35" i="2"/>
  <c r="U34" i="2"/>
  <c r="S34" i="2"/>
  <c r="R34" i="2"/>
  <c r="Q34" i="2"/>
  <c r="P34" i="2"/>
  <c r="U33" i="2"/>
  <c r="S33" i="2"/>
  <c r="R33" i="2"/>
  <c r="Q33" i="2"/>
  <c r="P33" i="2"/>
  <c r="U32" i="2"/>
  <c r="S32" i="2"/>
  <c r="R32" i="2"/>
  <c r="Q32" i="2"/>
  <c r="P32" i="2"/>
  <c r="U31" i="2"/>
  <c r="S31" i="2"/>
  <c r="R31" i="2"/>
  <c r="Q31" i="2"/>
  <c r="P31" i="2"/>
  <c r="U30" i="2"/>
  <c r="S30" i="2"/>
  <c r="R30" i="2"/>
  <c r="Q30" i="2"/>
  <c r="P30" i="2"/>
  <c r="U29" i="2"/>
  <c r="S29" i="2"/>
  <c r="R29" i="2"/>
  <c r="Q29" i="2"/>
  <c r="P29" i="2"/>
  <c r="U28" i="2"/>
  <c r="S28" i="2"/>
  <c r="R28" i="2"/>
  <c r="Q28" i="2"/>
  <c r="P28" i="2"/>
  <c r="W27" i="2"/>
  <c r="U27" i="2"/>
  <c r="S27" i="2"/>
  <c r="R27" i="2"/>
  <c r="Q27" i="2"/>
  <c r="V27" i="2" s="1"/>
  <c r="P27" i="2"/>
  <c r="U26" i="2"/>
  <c r="S26" i="2"/>
  <c r="R26" i="2"/>
  <c r="Q26" i="2"/>
  <c r="P26" i="2"/>
  <c r="U25" i="2"/>
  <c r="Q26" i="5" s="1"/>
  <c r="S25" i="2"/>
  <c r="R26" i="5" s="1"/>
  <c r="R25" i="2"/>
  <c r="O26" i="5" s="1"/>
  <c r="Q25" i="2"/>
  <c r="P25" i="2"/>
  <c r="U24" i="2"/>
  <c r="S24" i="2"/>
  <c r="R24" i="2"/>
  <c r="Q24" i="2"/>
  <c r="P24" i="2"/>
  <c r="U23" i="2"/>
  <c r="S23" i="2"/>
  <c r="R23" i="2"/>
  <c r="Q23" i="2"/>
  <c r="P23" i="2"/>
  <c r="V22" i="2"/>
  <c r="U22" i="2"/>
  <c r="S22" i="2"/>
  <c r="R22" i="2"/>
  <c r="Q22" i="2"/>
  <c r="U10" i="1" s="1"/>
  <c r="P22" i="2"/>
  <c r="V21" i="2"/>
  <c r="U21" i="2"/>
  <c r="S21" i="2"/>
  <c r="R21" i="2"/>
  <c r="Q21" i="2"/>
  <c r="W21" i="2" s="1"/>
  <c r="P21" i="2"/>
  <c r="U20" i="2"/>
  <c r="Q20" i="5" s="1"/>
  <c r="S20" i="2"/>
  <c r="R20" i="5" s="1"/>
  <c r="R20" i="2"/>
  <c r="O20" i="5" s="1"/>
  <c r="Q20" i="2"/>
  <c r="P20" i="2"/>
  <c r="U19" i="2"/>
  <c r="Q19" i="5" s="1"/>
  <c r="S19" i="2"/>
  <c r="R19" i="5" s="1"/>
  <c r="R19" i="2"/>
  <c r="O19" i="5" s="1"/>
  <c r="Q19" i="2"/>
  <c r="P19" i="2"/>
  <c r="U18" i="2"/>
  <c r="Q18" i="5" s="1"/>
  <c r="S18" i="2"/>
  <c r="R18" i="5" s="1"/>
  <c r="R18" i="2"/>
  <c r="O18" i="5" s="1"/>
  <c r="Q18" i="2"/>
  <c r="P18" i="2"/>
  <c r="U17" i="2"/>
  <c r="S17" i="2"/>
  <c r="R17" i="2"/>
  <c r="Q17" i="2"/>
  <c r="W17" i="2" s="1"/>
  <c r="P17" i="2"/>
  <c r="T9" i="1" s="1"/>
  <c r="W16" i="2"/>
  <c r="U16" i="2"/>
  <c r="S16" i="2"/>
  <c r="R16" i="2"/>
  <c r="Q16" i="2"/>
  <c r="V16" i="2" s="1"/>
  <c r="P16" i="2"/>
  <c r="U15" i="2"/>
  <c r="Q17" i="5" s="1"/>
  <c r="S15" i="2"/>
  <c r="R17" i="5" s="1"/>
  <c r="R15" i="2"/>
  <c r="O17" i="5" s="1"/>
  <c r="Q15" i="2"/>
  <c r="P15" i="2"/>
  <c r="U14" i="2"/>
  <c r="S14" i="2"/>
  <c r="R14" i="2"/>
  <c r="Q14" i="2"/>
  <c r="P14" i="2"/>
  <c r="U13" i="2"/>
  <c r="S13" i="2"/>
  <c r="R13" i="2"/>
  <c r="Q13" i="2"/>
  <c r="P13" i="2"/>
  <c r="V12" i="2"/>
  <c r="U12" i="2"/>
  <c r="S12" i="2"/>
  <c r="R12" i="2"/>
  <c r="Q12" i="2"/>
  <c r="W12" i="2" s="1"/>
  <c r="P12" i="2"/>
  <c r="T8" i="1" s="1"/>
  <c r="U11" i="2"/>
  <c r="S11" i="2"/>
  <c r="R11" i="2"/>
  <c r="Q11" i="2"/>
  <c r="P11" i="2"/>
  <c r="W10" i="2"/>
  <c r="V10" i="2"/>
  <c r="U10" i="2"/>
  <c r="S10" i="2"/>
  <c r="R10" i="2"/>
  <c r="Q10" i="2"/>
  <c r="P10" i="2"/>
  <c r="U9" i="2"/>
  <c r="S9" i="2"/>
  <c r="R9" i="2"/>
  <c r="Q9" i="2"/>
  <c r="U7" i="1" s="1"/>
  <c r="P9" i="2"/>
  <c r="U8" i="2"/>
  <c r="Q7" i="5" s="1"/>
  <c r="S8" i="2"/>
  <c r="R7" i="5" s="1"/>
  <c r="R8" i="2"/>
  <c r="O7" i="5" s="1"/>
  <c r="Q8" i="2"/>
  <c r="P8" i="2"/>
  <c r="W7" i="2"/>
  <c r="V7" i="2"/>
  <c r="U7" i="2"/>
  <c r="S7" i="2"/>
  <c r="R7" i="2"/>
  <c r="Q7" i="2"/>
  <c r="P7" i="2"/>
  <c r="P71" i="1"/>
  <c r="O71" i="1"/>
  <c r="N71" i="1"/>
  <c r="M71" i="1"/>
  <c r="L71" i="1"/>
  <c r="U69" i="1"/>
  <c r="T69" i="1"/>
  <c r="U68" i="1"/>
  <c r="T68" i="1"/>
  <c r="U67" i="1"/>
  <c r="T67" i="1"/>
  <c r="U66" i="1"/>
  <c r="T66" i="1"/>
  <c r="U65" i="1"/>
  <c r="T65" i="1"/>
  <c r="U64" i="1"/>
  <c r="T64" i="1"/>
  <c r="U63" i="1"/>
  <c r="T63" i="1"/>
  <c r="U62" i="1"/>
  <c r="T62" i="1"/>
  <c r="U61" i="1"/>
  <c r="T61" i="1"/>
  <c r="U60" i="1"/>
  <c r="T60" i="1"/>
  <c r="U59" i="1"/>
  <c r="T59" i="1"/>
  <c r="U58" i="1"/>
  <c r="T58" i="1"/>
  <c r="U57" i="1"/>
  <c r="T57" i="1"/>
  <c r="U56" i="1"/>
  <c r="T56" i="1"/>
  <c r="U55" i="1"/>
  <c r="T55" i="1"/>
  <c r="U54" i="1"/>
  <c r="T54" i="1"/>
  <c r="U53" i="1"/>
  <c r="U52" i="1"/>
  <c r="T52" i="1"/>
  <c r="U51" i="1"/>
  <c r="T51" i="1"/>
  <c r="U50" i="1"/>
  <c r="T50" i="1"/>
  <c r="U49" i="1"/>
  <c r="U48" i="1"/>
  <c r="T48" i="1"/>
  <c r="U47" i="1"/>
  <c r="T47" i="1"/>
  <c r="U46" i="1"/>
  <c r="T46" i="1"/>
  <c r="U45" i="1"/>
  <c r="U44" i="1"/>
  <c r="T44" i="1"/>
  <c r="U43" i="1"/>
  <c r="T43" i="1"/>
  <c r="T42" i="1"/>
  <c r="U41" i="1"/>
  <c r="U40" i="1"/>
  <c r="T40" i="1"/>
  <c r="U39" i="1"/>
  <c r="T39" i="1"/>
  <c r="T38" i="1"/>
  <c r="U37" i="1"/>
  <c r="T36" i="1"/>
  <c r="U35" i="1"/>
  <c r="T35" i="1"/>
  <c r="T34" i="1"/>
  <c r="U33" i="1"/>
  <c r="U32" i="1"/>
  <c r="T32" i="1"/>
  <c r="U31" i="1"/>
  <c r="T31" i="1"/>
  <c r="T30" i="1"/>
  <c r="U29" i="1"/>
  <c r="U28" i="1"/>
  <c r="T28" i="1"/>
  <c r="U27" i="1"/>
  <c r="T27" i="1"/>
  <c r="T26" i="1"/>
  <c r="U25" i="1"/>
  <c r="U24" i="1"/>
  <c r="T24" i="1"/>
  <c r="U23" i="1"/>
  <c r="T23" i="1"/>
  <c r="T22" i="1"/>
  <c r="U21" i="1"/>
  <c r="U20" i="1"/>
  <c r="T20" i="1"/>
  <c r="U19" i="1"/>
  <c r="T19" i="1"/>
  <c r="T18" i="1"/>
  <c r="U17" i="1"/>
  <c r="U16" i="1"/>
  <c r="T16" i="1"/>
  <c r="U15" i="1"/>
  <c r="T15" i="1"/>
  <c r="T14" i="1"/>
  <c r="U12" i="1"/>
  <c r="T12" i="1"/>
  <c r="U11" i="1"/>
  <c r="T11" i="1"/>
  <c r="T10" i="1"/>
  <c r="U8" i="1"/>
  <c r="T7" i="1"/>
  <c r="Q589" i="3" l="1"/>
  <c r="Q1480" i="3"/>
  <c r="Q224" i="3"/>
  <c r="Q1273" i="3"/>
  <c r="Q901" i="3"/>
  <c r="Q1013" i="3"/>
  <c r="Q1946" i="3"/>
  <c r="Q964" i="3"/>
  <c r="Q1209" i="3"/>
  <c r="Q42" i="3"/>
  <c r="Q46" i="3"/>
  <c r="Q662" i="3"/>
  <c r="Q1270" i="3"/>
  <c r="Q459" i="3"/>
  <c r="Q1943" i="3"/>
  <c r="Q687" i="3"/>
  <c r="Q2007" i="3"/>
  <c r="Q547" i="3"/>
  <c r="Q1517" i="3"/>
  <c r="Q2423" i="3"/>
  <c r="Q2446" i="3"/>
  <c r="Q1008" i="3"/>
  <c r="Q133" i="3"/>
  <c r="Q703" i="3"/>
  <c r="Q1771" i="3"/>
  <c r="Q949" i="3"/>
  <c r="Q644" i="3"/>
  <c r="Q2428" i="3"/>
  <c r="Q2498" i="3"/>
  <c r="Q2148" i="3"/>
  <c r="Q1398" i="3"/>
  <c r="Q2511" i="3"/>
  <c r="Q1210" i="3"/>
  <c r="Q1986" i="3"/>
  <c r="Q1955" i="3"/>
  <c r="Q1910" i="3"/>
  <c r="Q2416" i="3"/>
  <c r="Q2031" i="3"/>
  <c r="Q1019" i="3"/>
  <c r="Q642" i="3"/>
  <c r="Q969" i="3"/>
  <c r="Q709" i="3"/>
  <c r="Q294" i="3"/>
  <c r="Q1519" i="3"/>
  <c r="Q2485" i="3"/>
  <c r="Q1897" i="3"/>
  <c r="Q95" i="3"/>
  <c r="Q19" i="3"/>
  <c r="Q2281" i="3"/>
  <c r="Q1445" i="3"/>
  <c r="Q2015" i="3"/>
  <c r="Q2462" i="3"/>
  <c r="Q661" i="3"/>
  <c r="Q1606" i="3"/>
  <c r="Q1471" i="3"/>
  <c r="Q100" i="3"/>
  <c r="Q10" i="3"/>
  <c r="Q812" i="3"/>
  <c r="Q1806" i="3"/>
  <c r="Q1743" i="3"/>
  <c r="Q736" i="3"/>
  <c r="Q87" i="3"/>
  <c r="Q2050" i="3"/>
  <c r="Q1723" i="3"/>
  <c r="Q2312" i="3"/>
  <c r="Q1556" i="3"/>
  <c r="Q686" i="3"/>
  <c r="Q746" i="3"/>
  <c r="Q2046" i="3"/>
  <c r="Q910" i="3"/>
  <c r="Q558" i="3"/>
  <c r="Q1645" i="3"/>
  <c r="Q216" i="3"/>
  <c r="Q91" i="3"/>
  <c r="Q161" i="3"/>
  <c r="Q1833" i="3"/>
  <c r="Q447" i="3"/>
  <c r="Q170" i="3"/>
  <c r="Q185" i="3"/>
  <c r="Q1098" i="3"/>
  <c r="Q1545" i="3"/>
  <c r="Q2261" i="3"/>
  <c r="Q664" i="3"/>
  <c r="Q228" i="3"/>
  <c r="Q53" i="3"/>
  <c r="Q327" i="3"/>
  <c r="Q1613" i="3"/>
  <c r="Q1205" i="3"/>
  <c r="Q43" i="3"/>
  <c r="Q384" i="3"/>
  <c r="Q659" i="3"/>
  <c r="Q500" i="3"/>
  <c r="Q1842" i="3"/>
  <c r="Q2241" i="3"/>
  <c r="Q2343" i="3"/>
  <c r="Q272" i="3"/>
  <c r="Q1569" i="3"/>
  <c r="Q1396" i="3"/>
  <c r="Q881" i="3"/>
  <c r="Q1025" i="3"/>
  <c r="Q1003" i="3"/>
  <c r="Q2515" i="3"/>
  <c r="Q2370" i="3"/>
  <c r="Q1267" i="3"/>
  <c r="Q1252" i="3"/>
  <c r="Q1144" i="3"/>
  <c r="Q314" i="3"/>
  <c r="Q672" i="3"/>
  <c r="Q673" i="3"/>
  <c r="T177" i="5"/>
  <c r="Q1313" i="3"/>
  <c r="Q857" i="3"/>
  <c r="Q1787" i="3"/>
  <c r="Q1778" i="3"/>
  <c r="Q1243" i="3"/>
  <c r="Q1346" i="3"/>
  <c r="Q1802" i="3"/>
  <c r="Q2056" i="3"/>
  <c r="Q2400" i="3"/>
  <c r="Q2132" i="3"/>
  <c r="Q2330" i="3"/>
  <c r="Q998" i="3"/>
  <c r="Q1300" i="3"/>
  <c r="Q1384" i="3"/>
  <c r="Q1516" i="3"/>
  <c r="Q1650" i="3"/>
  <c r="Q2160" i="3"/>
  <c r="Q697" i="3"/>
  <c r="Q2153" i="3"/>
  <c r="Q2451" i="3"/>
  <c r="Q643" i="3"/>
  <c r="T42" i="5"/>
  <c r="Q118" i="3"/>
  <c r="Q2111" i="3"/>
  <c r="Q1639" i="3"/>
  <c r="Q2418" i="3"/>
  <c r="Q1973" i="3"/>
  <c r="Q1105" i="3"/>
  <c r="Q1103" i="3"/>
  <c r="Q724" i="3"/>
  <c r="Q1901" i="3"/>
  <c r="Q64" i="3"/>
  <c r="Q67" i="3"/>
  <c r="Q517" i="3"/>
  <c r="Q2529" i="3"/>
  <c r="Q538" i="3"/>
  <c r="Q1174" i="3"/>
  <c r="Q2379" i="3"/>
  <c r="Q1082" i="3"/>
  <c r="Q1080" i="3"/>
  <c r="Q560" i="3"/>
  <c r="Q84" i="3"/>
  <c r="Q174" i="3"/>
  <c r="Q1571" i="3"/>
  <c r="Q1578" i="3"/>
  <c r="Q1576" i="3"/>
  <c r="Q2324" i="3"/>
  <c r="Q2080" i="3"/>
  <c r="Q883" i="3"/>
  <c r="Q1024" i="3"/>
  <c r="Q2388" i="3"/>
  <c r="Q1002" i="3"/>
  <c r="Q1266" i="3"/>
  <c r="Q1262" i="3"/>
  <c r="Q1146" i="3"/>
  <c r="Q1127" i="3"/>
  <c r="Q666" i="3"/>
  <c r="Q1428" i="3"/>
  <c r="Q40" i="3"/>
  <c r="Q1386" i="3"/>
  <c r="Q1514" i="3"/>
  <c r="Q1549" i="3"/>
  <c r="Q2159" i="3"/>
  <c r="Q2532" i="3"/>
  <c r="Q821" i="3"/>
  <c r="Q410" i="3"/>
  <c r="Q702" i="3"/>
  <c r="Q1060" i="3"/>
  <c r="Q1187" i="3"/>
  <c r="Q1110" i="3"/>
  <c r="Q929" i="3"/>
  <c r="Q734" i="3"/>
  <c r="Q2187" i="3"/>
  <c r="Q1202" i="3"/>
  <c r="Q215" i="3"/>
  <c r="Q92" i="3"/>
  <c r="Q2275" i="3"/>
  <c r="Q2271" i="3"/>
  <c r="Q124" i="3"/>
  <c r="Q2334" i="3"/>
  <c r="Q783" i="3"/>
  <c r="Q1830" i="3"/>
  <c r="Q623" i="3"/>
  <c r="Q1041" i="3"/>
  <c r="Q188" i="3"/>
  <c r="Q1382" i="3"/>
  <c r="Q1379" i="3"/>
  <c r="Q2161" i="3"/>
  <c r="Q2227" i="3"/>
  <c r="Q2196" i="3"/>
  <c r="Q2236" i="3"/>
  <c r="Q1435" i="3"/>
  <c r="T47" i="5"/>
  <c r="Q2381" i="3"/>
  <c r="Q1079" i="3"/>
  <c r="Q152" i="3"/>
  <c r="Q1102" i="3"/>
  <c r="Q242" i="3"/>
  <c r="Q252" i="3"/>
  <c r="Q402" i="3"/>
  <c r="Q397" i="3"/>
  <c r="Q373" i="3"/>
  <c r="Q915" i="3"/>
  <c r="Q1816" i="3"/>
  <c r="Q1597" i="3"/>
  <c r="Q2190" i="3"/>
  <c r="Q789" i="3"/>
  <c r="T125" i="5"/>
  <c r="T276" i="5"/>
  <c r="T301" i="5"/>
  <c r="T304" i="5"/>
  <c r="T305" i="5"/>
  <c r="Q1336" i="3"/>
  <c r="Q1984" i="3"/>
  <c r="Q211" i="3"/>
  <c r="Q214" i="3"/>
  <c r="Q212" i="3"/>
  <c r="Q93" i="3"/>
  <c r="Q628" i="3"/>
  <c r="Q120" i="3"/>
  <c r="Q1825" i="3"/>
  <c r="Q1834" i="3"/>
  <c r="Q1367" i="3"/>
  <c r="Q491" i="3"/>
  <c r="Q2167" i="3"/>
  <c r="Q2169" i="3"/>
  <c r="Q612" i="3"/>
  <c r="Q1287" i="3"/>
  <c r="Q1286" i="3"/>
  <c r="Q2020" i="3"/>
  <c r="Q1452" i="3"/>
  <c r="Q1568" i="3"/>
  <c r="Q2473" i="3"/>
  <c r="Q1561" i="3"/>
  <c r="Q221" i="3"/>
  <c r="Q2141" i="3"/>
  <c r="Q1240" i="3"/>
  <c r="Q1238" i="3"/>
  <c r="Q1310" i="3"/>
  <c r="Q1709" i="3"/>
  <c r="Q1712" i="3"/>
  <c r="Q1717" i="3"/>
  <c r="Q1705" i="3"/>
  <c r="Q377" i="3"/>
  <c r="Q1631" i="3"/>
  <c r="Q288" i="3"/>
  <c r="Q306" i="3"/>
  <c r="Q1794" i="3"/>
  <c r="Q1583" i="3"/>
  <c r="Q1529" i="3"/>
  <c r="Q1525" i="3"/>
  <c r="Q977" i="3"/>
  <c r="Q1746" i="3"/>
  <c r="Q2123" i="3"/>
  <c r="Q2186" i="3"/>
  <c r="Q2351" i="3"/>
  <c r="Q2355" i="3"/>
  <c r="Q2365" i="3"/>
  <c r="Q1053" i="3"/>
  <c r="Q1462" i="3"/>
  <c r="Q2406" i="3"/>
  <c r="Q2414" i="3"/>
  <c r="Q1924" i="3"/>
  <c r="Q523" i="3"/>
  <c r="Q900" i="3"/>
  <c r="Q653" i="3"/>
  <c r="Q2429" i="3"/>
  <c r="Q1405" i="3"/>
  <c r="T262" i="5"/>
  <c r="Q708" i="3"/>
  <c r="Q1894" i="3"/>
  <c r="Q66" i="3"/>
  <c r="Q1179" i="3"/>
  <c r="Q1862" i="3"/>
  <c r="Q1857" i="3"/>
  <c r="Q157" i="3"/>
  <c r="Q2012" i="3"/>
  <c r="Q450" i="3"/>
  <c r="Q1693" i="3"/>
  <c r="Q183" i="3"/>
  <c r="Q761" i="3"/>
  <c r="Q1577" i="3"/>
  <c r="Q2390" i="3"/>
  <c r="Q1264" i="3"/>
  <c r="Q1263" i="3"/>
  <c r="Q1128" i="3"/>
  <c r="Q713" i="3"/>
  <c r="Q2004" i="3"/>
  <c r="Q1996" i="3"/>
  <c r="Q545" i="3"/>
  <c r="Q548" i="3"/>
  <c r="Q506" i="3"/>
  <c r="Q870" i="3"/>
  <c r="Q854" i="3"/>
  <c r="Q864" i="3"/>
  <c r="Q862" i="3"/>
  <c r="Q959" i="3"/>
  <c r="Q955" i="3"/>
  <c r="Q1926" i="3"/>
  <c r="Q337" i="3"/>
  <c r="Q334" i="3"/>
  <c r="Q1668" i="3"/>
  <c r="Q1303" i="3"/>
  <c r="Q207" i="3"/>
  <c r="Q1682" i="3"/>
  <c r="Q2378" i="3"/>
  <c r="Q1083" i="3"/>
  <c r="Q1085" i="3"/>
  <c r="Q563" i="3"/>
  <c r="Q18" i="3"/>
  <c r="Q2285" i="3"/>
  <c r="Q2284" i="3"/>
  <c r="Q2286" i="3"/>
  <c r="Q2277" i="3"/>
  <c r="Q1216" i="3"/>
  <c r="Q121" i="3"/>
  <c r="Q1688" i="3"/>
  <c r="Q2016" i="3"/>
  <c r="Q2337" i="3"/>
  <c r="Q784" i="3"/>
  <c r="Q145" i="3"/>
  <c r="Q1826" i="3"/>
  <c r="Q2464" i="3"/>
  <c r="Q2260" i="3"/>
  <c r="Q2136" i="3"/>
  <c r="Q1339" i="3"/>
  <c r="Q1501" i="3"/>
  <c r="Q1629" i="3"/>
  <c r="Q1620" i="3"/>
  <c r="Q1315" i="3"/>
  <c r="Q300" i="3"/>
  <c r="Q290" i="3"/>
  <c r="Q308" i="3"/>
  <c r="Q351" i="3"/>
  <c r="Q352" i="3"/>
  <c r="Q553" i="3"/>
  <c r="Q474" i="3"/>
  <c r="Q484" i="3"/>
  <c r="Q468" i="3"/>
  <c r="Q480" i="3"/>
  <c r="Q987" i="3"/>
  <c r="Q988" i="3"/>
  <c r="Q1037" i="3"/>
  <c r="Q1219" i="3"/>
  <c r="Q1217" i="3"/>
  <c r="Q1796" i="3"/>
  <c r="Q1797" i="3"/>
  <c r="Q1348" i="3"/>
  <c r="Q1728" i="3"/>
  <c r="T157" i="5"/>
  <c r="Q916" i="3"/>
  <c r="Q1446" i="3"/>
  <c r="T88" i="5"/>
  <c r="T189" i="5"/>
  <c r="W145" i="2" s="1"/>
  <c r="T197" i="5"/>
  <c r="T221" i="5"/>
  <c r="Q626" i="3"/>
  <c r="Q1505" i="3"/>
  <c r="Q1236" i="3"/>
  <c r="Q1233" i="3"/>
  <c r="Q1307" i="3"/>
  <c r="Q1719" i="3"/>
  <c r="Q1713" i="3"/>
  <c r="Q371" i="3"/>
  <c r="Q1615" i="3"/>
  <c r="Q660" i="3"/>
  <c r="Q1312" i="3"/>
  <c r="Q1993" i="3"/>
  <c r="Q1997" i="3"/>
  <c r="Q871" i="3"/>
  <c r="Q849" i="3"/>
  <c r="Q877" i="3"/>
  <c r="Q866" i="3"/>
  <c r="Q951" i="3"/>
  <c r="Q339" i="3"/>
  <c r="Q335" i="3"/>
  <c r="Q655" i="3"/>
  <c r="Q35" i="3"/>
  <c r="Q1807" i="3"/>
  <c r="Q2060" i="3"/>
  <c r="Q2063" i="3"/>
  <c r="Q1532" i="3"/>
  <c r="Q1536" i="3"/>
  <c r="Q1533" i="3"/>
  <c r="Q1744" i="3"/>
  <c r="Q1380" i="3"/>
  <c r="Q692" i="3"/>
  <c r="Q581" i="3"/>
  <c r="Q586" i="3"/>
  <c r="Q590" i="3"/>
  <c r="Q596" i="3"/>
  <c r="Q682" i="3"/>
  <c r="Q2530" i="3"/>
  <c r="Q2357" i="3"/>
  <c r="Q2367" i="3"/>
  <c r="Q2419" i="3"/>
  <c r="Q420" i="3"/>
  <c r="Q428" i="3"/>
  <c r="Q101" i="3"/>
  <c r="Q105" i="3"/>
  <c r="Q109" i="3"/>
  <c r="Q114" i="3"/>
  <c r="Q2492" i="3"/>
  <c r="Q539" i="3"/>
  <c r="Q2458" i="3"/>
  <c r="Q2404" i="3"/>
  <c r="Q2408" i="3"/>
  <c r="Q2412" i="3"/>
  <c r="Q1656" i="3"/>
  <c r="Q921" i="3"/>
  <c r="Q1119" i="3"/>
  <c r="Q1018" i="3"/>
  <c r="T86" i="5"/>
  <c r="T268" i="5"/>
  <c r="Q2468" i="3"/>
  <c r="Q1513" i="3"/>
  <c r="Q1464" i="3"/>
  <c r="Q2027" i="3"/>
  <c r="Q1961" i="3"/>
  <c r="Q1182" i="3"/>
  <c r="Q1185" i="3"/>
  <c r="Q153" i="3"/>
  <c r="Q1879" i="3"/>
  <c r="Q433" i="3"/>
  <c r="Q2010" i="3"/>
  <c r="Q647" i="3"/>
  <c r="Q2448" i="3"/>
  <c r="Q186" i="3"/>
  <c r="Q769" i="3"/>
  <c r="Q1011" i="3"/>
  <c r="Q2321" i="3"/>
  <c r="Q878" i="3"/>
  <c r="Q884" i="3"/>
  <c r="Q1023" i="3"/>
  <c r="Q2393" i="3"/>
  <c r="Q2394" i="3"/>
  <c r="Q837" i="3"/>
  <c r="Q1256" i="3"/>
  <c r="Q1265" i="3"/>
  <c r="Q1129" i="3"/>
  <c r="Q1137" i="3"/>
  <c r="Q1141" i="3"/>
  <c r="Q640" i="3"/>
  <c r="Q2303" i="3"/>
  <c r="Q2304" i="3"/>
  <c r="Q318" i="3"/>
  <c r="Q924" i="3"/>
  <c r="Q670" i="3"/>
  <c r="Q717" i="3"/>
  <c r="Q1425" i="3"/>
  <c r="Q295" i="3"/>
  <c r="Q2009" i="3"/>
  <c r="Q546" i="3"/>
  <c r="Q1607" i="3"/>
  <c r="Q1598" i="3"/>
  <c r="Q2487" i="3"/>
  <c r="Q1388" i="3"/>
  <c r="Q1547" i="3"/>
  <c r="Q1550" i="3"/>
  <c r="Q2047" i="3"/>
  <c r="Q965" i="3"/>
  <c r="Q1289" i="3"/>
  <c r="T66" i="5"/>
  <c r="T254" i="5"/>
  <c r="T321" i="5"/>
  <c r="Q2022" i="3"/>
  <c r="Q1006" i="3"/>
  <c r="Q1171" i="3"/>
  <c r="Q698" i="3"/>
  <c r="Q1228" i="3"/>
  <c r="Q493" i="3"/>
  <c r="Q117" i="3"/>
  <c r="Q2100" i="3"/>
  <c r="Q2297" i="3"/>
  <c r="Q1760" i="3"/>
  <c r="Q1406" i="3"/>
  <c r="Q1767" i="3"/>
  <c r="Q1463" i="3"/>
  <c r="Q1930" i="3"/>
  <c r="Q2115" i="3"/>
  <c r="Q505" i="3"/>
  <c r="Q1964" i="3"/>
  <c r="Q1971" i="3"/>
  <c r="Q1967" i="3"/>
  <c r="Q96" i="3"/>
  <c r="Q2346" i="3"/>
  <c r="Q256" i="3"/>
  <c r="Q238" i="3"/>
  <c r="Q260" i="3"/>
  <c r="Q1681" i="3"/>
  <c r="Q2382" i="3"/>
  <c r="Q1899" i="3"/>
  <c r="Q1886" i="3"/>
  <c r="Q22" i="3"/>
  <c r="Q2290" i="3"/>
  <c r="Q78" i="3"/>
  <c r="Q75" i="3"/>
  <c r="Q1721" i="3"/>
  <c r="Q2307" i="3"/>
  <c r="Q2316" i="3"/>
  <c r="Q2166" i="3"/>
  <c r="Q498" i="3"/>
  <c r="Q1839" i="3"/>
  <c r="Q1988" i="3"/>
  <c r="Q1173" i="3"/>
  <c r="Q2522" i="3"/>
  <c r="Q2250" i="3"/>
  <c r="Q1255" i="3"/>
  <c r="Q2300" i="3"/>
  <c r="Q319" i="3"/>
  <c r="Q316" i="3"/>
  <c r="Q1431" i="3"/>
  <c r="Q2265" i="3"/>
  <c r="Q1634" i="3"/>
  <c r="Q2052" i="3"/>
  <c r="Q1963" i="3"/>
  <c r="Q1678" i="3"/>
  <c r="Q243" i="3"/>
  <c r="Q245" i="3"/>
  <c r="Q1904" i="3"/>
  <c r="Q1898" i="3"/>
  <c r="Q155" i="3"/>
  <c r="Q24" i="3"/>
  <c r="Q436" i="3"/>
  <c r="Q832" i="3"/>
  <c r="Q2461" i="3"/>
  <c r="Q1364" i="3"/>
  <c r="Q487" i="3"/>
  <c r="Q1726" i="3"/>
  <c r="Q1499" i="3"/>
  <c r="Q501" i="3"/>
  <c r="Q1844" i="3"/>
  <c r="Q1848" i="3"/>
  <c r="Q1285" i="3"/>
  <c r="Q456" i="3"/>
  <c r="Q1176" i="3"/>
  <c r="Q2518" i="3"/>
  <c r="Q2368" i="3"/>
  <c r="Q639" i="3"/>
  <c r="Q312" i="3"/>
  <c r="Q2267" i="3"/>
  <c r="Q676" i="3"/>
  <c r="Q230" i="3"/>
  <c r="Q2082" i="3"/>
  <c r="Q1223" i="3"/>
  <c r="Q1636" i="3"/>
  <c r="Q1981" i="3"/>
  <c r="Q1676" i="3"/>
  <c r="Q247" i="3"/>
  <c r="Q257" i="3"/>
  <c r="Q629" i="3"/>
  <c r="Q1895" i="3"/>
  <c r="Q1878" i="3"/>
  <c r="Q1888" i="3"/>
  <c r="Q26" i="3"/>
  <c r="Q126" i="3"/>
  <c r="Q2294" i="3"/>
  <c r="Q82" i="3"/>
  <c r="Q2460" i="3"/>
  <c r="Q2308" i="3"/>
  <c r="Q1573" i="3"/>
  <c r="Q767" i="3"/>
  <c r="Q609" i="3"/>
  <c r="Q148" i="3"/>
  <c r="Q387" i="3"/>
  <c r="Q1395" i="3"/>
  <c r="Q1005" i="3"/>
  <c r="Q1177" i="3"/>
  <c r="Q1542" i="3"/>
  <c r="Q2476" i="3"/>
  <c r="Q2259" i="3"/>
  <c r="Q2033" i="3"/>
  <c r="Q1635" i="3"/>
  <c r="Q1980" i="3"/>
  <c r="Q1968" i="3"/>
  <c r="Q72" i="3"/>
  <c r="Q1107" i="3"/>
  <c r="Q722" i="3"/>
  <c r="Q1444" i="3"/>
  <c r="Q270" i="3"/>
  <c r="Q236" i="3"/>
  <c r="Q250" i="3"/>
  <c r="Q264" i="3"/>
  <c r="Q254" i="3"/>
  <c r="Q2380" i="3"/>
  <c r="Q904" i="3"/>
  <c r="Q1858" i="3"/>
  <c r="Q434" i="3"/>
  <c r="Q2293" i="3"/>
  <c r="Q2291" i="3"/>
  <c r="Q1831" i="3"/>
  <c r="Q195" i="3"/>
  <c r="Q192" i="3"/>
  <c r="Q180" i="3"/>
  <c r="Q404" i="3"/>
  <c r="Q1724" i="3"/>
  <c r="Q2305" i="3"/>
  <c r="Q2172" i="3"/>
  <c r="Q759" i="3"/>
  <c r="Q394" i="3"/>
  <c r="Q1254" i="3"/>
  <c r="Q671" i="3"/>
  <c r="Q504" i="3"/>
  <c r="Q330" i="3"/>
  <c r="Q333" i="3"/>
  <c r="Q1599" i="3"/>
  <c r="Q1949" i="3"/>
  <c r="Q2269" i="3"/>
  <c r="Q1800" i="3"/>
  <c r="Q1865" i="3"/>
  <c r="Q1866" i="3"/>
  <c r="Q912" i="3"/>
  <c r="Q914" i="3"/>
  <c r="Q1837" i="3"/>
  <c r="Q801" i="3"/>
  <c r="Q1485" i="3"/>
  <c r="Q755" i="3"/>
  <c r="Q1776" i="3"/>
  <c r="Q1585" i="3"/>
  <c r="Q774" i="3"/>
  <c r="Q773" i="3"/>
  <c r="Q1162" i="3"/>
  <c r="Q1646" i="3"/>
  <c r="Q275" i="3"/>
  <c r="Q362" i="3"/>
  <c r="Q364" i="3"/>
  <c r="Q728" i="3"/>
  <c r="Q893" i="3"/>
  <c r="Q476" i="3"/>
  <c r="Q479" i="3"/>
  <c r="Q1389" i="3"/>
  <c r="Q1385" i="3"/>
  <c r="Q2193" i="3"/>
  <c r="Q2207" i="3"/>
  <c r="Q2215" i="3"/>
  <c r="Q2219" i="3"/>
  <c r="Q2224" i="3"/>
  <c r="Q2228" i="3"/>
  <c r="Q2201" i="3"/>
  <c r="Q2237" i="3"/>
  <c r="Q2244" i="3"/>
  <c r="Q1280" i="3"/>
  <c r="Q532" i="3"/>
  <c r="Q1155" i="3"/>
  <c r="Q2093" i="3"/>
  <c r="Q1479" i="3"/>
  <c r="Q2191" i="3"/>
  <c r="Q1326" i="3"/>
  <c r="Q1324" i="3"/>
  <c r="Q1922" i="3"/>
  <c r="Q1413" i="3"/>
  <c r="Q2442" i="3"/>
  <c r="Q418" i="3"/>
  <c r="Q2360" i="3"/>
  <c r="Q2149" i="3"/>
  <c r="Q820" i="3"/>
  <c r="Q2042" i="3"/>
  <c r="Q135" i="3"/>
  <c r="Q948" i="3"/>
  <c r="Q1813" i="3"/>
  <c r="Q345" i="3"/>
  <c r="Q753" i="3"/>
  <c r="Q8" i="3"/>
  <c r="Q2383" i="3"/>
  <c r="Q844" i="3"/>
  <c r="Q129" i="3"/>
  <c r="Q1170" i="3"/>
  <c r="Q2435" i="3"/>
  <c r="Q1409" i="3"/>
  <c r="Q1407" i="3"/>
  <c r="Q2372" i="3"/>
  <c r="Q140" i="3"/>
  <c r="Q1028" i="3"/>
  <c r="Q2491" i="3"/>
  <c r="Q2434" i="3"/>
  <c r="Q1376" i="3"/>
  <c r="T96" i="5"/>
  <c r="W58" i="2" s="1"/>
  <c r="T131" i="5"/>
  <c r="T195" i="5"/>
  <c r="T211" i="5"/>
  <c r="T252" i="5"/>
  <c r="T278" i="5"/>
  <c r="W211" i="2" s="1"/>
  <c r="T336" i="5"/>
  <c r="T337" i="5"/>
  <c r="Q51" i="3"/>
  <c r="Q1718" i="3"/>
  <c r="Q1206" i="3"/>
  <c r="Q44" i="3"/>
  <c r="Q874" i="3"/>
  <c r="Q852" i="3"/>
  <c r="Q853" i="3"/>
  <c r="Q861" i="3"/>
  <c r="Q858" i="3"/>
  <c r="Q804" i="3"/>
  <c r="Q962" i="3"/>
  <c r="Q342" i="3"/>
  <c r="Q1950" i="3"/>
  <c r="Q1292" i="3"/>
  <c r="Q926" i="3"/>
  <c r="Q483" i="3"/>
  <c r="Q467" i="3"/>
  <c r="Q2194" i="3"/>
  <c r="Q2204" i="3"/>
  <c r="Q690" i="3"/>
  <c r="Q718" i="3"/>
  <c r="Q582" i="3"/>
  <c r="Q592" i="3"/>
  <c r="Q598" i="3"/>
  <c r="Q572" i="3"/>
  <c r="Q587" i="3"/>
  <c r="Q603" i="3"/>
  <c r="Q1275" i="3"/>
  <c r="Q2192" i="3"/>
  <c r="Q1467" i="3"/>
  <c r="Q1268" i="3"/>
  <c r="Q2253" i="3"/>
  <c r="Q1772" i="3"/>
  <c r="Q1159" i="3"/>
  <c r="Q1541" i="3"/>
  <c r="Q652" i="3"/>
  <c r="Q1819" i="3"/>
  <c r="Q651" i="3"/>
  <c r="Q1272" i="3"/>
  <c r="Q16" i="3"/>
  <c r="Q675" i="3"/>
  <c r="Q1087" i="3"/>
  <c r="Q1074" i="3"/>
  <c r="Q2041" i="3"/>
  <c r="Q2040" i="3"/>
  <c r="Q1186" i="3"/>
  <c r="Q1956" i="3"/>
  <c r="Q2504" i="3"/>
  <c r="Q1056" i="3"/>
  <c r="Q407" i="3"/>
  <c r="Q1188" i="3"/>
  <c r="Q1412" i="3"/>
  <c r="Q1417" i="3"/>
  <c r="Q1421" i="3"/>
  <c r="Q1679" i="3"/>
  <c r="Q108" i="3"/>
  <c r="Q112" i="3"/>
  <c r="Q939" i="3"/>
  <c r="Q749" i="3"/>
  <c r="Q741" i="3"/>
  <c r="Q2384" i="3"/>
  <c r="Q1043" i="3"/>
  <c r="Q634" i="3"/>
  <c r="Q1193" i="3"/>
  <c r="Q1092" i="3"/>
  <c r="Q786" i="3"/>
  <c r="Q1990" i="3"/>
  <c r="Q819" i="3"/>
  <c r="Q2438" i="3"/>
  <c r="Q2432" i="3"/>
  <c r="T15" i="5"/>
  <c r="T17" i="5"/>
  <c r="T19" i="5"/>
  <c r="W19" i="2" s="1"/>
  <c r="T21" i="5"/>
  <c r="T210" i="5"/>
  <c r="T218" i="5"/>
  <c r="W169" i="2" s="1"/>
  <c r="T289" i="5"/>
  <c r="W219" i="2" s="1"/>
  <c r="Q1774" i="3"/>
  <c r="Q525" i="3"/>
  <c r="Q1349" i="3"/>
  <c r="Q1803" i="3"/>
  <c r="Q2054" i="3"/>
  <c r="Q2066" i="3"/>
  <c r="Q1530" i="3"/>
  <c r="Q2222" i="3"/>
  <c r="Q2232" i="3"/>
  <c r="Q2243" i="3"/>
  <c r="Q597" i="3"/>
  <c r="Q604" i="3"/>
  <c r="Q1282" i="3"/>
  <c r="Q1278" i="3"/>
  <c r="Q1229" i="3"/>
  <c r="Q896" i="3"/>
  <c r="Q222" i="3"/>
  <c r="Q917" i="3"/>
  <c r="Q1327" i="3"/>
  <c r="Q1189" i="3"/>
  <c r="Q1343" i="3"/>
  <c r="Q1422" i="3"/>
  <c r="Q1768" i="3"/>
  <c r="Q2183" i="3"/>
  <c r="Q355" i="3"/>
  <c r="Q1815" i="3"/>
  <c r="Q937" i="3"/>
  <c r="Q935" i="3"/>
  <c r="Q731" i="3"/>
  <c r="Q751" i="3"/>
  <c r="Q343" i="3"/>
  <c r="Q2091" i="3"/>
  <c r="Q2386" i="3"/>
  <c r="Q841" i="3"/>
  <c r="Q1408" i="3"/>
  <c r="Q1044" i="3"/>
  <c r="Q1120" i="3"/>
  <c r="Q679" i="3"/>
  <c r="Q1394" i="3"/>
  <c r="Q787" i="3"/>
  <c r="Q2239" i="3"/>
  <c r="Q2075" i="3"/>
  <c r="Q2503" i="3"/>
  <c r="Q1647" i="3"/>
  <c r="Q13" i="3"/>
  <c r="Q1448" i="3"/>
  <c r="Q55" i="3"/>
  <c r="Q2427" i="3"/>
  <c r="Q2433" i="3"/>
  <c r="Q2079" i="3"/>
  <c r="Q1403" i="3"/>
  <c r="T51" i="5"/>
  <c r="T260" i="5"/>
  <c r="T286" i="5"/>
  <c r="Q322" i="3"/>
  <c r="Q2142" i="3"/>
  <c r="Q1503" i="3"/>
  <c r="Q1239" i="3"/>
  <c r="Q1710" i="3"/>
  <c r="Q1633" i="3"/>
  <c r="Q1623" i="3"/>
  <c r="Q1626" i="3"/>
  <c r="Q1621" i="3"/>
  <c r="Q1616" i="3"/>
  <c r="Q1318" i="3"/>
  <c r="Q298" i="3"/>
  <c r="Q280" i="3"/>
  <c r="Q284" i="3"/>
  <c r="Q913" i="3"/>
  <c r="Q656" i="3"/>
  <c r="Q756" i="3"/>
  <c r="Q1777" i="3"/>
  <c r="Q1773" i="3"/>
  <c r="Q511" i="3"/>
  <c r="Q350" i="3"/>
  <c r="Q475" i="3"/>
  <c r="Q485" i="3"/>
  <c r="Q478" i="3"/>
  <c r="Q481" i="3"/>
  <c r="Q2067" i="3"/>
  <c r="Q2398" i="3"/>
  <c r="Q1751" i="3"/>
  <c r="Q1742" i="3"/>
  <c r="Q2124" i="3"/>
  <c r="Q2119" i="3"/>
  <c r="Q2131" i="3"/>
  <c r="Q2122" i="3"/>
  <c r="Q688" i="3"/>
  <c r="Q2445" i="3"/>
  <c r="Q2176" i="3"/>
  <c r="Q2180" i="3"/>
  <c r="Q2185" i="3"/>
  <c r="Q2350" i="3"/>
  <c r="Q2373" i="3"/>
  <c r="Q2470" i="3"/>
  <c r="Q2493" i="3"/>
  <c r="Q818" i="3"/>
  <c r="Q2405" i="3"/>
  <c r="Q2413" i="3"/>
  <c r="Q522" i="3"/>
  <c r="T40" i="5"/>
  <c r="T68" i="5"/>
  <c r="T163" i="5"/>
  <c r="T246" i="5"/>
  <c r="S252" i="5"/>
  <c r="Q510" i="3"/>
  <c r="Q859" i="3"/>
  <c r="Q1558" i="3"/>
  <c r="Q911" i="3"/>
  <c r="Q1473" i="3"/>
  <c r="Q137" i="3"/>
  <c r="Q1790" i="3"/>
  <c r="Q2364" i="3"/>
  <c r="Q795" i="3"/>
  <c r="Q1486" i="3"/>
  <c r="Q757" i="3"/>
  <c r="Q1779" i="3"/>
  <c r="Q2486" i="3"/>
  <c r="Q1050" i="3"/>
  <c r="Q777" i="3"/>
  <c r="Q1644" i="3"/>
  <c r="Q368" i="3"/>
  <c r="Q727" i="3"/>
  <c r="Q36" i="3"/>
  <c r="Q38" i="3"/>
  <c r="Q813" i="3"/>
  <c r="Q968" i="3"/>
  <c r="Q2197" i="3"/>
  <c r="Q693" i="3"/>
  <c r="Q576" i="3"/>
  <c r="Q574" i="3"/>
  <c r="Q1154" i="3"/>
  <c r="Q1333" i="3"/>
  <c r="Q1334" i="3"/>
  <c r="Q1540" i="3"/>
  <c r="Q1410" i="3"/>
  <c r="Q2145" i="3"/>
  <c r="Q227" i="3"/>
  <c r="Q810" i="3"/>
  <c r="Q2444" i="3"/>
  <c r="Q1071" i="3"/>
  <c r="Q711" i="3"/>
  <c r="Q909" i="3"/>
  <c r="Q1477" i="3"/>
  <c r="Q1761" i="3"/>
  <c r="Q1985" i="3"/>
  <c r="Q1027" i="3"/>
  <c r="Q1687" i="3"/>
  <c r="Q409" i="3"/>
  <c r="Q701" i="3"/>
  <c r="Q705" i="3"/>
  <c r="Q816" i="3"/>
  <c r="Q1190" i="3"/>
  <c r="Q1344" i="3"/>
  <c r="Q1675" i="3"/>
  <c r="Q1769" i="3"/>
  <c r="Q1121" i="3"/>
  <c r="Q1111" i="3"/>
  <c r="Q928" i="3"/>
  <c r="Q740" i="3"/>
  <c r="Q85" i="3"/>
  <c r="Q9" i="3"/>
  <c r="Q863" i="3"/>
  <c r="Q842" i="3"/>
  <c r="Q2426" i="3"/>
  <c r="Q2436" i="3"/>
  <c r="Q972" i="3"/>
  <c r="Q808" i="3"/>
  <c r="Q2268" i="3"/>
  <c r="Q822" i="3"/>
  <c r="Q2233" i="3"/>
  <c r="Q2074" i="3"/>
  <c r="Q2254" i="3"/>
  <c r="Q521" i="3"/>
  <c r="Q2514" i="3"/>
  <c r="Q907" i="3"/>
  <c r="Q1850" i="3"/>
  <c r="T270" i="5"/>
  <c r="V204" i="2" s="1"/>
  <c r="T284" i="5"/>
  <c r="T320" i="5"/>
  <c r="T362" i="5"/>
  <c r="V293" i="2" s="1"/>
  <c r="Q2090" i="3"/>
  <c r="T369" i="5"/>
  <c r="V309" i="2" s="1"/>
  <c r="Q710" i="3"/>
  <c r="Q681" i="3"/>
  <c r="Q141" i="3"/>
  <c r="Q2101" i="3"/>
  <c r="Q2513" i="3"/>
  <c r="Q788" i="3"/>
  <c r="Q2099" i="3"/>
  <c r="Q2270" i="3"/>
  <c r="Q1508" i="3"/>
  <c r="Q1762" i="3"/>
  <c r="Q1225" i="3"/>
  <c r="Q2106" i="3"/>
  <c r="Q2102" i="3"/>
  <c r="Q2527" i="3"/>
  <c r="Q680" i="3"/>
  <c r="Q1460" i="3"/>
  <c r="Q445" i="3"/>
  <c r="Q973" i="3"/>
  <c r="Q1226" i="3"/>
  <c r="Q1355" i="3"/>
  <c r="Q116" i="3"/>
  <c r="Q2107" i="3"/>
  <c r="Q2105" i="3"/>
  <c r="Q2109" i="3"/>
  <c r="Q1759" i="3"/>
  <c r="Q2097" i="3"/>
  <c r="Q1838" i="3"/>
  <c r="Q150" i="3"/>
  <c r="Q1665" i="3"/>
  <c r="Q1822" i="3"/>
  <c r="Q57" i="3"/>
  <c r="Q1934" i="3"/>
  <c r="Q414" i="3"/>
  <c r="Q1512" i="3"/>
  <c r="Q1227" i="3"/>
  <c r="Q2108" i="3"/>
  <c r="Q2113" i="3"/>
  <c r="Q1392" i="3"/>
  <c r="Q503" i="3"/>
  <c r="Q1375" i="3"/>
  <c r="Q1975" i="3"/>
  <c r="Q1978" i="3"/>
  <c r="Q1962" i="3"/>
  <c r="Q1966" i="3"/>
  <c r="Q1106" i="3"/>
  <c r="Q725" i="3"/>
  <c r="Q1304" i="3"/>
  <c r="Q209" i="3"/>
  <c r="Q218" i="3"/>
  <c r="Q2340" i="3"/>
  <c r="Q267" i="3"/>
  <c r="Q251" i="3"/>
  <c r="Q261" i="3"/>
  <c r="Q1683" i="3"/>
  <c r="Q632" i="3"/>
  <c r="Q1902" i="3"/>
  <c r="Q1893" i="3"/>
  <c r="Q69" i="3"/>
  <c r="Q1180" i="3"/>
  <c r="Q162" i="3"/>
  <c r="Q1887" i="3"/>
  <c r="Q23" i="3"/>
  <c r="Q29" i="3"/>
  <c r="Q2276" i="3"/>
  <c r="Q123" i="3"/>
  <c r="Q2295" i="3"/>
  <c r="Q824" i="3"/>
  <c r="Q830" i="3"/>
  <c r="Q1828" i="3"/>
  <c r="Q83" i="3"/>
  <c r="Q622" i="3"/>
  <c r="Q627" i="3"/>
  <c r="Q1161" i="3"/>
  <c r="Q1065" i="3"/>
  <c r="Q359" i="3"/>
  <c r="Q201" i="3"/>
  <c r="Q203" i="3"/>
  <c r="Q177" i="3"/>
  <c r="Q193" i="3"/>
  <c r="Q1368" i="3"/>
  <c r="Q1099" i="3"/>
  <c r="Q1496" i="3"/>
  <c r="Q1493" i="3"/>
  <c r="Q2309" i="3"/>
  <c r="Q2164" i="3"/>
  <c r="Q762" i="3"/>
  <c r="Q390" i="3"/>
  <c r="Q395" i="3"/>
  <c r="Q1840" i="3"/>
  <c r="Q2019" i="3"/>
  <c r="Q1397" i="3"/>
  <c r="Q2319" i="3"/>
  <c r="Q1004" i="3"/>
  <c r="Q2521" i="3"/>
  <c r="Q1259" i="3"/>
  <c r="Q1135" i="3"/>
  <c r="Q1126" i="3"/>
  <c r="Q635" i="3"/>
  <c r="Q311" i="3"/>
  <c r="Q667" i="3"/>
  <c r="Q1590" i="3"/>
  <c r="Q2084" i="3"/>
  <c r="Q2481" i="3"/>
  <c r="Q2484" i="3"/>
  <c r="Q1563" i="3"/>
  <c r="Q1560" i="3"/>
  <c r="Q2256" i="3"/>
  <c r="Q52" i="3"/>
  <c r="Q323" i="3"/>
  <c r="Q2137" i="3"/>
  <c r="Q1711" i="3"/>
  <c r="Q259" i="3"/>
  <c r="Q1078" i="3"/>
  <c r="Q1081" i="3"/>
  <c r="Q448" i="3"/>
  <c r="Q452" i="3"/>
  <c r="Q1580" i="3"/>
  <c r="Q1131" i="3"/>
  <c r="Q1139" i="3"/>
  <c r="Q669" i="3"/>
  <c r="Q888" i="3"/>
  <c r="Q2103" i="3"/>
  <c r="Q1763" i="3"/>
  <c r="Q1936" i="3"/>
  <c r="Q415" i="3"/>
  <c r="Q1461" i="3"/>
  <c r="Q1965" i="3"/>
  <c r="Q412" i="3"/>
  <c r="Q1737" i="3"/>
  <c r="Q248" i="3"/>
  <c r="Q246" i="3"/>
  <c r="Q258" i="3"/>
  <c r="Q240" i="3"/>
  <c r="Q1680" i="3"/>
  <c r="Q1084" i="3"/>
  <c r="Q561" i="3"/>
  <c r="Q1181" i="3"/>
  <c r="Q1183" i="3"/>
  <c r="Q160" i="3"/>
  <c r="Q1881" i="3"/>
  <c r="Q1877" i="3"/>
  <c r="Q2280" i="3"/>
  <c r="Q2273" i="3"/>
  <c r="Q442" i="3"/>
  <c r="Q432" i="3"/>
  <c r="Q431" i="3"/>
  <c r="Q2333" i="3"/>
  <c r="Q780" i="3"/>
  <c r="Q80" i="3"/>
  <c r="Q79" i="3"/>
  <c r="Q625" i="3"/>
  <c r="Q2011" i="3"/>
  <c r="Q1694" i="3"/>
  <c r="Q199" i="3"/>
  <c r="Q191" i="3"/>
  <c r="Q396" i="3"/>
  <c r="Q1495" i="3"/>
  <c r="Q2162" i="3"/>
  <c r="Q760" i="3"/>
  <c r="Q392" i="3"/>
  <c r="Q1989" i="3"/>
  <c r="Q1455" i="3"/>
  <c r="Q1579" i="3"/>
  <c r="Q2318" i="3"/>
  <c r="Q1125" i="3"/>
  <c r="Q1591" i="3"/>
  <c r="Q2085" i="3"/>
  <c r="Q2480" i="3"/>
  <c r="Q1562" i="3"/>
  <c r="Q1197" i="3"/>
  <c r="Q1937" i="3"/>
  <c r="Q1939" i="3"/>
  <c r="Q1935" i="3"/>
  <c r="Q416" i="3"/>
  <c r="Q1740" i="3"/>
  <c r="Q2112" i="3"/>
  <c r="Q507" i="3"/>
  <c r="Q32" i="3"/>
  <c r="Q1969" i="3"/>
  <c r="Q1970" i="3"/>
  <c r="Q1104" i="3"/>
  <c r="Q1305" i="3"/>
  <c r="Q208" i="3"/>
  <c r="Q217" i="3"/>
  <c r="Q219" i="3"/>
  <c r="Q2338" i="3"/>
  <c r="Q262" i="3"/>
  <c r="Q631" i="3"/>
  <c r="Q68" i="3"/>
  <c r="Q1861" i="3"/>
  <c r="Q1860" i="3"/>
  <c r="Q1876" i="3"/>
  <c r="Q1889" i="3"/>
  <c r="Q1880" i="3"/>
  <c r="Q2279" i="3"/>
  <c r="Q2287" i="3"/>
  <c r="Q2282" i="3"/>
  <c r="Q438" i="3"/>
  <c r="Q440" i="3"/>
  <c r="Q435" i="3"/>
  <c r="Q2013" i="3"/>
  <c r="Q778" i="3"/>
  <c r="Q1824" i="3"/>
  <c r="Q770" i="3"/>
  <c r="Q840" i="3"/>
  <c r="Q74" i="3"/>
  <c r="Q1064" i="3"/>
  <c r="Q166" i="3"/>
  <c r="Q646" i="3"/>
  <c r="Q196" i="3"/>
  <c r="Q178" i="3"/>
  <c r="Q2467" i="3"/>
  <c r="Q1365" i="3"/>
  <c r="Q1093" i="3"/>
  <c r="Q2311" i="3"/>
  <c r="Q1572" i="3"/>
  <c r="Q766" i="3"/>
  <c r="Q772" i="3"/>
  <c r="Q1846" i="3"/>
  <c r="Q2077" i="3"/>
  <c r="Q879" i="3"/>
  <c r="Q2397" i="3"/>
  <c r="Q2520" i="3"/>
  <c r="Q2248" i="3"/>
  <c r="Q2247" i="3"/>
  <c r="Q1253" i="3"/>
  <c r="Q1251" i="3"/>
  <c r="Q1143" i="3"/>
  <c r="Q641" i="3"/>
  <c r="Q1589" i="3"/>
  <c r="Q735" i="3"/>
  <c r="Q1567" i="3"/>
  <c r="Q2258" i="3"/>
  <c r="Q1931" i="3"/>
  <c r="Q1938" i="3"/>
  <c r="Q974" i="3"/>
  <c r="Q2114" i="3"/>
  <c r="Q11" i="3"/>
  <c r="Q1977" i="3"/>
  <c r="Q1976" i="3"/>
  <c r="Q1983" i="3"/>
  <c r="Q1960" i="3"/>
  <c r="Q1302" i="3"/>
  <c r="Q210" i="3"/>
  <c r="Q213" i="3"/>
  <c r="Q86" i="3"/>
  <c r="Q2341" i="3"/>
  <c r="Q2342" i="3"/>
  <c r="Q559" i="3"/>
  <c r="Q903" i="3"/>
  <c r="Q70" i="3"/>
  <c r="Q1178" i="3"/>
  <c r="Q154" i="3"/>
  <c r="Q159" i="3"/>
  <c r="Q1883" i="3"/>
  <c r="Q1891" i="3"/>
  <c r="Q31" i="3"/>
  <c r="Q20" i="3"/>
  <c r="Q2283" i="3"/>
  <c r="Q127" i="3"/>
  <c r="Q122" i="3"/>
  <c r="Q437" i="3"/>
  <c r="Q444" i="3"/>
  <c r="Q828" i="3"/>
  <c r="Q1447" i="3"/>
  <c r="Q2336" i="3"/>
  <c r="Q1829" i="3"/>
  <c r="Q1836" i="3"/>
  <c r="Q146" i="3"/>
  <c r="Q2313" i="3"/>
  <c r="Q1042" i="3"/>
  <c r="Q1068" i="3"/>
  <c r="Q2453" i="3"/>
  <c r="Q200" i="3"/>
  <c r="Q187" i="3"/>
  <c r="Q197" i="3"/>
  <c r="Q403" i="3"/>
  <c r="Q569" i="3"/>
  <c r="Q488" i="3"/>
  <c r="Q1497" i="3"/>
  <c r="Q614" i="3"/>
  <c r="Q610" i="3"/>
  <c r="Q389" i="3"/>
  <c r="Q2317" i="3"/>
  <c r="Q880" i="3"/>
  <c r="Q1026" i="3"/>
  <c r="Q834" i="3"/>
  <c r="Q2517" i="3"/>
  <c r="Q1134" i="3"/>
  <c r="Q2302" i="3"/>
  <c r="Q925" i="3"/>
  <c r="Q1429" i="3"/>
  <c r="Q737" i="3"/>
  <c r="Q2266" i="3"/>
  <c r="Q1031" i="3"/>
  <c r="Q2477" i="3"/>
  <c r="Q2474" i="3"/>
  <c r="Q638" i="3"/>
  <c r="Q715" i="3"/>
  <c r="Q2263" i="3"/>
  <c r="Q2140" i="3"/>
  <c r="Q1234" i="3"/>
  <c r="Q1237" i="3"/>
  <c r="Q1306" i="3"/>
  <c r="Q1716" i="3"/>
  <c r="Q1617" i="3"/>
  <c r="Q1994" i="3"/>
  <c r="Q1601" i="3"/>
  <c r="Q372" i="3"/>
  <c r="Q1632" i="3"/>
  <c r="Q49" i="3"/>
  <c r="Q45" i="3"/>
  <c r="Q379" i="3"/>
  <c r="Q301" i="3"/>
  <c r="Q310" i="3"/>
  <c r="Q2001" i="3"/>
  <c r="Q1995" i="3"/>
  <c r="Q549" i="3"/>
  <c r="Q331" i="3"/>
  <c r="Q1670" i="3"/>
  <c r="Q1609" i="3"/>
  <c r="Q1870" i="3"/>
  <c r="Q1781" i="3"/>
  <c r="Q2488" i="3"/>
  <c r="Q1360" i="3"/>
  <c r="Q1357" i="3"/>
  <c r="Q892" i="3"/>
  <c r="Q470" i="3"/>
  <c r="Q528" i="3"/>
  <c r="Q984" i="3"/>
  <c r="Q1036" i="3"/>
  <c r="Q1731" i="3"/>
  <c r="Q1534" i="3"/>
  <c r="Q1527" i="3"/>
  <c r="Q1524" i="3"/>
  <c r="Q1539" i="3"/>
  <c r="Q1750" i="3"/>
  <c r="Q1754" i="3"/>
  <c r="Q2126" i="3"/>
  <c r="Q2118" i="3"/>
  <c r="Q1387" i="3"/>
  <c r="Q1555" i="3"/>
  <c r="Q2362" i="3"/>
  <c r="Q2198" i="3"/>
  <c r="Q2203" i="3"/>
  <c r="Q2218" i="3"/>
  <c r="Q1786" i="3"/>
  <c r="Q579" i="3"/>
  <c r="Q585" i="3"/>
  <c r="Q535" i="3"/>
  <c r="Q531" i="3"/>
  <c r="Q1156" i="3"/>
  <c r="Q2094" i="3"/>
  <c r="Q1091" i="3"/>
  <c r="Q1152" i="3"/>
  <c r="Q2420" i="3"/>
  <c r="Q326" i="3"/>
  <c r="Q376" i="3"/>
  <c r="Q850" i="3"/>
  <c r="Q802" i="3"/>
  <c r="Q1370" i="3"/>
  <c r="Q1557" i="3"/>
  <c r="Q1788" i="3"/>
  <c r="Q1166" i="3"/>
  <c r="Q519" i="3"/>
  <c r="Q1941" i="3"/>
  <c r="Q1347" i="3"/>
  <c r="Q1350" i="3"/>
  <c r="Q465" i="3"/>
  <c r="Q1729" i="3"/>
  <c r="Q2331" i="3"/>
  <c r="Q995" i="3"/>
  <c r="Q993" i="3"/>
  <c r="Q1299" i="3"/>
  <c r="Q2211" i="3"/>
  <c r="Q2257" i="3"/>
  <c r="Q1338" i="3"/>
  <c r="Q1502" i="3"/>
  <c r="Q1308" i="3"/>
  <c r="Q1707" i="3"/>
  <c r="Q1715" i="3"/>
  <c r="Q1704" i="3"/>
  <c r="Q374" i="3"/>
  <c r="Q1630" i="3"/>
  <c r="Q1628" i="3"/>
  <c r="Q1618" i="3"/>
  <c r="Q1619" i="3"/>
  <c r="Q381" i="3"/>
  <c r="Q1311" i="3"/>
  <c r="Q299" i="3"/>
  <c r="Q282" i="3"/>
  <c r="Q291" i="3"/>
  <c r="Q305" i="3"/>
  <c r="Q303" i="3"/>
  <c r="Q2005" i="3"/>
  <c r="Q847" i="3"/>
  <c r="Q872" i="3"/>
  <c r="Q856" i="3"/>
  <c r="Q807" i="3"/>
  <c r="Q954" i="3"/>
  <c r="Q1667" i="3"/>
  <c r="Q1600" i="3"/>
  <c r="Q1604" i="3"/>
  <c r="Q1521" i="3"/>
  <c r="Q1801" i="3"/>
  <c r="Q1369" i="3"/>
  <c r="Q1868" i="3"/>
  <c r="Q1867" i="3"/>
  <c r="Q495" i="3"/>
  <c r="Q1789" i="3"/>
  <c r="Q1211" i="3"/>
  <c r="Q798" i="3"/>
  <c r="Q793" i="3"/>
  <c r="Q1489" i="3"/>
  <c r="Q754" i="3"/>
  <c r="Q775" i="3"/>
  <c r="Q277" i="3"/>
  <c r="Q369" i="3"/>
  <c r="Q363" i="3"/>
  <c r="Q729" i="3"/>
  <c r="Q520" i="3"/>
  <c r="Q619" i="3"/>
  <c r="Q1940" i="3"/>
  <c r="Q1358" i="3"/>
  <c r="Q37" i="3"/>
  <c r="Q482" i="3"/>
  <c r="Q472" i="3"/>
  <c r="Q1035" i="3"/>
  <c r="Q1038" i="3"/>
  <c r="Q1220" i="3"/>
  <c r="Q1244" i="3"/>
  <c r="Q1374" i="3"/>
  <c r="Q461" i="3"/>
  <c r="Q460" i="3"/>
  <c r="Q1584" i="3"/>
  <c r="Q2058" i="3"/>
  <c r="Q2073" i="3"/>
  <c r="Q1531" i="3"/>
  <c r="Q1528" i="3"/>
  <c r="Q1748" i="3"/>
  <c r="Q1752" i="3"/>
  <c r="Q1756" i="3"/>
  <c r="Q2332" i="3"/>
  <c r="Q997" i="3"/>
  <c r="Q994" i="3"/>
  <c r="Q1296" i="3"/>
  <c r="Q2363" i="3"/>
  <c r="Q2216" i="3"/>
  <c r="Q594" i="3"/>
  <c r="Q2032" i="3"/>
  <c r="Q47" i="3"/>
  <c r="Q383" i="3"/>
  <c r="Q1999" i="3"/>
  <c r="Q544" i="3"/>
  <c r="Q860" i="3"/>
  <c r="Q340" i="3"/>
  <c r="Q1672" i="3"/>
  <c r="Q1697" i="3"/>
  <c r="Q1699" i="3"/>
  <c r="Q1015" i="3"/>
  <c r="Q514" i="3"/>
  <c r="Q524" i="3"/>
  <c r="Q981" i="3"/>
  <c r="Q1245" i="3"/>
  <c r="Q967" i="3"/>
  <c r="Q2399" i="3"/>
  <c r="Q1535" i="3"/>
  <c r="Q976" i="3"/>
  <c r="Q2121" i="3"/>
  <c r="Q2225" i="3"/>
  <c r="Q2231" i="3"/>
  <c r="Q2238" i="3"/>
  <c r="Q577" i="3"/>
  <c r="Q2035" i="3"/>
  <c r="Q2147" i="3"/>
  <c r="Q1208" i="3"/>
  <c r="Q1320" i="3"/>
  <c r="Q281" i="3"/>
  <c r="Q289" i="3"/>
  <c r="Q1998" i="3"/>
  <c r="Q867" i="3"/>
  <c r="Q876" i="3"/>
  <c r="Q855" i="3"/>
  <c r="Q848" i="3"/>
  <c r="Q873" i="3"/>
  <c r="Q957" i="3"/>
  <c r="Q953" i="3"/>
  <c r="Q1927" i="3"/>
  <c r="Q991" i="3"/>
  <c r="Q1291" i="3"/>
  <c r="Q1657" i="3"/>
  <c r="Q1371" i="3"/>
  <c r="Q1869" i="3"/>
  <c r="Q1864" i="3"/>
  <c r="Q1474" i="3"/>
  <c r="Q138" i="3"/>
  <c r="Q1791" i="3"/>
  <c r="Q1213" i="3"/>
  <c r="Q791" i="3"/>
  <c r="Q1487" i="3"/>
  <c r="Q1482" i="3"/>
  <c r="Q1490" i="3"/>
  <c r="Q776" i="3"/>
  <c r="Q1163" i="3"/>
  <c r="Q1169" i="3"/>
  <c r="Q232" i="3"/>
  <c r="Q276" i="3"/>
  <c r="Q361" i="3"/>
  <c r="Q365" i="3"/>
  <c r="Q366" i="3"/>
  <c r="Q730" i="3"/>
  <c r="Q34" i="3"/>
  <c r="Q473" i="3"/>
  <c r="Q469" i="3"/>
  <c r="Q477" i="3"/>
  <c r="Q985" i="3"/>
  <c r="Q1798" i="3"/>
  <c r="Q1345" i="3"/>
  <c r="Q1351" i="3"/>
  <c r="Q1373" i="3"/>
  <c r="Q462" i="3"/>
  <c r="Q1733" i="3"/>
  <c r="Q2055" i="3"/>
  <c r="Q2053" i="3"/>
  <c r="Q2065" i="3"/>
  <c r="Q2061" i="3"/>
  <c r="Q2068" i="3"/>
  <c r="Q1749" i="3"/>
  <c r="Q2129" i="3"/>
  <c r="Q2329" i="3"/>
  <c r="Q999" i="3"/>
  <c r="Q1515" i="3"/>
  <c r="Q1552" i="3"/>
  <c r="Q1546" i="3"/>
  <c r="Q1651" i="3"/>
  <c r="Q2209" i="3"/>
  <c r="Q2217" i="3"/>
  <c r="Q694" i="3"/>
  <c r="Q1100" i="3"/>
  <c r="Q550" i="3"/>
  <c r="Q1696" i="3"/>
  <c r="Q2424" i="3"/>
  <c r="Q2206" i="3"/>
  <c r="Q1070" i="3"/>
  <c r="Q2353" i="3"/>
  <c r="Q2502" i="3"/>
  <c r="Q890" i="3"/>
  <c r="Q2189" i="3"/>
  <c r="Q898" i="3"/>
  <c r="T24" i="5"/>
  <c r="T102" i="5"/>
  <c r="T104" i="5"/>
  <c r="W66" i="2" s="1"/>
  <c r="T196" i="5"/>
  <c r="T212" i="5"/>
  <c r="T339" i="5"/>
  <c r="T358" i="5"/>
  <c r="W283" i="2" s="1"/>
  <c r="T368" i="5"/>
  <c r="V308" i="2" s="1"/>
  <c r="Q600" i="3"/>
  <c r="Q534" i="3"/>
  <c r="Q1230" i="3"/>
  <c r="Q1269" i="3"/>
  <c r="Q458" i="3"/>
  <c r="Q516" i="3"/>
  <c r="Q1423" i="3"/>
  <c r="Q2034" i="3"/>
  <c r="Q557" i="3"/>
  <c r="Q556" i="3"/>
  <c r="Q963" i="3"/>
  <c r="Q1322" i="3"/>
  <c r="Q1438" i="3"/>
  <c r="Q2509" i="3"/>
  <c r="Q1947" i="3"/>
  <c r="Q235" i="3"/>
  <c r="Q1029" i="3"/>
  <c r="Q2044" i="3"/>
  <c r="Q273" i="3"/>
  <c r="Q1911" i="3"/>
  <c r="Q1909" i="3"/>
  <c r="Q1054" i="3"/>
  <c r="Q285" i="3"/>
  <c r="Q297" i="3"/>
  <c r="Q2403" i="3"/>
  <c r="Q930" i="3"/>
  <c r="Q1664" i="3"/>
  <c r="Q2087" i="3"/>
  <c r="Q1475" i="3"/>
  <c r="Q827" i="3"/>
  <c r="T367" i="5"/>
  <c r="V304" i="2" s="1"/>
  <c r="Q1069" i="3"/>
  <c r="Q1466" i="3"/>
  <c r="Q1468" i="3"/>
  <c r="Q226" i="3"/>
  <c r="Q1195" i="3"/>
  <c r="Q554" i="3"/>
  <c r="Q555" i="3"/>
  <c r="Q2144" i="3"/>
  <c r="Q1818" i="3"/>
  <c r="Q649" i="3"/>
  <c r="Q2146" i="3"/>
  <c r="Q1951" i="3"/>
  <c r="Q902" i="3"/>
  <c r="Q2252" i="3"/>
  <c r="Q1660" i="3"/>
  <c r="Q98" i="3"/>
  <c r="Q1907" i="3"/>
  <c r="Q131" i="3"/>
  <c r="Q1919" i="3"/>
  <c r="Q1248" i="3"/>
  <c r="Q2415" i="3"/>
  <c r="Q1785" i="3"/>
  <c r="Q2026" i="3"/>
  <c r="Q421" i="3"/>
  <c r="Q425" i="3"/>
  <c r="Q106" i="3"/>
  <c r="Q110" i="3"/>
  <c r="Q1608" i="3"/>
  <c r="Q1655" i="3"/>
  <c r="Q1122" i="3"/>
  <c r="Q1114" i="3"/>
  <c r="Q946" i="3"/>
  <c r="Q950" i="3"/>
  <c r="Q938" i="3"/>
  <c r="Q943" i="3"/>
  <c r="Q732" i="3"/>
  <c r="Q344" i="3"/>
  <c r="Q2156" i="3"/>
  <c r="Q2500" i="3"/>
  <c r="Q2089" i="3"/>
  <c r="Q59" i="3"/>
  <c r="Q829" i="3"/>
  <c r="Q696" i="3"/>
  <c r="Q2452" i="3"/>
  <c r="Q570" i="3"/>
  <c r="Q1437" i="3"/>
  <c r="Q1595" i="3"/>
  <c r="Q2188" i="3"/>
  <c r="Q1201" i="3"/>
  <c r="T53" i="5"/>
  <c r="T97" i="5"/>
  <c r="W59" i="2" s="1"/>
  <c r="T194" i="5"/>
  <c r="T202" i="5"/>
  <c r="T317" i="5"/>
  <c r="T57" i="5"/>
  <c r="T64" i="5"/>
  <c r="T109" i="5"/>
  <c r="T141" i="5"/>
  <c r="T161" i="5"/>
  <c r="V125" i="2" s="1"/>
  <c r="T173" i="5"/>
  <c r="T193" i="5"/>
  <c r="T209" i="5"/>
  <c r="T240" i="5"/>
  <c r="S246" i="5"/>
  <c r="S254" i="5"/>
  <c r="S262" i="5"/>
  <c r="S270" i="5"/>
  <c r="S278" i="5"/>
  <c r="S286" i="5"/>
  <c r="S289" i="5"/>
  <c r="T307" i="5"/>
  <c r="T373" i="5"/>
  <c r="Q536" i="3"/>
  <c r="Q1157" i="3"/>
  <c r="Q2135" i="3"/>
  <c r="Q2152" i="3"/>
  <c r="Q1329" i="3"/>
  <c r="Q674" i="3"/>
  <c r="Q206" i="3"/>
  <c r="Q1204" i="3"/>
  <c r="Q419" i="3"/>
  <c r="Q1817" i="3"/>
  <c r="Q2510" i="3"/>
  <c r="Q151" i="3"/>
  <c r="Q2507" i="3"/>
  <c r="Q1469" i="3"/>
  <c r="Q1662" i="3"/>
  <c r="Q1727" i="3"/>
  <c r="Q1958" i="3"/>
  <c r="Q1912" i="3"/>
  <c r="Q1908" i="3"/>
  <c r="Q515" i="3"/>
  <c r="Q2417" i="3"/>
  <c r="Q707" i="3"/>
  <c r="Q1048" i="3"/>
  <c r="Q1148" i="3"/>
  <c r="Q1677" i="3"/>
  <c r="Q1770" i="3"/>
  <c r="Q422" i="3"/>
  <c r="Q426" i="3"/>
  <c r="Q107" i="3"/>
  <c r="Q111" i="3"/>
  <c r="Q2459" i="3"/>
  <c r="Q287" i="3"/>
  <c r="Q1698" i="3"/>
  <c r="Q143" i="3"/>
  <c r="Q2326" i="3"/>
  <c r="Q1118" i="3"/>
  <c r="Q1115" i="3"/>
  <c r="Q1812" i="3"/>
  <c r="Q933" i="3"/>
  <c r="Q1809" i="3"/>
  <c r="Q1808" i="3"/>
  <c r="Q1811" i="3"/>
  <c r="Q733" i="3"/>
  <c r="Q752" i="3"/>
  <c r="Q750" i="3"/>
  <c r="Q971" i="3"/>
  <c r="Q1952" i="3"/>
  <c r="Q2086" i="3"/>
  <c r="Q1648" i="3"/>
  <c r="Q1741" i="3"/>
  <c r="Q2430" i="3"/>
  <c r="Q1695" i="3"/>
  <c r="Q7" i="3"/>
  <c r="Q833" i="3"/>
  <c r="Q800" i="3"/>
  <c r="Q1017" i="3"/>
  <c r="Q1892" i="3"/>
  <c r="Q1593" i="3"/>
  <c r="T49" i="5"/>
  <c r="T200" i="5"/>
  <c r="W155" i="2" s="1"/>
  <c r="T216" i="5"/>
  <c r="T234" i="5"/>
  <c r="T62" i="5"/>
  <c r="T70" i="5"/>
  <c r="T115" i="5"/>
  <c r="V89" i="2" s="1"/>
  <c r="T147" i="5"/>
  <c r="T179" i="5"/>
  <c r="T226" i="5"/>
  <c r="T342" i="5"/>
  <c r="Q580" i="3"/>
  <c r="Q584" i="3"/>
  <c r="Q683" i="3"/>
  <c r="Q533" i="3"/>
  <c r="Q1478" i="3"/>
  <c r="Q897" i="3"/>
  <c r="Q2325" i="3"/>
  <c r="Q1332" i="3"/>
  <c r="Q2376" i="3"/>
  <c r="Q2359" i="3"/>
  <c r="Q15" i="3"/>
  <c r="Q726" i="3"/>
  <c r="Q1046" i="3"/>
  <c r="Q1399" i="3"/>
  <c r="Q2443" i="3"/>
  <c r="Q1661" i="3"/>
  <c r="Q2036" i="3"/>
  <c r="Q1959" i="3"/>
  <c r="Q1913" i="3"/>
  <c r="Q132" i="3"/>
  <c r="Q1691" i="3"/>
  <c r="Q1052" i="3"/>
  <c r="Q113" i="3"/>
  <c r="Q408" i="3"/>
  <c r="Q700" i="3"/>
  <c r="Q1058" i="3"/>
  <c r="Q1149" i="3"/>
  <c r="Q2175" i="3"/>
  <c r="Q2179" i="3"/>
  <c r="Q2348" i="3"/>
  <c r="Q2352" i="3"/>
  <c r="Q2375" i="3"/>
  <c r="Q2506" i="3"/>
  <c r="Q136" i="3"/>
  <c r="Q296" i="3"/>
  <c r="Q1340" i="3"/>
  <c r="Q2134" i="3"/>
  <c r="Q2328" i="3"/>
  <c r="Q1108" i="3"/>
  <c r="Q1112" i="3"/>
  <c r="Q1109" i="3"/>
  <c r="Q941" i="3"/>
  <c r="Q1810" i="3"/>
  <c r="Q1283" i="3"/>
  <c r="Q989" i="3"/>
  <c r="Q2489" i="3"/>
  <c r="Q2439" i="3"/>
  <c r="Q386" i="3"/>
  <c r="Q2184" i="3"/>
  <c r="Q1215" i="3"/>
  <c r="Q831" i="3"/>
  <c r="Q2490" i="3"/>
  <c r="T11" i="5"/>
  <c r="T26" i="5"/>
  <c r="W25" i="2" s="1"/>
  <c r="T198" i="5"/>
  <c r="T214" i="5"/>
  <c r="T323" i="5"/>
  <c r="W243" i="2" s="1"/>
  <c r="T331" i="5"/>
  <c r="T370" i="5"/>
  <c r="W313" i="2" s="1"/>
  <c r="Q2039" i="3"/>
  <c r="Q2531" i="3"/>
  <c r="Q1224" i="3"/>
  <c r="Q1641" i="3"/>
  <c r="Q2104" i="3"/>
  <c r="Q1638" i="3"/>
  <c r="Q1323" i="3"/>
  <c r="Q1766" i="3"/>
  <c r="Q1821" i="3"/>
  <c r="Q1739" i="3"/>
  <c r="Q1391" i="3"/>
  <c r="Q1974" i="3"/>
  <c r="Q1982" i="3"/>
  <c r="Q1643" i="3"/>
  <c r="Q2345" i="3"/>
  <c r="Q237" i="3"/>
  <c r="Q249" i="3"/>
  <c r="Q253" i="3"/>
  <c r="Q1077" i="3"/>
  <c r="Q1900" i="3"/>
  <c r="Q1906" i="3"/>
  <c r="Q905" i="3"/>
  <c r="Q163" i="3"/>
  <c r="Q1885" i="3"/>
  <c r="Q1890" i="3"/>
  <c r="Q27" i="3"/>
  <c r="Q17" i="3"/>
  <c r="Q128" i="3"/>
  <c r="Q439" i="3"/>
  <c r="Q2292" i="3"/>
  <c r="Q1689" i="3"/>
  <c r="Q826" i="3"/>
  <c r="Q2335" i="3"/>
  <c r="Q1835" i="3"/>
  <c r="Q147" i="3"/>
  <c r="Q81" i="3"/>
  <c r="Q624" i="3"/>
  <c r="Q1160" i="3"/>
  <c r="Q1067" i="3"/>
  <c r="Q451" i="3"/>
  <c r="Q168" i="3"/>
  <c r="Q358" i="3"/>
  <c r="Q63" i="3"/>
  <c r="Q1863" i="3"/>
  <c r="Q1856" i="3"/>
  <c r="Q25" i="3"/>
  <c r="Q30" i="3"/>
  <c r="Q2288" i="3"/>
  <c r="Q2289" i="3"/>
  <c r="Q2296" i="3"/>
  <c r="Q825" i="3"/>
  <c r="Q782" i="3"/>
  <c r="Q785" i="3"/>
  <c r="Q771" i="3"/>
  <c r="Q1040" i="3"/>
  <c r="Q1066" i="3"/>
  <c r="Q648" i="3"/>
  <c r="Q202" i="3"/>
  <c r="Q175" i="3"/>
  <c r="Q1642" i="3"/>
  <c r="Q413" i="3"/>
  <c r="Q94" i="3"/>
  <c r="Q2339" i="3"/>
  <c r="Q2344" i="3"/>
  <c r="Q1450" i="3"/>
  <c r="Q1684" i="3"/>
  <c r="Q1184" i="3"/>
  <c r="Q1859" i="3"/>
  <c r="Q1884" i="3"/>
  <c r="Q1882" i="3"/>
  <c r="Q2272" i="3"/>
  <c r="Q2274" i="3"/>
  <c r="Q441" i="3"/>
  <c r="Q443" i="3"/>
  <c r="Q781" i="3"/>
  <c r="Q1832" i="3"/>
  <c r="Q839" i="3"/>
  <c r="Q1843" i="3"/>
  <c r="Q76" i="3"/>
  <c r="Q621" i="3"/>
  <c r="Q1929" i="3"/>
  <c r="Q2454" i="3"/>
  <c r="Q167" i="3"/>
  <c r="Q2450" i="3"/>
  <c r="Q171" i="3"/>
  <c r="Q400" i="3"/>
  <c r="Q2051" i="3"/>
  <c r="Q1637" i="3"/>
  <c r="Q2096" i="3"/>
  <c r="Q2157" i="3"/>
  <c r="Q817" i="3"/>
  <c r="Q1765" i="3"/>
  <c r="Q2030" i="3"/>
  <c r="Q1933" i="3"/>
  <c r="Q2029" i="3"/>
  <c r="Q1736" i="3"/>
  <c r="Q271" i="3"/>
  <c r="Q263" i="3"/>
  <c r="Q244" i="3"/>
  <c r="Q633" i="3"/>
  <c r="Q562" i="3"/>
  <c r="Q565" i="3"/>
  <c r="Q1903" i="3"/>
  <c r="Q65" i="3"/>
  <c r="Q61" i="3"/>
  <c r="Q28" i="3"/>
  <c r="Q21" i="3"/>
  <c r="Q823" i="3"/>
  <c r="Q2014" i="3"/>
  <c r="Q779" i="3"/>
  <c r="Q158" i="3"/>
  <c r="Q156" i="3"/>
  <c r="Q1214" i="3"/>
  <c r="Q119" i="3"/>
  <c r="Q1827" i="3"/>
  <c r="Q1823" i="3"/>
  <c r="Q73" i="3"/>
  <c r="Q77" i="3"/>
  <c r="Q1063" i="3"/>
  <c r="Q2455" i="3"/>
  <c r="Q449" i="3"/>
  <c r="Q2449" i="3"/>
  <c r="Q204" i="3"/>
  <c r="Q184" i="3"/>
  <c r="Q176" i="3"/>
  <c r="Q1510" i="3"/>
  <c r="Q1090" i="3"/>
  <c r="Q2098" i="3"/>
  <c r="Q2469" i="3"/>
  <c r="Q1764" i="3"/>
  <c r="Q2028" i="3"/>
  <c r="Q1196" i="3"/>
  <c r="Q2116" i="3"/>
  <c r="Q1972" i="3"/>
  <c r="Q411" i="3"/>
  <c r="Q1735" i="3"/>
  <c r="Q1301" i="3"/>
  <c r="Q1449" i="3"/>
  <c r="Q266" i="3"/>
  <c r="Q269" i="3"/>
  <c r="Q165" i="3"/>
  <c r="Q189" i="3"/>
  <c r="Q172" i="3"/>
  <c r="Q2018" i="3"/>
  <c r="Q62" i="3"/>
  <c r="Q2278" i="3"/>
  <c r="Q2017" i="3"/>
  <c r="Q190" i="3"/>
  <c r="Q2110" i="3"/>
  <c r="Q1194" i="3"/>
  <c r="Q2081" i="3"/>
  <c r="Q446" i="3"/>
  <c r="Q1738" i="3"/>
  <c r="Q1242" i="3"/>
  <c r="Q1979" i="3"/>
  <c r="Q88" i="3"/>
  <c r="Q164" i="3"/>
  <c r="Q125" i="3"/>
  <c r="Q357" i="3"/>
  <c r="Q2463" i="3"/>
  <c r="Q486" i="3"/>
  <c r="Q1498" i="3"/>
  <c r="Q2163" i="3"/>
  <c r="Q1570" i="3"/>
  <c r="Q502" i="3"/>
  <c r="Q388" i="3"/>
  <c r="Q455" i="3"/>
  <c r="Q1987" i="3"/>
  <c r="Q2323" i="3"/>
  <c r="Q882" i="3"/>
  <c r="Q836" i="3"/>
  <c r="Q1000" i="3"/>
  <c r="Q2246" i="3"/>
  <c r="Q1260" i="3"/>
  <c r="Q1140" i="3"/>
  <c r="Q1133" i="3"/>
  <c r="Q320" i="3"/>
  <c r="Q313" i="3"/>
  <c r="Q1426" i="3"/>
  <c r="Q1588" i="3"/>
  <c r="Q2479" i="3"/>
  <c r="Q2472" i="3"/>
  <c r="Q2076" i="3"/>
  <c r="Q328" i="3"/>
  <c r="Q2138" i="3"/>
  <c r="Q1708" i="3"/>
  <c r="Q1714" i="3"/>
  <c r="Q1625" i="3"/>
  <c r="Q1612" i="3"/>
  <c r="Q1314" i="3"/>
  <c r="Q283" i="3"/>
  <c r="Q2006" i="3"/>
  <c r="Q2000" i="3"/>
  <c r="Q806" i="3"/>
  <c r="Q961" i="3"/>
  <c r="Q341" i="3"/>
  <c r="Q1669" i="3"/>
  <c r="Q1671" i="3"/>
  <c r="Q1522" i="3"/>
  <c r="Q1293" i="3"/>
  <c r="Q1701" i="3"/>
  <c r="Q1872" i="3"/>
  <c r="Q1871" i="3"/>
  <c r="Q497" i="3"/>
  <c r="Q654" i="3"/>
  <c r="Q1472" i="3"/>
  <c r="Q1212" i="3"/>
  <c r="Q799" i="3"/>
  <c r="Q790" i="3"/>
  <c r="Q1780" i="3"/>
  <c r="Q542" i="3"/>
  <c r="Q508" i="3"/>
  <c r="Q869" i="3"/>
  <c r="Q1481" i="3"/>
  <c r="Q1491" i="3"/>
  <c r="Q1095" i="3"/>
  <c r="Q1492" i="3"/>
  <c r="Q2306" i="3"/>
  <c r="Q764" i="3"/>
  <c r="Q768" i="3"/>
  <c r="Q393" i="3"/>
  <c r="Q1845" i="3"/>
  <c r="Q1453" i="3"/>
  <c r="Q886" i="3"/>
  <c r="Q1175" i="3"/>
  <c r="Q2519" i="3"/>
  <c r="Q1257" i="3"/>
  <c r="Q1249" i="3"/>
  <c r="Q1124" i="3"/>
  <c r="Q637" i="3"/>
  <c r="Q923" i="3"/>
  <c r="Q668" i="3"/>
  <c r="Q738" i="3"/>
  <c r="Q1544" i="3"/>
  <c r="Q1564" i="3"/>
  <c r="Q2262" i="3"/>
  <c r="Q324" i="3"/>
  <c r="Q2143" i="3"/>
  <c r="Q1702" i="3"/>
  <c r="Q370" i="3"/>
  <c r="Q1614" i="3"/>
  <c r="Q293" i="3"/>
  <c r="Q1051" i="3"/>
  <c r="Q173" i="3"/>
  <c r="Q205" i="3"/>
  <c r="Q194" i="3"/>
  <c r="Q2466" i="3"/>
  <c r="Q1366" i="3"/>
  <c r="Q1096" i="3"/>
  <c r="Q1725" i="3"/>
  <c r="Q1494" i="3"/>
  <c r="Q2165" i="3"/>
  <c r="Q765" i="3"/>
  <c r="Q149" i="3"/>
  <c r="Q391" i="3"/>
  <c r="Q2021" i="3"/>
  <c r="Q1454" i="3"/>
  <c r="Q1010" i="3"/>
  <c r="Q2078" i="3"/>
  <c r="Q885" i="3"/>
  <c r="Q2391" i="3"/>
  <c r="Q1001" i="3"/>
  <c r="Q1172" i="3"/>
  <c r="Q2369" i="3"/>
  <c r="Q1258" i="3"/>
  <c r="Q1145" i="3"/>
  <c r="Q1136" i="3"/>
  <c r="Q315" i="3"/>
  <c r="Q922" i="3"/>
  <c r="Q1586" i="3"/>
  <c r="Q2264" i="3"/>
  <c r="Q2475" i="3"/>
  <c r="Q1565" i="3"/>
  <c r="Q220" i="3"/>
  <c r="Q325" i="3"/>
  <c r="Q1504" i="3"/>
  <c r="Q1309" i="3"/>
  <c r="Q1720" i="3"/>
  <c r="Q1703" i="3"/>
  <c r="Q1622" i="3"/>
  <c r="Q48" i="3"/>
  <c r="Q382" i="3"/>
  <c r="Q380" i="3"/>
  <c r="Q1317" i="3"/>
  <c r="Q309" i="3"/>
  <c r="Q2003" i="3"/>
  <c r="Q803" i="3"/>
  <c r="Q960" i="3"/>
  <c r="Q952" i="3"/>
  <c r="Q336" i="3"/>
  <c r="Q338" i="3"/>
  <c r="Q1605" i="3"/>
  <c r="Q1603" i="3"/>
  <c r="Q1518" i="3"/>
  <c r="Q494" i="3"/>
  <c r="Q198" i="3"/>
  <c r="Q181" i="3"/>
  <c r="Q1097" i="3"/>
  <c r="Q567" i="3"/>
  <c r="Q2315" i="3"/>
  <c r="Q758" i="3"/>
  <c r="Q1847" i="3"/>
  <c r="Q1543" i="3"/>
  <c r="Q378" i="3"/>
  <c r="Q1611" i="3"/>
  <c r="Q385" i="3"/>
  <c r="Q1316" i="3"/>
  <c r="Q307" i="3"/>
  <c r="Q2008" i="3"/>
  <c r="Q846" i="3"/>
  <c r="Q868" i="3"/>
  <c r="Q805" i="3"/>
  <c r="Q1928" i="3"/>
  <c r="Q332" i="3"/>
  <c r="Q1602" i="3"/>
  <c r="Q1610" i="3"/>
  <c r="Q1520" i="3"/>
  <c r="Q1799" i="3"/>
  <c r="Q1873" i="3"/>
  <c r="Q496" i="3"/>
  <c r="Q657" i="3"/>
  <c r="Q895" i="3"/>
  <c r="Q797" i="3"/>
  <c r="Q1484" i="3"/>
  <c r="Q990" i="3"/>
  <c r="Q182" i="3"/>
  <c r="Q179" i="3"/>
  <c r="Q398" i="3"/>
  <c r="Q399" i="3"/>
  <c r="Q568" i="3"/>
  <c r="Q490" i="3"/>
  <c r="Q489" i="3"/>
  <c r="Q1722" i="3"/>
  <c r="Q2314" i="3"/>
  <c r="Q2168" i="3"/>
  <c r="Q2170" i="3"/>
  <c r="Q2173" i="3"/>
  <c r="Q613" i="3"/>
  <c r="Q615" i="3"/>
  <c r="Q608" i="3"/>
  <c r="Q499" i="3"/>
  <c r="Q1849" i="3"/>
  <c r="Q1288" i="3"/>
  <c r="Q457" i="3"/>
  <c r="Q454" i="3"/>
  <c r="Q1575" i="3"/>
  <c r="Q1009" i="3"/>
  <c r="Q2320" i="3"/>
  <c r="Q2392" i="3"/>
  <c r="Q2395" i="3"/>
  <c r="Q835" i="3"/>
  <c r="Q838" i="3"/>
  <c r="Q2524" i="3"/>
  <c r="Q2523" i="3"/>
  <c r="Q2249" i="3"/>
  <c r="Q2251" i="3"/>
  <c r="Q1261" i="3"/>
  <c r="Q1130" i="3"/>
  <c r="Q1138" i="3"/>
  <c r="Q1142" i="3"/>
  <c r="Q2301" i="3"/>
  <c r="Q2299" i="3"/>
  <c r="Q317" i="3"/>
  <c r="Q321" i="3"/>
  <c r="Q716" i="3"/>
  <c r="Q1427" i="3"/>
  <c r="Q1430" i="3"/>
  <c r="Q1587" i="3"/>
  <c r="Q1566" i="3"/>
  <c r="Q2083" i="3"/>
  <c r="Q2482" i="3"/>
  <c r="Q2483" i="3"/>
  <c r="Q665" i="3"/>
  <c r="Q678" i="3"/>
  <c r="Q229" i="3"/>
  <c r="Q50" i="3"/>
  <c r="Q2139" i="3"/>
  <c r="Q1235" i="3"/>
  <c r="Q1319" i="3"/>
  <c r="Q956" i="3"/>
  <c r="Q1483" i="3"/>
  <c r="Q401" i="3"/>
  <c r="Q2465" i="3"/>
  <c r="Q1094" i="3"/>
  <c r="Q492" i="3"/>
  <c r="Q2310" i="3"/>
  <c r="Q2171" i="3"/>
  <c r="Q763" i="3"/>
  <c r="Q611" i="3"/>
  <c r="Q1841" i="3"/>
  <c r="Q1284" i="3"/>
  <c r="Q1456" i="3"/>
  <c r="Q1574" i="3"/>
  <c r="Q2322" i="3"/>
  <c r="Q887" i="3"/>
  <c r="Q2389" i="3"/>
  <c r="Q2396" i="3"/>
  <c r="Q2516" i="3"/>
  <c r="Q2525" i="3"/>
  <c r="Q1250" i="3"/>
  <c r="Q1132" i="3"/>
  <c r="Q636" i="3"/>
  <c r="Q2298" i="3"/>
  <c r="Q714" i="3"/>
  <c r="Q1424" i="3"/>
  <c r="Q1030" i="3"/>
  <c r="Q2478" i="3"/>
  <c r="Q2255" i="3"/>
  <c r="Q677" i="3"/>
  <c r="Q1337" i="3"/>
  <c r="Q1232" i="3"/>
  <c r="Q1706" i="3"/>
  <c r="Q375" i="3"/>
  <c r="Q1624" i="3"/>
  <c r="Q1627" i="3"/>
  <c r="Q1207" i="3"/>
  <c r="Q663" i="3"/>
  <c r="Q302" i="3"/>
  <c r="Q292" i="3"/>
  <c r="Q304" i="3"/>
  <c r="Q2002" i="3"/>
  <c r="Q543" i="3"/>
  <c r="Q865" i="3"/>
  <c r="Q875" i="3"/>
  <c r="Q851" i="3"/>
  <c r="Q958" i="3"/>
  <c r="Q329" i="3"/>
  <c r="Q1666" i="3"/>
  <c r="Q1673" i="3"/>
  <c r="Q1948" i="3"/>
  <c r="Q1700" i="3"/>
  <c r="Q1658" i="3"/>
  <c r="Q1470" i="3"/>
  <c r="Q794" i="3"/>
  <c r="Q274" i="3"/>
  <c r="Q360" i="3"/>
  <c r="Q1034" i="3"/>
  <c r="Q1222" i="3"/>
  <c r="Q464" i="3"/>
  <c r="Q2062" i="3"/>
  <c r="Q1537" i="3"/>
  <c r="Q1758" i="3"/>
  <c r="Q1551" i="3"/>
  <c r="Q347" i="3"/>
  <c r="Q811" i="3"/>
  <c r="Q1804" i="3"/>
  <c r="Q2057" i="3"/>
  <c r="Q1526" i="3"/>
  <c r="Q1745" i="3"/>
  <c r="Q1755" i="3"/>
  <c r="Q2127" i="3"/>
  <c r="Q1294" i="3"/>
  <c r="Q1297" i="3"/>
  <c r="Q1390" i="3"/>
  <c r="Q1500" i="3"/>
  <c r="Q1653" i="3"/>
  <c r="Q1554" i="3"/>
  <c r="Q2361" i="3"/>
  <c r="Q2202" i="3"/>
  <c r="Q2213" i="3"/>
  <c r="Q2220" i="3"/>
  <c r="Q2234" i="3"/>
  <c r="Q695" i="3"/>
  <c r="Q691" i="3"/>
  <c r="Q719" i="3"/>
  <c r="Q1331" i="3"/>
  <c r="Q231" i="3"/>
  <c r="Q650" i="3"/>
  <c r="Q2512" i="3"/>
  <c r="Q1400" i="3"/>
  <c r="Q1686" i="3"/>
  <c r="Q1147" i="3"/>
  <c r="Q2501" i="3"/>
  <c r="Q2497" i="3"/>
  <c r="Q1914" i="3"/>
  <c r="Q134" i="3"/>
  <c r="Q1916" i="3"/>
  <c r="Q2023" i="3"/>
  <c r="Q2174" i="3"/>
  <c r="Q1055" i="3"/>
  <c r="Q2117" i="3"/>
  <c r="Q1925" i="3"/>
  <c r="Q940" i="3"/>
  <c r="Q1663" i="3"/>
  <c r="Q2496" i="3"/>
  <c r="Q1488" i="3"/>
  <c r="Q1782" i="3"/>
  <c r="Q1167" i="3"/>
  <c r="Q1016" i="3"/>
  <c r="Q616" i="3"/>
  <c r="Q1363" i="3"/>
  <c r="Q529" i="3"/>
  <c r="Q1792" i="3"/>
  <c r="Q591" i="3"/>
  <c r="Q588" i="3"/>
  <c r="Q602" i="3"/>
  <c r="Q1276" i="3"/>
  <c r="Q1281" i="3"/>
  <c r="Q684" i="3"/>
  <c r="Q2095" i="3"/>
  <c r="Q1231" i="3"/>
  <c r="Q1198" i="3"/>
  <c r="Q1328" i="3"/>
  <c r="Q1150" i="3"/>
  <c r="Q2371" i="3"/>
  <c r="Q566" i="3"/>
  <c r="Q540" i="3"/>
  <c r="Q541" i="3"/>
  <c r="Q1072" i="3"/>
  <c r="Q1690" i="3"/>
  <c r="Q1917" i="3"/>
  <c r="Q406" i="3"/>
  <c r="Q1059" i="3"/>
  <c r="Q1151" i="3"/>
  <c r="Q1414" i="3"/>
  <c r="Q1418" i="3"/>
  <c r="Q2024" i="3"/>
  <c r="Q2178" i="3"/>
  <c r="Q2182" i="3"/>
  <c r="Q2374" i="3"/>
  <c r="Q2471" i="3"/>
  <c r="Q429" i="3"/>
  <c r="Q102" i="3"/>
  <c r="Q1057" i="3"/>
  <c r="Q2495" i="3"/>
  <c r="Q2457" i="3"/>
  <c r="Q2402" i="3"/>
  <c r="Q2409" i="3"/>
  <c r="Q920" i="3"/>
  <c r="Q1020" i="3"/>
  <c r="Q1116" i="3"/>
  <c r="Q944" i="3"/>
  <c r="Q1814" i="3"/>
  <c r="Q169" i="3"/>
  <c r="Q742" i="3"/>
  <c r="Q745" i="3"/>
  <c r="Q526" i="3"/>
  <c r="Q1247" i="3"/>
  <c r="Q1732" i="3"/>
  <c r="Q1855" i="3"/>
  <c r="Q1378" i="3"/>
  <c r="Q2425" i="3"/>
  <c r="Q2210" i="3"/>
  <c r="Q2242" i="3"/>
  <c r="Q144" i="3"/>
  <c r="Q1476" i="3"/>
  <c r="Q796" i="3"/>
  <c r="Q1783" i="3"/>
  <c r="Q1775" i="3"/>
  <c r="Q1165" i="3"/>
  <c r="Q513" i="3"/>
  <c r="Q618" i="3"/>
  <c r="Q1945" i="3"/>
  <c r="Q1361" i="3"/>
  <c r="Q1359" i="3"/>
  <c r="Q353" i="3"/>
  <c r="Q551" i="3"/>
  <c r="Q466" i="3"/>
  <c r="Q986" i="3"/>
  <c r="Q1032" i="3"/>
  <c r="Q1354" i="3"/>
  <c r="Q1372" i="3"/>
  <c r="Q1581" i="3"/>
  <c r="Q1852" i="3"/>
  <c r="Q966" i="3"/>
  <c r="Q1805" i="3"/>
  <c r="Q2059" i="3"/>
  <c r="Q2072" i="3"/>
  <c r="Q1523" i="3"/>
  <c r="Q1753" i="3"/>
  <c r="Q2130" i="3"/>
  <c r="Q2125" i="3"/>
  <c r="Q992" i="3"/>
  <c r="Q996" i="3"/>
  <c r="Q1381" i="3"/>
  <c r="Q1548" i="3"/>
  <c r="Q1654" i="3"/>
  <c r="Q2195" i="3"/>
  <c r="Q2199" i="3"/>
  <c r="Q2214" i="3"/>
  <c r="Q2226" i="3"/>
  <c r="Q2230" i="3"/>
  <c r="Q689" i="3"/>
  <c r="Q720" i="3"/>
  <c r="Q575" i="3"/>
  <c r="Q593" i="3"/>
  <c r="Q605" i="3"/>
  <c r="Q1274" i="3"/>
  <c r="Q1277" i="3"/>
  <c r="Q530" i="3"/>
  <c r="Q1158" i="3"/>
  <c r="Q1101" i="3"/>
  <c r="Q225" i="3"/>
  <c r="Q1335" i="3"/>
  <c r="Q1330" i="3"/>
  <c r="Q1325" i="3"/>
  <c r="Q927" i="3"/>
  <c r="Q975" i="3"/>
  <c r="Q1506" i="3"/>
  <c r="Q1341" i="3"/>
  <c r="Q234" i="3"/>
  <c r="Q2377" i="3"/>
  <c r="Q1039" i="3"/>
  <c r="Q658" i="3"/>
  <c r="Q1045" i="3"/>
  <c r="Q2422" i="3"/>
  <c r="Q1401" i="3"/>
  <c r="Q2421" i="3"/>
  <c r="Q1088" i="3"/>
  <c r="Q1075" i="3"/>
  <c r="Q2049" i="3"/>
  <c r="Q1920" i="3"/>
  <c r="Q2154" i="3"/>
  <c r="Q699" i="3"/>
  <c r="Q706" i="3"/>
  <c r="Q1047" i="3"/>
  <c r="Q1415" i="3"/>
  <c r="Q1419" i="3"/>
  <c r="Q1784" i="3"/>
  <c r="Q2025" i="3"/>
  <c r="Q2349" i="3"/>
  <c r="Q2356" i="3"/>
  <c r="Q2366" i="3"/>
  <c r="Q430" i="3"/>
  <c r="Q103" i="3"/>
  <c r="Q115" i="3"/>
  <c r="Q1062" i="3"/>
  <c r="Q286" i="3"/>
  <c r="Q1457" i="3"/>
  <c r="Q2410" i="3"/>
  <c r="Q1923" i="3"/>
  <c r="Q1875" i="3"/>
  <c r="Q1117" i="3"/>
  <c r="Q1113" i="3"/>
  <c r="Q942" i="3"/>
  <c r="Q932" i="3"/>
  <c r="Q743" i="3"/>
  <c r="Q2092" i="3"/>
  <c r="Q1033" i="3"/>
  <c r="Q1221" i="3"/>
  <c r="Q1795" i="3"/>
  <c r="Q2069" i="3"/>
  <c r="Q1757" i="3"/>
  <c r="Q2133" i="3"/>
  <c r="Q1298" i="3"/>
  <c r="Q1553" i="3"/>
  <c r="Q1649" i="3"/>
  <c r="Q578" i="3"/>
  <c r="Q599" i="3"/>
  <c r="Q606" i="3"/>
  <c r="Q601" i="3"/>
  <c r="Q1153" i="3"/>
  <c r="Q1596" i="3"/>
  <c r="Q537" i="3"/>
  <c r="Q1203" i="3"/>
  <c r="Q41" i="3"/>
  <c r="Q1049" i="3"/>
  <c r="Q1168" i="3"/>
  <c r="Q1014" i="3"/>
  <c r="Q512" i="3"/>
  <c r="Q617" i="3"/>
  <c r="Q1942" i="3"/>
  <c r="Q1362" i="3"/>
  <c r="Q1356" i="3"/>
  <c r="Q891" i="3"/>
  <c r="Q894" i="3"/>
  <c r="Q349" i="3"/>
  <c r="Q348" i="3"/>
  <c r="Q552" i="3"/>
  <c r="Q1793" i="3"/>
  <c r="Q1246" i="3"/>
  <c r="Q1582" i="3"/>
  <c r="Q1734" i="3"/>
  <c r="Q1853" i="3"/>
  <c r="Q2071" i="3"/>
  <c r="Q2401" i="3"/>
  <c r="Q1538" i="3"/>
  <c r="Q1747" i="3"/>
  <c r="Q2120" i="3"/>
  <c r="Q2128" i="3"/>
  <c r="Q1012" i="3"/>
  <c r="Q1383" i="3"/>
  <c r="Q1652" i="3"/>
  <c r="Q2158" i="3"/>
  <c r="Q2221" i="3"/>
  <c r="Q2200" i="3"/>
  <c r="Q2208" i="3"/>
  <c r="Q2223" i="3"/>
  <c r="Q2229" i="3"/>
  <c r="Q2245" i="3"/>
  <c r="Q685" i="3"/>
  <c r="Q721" i="3"/>
  <c r="Q2387" i="3"/>
  <c r="Q809" i="3"/>
  <c r="Q1957" i="3"/>
  <c r="Q1692" i="3"/>
  <c r="Q1191" i="3"/>
  <c r="Q1411" i="3"/>
  <c r="Q423" i="3"/>
  <c r="Q427" i="3"/>
  <c r="Q2407" i="3"/>
  <c r="Q1123" i="3"/>
  <c r="Q936" i="3"/>
  <c r="Q1659" i="3"/>
  <c r="Q744" i="3"/>
  <c r="Q346" i="3"/>
  <c r="Q2205" i="3"/>
  <c r="Q2212" i="3"/>
  <c r="Q2235" i="3"/>
  <c r="Q2240" i="3"/>
  <c r="Q595" i="3"/>
  <c r="Q583" i="3"/>
  <c r="Q573" i="3"/>
  <c r="Q607" i="3"/>
  <c r="Q1279" i="3"/>
  <c r="Q1271" i="3"/>
  <c r="Q518" i="3"/>
  <c r="Q223" i="3"/>
  <c r="Q1507" i="3"/>
  <c r="Q417" i="3"/>
  <c r="Q739" i="3"/>
  <c r="Q1820" i="3"/>
  <c r="Q1402" i="3"/>
  <c r="Q1192" i="3"/>
  <c r="Q99" i="3"/>
  <c r="Q2526" i="3"/>
  <c r="Q1007" i="3"/>
  <c r="Q2038" i="3"/>
  <c r="Q1954" i="3"/>
  <c r="Q1918" i="3"/>
  <c r="Q2150" i="3"/>
  <c r="Q405" i="3"/>
  <c r="Q704" i="3"/>
  <c r="Q815" i="3"/>
  <c r="Q1342" i="3"/>
  <c r="Q1416" i="3"/>
  <c r="Q1420" i="3"/>
  <c r="Q2177" i="3"/>
  <c r="Q2181" i="3"/>
  <c r="Q2354" i="3"/>
  <c r="Q2358" i="3"/>
  <c r="Q424" i="3"/>
  <c r="Q814" i="3"/>
  <c r="Q104" i="3"/>
  <c r="Q2494" i="3"/>
  <c r="Q1874" i="3"/>
  <c r="Q356" i="3"/>
  <c r="Q2411" i="3"/>
  <c r="Q919" i="3"/>
  <c r="Q2327" i="3"/>
  <c r="Q947" i="3"/>
  <c r="Q945" i="3"/>
  <c r="Q934" i="3"/>
  <c r="Q931" i="3"/>
  <c r="Q748" i="3"/>
  <c r="Q747" i="3"/>
  <c r="Q279" i="3"/>
  <c r="Q278" i="3"/>
  <c r="Q2385" i="3"/>
  <c r="Q845" i="3"/>
  <c r="Q918" i="3"/>
  <c r="Q1442" i="3"/>
  <c r="Q1089" i="3"/>
  <c r="Q14" i="3"/>
  <c r="Q792" i="3"/>
  <c r="T30" i="5"/>
  <c r="T32" i="5"/>
  <c r="T34" i="5"/>
  <c r="T36" i="5"/>
  <c r="T38" i="5"/>
  <c r="T80" i="5"/>
  <c r="T95" i="5"/>
  <c r="T98" i="5"/>
  <c r="V60" i="2" s="1"/>
  <c r="T113" i="5"/>
  <c r="V85" i="2" s="1"/>
  <c r="T129" i="5"/>
  <c r="T145" i="5"/>
  <c r="T299" i="5"/>
  <c r="T315" i="5"/>
  <c r="T352" i="5"/>
  <c r="V268" i="2" s="1"/>
  <c r="S369" i="5"/>
  <c r="Q142" i="3"/>
  <c r="Q1465" i="3"/>
  <c r="Q1022" i="3"/>
  <c r="Q1851" i="3"/>
  <c r="Q1991" i="3"/>
  <c r="Q1992" i="3"/>
  <c r="Q980" i="3"/>
  <c r="Q1443" i="3"/>
  <c r="Q56" i="3"/>
  <c r="Q2437" i="3"/>
  <c r="Q2456" i="3"/>
  <c r="Q1404" i="3"/>
  <c r="Q1241" i="3"/>
  <c r="T28" i="5"/>
  <c r="T72" i="5"/>
  <c r="T74" i="5"/>
  <c r="T111" i="5"/>
  <c r="W83" i="2" s="1"/>
  <c r="T127" i="5"/>
  <c r="T143" i="5"/>
  <c r="T159" i="5"/>
  <c r="T175" i="5"/>
  <c r="T191" i="5"/>
  <c r="T204" i="5"/>
  <c r="T207" i="5"/>
  <c r="T361" i="5"/>
  <c r="W289" i="2" s="1"/>
  <c r="S367" i="5"/>
  <c r="Q1458" i="3"/>
  <c r="Q1451" i="3"/>
  <c r="Q979" i="3"/>
  <c r="Q712" i="3"/>
  <c r="Q889" i="3"/>
  <c r="Q1436" i="3"/>
  <c r="T14" i="5"/>
  <c r="T16" i="5"/>
  <c r="T18" i="5"/>
  <c r="T20" i="5"/>
  <c r="V20" i="2" s="1"/>
  <c r="T22" i="5"/>
  <c r="S40" i="5"/>
  <c r="T41" i="5"/>
  <c r="S42" i="5"/>
  <c r="T60" i="5"/>
  <c r="T89" i="5"/>
  <c r="S97" i="5"/>
  <c r="T107" i="5"/>
  <c r="W75" i="2" s="1"/>
  <c r="S115" i="5"/>
  <c r="S131" i="5"/>
  <c r="T139" i="5"/>
  <c r="S147" i="5"/>
  <c r="T155" i="5"/>
  <c r="V120" i="2" s="1"/>
  <c r="S163" i="5"/>
  <c r="T171" i="5"/>
  <c r="S179" i="5"/>
  <c r="T187" i="5"/>
  <c r="T220" i="5"/>
  <c r="S221" i="5"/>
  <c r="T251" i="5"/>
  <c r="T259" i="5"/>
  <c r="T267" i="5"/>
  <c r="T275" i="5"/>
  <c r="W209" i="2" s="1"/>
  <c r="T283" i="5"/>
  <c r="S331" i="5"/>
  <c r="T359" i="5"/>
  <c r="V284" i="2" s="1"/>
  <c r="T371" i="5"/>
  <c r="W314" i="2" s="1"/>
  <c r="T372" i="5"/>
  <c r="Q843" i="3"/>
  <c r="Q1953" i="3"/>
  <c r="Q2440" i="3"/>
  <c r="Q571" i="3"/>
  <c r="Q1441" i="3"/>
  <c r="Q1393" i="3"/>
  <c r="Q2499" i="3"/>
  <c r="Q1459" i="3"/>
  <c r="Q60" i="3"/>
  <c r="Q33" i="3"/>
  <c r="Q54" i="3"/>
  <c r="Q1432" i="3"/>
  <c r="Q2045" i="3"/>
  <c r="Q1199" i="3"/>
  <c r="Q645" i="3"/>
  <c r="Q1076" i="3"/>
  <c r="Q1434" i="3"/>
  <c r="Q908" i="3"/>
  <c r="Q1594" i="3"/>
  <c r="T10" i="5"/>
  <c r="T12" i="5"/>
  <c r="S30" i="5"/>
  <c r="T31" i="5"/>
  <c r="V28" i="2" s="1"/>
  <c r="S32" i="5"/>
  <c r="T33" i="5"/>
  <c r="S34" i="5"/>
  <c r="T35" i="5"/>
  <c r="S36" i="5"/>
  <c r="T37" i="5"/>
  <c r="S38" i="5"/>
  <c r="T56" i="5"/>
  <c r="T58" i="5"/>
  <c r="S95" i="5"/>
  <c r="T105" i="5"/>
  <c r="W73" i="2" s="1"/>
  <c r="S113" i="5"/>
  <c r="T121" i="5"/>
  <c r="S129" i="5"/>
  <c r="T137" i="5"/>
  <c r="S145" i="5"/>
  <c r="T153" i="5"/>
  <c r="S161" i="5"/>
  <c r="T169" i="5"/>
  <c r="S177" i="5"/>
  <c r="T185" i="5"/>
  <c r="S193" i="5"/>
  <c r="S194" i="5"/>
  <c r="S195" i="5"/>
  <c r="S196" i="5"/>
  <c r="S197" i="5"/>
  <c r="S198" i="5"/>
  <c r="S200" i="5"/>
  <c r="S202" i="5"/>
  <c r="S209" i="5"/>
  <c r="S210" i="5"/>
  <c r="S211" i="5"/>
  <c r="S212" i="5"/>
  <c r="S214" i="5"/>
  <c r="S216" i="5"/>
  <c r="T249" i="5"/>
  <c r="T253" i="5"/>
  <c r="T257" i="5"/>
  <c r="T261" i="5"/>
  <c r="V198" i="2" s="1"/>
  <c r="T265" i="5"/>
  <c r="T269" i="5"/>
  <c r="W203" i="2" s="1"/>
  <c r="T273" i="5"/>
  <c r="T277" i="5"/>
  <c r="W210" i="2" s="1"/>
  <c r="T281" i="5"/>
  <c r="T285" i="5"/>
  <c r="V216" i="2" s="1"/>
  <c r="T296" i="5"/>
  <c r="T297" i="5"/>
  <c r="T312" i="5"/>
  <c r="V236" i="2" s="1"/>
  <c r="T313" i="5"/>
  <c r="T328" i="5"/>
  <c r="T329" i="5"/>
  <c r="T46" i="5"/>
  <c r="T48" i="5"/>
  <c r="T50" i="5"/>
  <c r="T52" i="5"/>
  <c r="T54" i="5"/>
  <c r="S72" i="5"/>
  <c r="T73" i="5"/>
  <c r="S74" i="5"/>
  <c r="T81" i="5"/>
  <c r="S111" i="5"/>
  <c r="T119" i="5"/>
  <c r="S127" i="5"/>
  <c r="T135" i="5"/>
  <c r="S143" i="5"/>
  <c r="T151" i="5"/>
  <c r="V116" i="2" s="1"/>
  <c r="S159" i="5"/>
  <c r="T167" i="5"/>
  <c r="S175" i="5"/>
  <c r="T183" i="5"/>
  <c r="S191" i="5"/>
  <c r="S204" i="5"/>
  <c r="T206" i="5"/>
  <c r="V160" i="2" s="1"/>
  <c r="S207" i="5"/>
  <c r="T231" i="5"/>
  <c r="T232" i="5"/>
  <c r="T255" i="5"/>
  <c r="W194" i="2" s="1"/>
  <c r="T263" i="5"/>
  <c r="T271" i="5"/>
  <c r="V205" i="2" s="1"/>
  <c r="T279" i="5"/>
  <c r="T280" i="5"/>
  <c r="T287" i="5"/>
  <c r="T288" i="5"/>
  <c r="T291" i="5"/>
  <c r="Q970" i="3"/>
  <c r="Q1021" i="3"/>
  <c r="Q1290" i="3"/>
  <c r="Q1295" i="3"/>
  <c r="Q1440" i="3"/>
  <c r="Q1439" i="3"/>
  <c r="Q2088" i="3"/>
  <c r="Q12" i="3"/>
  <c r="Q978" i="3"/>
  <c r="Q2431" i="3"/>
  <c r="Q453" i="3"/>
  <c r="Q130" i="3"/>
  <c r="Q1377" i="3"/>
  <c r="Q2155" i="3"/>
  <c r="Q2151" i="3"/>
  <c r="Q1433" i="3"/>
  <c r="Q139" i="3"/>
  <c r="Q906" i="3"/>
  <c r="Q1592" i="3"/>
  <c r="Q899" i="3"/>
  <c r="S24" i="5"/>
  <c r="T25" i="5"/>
  <c r="S26" i="5"/>
  <c r="T44" i="5"/>
  <c r="S62" i="5"/>
  <c r="T63" i="5"/>
  <c r="W40" i="2" s="1"/>
  <c r="S64" i="5"/>
  <c r="T65" i="5"/>
  <c r="S66" i="5"/>
  <c r="T67" i="5"/>
  <c r="S68" i="5"/>
  <c r="T69" i="5"/>
  <c r="S70" i="5"/>
  <c r="T79" i="5"/>
  <c r="T82" i="5"/>
  <c r="S109" i="5"/>
  <c r="T117" i="5"/>
  <c r="S125" i="5"/>
  <c r="T133" i="5"/>
  <c r="S141" i="5"/>
  <c r="T149" i="5"/>
  <c r="V114" i="2" s="1"/>
  <c r="S157" i="5"/>
  <c r="T165" i="5"/>
  <c r="S173" i="5"/>
  <c r="T181" i="5"/>
  <c r="S189" i="5"/>
  <c r="T223" i="5"/>
  <c r="T224" i="5"/>
  <c r="T225" i="5"/>
  <c r="V173" i="2" s="1"/>
  <c r="T229" i="5"/>
  <c r="T230" i="5"/>
  <c r="T238" i="5"/>
  <c r="T241" i="5"/>
  <c r="T242" i="5"/>
  <c r="T303" i="5"/>
  <c r="T309" i="5"/>
  <c r="T325" i="5"/>
  <c r="S339" i="5"/>
  <c r="T355" i="5"/>
  <c r="W274" i="2" s="1"/>
  <c r="T365" i="5"/>
  <c r="W299" i="2" s="1"/>
  <c r="T366" i="5"/>
  <c r="S373" i="5"/>
  <c r="T354" i="5"/>
  <c r="W273" i="2" s="1"/>
  <c r="T363" i="5"/>
  <c r="T364" i="5"/>
  <c r="W298" i="2" s="1"/>
  <c r="S371" i="5"/>
  <c r="O10" i="5"/>
  <c r="O11" i="5"/>
  <c r="O46" i="5"/>
  <c r="O45" i="5"/>
  <c r="O47" i="5"/>
  <c r="R48" i="5"/>
  <c r="R49" i="5"/>
  <c r="U14" i="1"/>
  <c r="R72" i="5"/>
  <c r="R73" i="5"/>
  <c r="R71" i="5"/>
  <c r="O99" i="5"/>
  <c r="O100" i="5"/>
  <c r="U22" i="1"/>
  <c r="W82" i="2"/>
  <c r="T25" i="1"/>
  <c r="Q144" i="5"/>
  <c r="Q145" i="5"/>
  <c r="Q143" i="5"/>
  <c r="O157" i="5"/>
  <c r="O158" i="5"/>
  <c r="O169" i="5"/>
  <c r="O168" i="5"/>
  <c r="R182" i="5"/>
  <c r="R183" i="5"/>
  <c r="O234" i="5"/>
  <c r="O235" i="5"/>
  <c r="Q9" i="5"/>
  <c r="Q8" i="5"/>
  <c r="R14" i="5"/>
  <c r="R12" i="5"/>
  <c r="R13" i="5"/>
  <c r="O60" i="5"/>
  <c r="O61" i="5"/>
  <c r="O59" i="5"/>
  <c r="O89" i="5"/>
  <c r="O87" i="5"/>
  <c r="O88" i="5"/>
  <c r="R10" i="5"/>
  <c r="R11" i="5"/>
  <c r="V17" i="2"/>
  <c r="W22" i="2"/>
  <c r="T13" i="1"/>
  <c r="O58" i="5"/>
  <c r="O56" i="5"/>
  <c r="O57" i="5"/>
  <c r="O70" i="5"/>
  <c r="O68" i="5"/>
  <c r="O69" i="5"/>
  <c r="O67" i="5"/>
  <c r="T21" i="1"/>
  <c r="W97" i="2"/>
  <c r="V97" i="2"/>
  <c r="V102" i="2"/>
  <c r="R158" i="5"/>
  <c r="R157" i="5"/>
  <c r="Q182" i="5"/>
  <c r="Q183" i="5"/>
  <c r="U38" i="1"/>
  <c r="W162" i="2"/>
  <c r="V162" i="2"/>
  <c r="O16" i="5"/>
  <c r="O15" i="5"/>
  <c r="W89" i="2"/>
  <c r="Q132" i="5"/>
  <c r="Q133" i="5"/>
  <c r="W102" i="2"/>
  <c r="Q138" i="5"/>
  <c r="Q139" i="5"/>
  <c r="R142" i="5"/>
  <c r="R141" i="5"/>
  <c r="U30" i="1"/>
  <c r="W122" i="2"/>
  <c r="V122" i="2"/>
  <c r="Q172" i="5"/>
  <c r="Q173" i="5"/>
  <c r="O181" i="5"/>
  <c r="O179" i="5"/>
  <c r="O180" i="5"/>
  <c r="Q192" i="5"/>
  <c r="Q193" i="5"/>
  <c r="R224" i="5"/>
  <c r="R223" i="5"/>
  <c r="U9" i="1"/>
  <c r="R24" i="5"/>
  <c r="R25" i="5"/>
  <c r="Q34" i="5"/>
  <c r="Q33" i="5"/>
  <c r="W57" i="2"/>
  <c r="V57" i="2"/>
  <c r="V66" i="2"/>
  <c r="W81" i="2"/>
  <c r="V81" i="2"/>
  <c r="V86" i="2"/>
  <c r="Q142" i="5"/>
  <c r="Q141" i="5"/>
  <c r="R180" i="5"/>
  <c r="R181" i="5"/>
  <c r="R179" i="5"/>
  <c r="Q16" i="5"/>
  <c r="Q15" i="5"/>
  <c r="O22" i="5"/>
  <c r="O23" i="5"/>
  <c r="O21" i="5"/>
  <c r="Q24" i="5"/>
  <c r="Q25" i="5"/>
  <c r="R32" i="5"/>
  <c r="R31" i="5"/>
  <c r="Q44" i="5"/>
  <c r="Q42" i="5"/>
  <c r="Q43" i="5"/>
  <c r="Q41" i="5"/>
  <c r="Q77" i="5"/>
  <c r="Q78" i="5"/>
  <c r="Q76" i="5"/>
  <c r="Q93" i="5"/>
  <c r="Q92" i="5"/>
  <c r="V58" i="2"/>
  <c r="V62" i="2"/>
  <c r="V82" i="2"/>
  <c r="Q118" i="5"/>
  <c r="Q117" i="5"/>
  <c r="R130" i="5"/>
  <c r="R131" i="5"/>
  <c r="R136" i="5"/>
  <c r="R137" i="5"/>
  <c r="R190" i="5"/>
  <c r="R191" i="5"/>
  <c r="U36" i="1"/>
  <c r="O222" i="5"/>
  <c r="O221" i="5"/>
  <c r="Q238" i="5"/>
  <c r="Q237" i="5"/>
  <c r="R22" i="5"/>
  <c r="R23" i="5"/>
  <c r="R21" i="5"/>
  <c r="Q32" i="5"/>
  <c r="Q31" i="5"/>
  <c r="Q54" i="5"/>
  <c r="Q55" i="5"/>
  <c r="Q53" i="5"/>
  <c r="Q86" i="5"/>
  <c r="Q85" i="5"/>
  <c r="W62" i="2"/>
  <c r="O129" i="5"/>
  <c r="O128" i="5"/>
  <c r="Q130" i="5"/>
  <c r="Q131" i="5"/>
  <c r="O135" i="5"/>
  <c r="O134" i="5"/>
  <c r="O171" i="5"/>
  <c r="O170" i="5"/>
  <c r="O177" i="5"/>
  <c r="O178" i="5"/>
  <c r="Q213" i="5"/>
  <c r="Q214" i="5"/>
  <c r="Q14" i="5"/>
  <c r="Q12" i="5"/>
  <c r="Q13" i="5"/>
  <c r="O30" i="5"/>
  <c r="O28" i="5"/>
  <c r="O29" i="5"/>
  <c r="O27" i="5"/>
  <c r="O38" i="5"/>
  <c r="O37" i="5"/>
  <c r="R40" i="5"/>
  <c r="R39" i="5"/>
  <c r="R52" i="5"/>
  <c r="R50" i="5"/>
  <c r="R51" i="5"/>
  <c r="Q66" i="5"/>
  <c r="Q64" i="5"/>
  <c r="Q65" i="5"/>
  <c r="R74" i="5"/>
  <c r="R75" i="5"/>
  <c r="O91" i="5"/>
  <c r="O90" i="5"/>
  <c r="R124" i="5"/>
  <c r="R123" i="5"/>
  <c r="R128" i="5"/>
  <c r="R129" i="5"/>
  <c r="R160" i="5"/>
  <c r="R159" i="5"/>
  <c r="R170" i="5"/>
  <c r="R171" i="5"/>
  <c r="R212" i="5"/>
  <c r="R211" i="5"/>
  <c r="O36" i="5"/>
  <c r="O35" i="5"/>
  <c r="R38" i="5"/>
  <c r="R37" i="5"/>
  <c r="Q40" i="5"/>
  <c r="Q39" i="5"/>
  <c r="O48" i="5"/>
  <c r="O49" i="5"/>
  <c r="Q52" i="5"/>
  <c r="Q50" i="5"/>
  <c r="Q51" i="5"/>
  <c r="R62" i="5"/>
  <c r="R63" i="5"/>
  <c r="O72" i="5"/>
  <c r="O73" i="5"/>
  <c r="O71" i="5"/>
  <c r="Q74" i="5"/>
  <c r="Q75" i="5"/>
  <c r="O81" i="5"/>
  <c r="O82" i="5"/>
  <c r="R83" i="5"/>
  <c r="R84" i="5"/>
  <c r="R91" i="5"/>
  <c r="R90" i="5"/>
  <c r="R102" i="5"/>
  <c r="R101" i="5"/>
  <c r="O121" i="5"/>
  <c r="O122" i="5"/>
  <c r="O127" i="5"/>
  <c r="O125" i="5"/>
  <c r="O126" i="5"/>
  <c r="Q160" i="5"/>
  <c r="Q159" i="5"/>
  <c r="W137" i="2"/>
  <c r="V137" i="2"/>
  <c r="W146" i="2"/>
  <c r="V146" i="2"/>
  <c r="O209" i="5"/>
  <c r="O210" i="5"/>
  <c r="O32" i="5"/>
  <c r="O31" i="5"/>
  <c r="R34" i="5"/>
  <c r="R33" i="5"/>
  <c r="Q36" i="5"/>
  <c r="Q35" i="5"/>
  <c r="O52" i="5"/>
  <c r="O50" i="5"/>
  <c r="O51" i="5"/>
  <c r="R54" i="5"/>
  <c r="R55" i="5"/>
  <c r="R53" i="5"/>
  <c r="Q58" i="5"/>
  <c r="Q56" i="5"/>
  <c r="Q57" i="5"/>
  <c r="O74" i="5"/>
  <c r="O75" i="5"/>
  <c r="R76" i="5"/>
  <c r="R78" i="5"/>
  <c r="R77" i="5"/>
  <c r="Q80" i="5"/>
  <c r="Q79" i="5"/>
  <c r="R92" i="5"/>
  <c r="R93" i="5"/>
  <c r="R117" i="5"/>
  <c r="R118" i="5"/>
  <c r="Q120" i="5"/>
  <c r="Q119" i="5"/>
  <c r="O131" i="5"/>
  <c r="O130" i="5"/>
  <c r="R132" i="5"/>
  <c r="R133" i="5"/>
  <c r="O141" i="5"/>
  <c r="O142" i="5"/>
  <c r="R144" i="5"/>
  <c r="R143" i="5"/>
  <c r="R145" i="5"/>
  <c r="W112" i="2"/>
  <c r="Q152" i="5"/>
  <c r="Q153" i="5"/>
  <c r="O159" i="5"/>
  <c r="O160" i="5"/>
  <c r="R172" i="5"/>
  <c r="R173" i="5"/>
  <c r="Q174" i="5"/>
  <c r="Q175" i="5"/>
  <c r="W136" i="2"/>
  <c r="O183" i="5"/>
  <c r="O182" i="5"/>
  <c r="O191" i="5"/>
  <c r="O190" i="5"/>
  <c r="R192" i="5"/>
  <c r="R193" i="5"/>
  <c r="W152" i="2"/>
  <c r="Q201" i="5"/>
  <c r="Q203" i="5"/>
  <c r="Q202" i="5"/>
  <c r="O211" i="5"/>
  <c r="O212" i="5"/>
  <c r="R213" i="5"/>
  <c r="R214" i="5"/>
  <c r="O224" i="5"/>
  <c r="O223" i="5"/>
  <c r="Q227" i="5"/>
  <c r="Q226" i="5"/>
  <c r="R237" i="5"/>
  <c r="R238" i="5"/>
  <c r="O246" i="5"/>
  <c r="O247" i="5"/>
  <c r="Q249" i="5"/>
  <c r="Q250" i="5"/>
  <c r="W192" i="2"/>
  <c r="O258" i="5"/>
  <c r="O259" i="5"/>
  <c r="Q261" i="5"/>
  <c r="Q260" i="5"/>
  <c r="R279" i="5"/>
  <c r="R280" i="5"/>
  <c r="Q281" i="5"/>
  <c r="Q282" i="5"/>
  <c r="O301" i="5"/>
  <c r="O300" i="5"/>
  <c r="Q303" i="5"/>
  <c r="Q304" i="5"/>
  <c r="R313" i="5"/>
  <c r="R314" i="5"/>
  <c r="Q316" i="5"/>
  <c r="Q315" i="5"/>
  <c r="O325" i="5"/>
  <c r="O324" i="5"/>
  <c r="R337" i="5"/>
  <c r="R336" i="5"/>
  <c r="Q338" i="5"/>
  <c r="Q339" i="5"/>
  <c r="O348" i="5"/>
  <c r="O349" i="5"/>
  <c r="R351" i="5"/>
  <c r="R350" i="5"/>
  <c r="W264" i="2"/>
  <c r="W272" i="2"/>
  <c r="W280" i="2"/>
  <c r="W296" i="2"/>
  <c r="W312" i="2"/>
  <c r="W320" i="2"/>
  <c r="Q1640" i="3"/>
  <c r="Q58" i="3"/>
  <c r="Q71" i="3"/>
  <c r="Q97" i="3"/>
  <c r="Q2347" i="3"/>
  <c r="Q239" i="3"/>
  <c r="Q255" i="3"/>
  <c r="Q1685" i="3"/>
  <c r="Q1086" i="3"/>
  <c r="Q1896" i="3"/>
  <c r="R247" i="5"/>
  <c r="R246" i="5"/>
  <c r="O256" i="5"/>
  <c r="O257" i="5"/>
  <c r="R259" i="5"/>
  <c r="R258" i="5"/>
  <c r="Q279" i="5"/>
  <c r="Q280" i="5"/>
  <c r="R300" i="5"/>
  <c r="R301" i="5"/>
  <c r="Q314" i="5"/>
  <c r="Q313" i="5"/>
  <c r="R324" i="5"/>
  <c r="R325" i="5"/>
  <c r="Q336" i="5"/>
  <c r="Q337" i="5"/>
  <c r="R349" i="5"/>
  <c r="R348" i="5"/>
  <c r="Q351" i="5"/>
  <c r="Q350" i="5"/>
  <c r="Q1674" i="3"/>
  <c r="Q89" i="3"/>
  <c r="Q190" i="5"/>
  <c r="Q191" i="5"/>
  <c r="O199" i="5"/>
  <c r="O198" i="5"/>
  <c r="R210" i="5"/>
  <c r="R209" i="5"/>
  <c r="Q211" i="5"/>
  <c r="Q212" i="5"/>
  <c r="O220" i="5"/>
  <c r="O219" i="5"/>
  <c r="R222" i="5"/>
  <c r="R221" i="5"/>
  <c r="Q223" i="5"/>
  <c r="Q224" i="5"/>
  <c r="O232" i="5"/>
  <c r="O233" i="5"/>
  <c r="R235" i="5"/>
  <c r="R234" i="5"/>
  <c r="Q247" i="5"/>
  <c r="Q246" i="5"/>
  <c r="R257" i="5"/>
  <c r="R256" i="5"/>
  <c r="Q259" i="5"/>
  <c r="Q258" i="5"/>
  <c r="O288" i="5"/>
  <c r="O286" i="5"/>
  <c r="O287" i="5"/>
  <c r="O299" i="5"/>
  <c r="O298" i="5"/>
  <c r="Q301" i="5"/>
  <c r="Q300" i="5"/>
  <c r="O309" i="5"/>
  <c r="O310" i="5"/>
  <c r="Q325" i="5"/>
  <c r="Q324" i="5"/>
  <c r="O333" i="5"/>
  <c r="O334" i="5"/>
  <c r="O346" i="5"/>
  <c r="O345" i="5"/>
  <c r="Q349" i="5"/>
  <c r="Q348" i="5"/>
  <c r="R126" i="5"/>
  <c r="R127" i="5"/>
  <c r="R125" i="5"/>
  <c r="Q128" i="5"/>
  <c r="Q129" i="5"/>
  <c r="O139" i="5"/>
  <c r="O138" i="5"/>
  <c r="O167" i="5"/>
  <c r="O165" i="5"/>
  <c r="O166" i="5"/>
  <c r="R168" i="5"/>
  <c r="R169" i="5"/>
  <c r="Q170" i="5"/>
  <c r="Q171" i="5"/>
  <c r="R178" i="5"/>
  <c r="R177" i="5"/>
  <c r="Q180" i="5"/>
  <c r="Q181" i="5"/>
  <c r="Q179" i="5"/>
  <c r="O197" i="5"/>
  <c r="O196" i="5"/>
  <c r="R199" i="5"/>
  <c r="R198" i="5"/>
  <c r="Q210" i="5"/>
  <c r="Q209" i="5"/>
  <c r="R220" i="5"/>
  <c r="R219" i="5"/>
  <c r="Q222" i="5"/>
  <c r="Q221" i="5"/>
  <c r="R233" i="5"/>
  <c r="R232" i="5"/>
  <c r="Q235" i="5"/>
  <c r="Q234" i="5"/>
  <c r="O244" i="5"/>
  <c r="O243" i="5"/>
  <c r="O254" i="5"/>
  <c r="O253" i="5"/>
  <c r="Q257" i="5"/>
  <c r="Q256" i="5"/>
  <c r="O268" i="5"/>
  <c r="O266" i="5"/>
  <c r="O267" i="5"/>
  <c r="O276" i="5"/>
  <c r="O275" i="5"/>
  <c r="R287" i="5"/>
  <c r="R288" i="5"/>
  <c r="R286" i="5"/>
  <c r="O297" i="5"/>
  <c r="O296" i="5"/>
  <c r="R298" i="5"/>
  <c r="R299" i="5"/>
  <c r="O307" i="5"/>
  <c r="O308" i="5"/>
  <c r="R310" i="5"/>
  <c r="R309" i="5"/>
  <c r="O321" i="5"/>
  <c r="O322" i="5"/>
  <c r="O331" i="5"/>
  <c r="O332" i="5"/>
  <c r="R334" i="5"/>
  <c r="R333" i="5"/>
  <c r="R345" i="5"/>
  <c r="R346" i="5"/>
  <c r="O8" i="5"/>
  <c r="O9" i="5"/>
  <c r="Q11" i="5"/>
  <c r="Q10" i="5"/>
  <c r="R30" i="5"/>
  <c r="R28" i="5"/>
  <c r="R29" i="5"/>
  <c r="R27" i="5"/>
  <c r="O44" i="5"/>
  <c r="O42" i="5"/>
  <c r="O43" i="5"/>
  <c r="O41" i="5"/>
  <c r="R46" i="5"/>
  <c r="R47" i="5"/>
  <c r="R45" i="5"/>
  <c r="Q48" i="5"/>
  <c r="Q49" i="5"/>
  <c r="O66" i="5"/>
  <c r="O64" i="5"/>
  <c r="O65" i="5"/>
  <c r="R70" i="5"/>
  <c r="R68" i="5"/>
  <c r="R69" i="5"/>
  <c r="R67" i="5"/>
  <c r="Q72" i="5"/>
  <c r="Q73" i="5"/>
  <c r="Q71" i="5"/>
  <c r="O85" i="5"/>
  <c r="O86" i="5"/>
  <c r="R89" i="5"/>
  <c r="R88" i="5"/>
  <c r="R87" i="5"/>
  <c r="Q91" i="5"/>
  <c r="Q90" i="5"/>
  <c r="Q158" i="5"/>
  <c r="Q157" i="5"/>
  <c r="R9" i="5"/>
  <c r="R8" i="5"/>
  <c r="O24" i="5"/>
  <c r="O25" i="5"/>
  <c r="Q30" i="5"/>
  <c r="Q28" i="5"/>
  <c r="Q29" i="5"/>
  <c r="Q27" i="5"/>
  <c r="O40" i="5"/>
  <c r="O39" i="5"/>
  <c r="R44" i="5"/>
  <c r="R42" i="5"/>
  <c r="R43" i="5"/>
  <c r="R41" i="5"/>
  <c r="Q46" i="5"/>
  <c r="Q47" i="5"/>
  <c r="Q45" i="5"/>
  <c r="O62" i="5"/>
  <c r="O63" i="5"/>
  <c r="R66" i="5"/>
  <c r="R64" i="5"/>
  <c r="R65" i="5"/>
  <c r="Q70" i="5"/>
  <c r="Q68" i="5"/>
  <c r="Q69" i="5"/>
  <c r="Q67" i="5"/>
  <c r="O83" i="5"/>
  <c r="O84" i="5"/>
  <c r="R86" i="5"/>
  <c r="R85" i="5"/>
  <c r="Q88" i="5"/>
  <c r="Q89" i="5"/>
  <c r="Q87" i="5"/>
  <c r="O101" i="5"/>
  <c r="O102" i="5"/>
  <c r="O123" i="5"/>
  <c r="O124" i="5"/>
  <c r="Q126" i="5"/>
  <c r="Q125" i="5"/>
  <c r="Q127" i="5"/>
  <c r="O137" i="5"/>
  <c r="O136" i="5"/>
  <c r="R138" i="5"/>
  <c r="R139" i="5"/>
  <c r="O163" i="5"/>
  <c r="O164" i="5"/>
  <c r="O162" i="5"/>
  <c r="R166" i="5"/>
  <c r="R167" i="5"/>
  <c r="R165" i="5"/>
  <c r="Q168" i="5"/>
  <c r="Q169" i="5"/>
  <c r="Q178" i="5"/>
  <c r="Q177" i="5"/>
  <c r="O187" i="5"/>
  <c r="O188" i="5"/>
  <c r="R196" i="5"/>
  <c r="R197" i="5"/>
  <c r="Q199" i="5"/>
  <c r="Q198" i="5"/>
  <c r="O206" i="5"/>
  <c r="O207" i="5"/>
  <c r="O216" i="5"/>
  <c r="O217" i="5"/>
  <c r="Q220" i="5"/>
  <c r="Q219" i="5"/>
  <c r="O230" i="5"/>
  <c r="O231" i="5"/>
  <c r="Q233" i="5"/>
  <c r="Q232" i="5"/>
  <c r="O242" i="5"/>
  <c r="O240" i="5"/>
  <c r="O241" i="5"/>
  <c r="R243" i="5"/>
  <c r="R244" i="5"/>
  <c r="R253" i="5"/>
  <c r="R254" i="5"/>
  <c r="O264" i="5"/>
  <c r="O265" i="5"/>
  <c r="R267" i="5"/>
  <c r="R268" i="5"/>
  <c r="R266" i="5"/>
  <c r="O274" i="5"/>
  <c r="O273" i="5"/>
  <c r="R275" i="5"/>
  <c r="R276" i="5"/>
  <c r="Q287" i="5"/>
  <c r="Q288" i="5"/>
  <c r="Q286" i="5"/>
  <c r="O295" i="5"/>
  <c r="O293" i="5"/>
  <c r="O294" i="5"/>
  <c r="R297" i="5"/>
  <c r="R296" i="5"/>
  <c r="Q298" i="5"/>
  <c r="Q299" i="5"/>
  <c r="O305" i="5"/>
  <c r="O306" i="5"/>
  <c r="R308" i="5"/>
  <c r="R307" i="5"/>
  <c r="Q309" i="5"/>
  <c r="Q310" i="5"/>
  <c r="O319" i="5"/>
  <c r="O320" i="5"/>
  <c r="O318" i="5"/>
  <c r="R321" i="5"/>
  <c r="R322" i="5"/>
  <c r="O329" i="5"/>
  <c r="O330" i="5"/>
  <c r="R332" i="5"/>
  <c r="R331" i="5"/>
  <c r="Q333" i="5"/>
  <c r="Q334" i="5"/>
  <c r="O343" i="5"/>
  <c r="O342" i="5"/>
  <c r="Q345" i="5"/>
  <c r="Q346" i="5"/>
  <c r="Q1509" i="3"/>
  <c r="Q509" i="3"/>
  <c r="Q723" i="3"/>
  <c r="Q90" i="3"/>
  <c r="Q268" i="3"/>
  <c r="Q241" i="3"/>
  <c r="Q265" i="3"/>
  <c r="Q630" i="3"/>
  <c r="Q564" i="3"/>
  <c r="Q1905" i="3"/>
  <c r="R164" i="5"/>
  <c r="R162" i="5"/>
  <c r="R163" i="5"/>
  <c r="Q166" i="5"/>
  <c r="Q165" i="5"/>
  <c r="Q167" i="5"/>
  <c r="O185" i="5"/>
  <c r="O186" i="5"/>
  <c r="R188" i="5"/>
  <c r="R187" i="5"/>
  <c r="Q197" i="5"/>
  <c r="Q196" i="5"/>
  <c r="O204" i="5"/>
  <c r="O205" i="5"/>
  <c r="R206" i="5"/>
  <c r="R207" i="5"/>
  <c r="R217" i="5"/>
  <c r="R216" i="5"/>
  <c r="O228" i="5"/>
  <c r="O229" i="5"/>
  <c r="R230" i="5"/>
  <c r="R231" i="5"/>
  <c r="R241" i="5"/>
  <c r="R242" i="5"/>
  <c r="R240" i="5"/>
  <c r="Q243" i="5"/>
  <c r="Q244" i="5"/>
  <c r="O252" i="5"/>
  <c r="O251" i="5"/>
  <c r="Q253" i="5"/>
  <c r="Q254" i="5"/>
  <c r="O262" i="5"/>
  <c r="O263" i="5"/>
  <c r="R265" i="5"/>
  <c r="R264" i="5"/>
  <c r="Q267" i="5"/>
  <c r="Q268" i="5"/>
  <c r="Q266" i="5"/>
  <c r="V202" i="2"/>
  <c r="R273" i="5"/>
  <c r="R274" i="5"/>
  <c r="Q275" i="5"/>
  <c r="Q276" i="5"/>
  <c r="O284" i="5"/>
  <c r="O283" i="5"/>
  <c r="O291" i="5"/>
  <c r="O292" i="5"/>
  <c r="R295" i="5"/>
  <c r="R294" i="5"/>
  <c r="R293" i="5"/>
  <c r="Q296" i="5"/>
  <c r="Q297" i="5"/>
  <c r="R305" i="5"/>
  <c r="R306" i="5"/>
  <c r="Q308" i="5"/>
  <c r="Q307" i="5"/>
  <c r="R319" i="5"/>
  <c r="R318" i="5"/>
  <c r="R320" i="5"/>
  <c r="Q322" i="5"/>
  <c r="Q321" i="5"/>
  <c r="V242" i="2"/>
  <c r="O327" i="5"/>
  <c r="O328" i="5"/>
  <c r="R329" i="5"/>
  <c r="R330" i="5"/>
  <c r="Q332" i="5"/>
  <c r="Q331" i="5"/>
  <c r="O341" i="5"/>
  <c r="O340" i="5"/>
  <c r="R343" i="5"/>
  <c r="R342" i="5"/>
  <c r="V266" i="2"/>
  <c r="V282" i="2"/>
  <c r="V290" i="2"/>
  <c r="V306" i="2"/>
  <c r="Q1511" i="3"/>
  <c r="Q2505" i="3"/>
  <c r="R60" i="5"/>
  <c r="R61" i="5"/>
  <c r="R59" i="5"/>
  <c r="Q62" i="5"/>
  <c r="Q63" i="5"/>
  <c r="O79" i="5"/>
  <c r="O80" i="5"/>
  <c r="R81" i="5"/>
  <c r="R82" i="5"/>
  <c r="Q83" i="5"/>
  <c r="Q84" i="5"/>
  <c r="R99" i="5"/>
  <c r="R100" i="5"/>
  <c r="Q102" i="5"/>
  <c r="Q101" i="5"/>
  <c r="R134" i="5"/>
  <c r="R135" i="5"/>
  <c r="Q136" i="5"/>
  <c r="Q137" i="5"/>
  <c r="O153" i="5"/>
  <c r="O152" i="5"/>
  <c r="Q164" i="5"/>
  <c r="Q162" i="5"/>
  <c r="Q163" i="5"/>
  <c r="O175" i="5"/>
  <c r="O174" i="5"/>
  <c r="R186" i="5"/>
  <c r="R185" i="5"/>
  <c r="Q188" i="5"/>
  <c r="Q187" i="5"/>
  <c r="V145" i="2"/>
  <c r="O202" i="5"/>
  <c r="O203" i="5"/>
  <c r="O201" i="5"/>
  <c r="R205" i="5"/>
  <c r="R204" i="5"/>
  <c r="Q206" i="5"/>
  <c r="Q207" i="5"/>
  <c r="Q217" i="5"/>
  <c r="Q216" i="5"/>
  <c r="O226" i="5"/>
  <c r="O227" i="5"/>
  <c r="R228" i="5"/>
  <c r="R229" i="5"/>
  <c r="Q230" i="5"/>
  <c r="Q231" i="5"/>
  <c r="V177" i="2"/>
  <c r="Q242" i="5"/>
  <c r="Q240" i="5"/>
  <c r="Q241" i="5"/>
  <c r="O250" i="5"/>
  <c r="O249" i="5"/>
  <c r="R251" i="5"/>
  <c r="R252" i="5"/>
  <c r="O260" i="5"/>
  <c r="O261" i="5"/>
  <c r="R263" i="5"/>
  <c r="R262" i="5"/>
  <c r="Q265" i="5"/>
  <c r="Q264" i="5"/>
  <c r="Q273" i="5"/>
  <c r="Q274" i="5"/>
  <c r="V209" i="2"/>
  <c r="O282" i="5"/>
  <c r="O281" i="5"/>
  <c r="R283" i="5"/>
  <c r="R284" i="5"/>
  <c r="V217" i="2"/>
  <c r="R292" i="5"/>
  <c r="R291" i="5"/>
  <c r="Q293" i="5"/>
  <c r="Q295" i="5"/>
  <c r="Q294" i="5"/>
  <c r="O303" i="5"/>
  <c r="O304" i="5"/>
  <c r="Q306" i="5"/>
  <c r="Q305" i="5"/>
  <c r="O315" i="5"/>
  <c r="O316" i="5"/>
  <c r="Q319" i="5"/>
  <c r="Q320" i="5"/>
  <c r="Q318" i="5"/>
  <c r="R327" i="5"/>
  <c r="R328" i="5"/>
  <c r="Q330" i="5"/>
  <c r="Q329" i="5"/>
  <c r="O339" i="5"/>
  <c r="O338" i="5"/>
  <c r="R340" i="5"/>
  <c r="R341" i="5"/>
  <c r="Q343" i="5"/>
  <c r="Q342" i="5"/>
  <c r="V265" i="2"/>
  <c r="V281" i="2"/>
  <c r="V297" i="2"/>
  <c r="V305" i="2"/>
  <c r="W321" i="2"/>
  <c r="O119" i="5"/>
  <c r="O120" i="5"/>
  <c r="R122" i="5"/>
  <c r="R121" i="5"/>
  <c r="Q124" i="5"/>
  <c r="Q123" i="5"/>
  <c r="O14" i="5"/>
  <c r="O12" i="5"/>
  <c r="O13" i="5"/>
  <c r="R16" i="5"/>
  <c r="R15" i="5"/>
  <c r="Q22" i="5"/>
  <c r="Q23" i="5"/>
  <c r="Q21" i="5"/>
  <c r="O34" i="5"/>
  <c r="O33" i="5"/>
  <c r="R36" i="5"/>
  <c r="R35" i="5"/>
  <c r="Q38" i="5"/>
  <c r="Q37" i="5"/>
  <c r="O54" i="5"/>
  <c r="O55" i="5"/>
  <c r="O53" i="5"/>
  <c r="R58" i="5"/>
  <c r="R56" i="5"/>
  <c r="R57" i="5"/>
  <c r="Q60" i="5"/>
  <c r="Q61" i="5"/>
  <c r="Q59" i="5"/>
  <c r="O77" i="5"/>
  <c r="O76" i="5"/>
  <c r="O78" i="5"/>
  <c r="R80" i="5"/>
  <c r="R79" i="5"/>
  <c r="Q82" i="5"/>
  <c r="Q81" i="5"/>
  <c r="O93" i="5"/>
  <c r="O92" i="5"/>
  <c r="Q99" i="5"/>
  <c r="Q100" i="5"/>
  <c r="O117" i="5"/>
  <c r="O118" i="5"/>
  <c r="R119" i="5"/>
  <c r="R120" i="5"/>
  <c r="Q122" i="5"/>
  <c r="Q121" i="5"/>
  <c r="O133" i="5"/>
  <c r="O132" i="5"/>
  <c r="Q134" i="5"/>
  <c r="Q135" i="5"/>
  <c r="O145" i="5"/>
  <c r="O143" i="5"/>
  <c r="O144" i="5"/>
  <c r="R152" i="5"/>
  <c r="R153" i="5"/>
  <c r="O173" i="5"/>
  <c r="O172" i="5"/>
  <c r="R174" i="5"/>
  <c r="R175" i="5"/>
  <c r="Q186" i="5"/>
  <c r="Q185" i="5"/>
  <c r="O193" i="5"/>
  <c r="O192" i="5"/>
  <c r="R201" i="5"/>
  <c r="R203" i="5"/>
  <c r="R202" i="5"/>
  <c r="Q204" i="5"/>
  <c r="Q205" i="5"/>
  <c r="O213" i="5"/>
  <c r="O214" i="5"/>
  <c r="R227" i="5"/>
  <c r="R226" i="5"/>
  <c r="Q228" i="5"/>
  <c r="Q229" i="5"/>
  <c r="O238" i="5"/>
  <c r="O237" i="5"/>
  <c r="R249" i="5"/>
  <c r="R250" i="5"/>
  <c r="Q251" i="5"/>
  <c r="Q252" i="5"/>
  <c r="R261" i="5"/>
  <c r="R260" i="5"/>
  <c r="Q263" i="5"/>
  <c r="Q262" i="5"/>
  <c r="O280" i="5"/>
  <c r="O279" i="5"/>
  <c r="R281" i="5"/>
  <c r="R282" i="5"/>
  <c r="Q283" i="5"/>
  <c r="Q284" i="5"/>
  <c r="Q292" i="5"/>
  <c r="Q291" i="5"/>
  <c r="R303" i="5"/>
  <c r="R304" i="5"/>
  <c r="O313" i="5"/>
  <c r="O314" i="5"/>
  <c r="R316" i="5"/>
  <c r="R315" i="5"/>
  <c r="Q327" i="5"/>
  <c r="Q328" i="5"/>
  <c r="O337" i="5"/>
  <c r="O336" i="5"/>
  <c r="R338" i="5"/>
  <c r="R339" i="5"/>
  <c r="Q341" i="5"/>
  <c r="Q340" i="5"/>
  <c r="O350" i="5"/>
  <c r="O351" i="5"/>
  <c r="Q1932" i="3"/>
  <c r="Q367" i="3"/>
  <c r="Q471" i="3"/>
  <c r="Q982" i="3"/>
  <c r="Q463" i="3"/>
  <c r="Q233" i="3"/>
  <c r="Q354" i="3"/>
  <c r="Q1164" i="3"/>
  <c r="Q39" i="3"/>
  <c r="Q983" i="3"/>
  <c r="Q1218" i="3"/>
  <c r="Q1353" i="3"/>
  <c r="Q1730" i="3"/>
  <c r="Q2064" i="3"/>
  <c r="Q1944" i="3"/>
  <c r="Q1854" i="3"/>
  <c r="Q2070" i="3"/>
  <c r="Q620" i="3"/>
  <c r="Q527" i="3"/>
  <c r="Q1352" i="3"/>
  <c r="Q1061" i="3"/>
  <c r="Q2528" i="3"/>
  <c r="Q1321" i="3"/>
  <c r="Q2508" i="3"/>
  <c r="Q2447" i="3"/>
  <c r="Q2043" i="3"/>
  <c r="Q2048" i="3"/>
  <c r="Q2441" i="3"/>
  <c r="Q1200" i="3"/>
  <c r="Q1915" i="3"/>
  <c r="Q1073" i="3"/>
  <c r="Q2037" i="3"/>
  <c r="Q1921" i="3"/>
  <c r="Q1559" i="3"/>
  <c r="T27" i="5"/>
  <c r="T43" i="5"/>
  <c r="T59" i="5"/>
  <c r="T90" i="5"/>
  <c r="S94" i="5"/>
  <c r="T94" i="5"/>
  <c r="W54" i="2" s="1"/>
  <c r="T7" i="5"/>
  <c r="W8" i="2" s="1"/>
  <c r="T13" i="5"/>
  <c r="T29" i="5"/>
  <c r="T45" i="5"/>
  <c r="W34" i="2" s="1"/>
  <c r="T61" i="5"/>
  <c r="S341" i="5"/>
  <c r="T341" i="5"/>
  <c r="S250" i="5"/>
  <c r="T250" i="5"/>
  <c r="V190" i="2" s="1"/>
  <c r="T75" i="5"/>
  <c r="S75" i="5"/>
  <c r="S76" i="5"/>
  <c r="T76" i="5"/>
  <c r="S78" i="5"/>
  <c r="T78" i="5"/>
  <c r="S282" i="5"/>
  <c r="T282" i="5"/>
  <c r="T8" i="5"/>
  <c r="T264" i="5"/>
  <c r="S264" i="5"/>
  <c r="T9" i="5"/>
  <c r="T23" i="5"/>
  <c r="T39" i="5"/>
  <c r="T55" i="5"/>
  <c r="T71" i="5"/>
  <c r="S92" i="5"/>
  <c r="T92" i="5"/>
  <c r="T248" i="5"/>
  <c r="V189" i="2" s="1"/>
  <c r="S248" i="5"/>
  <c r="T83" i="5"/>
  <c r="T99" i="5"/>
  <c r="T244" i="5"/>
  <c r="S258" i="5"/>
  <c r="T258" i="5"/>
  <c r="S338" i="5"/>
  <c r="T338" i="5"/>
  <c r="T77" i="5"/>
  <c r="T84" i="5"/>
  <c r="T93" i="5"/>
  <c r="T100" i="5"/>
  <c r="T199" i="5"/>
  <c r="W154" i="2" s="1"/>
  <c r="T256" i="5"/>
  <c r="S256" i="5"/>
  <c r="T87" i="5"/>
  <c r="T103" i="5"/>
  <c r="W65" i="2" s="1"/>
  <c r="T123" i="5"/>
  <c r="T213" i="5"/>
  <c r="V165" i="2" s="1"/>
  <c r="T239" i="5"/>
  <c r="S266" i="5"/>
  <c r="T266" i="5"/>
  <c r="T91" i="5"/>
  <c r="T215" i="5"/>
  <c r="S218" i="5"/>
  <c r="T222" i="5"/>
  <c r="T236" i="5"/>
  <c r="V180" i="2" s="1"/>
  <c r="T243" i="5"/>
  <c r="V185" i="2" s="1"/>
  <c r="S274" i="5"/>
  <c r="T274" i="5"/>
  <c r="T85" i="5"/>
  <c r="T101" i="5"/>
  <c r="W64" i="2" s="1"/>
  <c r="T228" i="5"/>
  <c r="T233" i="5"/>
  <c r="W178" i="2" s="1"/>
  <c r="T272" i="5"/>
  <c r="S272" i="5"/>
  <c r="T106" i="5"/>
  <c r="V74" i="2" s="1"/>
  <c r="T108" i="5"/>
  <c r="V78" i="2" s="1"/>
  <c r="T110" i="5"/>
  <c r="W80" i="2" s="1"/>
  <c r="T112" i="5"/>
  <c r="V84" i="2" s="1"/>
  <c r="T114" i="5"/>
  <c r="W88" i="2" s="1"/>
  <c r="T116" i="5"/>
  <c r="V90" i="2" s="1"/>
  <c r="T118" i="5"/>
  <c r="T120" i="5"/>
  <c r="W94" i="2" s="1"/>
  <c r="T122" i="5"/>
  <c r="T124" i="5"/>
  <c r="T126" i="5"/>
  <c r="T128" i="5"/>
  <c r="W99" i="2" s="1"/>
  <c r="T130" i="5"/>
  <c r="T132" i="5"/>
  <c r="T134" i="5"/>
  <c r="T136" i="5"/>
  <c r="T138" i="5"/>
  <c r="T140" i="5"/>
  <c r="V106" i="2" s="1"/>
  <c r="T142" i="5"/>
  <c r="T144" i="5"/>
  <c r="T146" i="5"/>
  <c r="T148" i="5"/>
  <c r="V113" i="2" s="1"/>
  <c r="T150" i="5"/>
  <c r="W115" i="2" s="1"/>
  <c r="T152" i="5"/>
  <c r="T154" i="5"/>
  <c r="T156" i="5"/>
  <c r="V121" i="2" s="1"/>
  <c r="T158" i="5"/>
  <c r="T160" i="5"/>
  <c r="T162" i="5"/>
  <c r="T164" i="5"/>
  <c r="T166" i="5"/>
  <c r="T168" i="5"/>
  <c r="T170" i="5"/>
  <c r="W131" i="2" s="1"/>
  <c r="T172" i="5"/>
  <c r="T174" i="5"/>
  <c r="T176" i="5"/>
  <c r="T178" i="5"/>
  <c r="T180" i="5"/>
  <c r="T182" i="5"/>
  <c r="V140" i="2" s="1"/>
  <c r="T184" i="5"/>
  <c r="V141" i="2" s="1"/>
  <c r="T186" i="5"/>
  <c r="T188" i="5"/>
  <c r="W144" i="2" s="1"/>
  <c r="T190" i="5"/>
  <c r="T192" i="5"/>
  <c r="T201" i="5"/>
  <c r="T208" i="5"/>
  <c r="V161" i="2" s="1"/>
  <c r="T217" i="5"/>
  <c r="V168" i="2" s="1"/>
  <c r="T247" i="5"/>
  <c r="V188" i="2" s="1"/>
  <c r="T293" i="5"/>
  <c r="T319" i="5"/>
  <c r="S322" i="5"/>
  <c r="T322" i="5"/>
  <c r="W241" i="2" s="1"/>
  <c r="T345" i="5"/>
  <c r="S330" i="5"/>
  <c r="T330" i="5"/>
  <c r="W248" i="2" s="1"/>
  <c r="S290" i="5"/>
  <c r="T290" i="5"/>
  <c r="V220" i="2" s="1"/>
  <c r="T237" i="5"/>
  <c r="S242" i="5"/>
  <c r="T245" i="5"/>
  <c r="W186" i="2" s="1"/>
  <c r="S280" i="5"/>
  <c r="S288" i="5"/>
  <c r="T295" i="5"/>
  <c r="S298" i="5"/>
  <c r="T298" i="5"/>
  <c r="V226" i="2" s="1"/>
  <c r="T333" i="5"/>
  <c r="T205" i="5"/>
  <c r="S222" i="5"/>
  <c r="S230" i="5"/>
  <c r="S306" i="5"/>
  <c r="T306" i="5"/>
  <c r="V232" i="2" s="1"/>
  <c r="T351" i="5"/>
  <c r="T203" i="5"/>
  <c r="T219" i="5"/>
  <c r="T227" i="5"/>
  <c r="T235" i="5"/>
  <c r="W179" i="2" s="1"/>
  <c r="T311" i="5"/>
  <c r="W235" i="2" s="1"/>
  <c r="S314" i="5"/>
  <c r="T314" i="5"/>
  <c r="T327" i="5"/>
  <c r="T335" i="5"/>
  <c r="W251" i="2" s="1"/>
  <c r="T343" i="5"/>
  <c r="V256" i="2" s="1"/>
  <c r="T349" i="5"/>
  <c r="T356" i="5"/>
  <c r="T344" i="5"/>
  <c r="W257" i="2" s="1"/>
  <c r="T350" i="5"/>
  <c r="T357" i="5"/>
  <c r="T360" i="5"/>
  <c r="W288" i="2" s="1"/>
  <c r="T346" i="5"/>
  <c r="T353" i="5"/>
  <c r="V269" i="2" s="1"/>
  <c r="T294" i="5"/>
  <c r="T302" i="5"/>
  <c r="V229" i="2" s="1"/>
  <c r="T310" i="5"/>
  <c r="W234" i="2" s="1"/>
  <c r="T318" i="5"/>
  <c r="T326" i="5"/>
  <c r="V245" i="2" s="1"/>
  <c r="T334" i="5"/>
  <c r="T347" i="5"/>
  <c r="W259" i="2" s="1"/>
  <c r="T292" i="5"/>
  <c r="T300" i="5"/>
  <c r="V228" i="2" s="1"/>
  <c r="T308" i="5"/>
  <c r="W233" i="2" s="1"/>
  <c r="T316" i="5"/>
  <c r="T324" i="5"/>
  <c r="T332" i="5"/>
  <c r="W249" i="2" s="1"/>
  <c r="T340" i="5"/>
  <c r="T348" i="5"/>
  <c r="S342" i="5"/>
  <c r="S344" i="5"/>
  <c r="S346" i="5"/>
  <c r="S348" i="5"/>
  <c r="S350" i="5"/>
  <c r="S352" i="5"/>
  <c r="S354" i="5"/>
  <c r="S356" i="5"/>
  <c r="S358" i="5"/>
  <c r="S360" i="5"/>
  <c r="S362" i="5"/>
  <c r="S364" i="5"/>
  <c r="S366" i="5"/>
  <c r="S368" i="5"/>
  <c r="S370" i="5"/>
  <c r="S372" i="5"/>
  <c r="S343" i="5"/>
  <c r="S349" i="5"/>
  <c r="S351" i="5"/>
  <c r="S355" i="5"/>
  <c r="S359" i="5"/>
  <c r="S361" i="5"/>
  <c r="V93" i="2" l="1"/>
  <c r="W193" i="2"/>
  <c r="V169" i="2"/>
  <c r="V164" i="2"/>
  <c r="V237" i="2"/>
  <c r="V133" i="2"/>
  <c r="W160" i="2"/>
  <c r="V213" i="2"/>
  <c r="W38" i="2"/>
  <c r="V100" i="2"/>
  <c r="V274" i="2"/>
  <c r="V225" i="2"/>
  <c r="V11" i="2"/>
  <c r="V148" i="2"/>
  <c r="W123" i="2"/>
  <c r="V108" i="2"/>
  <c r="W98" i="2"/>
  <c r="W170" i="2"/>
  <c r="W24" i="2"/>
  <c r="V104" i="2"/>
  <c r="W129" i="2"/>
  <c r="W32" i="2"/>
  <c r="V193" i="2"/>
  <c r="W171" i="2"/>
  <c r="V219" i="2"/>
  <c r="V149" i="2"/>
  <c r="V289" i="2"/>
  <c r="V244" i="2"/>
  <c r="V124" i="2"/>
  <c r="V109" i="2"/>
  <c r="W184" i="2"/>
  <c r="W49" i="2"/>
  <c r="V313" i="2"/>
  <c r="W304" i="2"/>
  <c r="W41" i="2"/>
  <c r="V153" i="2"/>
  <c r="V314" i="2"/>
  <c r="V181" i="2"/>
  <c r="W208" i="2"/>
  <c r="V201" i="2"/>
  <c r="W195" i="2"/>
  <c r="W130" i="2"/>
  <c r="V210" i="2"/>
  <c r="W29" i="2"/>
  <c r="V101" i="2"/>
  <c r="W138" i="2"/>
  <c r="W50" i="2"/>
  <c r="V196" i="2"/>
  <c r="V44" i="2"/>
  <c r="V13" i="2"/>
  <c r="V253" i="2"/>
  <c r="W309" i="2"/>
  <c r="W105" i="2"/>
  <c r="W43" i="2"/>
  <c r="V211" i="2"/>
  <c r="V25" i="2"/>
  <c r="W46" i="2"/>
  <c r="W35" i="2"/>
  <c r="W139" i="2"/>
  <c r="V273" i="2"/>
  <c r="W120" i="2"/>
  <c r="V73" i="2"/>
  <c r="V30" i="2"/>
  <c r="W163" i="2"/>
  <c r="V33" i="2"/>
  <c r="W42" i="2"/>
  <c r="W218" i="2"/>
  <c r="W153" i="2"/>
  <c r="V53" i="2"/>
  <c r="W200" i="2"/>
  <c r="V29" i="2"/>
  <c r="V176" i="2"/>
  <c r="W151" i="2"/>
  <c r="V151" i="2"/>
  <c r="W293" i="2"/>
  <c r="W253" i="2"/>
  <c r="V37" i="2"/>
  <c r="V298" i="2"/>
  <c r="V218" i="2"/>
  <c r="V194" i="2"/>
  <c r="V38" i="2"/>
  <c r="W15" i="2"/>
  <c r="V15" i="2"/>
  <c r="W204" i="2"/>
  <c r="V155" i="2"/>
  <c r="V19" i="2"/>
  <c r="W176" i="2"/>
  <c r="W11" i="2"/>
  <c r="W239" i="2"/>
  <c r="V239" i="2"/>
  <c r="V283" i="2"/>
  <c r="V184" i="2"/>
  <c r="W150" i="2"/>
  <c r="V150" i="2"/>
  <c r="W308" i="2"/>
  <c r="V59" i="2"/>
  <c r="V111" i="2"/>
  <c r="W111" i="2"/>
  <c r="V243" i="2"/>
  <c r="V240" i="2"/>
  <c r="V42" i="2"/>
  <c r="W36" i="2"/>
  <c r="W225" i="2"/>
  <c r="W79" i="2"/>
  <c r="V79" i="2"/>
  <c r="W164" i="2"/>
  <c r="V319" i="2"/>
  <c r="W319" i="2"/>
  <c r="W125" i="2"/>
  <c r="V163" i="2"/>
  <c r="V250" i="2"/>
  <c r="V9" i="2"/>
  <c r="W201" i="2"/>
  <c r="W90" i="2"/>
  <c r="V41" i="2"/>
  <c r="W294" i="2"/>
  <c r="V294" i="2"/>
  <c r="V47" i="2"/>
  <c r="W47" i="2"/>
  <c r="W18" i="2"/>
  <c r="V18" i="2"/>
  <c r="W268" i="2"/>
  <c r="V224" i="2"/>
  <c r="V241" i="2"/>
  <c r="W216" i="2"/>
  <c r="V105" i="2"/>
  <c r="V154" i="2"/>
  <c r="W230" i="2"/>
  <c r="V230" i="2"/>
  <c r="V172" i="2"/>
  <c r="W14" i="2"/>
  <c r="V14" i="2"/>
  <c r="W205" i="2"/>
  <c r="W172" i="2"/>
  <c r="V75" i="2"/>
  <c r="W85" i="2"/>
  <c r="W244" i="2"/>
  <c r="V171" i="2"/>
  <c r="V83" i="2"/>
  <c r="W198" i="2"/>
  <c r="W30" i="2"/>
  <c r="V46" i="2"/>
  <c r="V235" i="2"/>
  <c r="W303" i="2"/>
  <c r="V303" i="2"/>
  <c r="W318" i="2"/>
  <c r="V318" i="2"/>
  <c r="W191" i="2"/>
  <c r="V191" i="2"/>
  <c r="W55" i="2"/>
  <c r="V55" i="2"/>
  <c r="W116" i="2"/>
  <c r="W20" i="2"/>
  <c r="V96" i="2"/>
  <c r="W213" i="2"/>
  <c r="W28" i="2"/>
  <c r="V24" i="2"/>
  <c r="W173" i="2"/>
  <c r="W258" i="2"/>
  <c r="W128" i="2"/>
  <c r="V144" i="2"/>
  <c r="V299" i="2"/>
  <c r="V40" i="2"/>
  <c r="V35" i="2"/>
  <c r="V257" i="2"/>
  <c r="W199" i="2"/>
  <c r="V199" i="2"/>
  <c r="V36" i="2"/>
  <c r="V31" i="2"/>
  <c r="W31" i="2"/>
  <c r="W284" i="2"/>
  <c r="W114" i="2"/>
  <c r="V26" i="2"/>
  <c r="C10" i="7"/>
  <c r="W168" i="2"/>
  <c r="V208" i="2"/>
  <c r="W215" i="2"/>
  <c r="V215" i="2"/>
  <c r="W236" i="2"/>
  <c r="V203" i="2"/>
  <c r="W60" i="2"/>
  <c r="V118" i="2"/>
  <c r="W118" i="2"/>
  <c r="W174" i="2"/>
  <c r="V174" i="2"/>
  <c r="V159" i="2"/>
  <c r="W159" i="2"/>
  <c r="W134" i="2"/>
  <c r="V134" i="2"/>
  <c r="V260" i="2"/>
  <c r="V143" i="2"/>
  <c r="W143" i="2"/>
  <c r="V119" i="2"/>
  <c r="W119" i="2"/>
  <c r="V95" i="2"/>
  <c r="W95" i="2"/>
  <c r="W214" i="2"/>
  <c r="V214" i="2"/>
  <c r="V234" i="2"/>
  <c r="W224" i="2"/>
  <c r="W96" i="2"/>
  <c r="V123" i="2"/>
  <c r="W113" i="2"/>
  <c r="W250" i="2"/>
  <c r="W121" i="2"/>
  <c r="V88" i="2"/>
  <c r="V259" i="2"/>
  <c r="W161" i="2"/>
  <c r="V131" i="2"/>
  <c r="V8" i="2"/>
  <c r="W13" i="2"/>
  <c r="W229" i="2"/>
  <c r="W188" i="2"/>
  <c r="V98" i="2"/>
  <c r="W255" i="2"/>
  <c r="V255" i="2"/>
  <c r="W247" i="2"/>
  <c r="V247" i="2"/>
  <c r="W109" i="2"/>
  <c r="V64" i="2"/>
  <c r="W124" i="2"/>
  <c r="V248" i="2"/>
  <c r="W226" i="2"/>
  <c r="W165" i="2"/>
  <c r="V288" i="2"/>
  <c r="W93" i="2"/>
  <c r="W185" i="2"/>
  <c r="W74" i="2"/>
  <c r="V50" i="2"/>
  <c r="V183" i="2"/>
  <c r="W183" i="2"/>
  <c r="V103" i="2"/>
  <c r="W103" i="2"/>
  <c r="W140" i="2"/>
  <c r="W106" i="2"/>
  <c r="V200" i="2"/>
  <c r="V129" i="2"/>
  <c r="V65" i="2"/>
  <c r="W260" i="2"/>
  <c r="V139" i="2"/>
  <c r="W206" i="2"/>
  <c r="V206" i="2"/>
  <c r="V63" i="2"/>
  <c r="W63" i="2"/>
  <c r="V261" i="2"/>
  <c r="W48" i="2"/>
  <c r="V23" i="2"/>
  <c r="W23" i="2"/>
  <c r="W51" i="2"/>
  <c r="W232" i="2"/>
  <c r="W104" i="2"/>
  <c r="V179" i="2"/>
  <c r="W133" i="2"/>
  <c r="W101" i="2"/>
  <c r="V43" i="2"/>
  <c r="V51" i="2"/>
  <c r="W84" i="2"/>
  <c r="W141" i="2"/>
  <c r="W9" i="2"/>
  <c r="W196" i="2"/>
  <c r="W220" i="2"/>
  <c r="W53" i="2"/>
  <c r="W78" i="2"/>
  <c r="W279" i="2"/>
  <c r="V279" i="2"/>
  <c r="V186" i="2"/>
  <c r="W238" i="2"/>
  <c r="V238" i="2"/>
  <c r="W158" i="2"/>
  <c r="V158" i="2"/>
  <c r="V110" i="2"/>
  <c r="W110" i="2"/>
  <c r="V175" i="2"/>
  <c r="W175" i="2"/>
  <c r="V45" i="2"/>
  <c r="V39" i="2"/>
  <c r="W39" i="2"/>
  <c r="V249" i="2"/>
  <c r="V130" i="2"/>
  <c r="W228" i="2"/>
  <c r="W180" i="2"/>
  <c r="W190" i="2"/>
  <c r="W148" i="2"/>
  <c r="V49" i="2"/>
  <c r="W181" i="2"/>
  <c r="W45" i="2"/>
  <c r="W278" i="2"/>
  <c r="V278" i="2"/>
  <c r="V135" i="2"/>
  <c r="W135" i="2"/>
  <c r="W166" i="2"/>
  <c r="V166" i="2"/>
  <c r="W254" i="2"/>
  <c r="V254" i="2"/>
  <c r="W261" i="2"/>
  <c r="V195" i="2"/>
  <c r="V32" i="2"/>
  <c r="V251" i="2"/>
  <c r="V178" i="2"/>
  <c r="V115" i="2"/>
  <c r="W33" i="2"/>
  <c r="W108" i="2"/>
  <c r="V94" i="2"/>
  <c r="V258" i="2"/>
  <c r="W256" i="2"/>
  <c r="W240" i="2"/>
  <c r="W149" i="2"/>
  <c r="V170" i="2"/>
  <c r="V80" i="2"/>
  <c r="W189" i="2"/>
  <c r="V128" i="2"/>
  <c r="V48" i="2"/>
  <c r="V138" i="2"/>
  <c r="W44" i="2"/>
  <c r="W245" i="2"/>
  <c r="W37" i="2"/>
  <c r="V54" i="2"/>
  <c r="W26" i="2"/>
  <c r="W223" i="2"/>
  <c r="V223" i="2"/>
  <c r="V233" i="2"/>
  <c r="W237" i="2"/>
  <c r="W269" i="2"/>
  <c r="V99" i="2"/>
  <c r="W100" i="2"/>
  <c r="V34" i="2"/>
</calcChain>
</file>

<file path=xl/sharedStrings.xml><?xml version="1.0" encoding="utf-8"?>
<sst xmlns="http://schemas.openxmlformats.org/spreadsheetml/2006/main" count="45208" uniqueCount="8026">
  <si>
    <t>성수 약국 조닝 · 제작도면 반영</t>
  </si>
  <si>
    <t>2026.09.17 | 63모듈·315단 | 우선 326 SKU (A 106 / B 208 / T 12) | 391F 계획 · 재고수량 아님</t>
  </si>
  <si>
    <t>확인 순서: 03 전체상품 → 05 상품별 배치(F 입력) → 06 집기 실측 → 02 선반 합계. 실제 발주·규격·포장 치수는 미확정.</t>
  </si>
  <si>
    <t>모듈</t>
  </si>
  <si>
    <t>방향</t>
  </si>
  <si>
    <t>주테마</t>
  </si>
  <si>
    <t>매대명</t>
  </si>
  <si>
    <t>역할</t>
  </si>
  <si>
    <t>브랜드 운영</t>
  </si>
  <si>
    <t>S1 최상단</t>
  </si>
  <si>
    <t>S2</t>
  </si>
  <si>
    <t>S3</t>
  </si>
  <si>
    <t>S4</t>
  </si>
  <si>
    <t>S5 최하단</t>
  </si>
  <si>
    <t>선반 수</t>
  </si>
  <si>
    <t>오픈 진열단</t>
  </si>
  <si>
    <t>테마 진열단</t>
  </si>
  <si>
    <t>시험·여유단</t>
  </si>
  <si>
    <t>안내단</t>
  </si>
  <si>
    <t>운영 메모</t>
  </si>
  <si>
    <t>제작도면 집기</t>
  </si>
  <si>
    <t>총높이 mm</t>
  </si>
  <si>
    <t>진열 SKU행</t>
  </si>
  <si>
    <t>계획 총F</t>
  </si>
  <si>
    <t>치수 근거</t>
  </si>
  <si>
    <t>W1</t>
  </si>
  <si>
    <t>상단 벽면</t>
  </si>
  <si>
    <t>피부약·상처 보호</t>
  </si>
  <si>
    <t>Skin Treatments</t>
  </si>
  <si>
    <t>피부 고관여 상담</t>
  </si>
  <si>
    <t>PDRN 분류·상담 안내</t>
  </si>
  <si>
    <t>PDRN 일반의약품</t>
  </si>
  <si>
    <t>가려움·피부염 외용약</t>
  </si>
  <si>
    <t>피부 상담약 확장 여유</t>
  </si>
  <si>
    <t>MD 보호재·의료기기 분리</t>
  </si>
  <si>
    <t>외용약 상담은 중단, MD는 분리 선반. W1·W2 외용/더마 2면, W4·W5 영양/선물 2면, W3 가변 1면 유지.</t>
  </si>
  <si>
    <t>P-2F-04</t>
  </si>
  <si>
    <t>PDF p5~6 (2026-08-11)</t>
  </si>
  <si>
    <t>W2</t>
  </si>
  <si>
    <t>더마·세정·선케어</t>
  </si>
  <si>
    <t>Dermocosmetics</t>
  </si>
  <si>
    <t>EGF·프리미엄 비교</t>
  </si>
  <si>
    <t>EGFx S2, 프로캄 S3의 선반 블록</t>
  </si>
  <si>
    <t>EGF 화장품 제형 안내</t>
  </si>
  <si>
    <t>EGFx 앰플 비교</t>
  </si>
  <si>
    <t>프로캄·이지듀 EGF 크림</t>
  </si>
  <si>
    <t>EGF·PDRN 마스크</t>
  </si>
  <si>
    <t>프리미엄 추가 규격 여유</t>
  </si>
  <si>
    <t>W2는 상담형 EGF 비교. 일상 보습과 주름·탄력의 주 진열은 G5.</t>
  </si>
  <si>
    <t>W3</t>
  </si>
  <si>
    <t>추천·상담 안내</t>
  </si>
  <si>
    <t>Seasonal Picks</t>
  </si>
  <si>
    <t>월별 선택 테마</t>
  </si>
  <si>
    <t>환절기 보습 테마</t>
  </si>
  <si>
    <t>진정 크림 테마</t>
  </si>
  <si>
    <t>장벽 세럼 테마</t>
  </si>
  <si>
    <t>립 보습 연결</t>
  </si>
  <si>
    <t>다음 테마 교체 여유</t>
  </si>
  <si>
    <t>Best Sellers는 실적 근거가 생긴 뒤 사용. 브랜드 매입조건만으로 추천 표현을 쓰지 않음.</t>
  </si>
  <si>
    <t>W4</t>
  </si>
  <si>
    <t>영양·건강 선물</t>
  </si>
  <si>
    <t>Daily Vitamins</t>
  </si>
  <si>
    <t>경구 영양·약사 상담</t>
  </si>
  <si>
    <t>경구 영양 상담 안내</t>
  </si>
  <si>
    <t>비타민B 의약품</t>
  </si>
  <si>
    <t>마그네슘 경구제품</t>
  </si>
  <si>
    <t>글루타치온 의약품</t>
  </si>
  <si>
    <t>피로·간·한방 상담약</t>
  </si>
  <si>
    <t>식품형 비타민·오메가3 등은 G4. 정규 포장 하나를 기본으로 하고 큰 포장을 별도 전면 반복하지 않음.</t>
  </si>
  <si>
    <t>W5</t>
  </si>
  <si>
    <t>Wellness Gifts</t>
  </si>
  <si>
    <t>건강 선물 본진</t>
  </si>
  <si>
    <t>정원삼 중심 선택형 브랜드존</t>
  </si>
  <si>
    <t>정규 선물 구성 안내</t>
  </si>
  <si>
    <t>멀티비타민 정규 세트</t>
  </si>
  <si>
    <t>홍삼 30포 비교</t>
  </si>
  <si>
    <t>콜라겐·홍삼 젤리</t>
  </si>
  <si>
    <t>다매 홍삼·절편</t>
  </si>
  <si>
    <t>첨부에는 정원삼이 있으며 정관장으로 대체 표기하지 않음. 5단 모두 상설 입고를 뜻하지 않음.</t>
  </si>
  <si>
    <t>L1</t>
  </si>
  <si>
    <t>좌측 벽면</t>
  </si>
  <si>
    <t>일반약·여행·생활</t>
  </si>
  <si>
    <t>Cold &amp; Allergy</t>
  </si>
  <si>
    <t>일반약 실용 구색</t>
  </si>
  <si>
    <t>알레르기 정제·낮은 포장</t>
  </si>
  <si>
    <t>감기 주간·야간 구분</t>
  </si>
  <si>
    <t>기침·인후 제형</t>
  </si>
  <si>
    <t>코 증상 스프레이</t>
  </si>
  <si>
    <t>어린이 여행 상담</t>
  </si>
  <si>
    <t>P-2F-05</t>
  </si>
  <si>
    <t>PDF p7 (2026-08-07)</t>
  </si>
  <si>
    <t>L2</t>
  </si>
  <si>
    <t>Stomach &amp; Travel</t>
  </si>
  <si>
    <t>소화·배변·이동 상담</t>
  </si>
  <si>
    <t>소화 정제·낮은 포장</t>
  </si>
  <si>
    <t>소화·속 불편 액상</t>
  </si>
  <si>
    <t>설사 상담</t>
  </si>
  <si>
    <t>변비 상담</t>
  </si>
  <si>
    <t>멀미·이동 상담</t>
  </si>
  <si>
    <t>L3</t>
  </si>
  <si>
    <t>Pain Relief</t>
  </si>
  <si>
    <t>진통·파스 본진</t>
  </si>
  <si>
    <t>해열·진통 소포장</t>
  </si>
  <si>
    <t>파스 기본·롱 규격</t>
  </si>
  <si>
    <t>코인·쿨 타입</t>
  </si>
  <si>
    <t>바르는 진통 제형</t>
  </si>
  <si>
    <t>분사형·큰 포장</t>
  </si>
  <si>
    <t>L4</t>
  </si>
  <si>
    <t>립·눈·다리·구강</t>
  </si>
  <si>
    <t>Oral Care</t>
  </si>
  <si>
    <t>구강 위생·상담</t>
  </si>
  <si>
    <t>구내염 상담·낮은 포장</t>
  </si>
  <si>
    <t>잇몸·불소 치약</t>
  </si>
  <si>
    <t>휴대 가글·구강 스프레이</t>
  </si>
  <si>
    <t>칫솔·치실·혀 세정</t>
  </si>
  <si>
    <t>일상 가글 큰 포장</t>
  </si>
  <si>
    <t>B1</t>
  </si>
  <si>
    <t>entry</t>
  </si>
  <si>
    <t>Acne Care</t>
  </si>
  <si>
    <t>좌측 진입의 여드름 안내</t>
  </si>
  <si>
    <t>선택 안내</t>
  </si>
  <si>
    <t>면포성 여드름 외용제 / 붉은 여드름 외용제</t>
  </si>
  <si>
    <t>스팟 보호 패치</t>
  </si>
  <si>
    <t>추가 도입 여유</t>
  </si>
  <si>
    <t>본진으로 안내하는 입구 매대. 여드름 전제품 복제 진열 금지.</t>
  </si>
  <si>
    <t>B2</t>
  </si>
  <si>
    <t>Scar &amp; Wound</t>
  </si>
  <si>
    <t>흉터와 상처의 차이</t>
  </si>
  <si>
    <t>흉터 외용제</t>
  </si>
  <si>
    <t>실리콘 흉터관리 제품</t>
  </si>
  <si>
    <t>일반·방수 밴드</t>
  </si>
  <si>
    <t>B3</t>
  </si>
  <si>
    <t>Travel Essentials</t>
  </si>
  <si>
    <t>여행 위생용품 본진</t>
  </si>
  <si>
    <t>여행 위생 안내</t>
  </si>
  <si>
    <t>마스크·호흡기 위생</t>
  </si>
  <si>
    <t>수면 안대</t>
  </si>
  <si>
    <t>접이식 여행컵</t>
  </si>
  <si>
    <t>벌레 기피용품</t>
  </si>
  <si>
    <t>B4</t>
  </si>
  <si>
    <t>Skin Care Finder</t>
  </si>
  <si>
    <t>입구의 고민 길찾기</t>
  </si>
  <si>
    <t>피부 고민 선택 안내</t>
  </si>
  <si>
    <t>A 여드름·피지 / B 톤</t>
  </si>
  <si>
    <t>C 보습 / D 진정 / E 탄력</t>
  </si>
  <si>
    <t>약사 상담 결과·주 진열 지도</t>
  </si>
  <si>
    <t>후속 상담 도구 여유</t>
  </si>
  <si>
    <t>B5</t>
  </si>
  <si>
    <t>Wellness &amp; Gifts</t>
  </si>
  <si>
    <t>영양·선물 탐색</t>
  </si>
  <si>
    <t>비타민C 경구제품</t>
  </si>
  <si>
    <t>콜라겐·이너뷰티</t>
  </si>
  <si>
    <t>홍삼 제품</t>
  </si>
  <si>
    <t>B6</t>
  </si>
  <si>
    <t>PDRN Skincare</t>
  </si>
  <si>
    <t>우측 진입의 성분 탐색</t>
  </si>
  <si>
    <t>PDRN 스킨케어</t>
  </si>
  <si>
    <t>브랜드 독립 매대가 아니라 PDRN 탐색. 본진과 두 곳 모두 전체 브랜드존으로 운영하지 않음.</t>
  </si>
  <si>
    <t>B7</t>
  </si>
  <si>
    <t>Barrier &amp; Calm</t>
  </si>
  <si>
    <t>건조·민감 첫 선택</t>
  </si>
  <si>
    <t>장벽·보습 스킨케어</t>
  </si>
  <si>
    <t>진정 스킨케어</t>
  </si>
  <si>
    <t>수분 스킨케어</t>
  </si>
  <si>
    <t>B8</t>
  </si>
  <si>
    <t>New &amp; Trial</t>
  </si>
  <si>
    <t>신규 브랜드 한 테마</t>
  </si>
  <si>
    <t>시험 브랜드·기간 안내</t>
  </si>
  <si>
    <t>톰 CPR 세럼 시험</t>
  </si>
  <si>
    <t>톰 NMN 세럼 시험</t>
  </si>
  <si>
    <t>톰 NMN 크림 시험</t>
  </si>
  <si>
    <t>다음 브랜드 시험 여유</t>
  </si>
  <si>
    <t>판매·문의가 검증되면 적합한 본진으로 편입하고 B8에서는 교체.</t>
  </si>
  <si>
    <t>G1-D-1</t>
  </si>
  <si>
    <t>하면·입구 방향</t>
  </si>
  <si>
    <t>여드름 외용제</t>
  </si>
  <si>
    <t>상태별 선택</t>
  </si>
  <si>
    <t>현재 피부 상태 확인</t>
  </si>
  <si>
    <t>면포성 여드름 외용약</t>
  </si>
  <si>
    <t>붉은 여드름 외용약</t>
  </si>
  <si>
    <t>다른 성분 여드름약</t>
  </si>
  <si>
    <t>기타 여드름약 비교</t>
  </si>
  <si>
    <t>여드름약은 이 모듈에 집중. 아문 흉터는 G2-D-1로 분리.</t>
  </si>
  <si>
    <t>P-2F-02 / -02-1</t>
  </si>
  <si>
    <t>PDF p3~4 (2026-08-11)</t>
  </si>
  <si>
    <t>G1-D-2</t>
  </si>
  <si>
    <t>형태별 선택</t>
  </si>
  <si>
    <t>선택한 패치 브랜드 내 1~2단 연속 블록</t>
  </si>
  <si>
    <t>패치 용도·피부 상태 안내</t>
  </si>
  <si>
    <t>일상 스팟 보호 패치</t>
  </si>
  <si>
    <t>국소 패치·다른 소재</t>
  </si>
  <si>
    <t>카밍·스팟 패치 비교</t>
  </si>
  <si>
    <t>다매 포장·대체 비교</t>
  </si>
  <si>
    <t>G1-D-3</t>
  </si>
  <si>
    <t>A  피지·모공</t>
  </si>
  <si>
    <t>Pores &amp; Spot Care</t>
  </si>
  <si>
    <t>피지·모공 고민 안내</t>
  </si>
  <si>
    <t>지성 피부 크림·겔</t>
  </si>
  <si>
    <t>피지 고민 세럼</t>
  </si>
  <si>
    <t>국소 스팟 화장품</t>
  </si>
  <si>
    <t>피지 케어 보완 제형</t>
  </si>
  <si>
    <t>G1-U-1</t>
  </si>
  <si>
    <t>상면·POS 방향</t>
  </si>
  <si>
    <t>피부타입별 세안</t>
  </si>
  <si>
    <t>클렌징 본진</t>
  </si>
  <si>
    <t>브랜드보다 젤·폼·오일·밀크 구분 우선</t>
  </si>
  <si>
    <t>세정 제형 선택</t>
  </si>
  <si>
    <t>젤리폼·폼 클렌저</t>
  </si>
  <si>
    <t>클렌징 오일 비교</t>
  </si>
  <si>
    <t>다른 세정 제형</t>
  </si>
  <si>
    <t>큰 포장 세정 제품</t>
  </si>
  <si>
    <t>G1-U-2</t>
  </si>
  <si>
    <t>세정·각질 제형 비교</t>
  </si>
  <si>
    <t>과도한 각질 관리 방지</t>
  </si>
  <si>
    <t>각질·필링 사용제품 확인</t>
  </si>
  <si>
    <t>국소 필링 스틱</t>
  </si>
  <si>
    <t>필링 토너·시험</t>
  </si>
  <si>
    <t>필링 세럼·시험</t>
  </si>
  <si>
    <t>필링 팩·시험</t>
  </si>
  <si>
    <t>G1-U-3</t>
  </si>
  <si>
    <t>Body Care &amp; Treatments</t>
  </si>
  <si>
    <t>바디 전용 선택</t>
  </si>
  <si>
    <t>몸 고민·제품 분류 안내</t>
  </si>
  <si>
    <t>바디 미스트 화장품</t>
  </si>
  <si>
    <t>바디 세정 기본</t>
  </si>
  <si>
    <t>바디 세정 비교</t>
  </si>
  <si>
    <t>몸 여드름 외용약·별도표지</t>
  </si>
  <si>
    <t>몸 여드름 의약품은 S5 단독 표지. 위 화장품·세정 선반과 구분.</t>
  </si>
  <si>
    <t>G2-D-1</t>
  </si>
  <si>
    <t>아문 흉터 비교</t>
  </si>
  <si>
    <t>Scar Care</t>
  </si>
  <si>
    <t>아문 흉터와 열린 상처 구분</t>
  </si>
  <si>
    <t>흉터 외용 의약품</t>
  </si>
  <si>
    <t>다른 흉터 외용약</t>
  </si>
  <si>
    <t>추가 소재·규격 여유</t>
  </si>
  <si>
    <t>기준안 G2-D-1과 G2-D-2 통합. 의약품·실리콘 제품의 선반 구분을 유지한다.</t>
  </si>
  <si>
    <t>G2-D-2</t>
  </si>
  <si>
    <t>Everyday Dressings</t>
  </si>
  <si>
    <t>부위·방수 필요 안내</t>
  </si>
  <si>
    <t>일반 소형·중형·혼합</t>
  </si>
  <si>
    <t>방수 소형·중형·대형</t>
  </si>
  <si>
    <t>손끝 전용</t>
  </si>
  <si>
    <t>발뒤꿈치·도트형</t>
  </si>
  <si>
    <t>기준안 G2-D-3의 일반·방수 밴드를 이관. 브랜드 내 규격 비교는 허용하되 전 규격 입고는 보류.</t>
  </si>
  <si>
    <t>G2-D-3</t>
  </si>
  <si>
    <t>습윤 드레싱</t>
  </si>
  <si>
    <t>Moist Dressings</t>
  </si>
  <si>
    <t>케어리브 선택형 브랜드존</t>
  </si>
  <si>
    <t>습윤 드레싱 사용 상태 안내</t>
  </si>
  <si>
    <t>작은 상처·중형</t>
  </si>
  <si>
    <t>대형·빅사이즈</t>
  </si>
  <si>
    <t>발뒤꿈치 습윤형</t>
  </si>
  <si>
    <t>추가 포장 규격 여유</t>
  </si>
  <si>
    <t>기준안 G2-U-3의 드레싱만 이관. 소독·세정 제품은 G2-U-1로 이동.</t>
  </si>
  <si>
    <t>G2-U-1</t>
  </si>
  <si>
    <t>상처 외용·세정</t>
  </si>
  <si>
    <t>Wound Care</t>
  </si>
  <si>
    <t>상처 상태 상담 안내</t>
  </si>
  <si>
    <t>상처 항균 외용약</t>
  </si>
  <si>
    <t>상처·피부손상 외용약</t>
  </si>
  <si>
    <t>액상 소독·세정</t>
  </si>
  <si>
    <t>휴대 소독 스왑</t>
  </si>
  <si>
    <t>상처 상담 과정은 한 곳에서 하되 외용약·소독·드레싱은 선반과 모듈로 구분. PDRN 의약품·MD는 W1.</t>
  </si>
  <si>
    <t>G2-U-2</t>
  </si>
  <si>
    <t>건조·각화 외용약</t>
  </si>
  <si>
    <t>Dry Skin Treatments</t>
  </si>
  <si>
    <t>건조 외용약·보습 화장품 구분</t>
  </si>
  <si>
    <t>건조 피부 외용 연고</t>
  </si>
  <si>
    <t>각화·거친 피부 외용약</t>
  </si>
  <si>
    <t>외용 연고 큰 규격</t>
  </si>
  <si>
    <t>외용약 확장 여유</t>
  </si>
  <si>
    <t>기존 손 화장품을 G2-U-3으로 이동해 외용약 모듈로 정리.</t>
  </si>
  <si>
    <t>G2-U-3</t>
  </si>
  <si>
    <t>손·전신 보습</t>
  </si>
  <si>
    <t>Hand &amp; Body Moisture</t>
  </si>
  <si>
    <t>케어리브 습윤형은 1~3단 연속 블록</t>
  </si>
  <si>
    <t>손·전신 보습 안내</t>
  </si>
  <si>
    <t>핸드크림 비교</t>
  </si>
  <si>
    <t>국소 보습·멀티밤</t>
  </si>
  <si>
    <t>전신 보습 로션</t>
  </si>
  <si>
    <t>손 세정</t>
  </si>
  <si>
    <t>G2-U-2의 손 보습과 G5-U-3의 전신 보습을 통합. 의약품과 인접하되 화장품 표지를 별도 적용.</t>
  </si>
  <si>
    <t>G3-D-1</t>
  </si>
  <si>
    <t>기미·색소약 상담</t>
  </si>
  <si>
    <t>외용·경구약 별도 단</t>
  </si>
  <si>
    <t>색소·흉터의 차이 상담</t>
  </si>
  <si>
    <t>기미·색소 외용약 기본</t>
  </si>
  <si>
    <t>다른 규격·성분 외용약</t>
  </si>
  <si>
    <t>색소 경구 상담약</t>
  </si>
  <si>
    <t>외용약 추가 규격 여유</t>
  </si>
  <si>
    <t>G3-D-2</t>
  </si>
  <si>
    <t>B  잡티·피부 톤</t>
  </si>
  <si>
    <t>Spots &amp; Tone</t>
  </si>
  <si>
    <t>프로캄 멜라 1~2단 비교 블록</t>
  </si>
  <si>
    <t>톤 고민·현재 사용성분 안내</t>
  </si>
  <si>
    <t>프로캄·마미케어 톤 세럼</t>
  </si>
  <si>
    <t>닥터리쥬올 톤 세럼·크림</t>
  </si>
  <si>
    <t>다른 보습감의 톤 제형</t>
  </si>
  <si>
    <t>톤 고민 마스크</t>
  </si>
  <si>
    <t>G3-D-3</t>
  </si>
  <si>
    <t>Sun Care</t>
  </si>
  <si>
    <t>선케어 본진</t>
  </si>
  <si>
    <t>자외선차단 제형 안내</t>
  </si>
  <si>
    <t>세럼·에센스형</t>
  </si>
  <si>
    <t>크림형 비교</t>
  </si>
  <si>
    <t>톤업·보습형</t>
  </si>
  <si>
    <t>휴대 선스틱</t>
  </si>
  <si>
    <t>G3-U-1</t>
  </si>
  <si>
    <t>Scalp &amp; Hair</t>
  </si>
  <si>
    <t>두피·모발 상담과 화장품</t>
  </si>
  <si>
    <t>두피 약·화장품 구분</t>
  </si>
  <si>
    <t>탈모 외용 의약품</t>
  </si>
  <si>
    <t>비듬·두피 상담약</t>
  </si>
  <si>
    <t>두피 세럼·토닉 화장품</t>
  </si>
  <si>
    <t>두피 세정 샴푸</t>
  </si>
  <si>
    <t>G3-U-2</t>
  </si>
  <si>
    <t>Personal Care</t>
  </si>
  <si>
    <t>개인 위생·민감한 상담</t>
  </si>
  <si>
    <t>여성 경구 상담약·낮은 포장</t>
  </si>
  <si>
    <t>여성 국소 상담약</t>
  </si>
  <si>
    <t>여성 청결 화장품</t>
  </si>
  <si>
    <t>생리 위생용품</t>
  </si>
  <si>
    <t>콘돔·자가 검사</t>
  </si>
  <si>
    <t>G3-U-3</t>
  </si>
  <si>
    <t>Rest &amp; Personal Care</t>
  </si>
  <si>
    <t>숙면 관련 제품 구분</t>
  </si>
  <si>
    <t>수면·개인 상담 안내</t>
  </si>
  <si>
    <t>수면 상담 의약품</t>
  </si>
  <si>
    <t>수면 관련 식품·시험</t>
  </si>
  <si>
    <t>다른 섭취형태·시험</t>
  </si>
  <si>
    <t>치질·항문 불편 상담</t>
  </si>
  <si>
    <t>수면 의약품·식품은 선반 분리. S5는 옆 Personal Care와 연결되는 개별 상담 품목.</t>
  </si>
  <si>
    <t>G4-D-1</t>
  </si>
  <si>
    <t>Vitamin C &amp; Inner Beauty</t>
  </si>
  <si>
    <t>C·이너뷰티 선택</t>
  </si>
  <si>
    <t>고려은단 C는 1~2단 선택형 연속 블록</t>
  </si>
  <si>
    <t>경구제품 분류 안내</t>
  </si>
  <si>
    <t>비타민C 의약품 후보</t>
  </si>
  <si>
    <t>비타민C 식품·건기식 후보</t>
  </si>
  <si>
    <t>글루타치온 함유 식품</t>
  </si>
  <si>
    <t>비타민C 다매 포장</t>
  </si>
  <si>
    <t>G4-D-2</t>
  </si>
  <si>
    <t>Gut Care</t>
  </si>
  <si>
    <t>유산균·식이섬유 식품</t>
  </si>
  <si>
    <t>장 건강·식품유형 안내</t>
  </si>
  <si>
    <t>일상 유산균</t>
  </si>
  <si>
    <t>여성 대상 유산균</t>
  </si>
  <si>
    <t>푸룬·식이섬유 식품</t>
  </si>
  <si>
    <t>효소 식품</t>
  </si>
  <si>
    <t>G4-U-1</t>
  </si>
  <si>
    <t>Collagen &amp; Protein</t>
  </si>
  <si>
    <t>먹는 뷰티·영양 보완</t>
  </si>
  <si>
    <t>에버콜라겐 선반 단위 선택</t>
  </si>
  <si>
    <t>섭취형태·성분 중복 확인</t>
  </si>
  <si>
    <t>콜라겐 스틱·분말</t>
  </si>
  <si>
    <t>콜라겐 다른 제형</t>
  </si>
  <si>
    <t>단백질 소포장</t>
  </si>
  <si>
    <t>아미노산·아르기닌</t>
  </si>
  <si>
    <t>G4-U-2</t>
  </si>
  <si>
    <t>Daily Nutrition</t>
  </si>
  <si>
    <t>일상 영양 목적별</t>
  </si>
  <si>
    <t>일상 영양 선택 안내</t>
  </si>
  <si>
    <t>멀티비타민 남녀 비교</t>
  </si>
  <si>
    <t>루테인·눈 건강 영양</t>
  </si>
  <si>
    <t>오메가3 영양</t>
  </si>
  <si>
    <t>칼슘·비타민D·간 영양</t>
  </si>
  <si>
    <t>G5-D-1</t>
  </si>
  <si>
    <t>Dr.Reju-All</t>
  </si>
  <si>
    <t>브랜드 지정 구매</t>
  </si>
  <si>
    <t>닥터리쥬올 1모듈: 크림·장벽·마스크 + PDLLA 소량 시험. 지명 문의·회전 확인 후 유지.</t>
  </si>
  <si>
    <t>닥터리쥬올 라인 안내</t>
  </si>
  <si>
    <t>PDRN 기본 크림</t>
  </si>
  <si>
    <t>세라마이드 장벽 크림</t>
  </si>
  <si>
    <t>PDRN 마스크</t>
  </si>
  <si>
    <t>PDLLA 크림·소량 시험</t>
  </si>
  <si>
    <t>품목 3개라는 이유만으로 자동 축소하지 않음. 립 G6-D-1, 톤 G3-D-2, 두피 G3-U-1에는 위치 안내만 연결.</t>
  </si>
  <si>
    <t>G5-D-2</t>
  </si>
  <si>
    <t>E  주름·탄력</t>
  </si>
  <si>
    <t>Lines &amp; Firmness</t>
  </si>
  <si>
    <t>고민별 비교, 단일 브랜드 전면 배정 없음</t>
  </si>
  <si>
    <t>주름·탄력과 사용성분 확인</t>
  </si>
  <si>
    <t>레티놀·바쿠치올 세럼</t>
  </si>
  <si>
    <t>펩타이드 앰플</t>
  </si>
  <si>
    <t>탄력 고민 마스크</t>
  </si>
  <si>
    <t>탄력 고민 크림</t>
  </si>
  <si>
    <t>기존 리쥬란 전용 모듈을 전환. 리쥬란 대표 제형은 G5-D-3 비교 후보로 유지.</t>
  </si>
  <si>
    <t>G5-D-3</t>
  </si>
  <si>
    <t>PDRN 제형 비교</t>
  </si>
  <si>
    <t>화장품 성분 탐색</t>
  </si>
  <si>
    <t>다브랜드 전종 입고 대신 제형별 선택</t>
  </si>
  <si>
    <t>PDRN 화장품 제형 안내</t>
  </si>
  <si>
    <t>앰플형 비교</t>
  </si>
  <si>
    <t>팩 정규 포장·후크 대조</t>
  </si>
  <si>
    <t>마스크 정규 포장·후크 대조</t>
  </si>
  <si>
    <t>제나벨·피더린은 선택 가능한 대체 후보이며 리쥬란과 전종 병렬 입고하지 않음.</t>
  </si>
  <si>
    <t>G5-U-1</t>
  </si>
  <si>
    <t>C  장벽·건조</t>
  </si>
  <si>
    <t>Barrier &amp; Dryness</t>
  </si>
  <si>
    <t>브랜드보다 제형·건조 정도 비교</t>
  </si>
  <si>
    <t>장벽·건조 사용감 안내</t>
  </si>
  <si>
    <t>장벽 보습 크림 비교</t>
  </si>
  <si>
    <t>장벽 세럼</t>
  </si>
  <si>
    <t>장벽 보습 토너</t>
  </si>
  <si>
    <t>다른 제형 확장 여유</t>
  </si>
  <si>
    <t>G5-U-2</t>
  </si>
  <si>
    <t>D  민감·진정</t>
  </si>
  <si>
    <t>Calm &amp; Comfort</t>
  </si>
  <si>
    <t>마데카·프로캄 중 주력 제형 선택</t>
  </si>
  <si>
    <t>민감·진정 필요 안내</t>
  </si>
  <si>
    <t>테카·후시메디 크림</t>
  </si>
  <si>
    <t>가벼운 크림·진정 세럼</t>
  </si>
  <si>
    <t>진정 마스크</t>
  </si>
  <si>
    <t>진정 패드</t>
  </si>
  <si>
    <t>브랜드존을 택할 때는 연속된 선반으로 조정. 두 브랜드 전체 라인을 동시에 쌓지 않음.</t>
  </si>
  <si>
    <t>G5-U-3</t>
  </si>
  <si>
    <t>C  얼굴 수분</t>
  </si>
  <si>
    <t>Facial Hydration</t>
  </si>
  <si>
    <t>얼굴 수분 제형 안내</t>
  </si>
  <si>
    <t>히알루론산 세럼·앰플</t>
  </si>
  <si>
    <t>수분 크림</t>
  </si>
  <si>
    <t>수분 마스크·패드</t>
  </si>
  <si>
    <t>추가 수분 제형 여유</t>
  </si>
  <si>
    <t>몸·손 보습은 G2-U-3으로 이동. 얼굴용 수분 제형만 비교.</t>
  </si>
  <si>
    <t>G6-D-1</t>
  </si>
  <si>
    <t>Lip Care</t>
  </si>
  <si>
    <t>입술 필요별 구분</t>
  </si>
  <si>
    <t>입술 증상 외용약·낮은 포장</t>
  </si>
  <si>
    <t>립 스틱·밤 화장품</t>
  </si>
  <si>
    <t>립 에센스 비교</t>
  </si>
  <si>
    <t>PDRN 립 세럼</t>
  </si>
  <si>
    <t>야간 립 마스크</t>
  </si>
  <si>
    <t>G6-D-2</t>
  </si>
  <si>
    <t>Eye Care</t>
  </si>
  <si>
    <t>점안·렌즈·눈가 구분</t>
  </si>
  <si>
    <t>다회용 점안제·낮은 포장</t>
  </si>
  <si>
    <t>일회용 점안제</t>
  </si>
  <si>
    <t>눈꺼풀 위생</t>
  </si>
  <si>
    <t>렌즈 세정·보존</t>
  </si>
  <si>
    <t>눈가 보습 화장품</t>
  </si>
  <si>
    <t>G6-D-3</t>
  </si>
  <si>
    <t>Leg Comfort</t>
  </si>
  <si>
    <t>다리 무거움 상담</t>
  </si>
  <si>
    <t>다리 불편 상담 안내</t>
  </si>
  <si>
    <t>액상 다리 순환 상담약</t>
  </si>
  <si>
    <t>정제 다리 순환 상담약</t>
  </si>
  <si>
    <t>분말 제형 비교</t>
  </si>
  <si>
    <t>추가 규격 여유</t>
  </si>
  <si>
    <t>G6-U-1</t>
  </si>
  <si>
    <t>Foot Treatments</t>
  </si>
  <si>
    <t>발 피부 의약품</t>
  </si>
  <si>
    <t>티눈 상담약·낮은 포장</t>
  </si>
  <si>
    <t>무좀 크림·겔</t>
  </si>
  <si>
    <t>다른 부위·제형 진균 외용약</t>
  </si>
  <si>
    <t>땀 상담 외용약</t>
  </si>
  <si>
    <t>발바닥 티눈용</t>
  </si>
  <si>
    <t>G6-U-2</t>
  </si>
  <si>
    <t>Foot Care</t>
  </si>
  <si>
    <t>발 보습·마찰 관리</t>
  </si>
  <si>
    <t>발 화장품·의약품 구분</t>
  </si>
  <si>
    <t>발 보습 크림</t>
  </si>
  <si>
    <t>발 각질 케어 팩</t>
  </si>
  <si>
    <t>발 미스트·스프레이</t>
  </si>
  <si>
    <t>풋파일·보습양말</t>
  </si>
  <si>
    <t>G6-U-3</t>
  </si>
  <si>
    <t>Walking &amp; Outdoor</t>
  </si>
  <si>
    <t>걷기·야외 보조</t>
  </si>
  <si>
    <t>휴대 핫팩·낮은 포장</t>
  </si>
  <si>
    <t>발목·무릎 지지</t>
  </si>
  <si>
    <t>온열 보조용품</t>
  </si>
  <si>
    <t>휴대 수분·에너지 식품</t>
  </si>
  <si>
    <t>벌레물림 외용약</t>
  </si>
  <si>
    <t>G1-EL</t>
  </si>
  <si>
    <t>도면 왼쪽 엔드</t>
  </si>
  <si>
    <t>Acne Finder</t>
  </si>
  <si>
    <t>여드름 상태 선택</t>
  </si>
  <si>
    <t>P-2F-02 엔드</t>
  </si>
  <si>
    <t>PDF p3 (2026-08-11)</t>
  </si>
  <si>
    <t>G1-ER</t>
  </si>
  <si>
    <t>도면 오른쪽 엔드</t>
  </si>
  <si>
    <t>Pore &amp; Body</t>
  </si>
  <si>
    <t>피지와 몸 피부 구분</t>
  </si>
  <si>
    <t>피지·모공 스킨케어</t>
  </si>
  <si>
    <t>바디 보습·미스트</t>
  </si>
  <si>
    <t>G2-EL</t>
  </si>
  <si>
    <t>Scar Finder</t>
  </si>
  <si>
    <t>아문 흉터 타입 비교</t>
  </si>
  <si>
    <t>G2-ER</t>
  </si>
  <si>
    <t>Wound Cover</t>
  </si>
  <si>
    <t>상처 보호재 선택</t>
  </si>
  <si>
    <t>G3-EL</t>
  </si>
  <si>
    <t>Tone &amp; Sun</t>
  </si>
  <si>
    <t>색소와 화장품 구분</t>
  </si>
  <si>
    <t>기미·색소 외용제</t>
  </si>
  <si>
    <t>자외선차단</t>
  </si>
  <si>
    <t>G3-ER</t>
  </si>
  <si>
    <t>Scalp &amp; Rest</t>
  </si>
  <si>
    <t>두피·휴식 필요별 안내</t>
  </si>
  <si>
    <t>두피 화장품</t>
  </si>
  <si>
    <t>탈모·두피 상담약</t>
  </si>
  <si>
    <t>G4-EL</t>
  </si>
  <si>
    <t>Inner Beauty</t>
  </si>
  <si>
    <t>먹는 뷰티 제형</t>
  </si>
  <si>
    <t>G4-ER</t>
  </si>
  <si>
    <t>일상 영양 선택</t>
  </si>
  <si>
    <t>유산균</t>
  </si>
  <si>
    <t>멀티비타민·미네랄</t>
  </si>
  <si>
    <t>G5-EL</t>
  </si>
  <si>
    <t>5개 고민 상담 연결</t>
  </si>
  <si>
    <t>G5-ER</t>
  </si>
  <si>
    <t>PDRN Guide</t>
  </si>
  <si>
    <t>PDRN 제품 구분</t>
  </si>
  <si>
    <t>G6-EL</t>
  </si>
  <si>
    <t>Lip &amp; Eye</t>
  </si>
  <si>
    <t>작은 부위별 선택</t>
  </si>
  <si>
    <t>립 보습 화장품</t>
  </si>
  <si>
    <t>렌즈·눈꺼풀 위생</t>
  </si>
  <si>
    <t>G6-ER</t>
  </si>
  <si>
    <t>Walk Comfort</t>
  </si>
  <si>
    <t>많이 걷는 여행</t>
  </si>
  <si>
    <t>풋 케어 화장품</t>
  </si>
  <si>
    <t>수분·에너지 식품</t>
  </si>
  <si>
    <t>합계</t>
  </si>
  <si>
    <t>315개 선반 · 증상·상품·페이싱·수용 검토</t>
  </si>
  <si>
    <t>S1 최상단 → S5 최하단 | 215단 상품 배정 · 60단 안내 · 40단 확장 여유 | 노란 확정란은 최종 실측·소매단위 확인 후 사용</t>
  </si>
  <si>
    <t>선반 ID</t>
  </si>
  <si>
    <t>단</t>
  </si>
  <si>
    <t>고민·증상</t>
  </si>
  <si>
    <t>운영 상품군</t>
  </si>
  <si>
    <t>권장 취급제품</t>
  </si>
  <si>
    <t>원본 공급코드</t>
  </si>
  <si>
    <t>대체 선택 방법</t>
  </si>
  <si>
    <t>운영 상태</t>
  </si>
  <si>
    <t>확정 상품명</t>
  </si>
  <si>
    <t>확정 공급코드</t>
  </si>
  <si>
    <t>진열·상담 기준</t>
  </si>
  <si>
    <t>자료 수준</t>
  </si>
  <si>
    <t>활성 SKU행</t>
  </si>
  <si>
    <t>계획 F 합계</t>
  </si>
  <si>
    <t>적용 유효폭</t>
  </si>
  <si>
    <t>적용 깊이</t>
  </si>
  <si>
    <t>도면 개구높이</t>
  </si>
  <si>
    <t>상품높이 상한</t>
  </si>
  <si>
    <t>사용폭 합계</t>
  </si>
  <si>
    <t>수용 검토</t>
  </si>
  <si>
    <t>초기 SKU별 F</t>
  </si>
  <si>
    <t>후크 확인</t>
  </si>
  <si>
    <t>개별 실측폭</t>
  </si>
  <si>
    <t>개별 실측깊이</t>
  </si>
  <si>
    <t>개별 실측개구</t>
  </si>
  <si>
    <t>W1/S1</t>
  </si>
  <si>
    <t>PDRN 일반의약품 / 창상피복재·MD 크림</t>
  </si>
  <si>
    <t>대체 후보는 전체 상품 시트에서 동일 상품군 필터</t>
  </si>
  <si>
    <t>안내</t>
  </si>
  <si>
    <t>높은 위치로 판매재고 대신 브랜드·제품 분류 안내. 무거운 선물 박스를 올리지 않음.</t>
  </si>
  <si>
    <t>PDF p5~6 (2026-08-11) + 원본 2526품목; 판매·마진 데이터 없음</t>
  </si>
  <si>
    <t>선반</t>
  </si>
  <si>
    <t>W1/S2</t>
  </si>
  <si>
    <t>리쥬비넥스크림</t>
  </si>
  <si>
    <t>pd0002364</t>
  </si>
  <si>
    <t>오픈 진열</t>
  </si>
  <si>
    <t>상품명·규격은 원장 보존. 판매 단위·포장 치수·집기 실측 확인 후 배치 확정.</t>
  </si>
  <si>
    <t>pd0002364 2F</t>
  </si>
  <si>
    <t>W1/S3</t>
  </si>
  <si>
    <t>피부염·가려움 외용제</t>
  </si>
  <si>
    <t>리도프론크림
녹십자노바손크림</t>
  </si>
  <si>
    <t>pd0000002
pd0001901</t>
  </si>
  <si>
    <t>pd0000002 1F
pd0001901 1F</t>
  </si>
  <si>
    <t>W1/S4</t>
  </si>
  <si>
    <t>확장 여유</t>
  </si>
  <si>
    <t>W1/S5</t>
  </si>
  <si>
    <t>창상피복재·MD 크림</t>
  </si>
  <si>
    <t>리쥬비엠디크림
비티테라 테라베리어크림 엠디(MD)</t>
  </si>
  <si>
    <t>pd0002328
pd0000602</t>
  </si>
  <si>
    <t>pd0002328 1F
pd0000602 1F</t>
  </si>
  <si>
    <t>W2/S1</t>
  </si>
  <si>
    <t>EGF 스킨케어</t>
  </si>
  <si>
    <t>W2/S2</t>
  </si>
  <si>
    <t>이지에프엑스 포스트레이저
이지에프엑스 포스트엘써마
이지에프엑스 포스트스킨부스터</t>
  </si>
  <si>
    <t>pd0002295
pd0002297
pd0002300</t>
  </si>
  <si>
    <t>pd0002295 1F
pd0002297 1F
pd0002300 1F</t>
  </si>
  <si>
    <t>W2/S3</t>
  </si>
  <si>
    <t>프로캄EGF 액티브 바이탈 크림
이지듀 3X 이지에프10 리페어크림</t>
  </si>
  <si>
    <t>pd0002442
pd0002303</t>
  </si>
  <si>
    <t>pd0002442 2F
pd0002303 1F</t>
  </si>
  <si>
    <t>W2/S4</t>
  </si>
  <si>
    <t>프로캄 EGF PDRN 액티브 시너지 마스크</t>
  </si>
  <si>
    <t>pd0002372</t>
  </si>
  <si>
    <t>pd0002372 1F</t>
  </si>
  <si>
    <t>W2/S5</t>
  </si>
  <si>
    <t>W3/S1</t>
  </si>
  <si>
    <t>안내·교체 여유</t>
  </si>
  <si>
    <t>W3/S2</t>
  </si>
  <si>
    <t>프로캄 후시메디 리페어 크림S</t>
  </si>
  <si>
    <t>pd0002461</t>
  </si>
  <si>
    <t>테마 진열</t>
  </si>
  <si>
    <t>pd0002461 1F</t>
  </si>
  <si>
    <t>W3/S3</t>
  </si>
  <si>
    <t>톰 PPM 트리플 시너지 베리어 세럼</t>
  </si>
  <si>
    <t>pd0002415</t>
  </si>
  <si>
    <t>pd0002415 1F</t>
  </si>
  <si>
    <t>W3/S4</t>
  </si>
  <si>
    <t>리쥬올 PDRN 립세럼</t>
  </si>
  <si>
    <t>pd0002336</t>
  </si>
  <si>
    <t>pd0002336 1F</t>
  </si>
  <si>
    <t>W3/S5</t>
  </si>
  <si>
    <t>W4/S1</t>
  </si>
  <si>
    <t>비타민B 경구제품</t>
  </si>
  <si>
    <t>W4/S2</t>
  </si>
  <si>
    <t>비맥스메타비
임팩타민 시그니처정
비맥스메타정</t>
  </si>
  <si>
    <t>pd0001998
pd0002406
pd0002002</t>
  </si>
  <si>
    <t>pd0001998 1F
pd0002406 1F
pd0002002 1F</t>
  </si>
  <si>
    <t>W4/S3</t>
  </si>
  <si>
    <t>마그비스피드더블액션
마그콤</t>
  </si>
  <si>
    <t>pd0002410
pd0000052</t>
  </si>
  <si>
    <t>pd0002410 1F
pd0000052 1F</t>
  </si>
  <si>
    <t>W4/S4</t>
  </si>
  <si>
    <t>글루타치온 경구 의약품</t>
  </si>
  <si>
    <t>에바치온캡슐</t>
  </si>
  <si>
    <t>pd0001907</t>
  </si>
  <si>
    <t>pd0001907 1F</t>
  </si>
  <si>
    <t>W4/S5</t>
  </si>
  <si>
    <t>자양강장·한방 상담약 / 간 관련 상담약</t>
  </si>
  <si>
    <t>글루콤액
한풍 경옥고
우루사정100mg
헤파토스시럽</t>
  </si>
  <si>
    <t>pd0000013
pd0002052
pd0002489
pd0002488</t>
  </si>
  <si>
    <t>pd0000013 1F
pd0002052 1F
pd0002489 1F
pd0002488 1F</t>
  </si>
  <si>
    <t>W5/S1</t>
  </si>
  <si>
    <t>W5/S2</t>
  </si>
  <si>
    <t>한미 엔플 프리미엄 멀티비타민 이뮨삿 7병
비타블로썸 멀티비타민 이뮨 부스터</t>
  </si>
  <si>
    <t>pd0002216
pd0002398</t>
  </si>
  <si>
    <t>pd0002216 1F
pd0002398 1F</t>
  </si>
  <si>
    <t>W5/S3</t>
  </si>
  <si>
    <t>정원삼 6년근 고려홍삼정365스틱
정원삼 6년근 발효홍삼 농축액스틱</t>
  </si>
  <si>
    <t>pd0002059
pd0002055</t>
  </si>
  <si>
    <t>pd0002059 1F
pd0002055 1F</t>
  </si>
  <si>
    <t>W5/S4</t>
  </si>
  <si>
    <t>콜라겐·이너뷰티 / 홍삼 제품</t>
  </si>
  <si>
    <t>에버콜라겐 블랙
정원삼 6년근 고려홍삼정 로얄젤리스틱</t>
  </si>
  <si>
    <t>pd0000061
pd0002053</t>
  </si>
  <si>
    <t>pd0000061 1F
pd0002053 1F</t>
  </si>
  <si>
    <t>W5/S5</t>
  </si>
  <si>
    <t>정원삼 6년근 고려홍삼정365스틱
정원삼 고려홍삼절편 365</t>
  </si>
  <si>
    <t>pd0002057
pd0002085</t>
  </si>
  <si>
    <t>pd0002057 1F
pd0002085 1F</t>
  </si>
  <si>
    <t>L1/S1</t>
  </si>
  <si>
    <t>비염·알레르기 상담약</t>
  </si>
  <si>
    <t>지르텍정
알러샷연질캡슐</t>
  </si>
  <si>
    <t>pd0001957
pd0002434</t>
  </si>
  <si>
    <t>최상단 개구100mm, 계획 상품높이80mm 이하. 낮은 포장 또는 허용된 눕힘 진열만. 초과 시 S2 이하로 재배치.</t>
  </si>
  <si>
    <t>PDF p7 (2026-08-07) + 원본 2526품목; 판매·마진 데이터 없음</t>
  </si>
  <si>
    <t>pd0001957 1F
pd0002434 1F</t>
  </si>
  <si>
    <t>L1/S2</t>
  </si>
  <si>
    <t>종합감기 상담약</t>
  </si>
  <si>
    <t>헤일리온_테라플루 데이타임 (포) 6P
콜대원 콜드큐시럽
헤일리온_테라플루 나이트타임
모드콜에스연질캡슐</t>
  </si>
  <si>
    <t>pd0001958
pd0002435
pd0001966
pd0002536</t>
  </si>
  <si>
    <t>pd0001958 1F
pd0002435 1F
pd0001966 1F
pd0002536 1F</t>
  </si>
  <si>
    <t>L1/S3</t>
  </si>
  <si>
    <t>기침·인후 상담약</t>
  </si>
  <si>
    <t>용각산쿨과립(복숭아)
목앤스프레이
콜대원코프큐시럽</t>
  </si>
  <si>
    <t>pd0002070
pd0002430
pd0002432</t>
  </si>
  <si>
    <t>pd0002070 1F
pd0002430 1F
pd0002432 1F</t>
  </si>
  <si>
    <t>L1/S4</t>
  </si>
  <si>
    <t>코앤나잘스프레이
코앤쿨나잘스프레이</t>
  </si>
  <si>
    <t>pd0002420
pd0002423</t>
  </si>
  <si>
    <t>pd0002420 1F
pd0002423 1F</t>
  </si>
  <si>
    <t>L1/S5</t>
  </si>
  <si>
    <t>종합감기 상담약 / 기침·인후 상담약 / 비염·알레르기 상담약</t>
  </si>
  <si>
    <t>챔프콜드펜시럽
챔프코프액(포도향)
챔프노즈시럽(복숭아향)</t>
  </si>
  <si>
    <t>pd0002042
pd0002043
pd0002047</t>
  </si>
  <si>
    <t>pd0002042 1F
pd0002043 1F
pd0002047 1F</t>
  </si>
  <si>
    <t>L2/S1</t>
  </si>
  <si>
    <t>소화·위장 상담약</t>
  </si>
  <si>
    <t>훼스탈슈퍼자임정
다제스캡슐
까스앤프리츄정</t>
  </si>
  <si>
    <t>pd0002023
pd0002030
pd0002388</t>
  </si>
  <si>
    <t>pd0002023 1F
pd0002030 1F
pd0002388 1F</t>
  </si>
  <si>
    <t>L2/S2</t>
  </si>
  <si>
    <t>겔포스엘 현탁액
베나치오이지
트리겔현탁액 10ml*8p</t>
  </si>
  <si>
    <t>pd0002019
pd0002020
pd0002400</t>
  </si>
  <si>
    <t>pd0002019 1F
pd0002020 1F
pd0002400 1F</t>
  </si>
  <si>
    <t>L2/S3</t>
  </si>
  <si>
    <t>설사 상담약</t>
  </si>
  <si>
    <t>포타겔현탁액
로페시콘츄정
일양정로환에프정</t>
  </si>
  <si>
    <t>pd0002393
pd0002391
pd0002539</t>
  </si>
  <si>
    <t>pd0002393 1F
pd0002391 1F
pd0002539 1F</t>
  </si>
  <si>
    <t>L2/S4</t>
  </si>
  <si>
    <t>변비 상담약</t>
  </si>
  <si>
    <t>굿모닝에스과립
한풍올가과립</t>
  </si>
  <si>
    <t>pd0002035
pd0002031</t>
  </si>
  <si>
    <t>pd0002035 1F
pd0002031 1F</t>
  </si>
  <si>
    <t>L2/S5</t>
  </si>
  <si>
    <t>멀미 상담약</t>
  </si>
  <si>
    <t>보나링츄어블정
멀스토구강용해필름
해피트립액</t>
  </si>
  <si>
    <t>pd0002050
pd0002051
pd0002048</t>
  </si>
  <si>
    <t>pd0002050 1F
pd0002051 1F
pd0002048 1F</t>
  </si>
  <si>
    <t>L3/S1</t>
  </si>
  <si>
    <t>경구 해열·진통제</t>
  </si>
  <si>
    <t>타이레놀정500mg
이지엔6이브
탁센연질캡슐
탁센덱시연질캡슐</t>
  </si>
  <si>
    <t>pd0001934
pd0001940
pd0001947
pd0001949</t>
  </si>
  <si>
    <t>pd0001934 2F
pd0001940 1F
pd0001947 1F
pd0001949 1F</t>
  </si>
  <si>
    <t>L3/S2</t>
  </si>
  <si>
    <t>파스·바르는 진통제</t>
  </si>
  <si>
    <t>신신파스아렉스(중)
신신파스플렉스 아렉스마일드
신신파스 아렉스 롱</t>
  </si>
  <si>
    <t>pd0001890
pd0001875
pd0001883</t>
  </si>
  <si>
    <t>pd0001890 2F
pd0001875 1F
pd0001883 1F</t>
  </si>
  <si>
    <t>L3/S3</t>
  </si>
  <si>
    <t>로이히츠보코 코인플라스타
디펜쿨플라스타</t>
  </si>
  <si>
    <t>pd0001902
pd0001867</t>
  </si>
  <si>
    <t>pd0001902 1F
pd0001867 1F</t>
  </si>
  <si>
    <t>L3/S4</t>
  </si>
  <si>
    <t>안티푸라민연고
안티푸라민로션에스
제놀록소파워겔</t>
  </si>
  <si>
    <t>pd0002405
pd0001897
pd0001895</t>
  </si>
  <si>
    <t>pd0002405 1F
pd0001897 1F
pd0001895 1F</t>
  </si>
  <si>
    <t>L3/S5</t>
  </si>
  <si>
    <t>신신에어파스에프
안티푸라민쿨에어파스</t>
  </si>
  <si>
    <t>pd0001891
pd0002403</t>
  </si>
  <si>
    <t>pd0001891 1F
pd0002403 1F</t>
  </si>
  <si>
    <t>L4/S1</t>
  </si>
  <si>
    <t>구내염·구강 상담약</t>
  </si>
  <si>
    <t>페리톡겔 10g
페리덱스연고</t>
  </si>
  <si>
    <t>pd0001927
pd0001937</t>
  </si>
  <si>
    <t>pd0001927 1F
pd0001937 1F</t>
  </si>
  <si>
    <t>L4/S2</t>
  </si>
  <si>
    <t>치약</t>
  </si>
  <si>
    <t>오스템 옥치잇몸치약
옥치불소1450치약</t>
  </si>
  <si>
    <t>pd0002316
pd0002317</t>
  </si>
  <si>
    <t>pd0002316 1F
pd0002317 1F</t>
  </si>
  <si>
    <t>L4/S3</t>
  </si>
  <si>
    <t>가글·구강 스프레이</t>
  </si>
  <si>
    <t>폼글 거품가글 슈퍼민트(알란토인) 50ml
블루브레스구강스프레이</t>
  </si>
  <si>
    <t>pd0002172
pd0002105</t>
  </si>
  <si>
    <t>pd0002172 1F
pd0002105 1F</t>
  </si>
  <si>
    <t>L4/S4</t>
  </si>
  <si>
    <t>칫솔·치실·구강용품</t>
  </si>
  <si>
    <t>유이앤루이 핀포인트 칫솔
아케이바이 오토 디스펜서 치실
폼글 양면 혀클리너 (블루) 1P</t>
  </si>
  <si>
    <t>pd0002140
pd0002131
pd0002173</t>
  </si>
  <si>
    <t>pd0002140 1F
pd0002131 1F
pd0002173 1F</t>
  </si>
  <si>
    <t>L4/S5</t>
  </si>
  <si>
    <t>테라브레스 프레시브레스 클린민트
테라브레스 헬시스마일 오랄린스 스파클민트향</t>
  </si>
  <si>
    <t>pd0002074
pd0002511</t>
  </si>
  <si>
    <t>pd0002074 1F
pd0002511 1F</t>
  </si>
  <si>
    <t>B1/S1</t>
  </si>
  <si>
    <t>면포성 여드름 외용제 / 붉은 여드름 외용제 / 기타 여드름 외용제</t>
  </si>
  <si>
    <t>B1/S2</t>
  </si>
  <si>
    <t>애크린 겔
애크논 크림</t>
  </si>
  <si>
    <t>pd0001835
pd0001856</t>
  </si>
  <si>
    <t>pd0001835 1F
pd0001856 1F</t>
  </si>
  <si>
    <t>B1/S3</t>
  </si>
  <si>
    <t>이지덤뷰티</t>
  </si>
  <si>
    <t>pd0002320</t>
  </si>
  <si>
    <t>pd0002320 1F</t>
  </si>
  <si>
    <t>B1/S4</t>
  </si>
  <si>
    <t>아크로패스 트러블 스팟 카밍 패치 (60패치)</t>
  </si>
  <si>
    <t>pd0000903</t>
  </si>
  <si>
    <t>pd0000903 1F</t>
  </si>
  <si>
    <t>B1/S5</t>
  </si>
  <si>
    <t>B2/S1</t>
  </si>
  <si>
    <t>흉터 외용제 / 상처 항균 외용제 / 일반·방수 밴드</t>
  </si>
  <si>
    <t>B2/S2</t>
  </si>
  <si>
    <t>노스카나겔</t>
  </si>
  <si>
    <t>pd0001833</t>
  </si>
  <si>
    <t>pd0001833 1F</t>
  </si>
  <si>
    <t>B2/S3</t>
  </si>
  <si>
    <t>더마틱스울트라겔</t>
  </si>
  <si>
    <t>pd0001841</t>
  </si>
  <si>
    <t>pd0001841 1F</t>
  </si>
  <si>
    <t>B2/S4</t>
  </si>
  <si>
    <t>케어리브(혼합형)</t>
  </si>
  <si>
    <t>pd0002474</t>
  </si>
  <si>
    <t>pd0002474 1F</t>
  </si>
  <si>
    <t>B2/S5</t>
  </si>
  <si>
    <t>B3/S1</t>
  </si>
  <si>
    <t>마스크·위생 소모품</t>
  </si>
  <si>
    <t>B3/S2</t>
  </si>
  <si>
    <t>닥터플러스 KF94 황사마스크 (대형/검정색/새부리형)
이케어 데일리마스크</t>
  </si>
  <si>
    <t>pd0000106
pd0000089</t>
  </si>
  <si>
    <t>pd0000106 1F
pd0000089 1F</t>
  </si>
  <si>
    <t>B3/S3</t>
  </si>
  <si>
    <t>여행·생활용품</t>
  </si>
  <si>
    <t>살룸 3D 암막 수면 안대
살룸 초경량 수면 안대 세트</t>
  </si>
  <si>
    <t>pd0002110
pd0002112</t>
  </si>
  <si>
    <t>pd0002110 1F
pd0002112 1F</t>
  </si>
  <si>
    <t>B3/S4</t>
  </si>
  <si>
    <t>캐리에어 여행용 접이식 실리콘컵</t>
  </si>
  <si>
    <t>pd0002144</t>
  </si>
  <si>
    <t>pd0002144 1F</t>
  </si>
  <si>
    <t>B3/S5</t>
  </si>
  <si>
    <t>모스세이프가드액</t>
  </si>
  <si>
    <t>pd0001868</t>
  </si>
  <si>
    <t>pd0001868 1F</t>
  </si>
  <si>
    <t>B4/S1</t>
  </si>
  <si>
    <t>피지·모공 스킨케어 / 톤·브라이트닝 스킨케어 / 장벽·보습 스킨케어 / 진정 스킨케어 / 탄력·주름 스킨케어</t>
  </si>
  <si>
    <t>B4/S2</t>
  </si>
  <si>
    <t>면포성 여드름 외용제 / 피지·모공 스킨케어 / 기미·색소 외용제 / 톤·브라이트닝 스킨케어</t>
  </si>
  <si>
    <t>B4/S3</t>
  </si>
  <si>
    <t>장벽·보습 스킨케어 / 진정 스킨케어 / 탄력·주름 스킨케어</t>
  </si>
  <si>
    <t>B4/S4</t>
  </si>
  <si>
    <t>면포성 여드름 외용제 / 흉터 외용제 / 기미·색소 외용제</t>
  </si>
  <si>
    <t>B4/S5</t>
  </si>
  <si>
    <t>B5/S1</t>
  </si>
  <si>
    <t>비타민C 경구제품 / 멀티비타민·미네랄 / 홍삼 제품</t>
  </si>
  <si>
    <t>B5/S2</t>
  </si>
  <si>
    <t>고려은단 비타민C1000(120T)</t>
  </si>
  <si>
    <t>pd0002204</t>
  </si>
  <si>
    <t>pd0002204 1F</t>
  </si>
  <si>
    <t>B5/S3</t>
  </si>
  <si>
    <t>에버콜라겐 타임 레티놀 A</t>
  </si>
  <si>
    <t>pd0000001</t>
  </si>
  <si>
    <t>pd0000001 1F</t>
  </si>
  <si>
    <t>B5/S4</t>
  </si>
  <si>
    <t>정원삼 6년근 고려홍삼정365스틱</t>
  </si>
  <si>
    <t>pd0002059</t>
  </si>
  <si>
    <t>pd0002059 1F</t>
  </si>
  <si>
    <t>B5/S5</t>
  </si>
  <si>
    <t>B6/S1</t>
  </si>
  <si>
    <t>B6/S2</t>
  </si>
  <si>
    <t>(리쥬올)PDRN리쥬비네이팅크림</t>
  </si>
  <si>
    <t>pd0002347</t>
  </si>
  <si>
    <t>pd0002347 1F</t>
  </si>
  <si>
    <t>B6/S3</t>
  </si>
  <si>
    <t>리쥬비에스</t>
  </si>
  <si>
    <t>pd0001847</t>
  </si>
  <si>
    <t>pd0001847 1F</t>
  </si>
  <si>
    <t>B6/S4</t>
  </si>
  <si>
    <t>리쥬란 턴오버 마스크</t>
  </si>
  <si>
    <t>pd0002332</t>
  </si>
  <si>
    <t>pd0002332 1F</t>
  </si>
  <si>
    <t>B6/S5</t>
  </si>
  <si>
    <t>B7/S1</t>
  </si>
  <si>
    <t>장벽·보습 스킨케어 / 진정 스킨케어 / 수분 스킨케어</t>
  </si>
  <si>
    <t>B7/S2</t>
  </si>
  <si>
    <t>닥터리쥬올-세라마이드 베리어 크림</t>
  </si>
  <si>
    <t>pd0002339</t>
  </si>
  <si>
    <t>pd0002339 1F</t>
  </si>
  <si>
    <t>B7/S3</t>
  </si>
  <si>
    <t>테카플러스포뮬러 페이셜 리페어 크림</t>
  </si>
  <si>
    <t>pd0002547</t>
  </si>
  <si>
    <t>pd0002547 1F</t>
  </si>
  <si>
    <t>B7/S4</t>
  </si>
  <si>
    <t>비플레인 아쿠아 퓨어 히알루로닉 크림</t>
  </si>
  <si>
    <t>pd0002276</t>
  </si>
  <si>
    <t>pd0002276 1F</t>
  </si>
  <si>
    <t>B7/S5</t>
  </si>
  <si>
    <t>B8/S1</t>
  </si>
  <si>
    <t>신성분 스킨케어</t>
  </si>
  <si>
    <t>B8/S2</t>
  </si>
  <si>
    <t>톰 CPR 트리플 시너지 링클케어 세럼 (30ml)</t>
  </si>
  <si>
    <t>pd0001730</t>
  </si>
  <si>
    <t>시험 진열</t>
  </si>
  <si>
    <t>pd0001730 1F</t>
  </si>
  <si>
    <t>B8/S3</t>
  </si>
  <si>
    <t>톰 NMN 10X 포텐좀 모공 리프팅 세럼 (30ml)</t>
  </si>
  <si>
    <t>pd0001733</t>
  </si>
  <si>
    <t>pd0001733 1F</t>
  </si>
  <si>
    <t>B8/S4</t>
  </si>
  <si>
    <t>톰 NMN 10X 포텐좀 모공 리프팅 크림 (60ml)</t>
  </si>
  <si>
    <t>pd0001734</t>
  </si>
  <si>
    <t>pd0001734 1F</t>
  </si>
  <si>
    <t>B8/S5</t>
  </si>
  <si>
    <t>G1-D-1/S1</t>
  </si>
  <si>
    <t>면포성 여드름 외용제</t>
  </si>
  <si>
    <t>PDF p3~4 (2026-08-11) + 원본 2526품목; 판매·마진 데이터 없음</t>
  </si>
  <si>
    <t>G1-D-1/S2</t>
  </si>
  <si>
    <t>애크린 겔
클리어틴외용액2%</t>
  </si>
  <si>
    <t>pd0001835
pd0001853</t>
  </si>
  <si>
    <t>pd0001835 2F
pd0001853 1F</t>
  </si>
  <si>
    <t>G1-D-1/S3</t>
  </si>
  <si>
    <t>붉은 여드름 외용제</t>
  </si>
  <si>
    <t>애크논 크림
큐아크네플러스크림</t>
  </si>
  <si>
    <t>pd0001856
pd0001821</t>
  </si>
  <si>
    <t>pd0001856 2F
pd0001821 1F</t>
  </si>
  <si>
    <t>G1-D-1/S4</t>
  </si>
  <si>
    <t>기타 여드름 외용제</t>
  </si>
  <si>
    <t>파티마겔2.5%
아젤리아크림</t>
  </si>
  <si>
    <t>pd0001854
pd0002361</t>
  </si>
  <si>
    <t>pd0001854 1F
pd0002361 1F</t>
  </si>
  <si>
    <t>G1-D-1/S5</t>
  </si>
  <si>
    <t>세비타비겔
센스힐겔</t>
  </si>
  <si>
    <t>pd0001857
pd0002554</t>
  </si>
  <si>
    <t>pd0001857 1F
pd0002554 1F</t>
  </si>
  <si>
    <t>G1-D-2/S1</t>
  </si>
  <si>
    <t>G1-D-2/S2</t>
  </si>
  <si>
    <t>이지덤뷰티
이지덤밴드뷰티릴리프
닥터원더 트러블스팟 원더패치 60매</t>
  </si>
  <si>
    <t>pd0002320
pd0002311
pd0002091</t>
  </si>
  <si>
    <t>pd0002320 2F
pd0002311 1F
pd0002091 1F</t>
  </si>
  <si>
    <t>G1-D-2/S3</t>
  </si>
  <si>
    <t>이지덤뷰티 퀵카밍 6매
아크로패스 트러블큐어 마이크로콘 패치(스몰, 9패치)</t>
  </si>
  <si>
    <t>pd0002319
pd0000905</t>
  </si>
  <si>
    <t>pd0002319 1F
pd0000905 1F</t>
  </si>
  <si>
    <t>G1-D-2/S4</t>
  </si>
  <si>
    <t>아크로패스 트러블 스팟 카밍 패치 (60패치)
아크로패스 트러블 스팟 케어 패치 (72패치)</t>
  </si>
  <si>
    <t>pd0000903
pd0000904</t>
  </si>
  <si>
    <t>pd0000903 1F
pd0000904 1F</t>
  </si>
  <si>
    <t>G1-D-2/S5</t>
  </si>
  <si>
    <t>닥터원더 트러블스팟 원더패치 135매
마데카밴드트러블케어매직패치</t>
  </si>
  <si>
    <t>pd0002090
pd0002555</t>
  </si>
  <si>
    <t>pd0002090 1F
pd0002555 1F</t>
  </si>
  <si>
    <t>G1-D-3/S1</t>
  </si>
  <si>
    <t>G1-D-3/S2</t>
  </si>
  <si>
    <t>엠디스픽 테카테카 징크 PCA 클리어 크림 Rx
아크페어 클리어 겔</t>
  </si>
  <si>
    <t>pd0001055
pd0002467</t>
  </si>
  <si>
    <t>pd0001055 1F
pd0002467 1F</t>
  </si>
  <si>
    <t>G1-D-3/S3</t>
  </si>
  <si>
    <t>프랭클리 나이아신아마이드15% 징크 비즈 트러블케어세럼 30ml
톰 ABC 트리플 시너지 트러블 세럼</t>
  </si>
  <si>
    <t>pd0002238
pd0002416</t>
  </si>
  <si>
    <t>pd0002238 1F
pd0002416 1F</t>
  </si>
  <si>
    <t>G1-D-3/S4</t>
  </si>
  <si>
    <t>프랭클리 패스트 핌플 이레이저 15ml
비플레인 시카테롤 스팟 트리트먼트</t>
  </si>
  <si>
    <t>pd0002247
pd0002370</t>
  </si>
  <si>
    <t>pd0002247 1F
pd0002370 1F</t>
  </si>
  <si>
    <t>G1-D-3/S5</t>
  </si>
  <si>
    <t>네오젠 포어레이져클리어BHA패드</t>
  </si>
  <si>
    <t>pd0000551</t>
  </si>
  <si>
    <t>pd0000551 1F</t>
  </si>
  <si>
    <t>G1-U-1/S1</t>
  </si>
  <si>
    <t>세안제·클렌징</t>
  </si>
  <si>
    <t>G1-U-1/S2</t>
  </si>
  <si>
    <t>엠디스픽 테카테카 카밍 젤리폼 클렌저
네오젠 에이클리어아크네폼클렌져</t>
  </si>
  <si>
    <t>pd0001043
pd0000547</t>
  </si>
  <si>
    <t>pd0001043 1F
pd0000547 1F</t>
  </si>
  <si>
    <t>G1-U-1/S3</t>
  </si>
  <si>
    <t>믹순 콩 클렌징 오일
프랭클리 딥 클렌징 오일 200ml
엠디스픽 테카테카 카밍 포어 클렌징 오일</t>
  </si>
  <si>
    <t>pd0002293
pd0002240
pd0001044</t>
  </si>
  <si>
    <t>pd0002293 1F
pd0002240 1F
pd0001044 1F</t>
  </si>
  <si>
    <t>G1-U-1/S4</t>
  </si>
  <si>
    <t>필플로 롤링 밀크 페이셜 클렌져</t>
  </si>
  <si>
    <t>pd0000596</t>
  </si>
  <si>
    <t>pd0000596 1F</t>
  </si>
  <si>
    <t>G1-U-1/S5</t>
  </si>
  <si>
    <t>닥터바이오 에코 올인원 클렌저 500g</t>
  </si>
  <si>
    <t>pd0000539</t>
  </si>
  <si>
    <t>pd0000539 1F</t>
  </si>
  <si>
    <t>G1-U-2/S1</t>
  </si>
  <si>
    <t>각질·필링 케어</t>
  </si>
  <si>
    <t>G1-U-2/S2</t>
  </si>
  <si>
    <t>닥터오라클 21STAY 에이테라 필링스틱</t>
  </si>
  <si>
    <t>pd0000588</t>
  </si>
  <si>
    <t>pd0000588 1F</t>
  </si>
  <si>
    <t>G1-U-2/S3</t>
  </si>
  <si>
    <t>닥터 멜락신 티엑스 필링 토너 150ml</t>
  </si>
  <si>
    <t>pd0001119</t>
  </si>
  <si>
    <t>pd0001119 1F</t>
  </si>
  <si>
    <t>G1-U-2/S4</t>
  </si>
  <si>
    <t>닥터딥 미네랄 엑소좀 필링 글로우 세럼</t>
  </si>
  <si>
    <t>pd0001212</t>
  </si>
  <si>
    <t>pd0001212 1F</t>
  </si>
  <si>
    <t>G1-U-2/S5</t>
  </si>
  <si>
    <t>웰더마 차이슬 티트리 허브 톡스 필링 팩 150ml</t>
  </si>
  <si>
    <t>pd0001534</t>
  </si>
  <si>
    <t>pd0001534 1F</t>
  </si>
  <si>
    <t>G1-U-3/S1</t>
  </si>
  <si>
    <t>G1-U-3/S2</t>
  </si>
  <si>
    <t>낫포유 클리어 바디 미스트 120ml
엠디스픽 테카테카 카밍 순 바디미스트</t>
  </si>
  <si>
    <t>pd0000531
pd0001053</t>
  </si>
  <si>
    <t>pd0000531 1F
pd0001053 1F</t>
  </si>
  <si>
    <t>G1-U-3/S3</t>
  </si>
  <si>
    <t>바디 세정</t>
  </si>
  <si>
    <t>라이프프로젝트 리틀포레스트 바디워시 500ml</t>
  </si>
  <si>
    <t>pd0000500</t>
  </si>
  <si>
    <t>pd0000500 1F</t>
  </si>
  <si>
    <t>G1-U-3/S4</t>
  </si>
  <si>
    <t>플루 바디 스크럽 핑크 플로럴 250g</t>
  </si>
  <si>
    <t>pd0000544</t>
  </si>
  <si>
    <t>pd0000544 1F</t>
  </si>
  <si>
    <t>G1-U-3/S5</t>
  </si>
  <si>
    <t>몸 여드름 외용제</t>
  </si>
  <si>
    <t>애크린외용액</t>
  </si>
  <si>
    <t>pd0001860</t>
  </si>
  <si>
    <t>pd0001860 1F</t>
  </si>
  <si>
    <t>G2-D-1/S1</t>
  </si>
  <si>
    <t>흉터 외용제 / 실리콘 흉터관리 제품</t>
  </si>
  <si>
    <t>G2-D-1/S2</t>
  </si>
  <si>
    <t>노스카나겔
스카덤겔</t>
  </si>
  <si>
    <t>pd0001833
pd0001834</t>
  </si>
  <si>
    <t>pd0001833 2F
pd0001834 1F</t>
  </si>
  <si>
    <t>G2-D-1/S3</t>
  </si>
  <si>
    <t>더마틱스울트라겔
스카덤울트라</t>
  </si>
  <si>
    <t>pd0001841
pd0001832</t>
  </si>
  <si>
    <t>pd0001841 1F
pd0001832 1F</t>
  </si>
  <si>
    <t>G2-D-1/S4</t>
  </si>
  <si>
    <t>노스카딘겔</t>
  </si>
  <si>
    <t>pd0001858</t>
  </si>
  <si>
    <t>pd0001858 1F</t>
  </si>
  <si>
    <t>G2-D-1/S5</t>
  </si>
  <si>
    <t>G2-D-2/S1</t>
  </si>
  <si>
    <t>G2-D-2/S2</t>
  </si>
  <si>
    <t>케어리브(소형)
케어리브(중형)
케어리브(혼합형)</t>
  </si>
  <si>
    <t>pd0002024
pd0002025
pd0002474</t>
  </si>
  <si>
    <t>pd0002024 1F
pd0002025 1F
pd0002474 1F</t>
  </si>
  <si>
    <t>G2-D-2/S3</t>
  </si>
  <si>
    <t>케어리브방수형M
케어리브방수(소형)
케어리브 방수 대형</t>
  </si>
  <si>
    <t>pd0001861
pd0001864
pd0001863</t>
  </si>
  <si>
    <t>pd0001861 1F
pd0001864 1F
pd0001863 1F</t>
  </si>
  <si>
    <t>G2-D-2/S4</t>
  </si>
  <si>
    <t>케어리브(손끝)
케어리브 방수 손끝형</t>
  </si>
  <si>
    <t>pd0002027
pd0001862</t>
  </si>
  <si>
    <t>pd0002027 1F
pd0001862 1F</t>
  </si>
  <si>
    <t>G2-D-2/S5</t>
  </si>
  <si>
    <t>케어리브(발뒤꿈치)
케어리브(도트)</t>
  </si>
  <si>
    <t>pd0002028
pd0002029</t>
  </si>
  <si>
    <t>pd0002028 1F
pd0002029 1F</t>
  </si>
  <si>
    <t>G2-D-3/S1</t>
  </si>
  <si>
    <t>G2-D-3/S2</t>
  </si>
  <si>
    <t>케어리브습윤방수(작은상처)
케어리브습윤방수(중형)</t>
  </si>
  <si>
    <t>pd0002041
pd0002046</t>
  </si>
  <si>
    <t>pd0002041 1F
pd0002046 1F</t>
  </si>
  <si>
    <t>G2-D-3/S3</t>
  </si>
  <si>
    <t>케어리브 습윤밴드 방수형 L 9매
케어리브 습윤밴드 방수형 빅사이즈 5매</t>
  </si>
  <si>
    <t>pd0002017
pd0002044</t>
  </si>
  <si>
    <t>pd0002017 1F
pd0002044 1F</t>
  </si>
  <si>
    <t>G2-D-3/S4</t>
  </si>
  <si>
    <t>케어리브 습윤밴드 방수형 뒤꿈치용 8매</t>
  </si>
  <si>
    <t>pd0002049</t>
  </si>
  <si>
    <t>pd0002049 1F</t>
  </si>
  <si>
    <t>G2-D-3/S5</t>
  </si>
  <si>
    <t>G2-U-1/S1</t>
  </si>
  <si>
    <t>상처 항균 외용제</t>
  </si>
  <si>
    <t>G2-U-1/S2</t>
  </si>
  <si>
    <t>후시딘연고
에스로반연고</t>
  </si>
  <si>
    <t>pd0001822
pd0001894</t>
  </si>
  <si>
    <t>pd0001822 1F
pd0001894 1F</t>
  </si>
  <si>
    <t>G2-U-1/S3</t>
  </si>
  <si>
    <t>상처·피부손상 외용제</t>
  </si>
  <si>
    <t>미보연고
스티모린에스크림
아즈렌에스연고</t>
  </si>
  <si>
    <t>pd0001889
pd0002390
pd0001898</t>
  </si>
  <si>
    <t>pd0001889 1F
pd0002390 1F
pd0001898 1F</t>
  </si>
  <si>
    <t>G2-U-1/S4</t>
  </si>
  <si>
    <t>소독·상처 세정 제품</t>
  </si>
  <si>
    <t>애니클렌액
세네풀에스액</t>
  </si>
  <si>
    <t>pd0002392
pd0002394</t>
  </si>
  <si>
    <t>pd0002392 1F
pd0002394 1F</t>
  </si>
  <si>
    <t>G2-U-1/S5</t>
  </si>
  <si>
    <t>그린포비돈스틱스왑</t>
  </si>
  <si>
    <t>pd0002397</t>
  </si>
  <si>
    <t>pd0002397 1F</t>
  </si>
  <si>
    <t>G2-U-2/S1</t>
  </si>
  <si>
    <t>건조·각화 외용제</t>
  </si>
  <si>
    <t>G2-U-2/S2</t>
  </si>
  <si>
    <t>D-판테놀연고
비판텐연고</t>
  </si>
  <si>
    <t>pd0001921
pd0001842</t>
  </si>
  <si>
    <t>pd0001921 2F
pd0001842 1F</t>
  </si>
  <si>
    <t>G2-U-2/S3</t>
  </si>
  <si>
    <t>유리아크림
케라논연고</t>
  </si>
  <si>
    <t>pd0001892
pd0001896</t>
  </si>
  <si>
    <t>pd0001892 1F
pd0001896 1F</t>
  </si>
  <si>
    <t>G2-U-2/S4</t>
  </si>
  <si>
    <t>비판텐연고</t>
  </si>
  <si>
    <t>pd0001840</t>
  </si>
  <si>
    <t>pd0001840 1F</t>
  </si>
  <si>
    <t>G2-U-2/S5</t>
  </si>
  <si>
    <t>G2-U-3/S1</t>
  </si>
  <si>
    <t>핸드 케어</t>
  </si>
  <si>
    <t>G2-U-3/S2</t>
  </si>
  <si>
    <t>테카 핸드 우레아 크림
3WB 고운손 핸드크림</t>
  </si>
  <si>
    <t>pd0002549
pd0002443</t>
  </si>
  <si>
    <t>pd0002549 1F
pd0002443 1F</t>
  </si>
  <si>
    <t>G2-U-3/S3</t>
  </si>
  <si>
    <t>바세린 오리지날 프로텍팅 젤리(이너캡형)
낫포유 아토리스 이치 멀티밤 기획세트</t>
  </si>
  <si>
    <t>pd0002367
pd0002325</t>
  </si>
  <si>
    <t>pd0002367 1F
pd0002325 1F</t>
  </si>
  <si>
    <t>G2-U-3/S4</t>
  </si>
  <si>
    <t>프로캄 울트라 모이스처 업 바디로션</t>
  </si>
  <si>
    <t>pd0002466</t>
  </si>
  <si>
    <t>pd0002466 1F</t>
  </si>
  <si>
    <t>G2-U-3/S5</t>
  </si>
  <si>
    <t>라이프프로젝트 리틀포레스트 핸드워시 300ml</t>
  </si>
  <si>
    <t>pd0000501</t>
  </si>
  <si>
    <t>pd0000501 1F</t>
  </si>
  <si>
    <t>G3-D-1/S1</t>
  </si>
  <si>
    <t>G3-D-1/S2</t>
  </si>
  <si>
    <t>멜라토닝크림
도미나크림(튜브타입)4%</t>
  </si>
  <si>
    <t>pd0002265
pd0001848</t>
  </si>
  <si>
    <t>pd0002265 2F
pd0001848 2F</t>
  </si>
  <si>
    <t>G3-D-1/S3</t>
  </si>
  <si>
    <t>도미나라이트크림
멜라블리크림 (4%)</t>
  </si>
  <si>
    <t>pd0001843
pd0001849</t>
  </si>
  <si>
    <t>pd0001843 1F
pd0001849 1F</t>
  </si>
  <si>
    <t>G3-D-1/S4</t>
  </si>
  <si>
    <t>트란시노2정</t>
  </si>
  <si>
    <t>pd0001852</t>
  </si>
  <si>
    <t>pd0001852 1F</t>
  </si>
  <si>
    <t>G3-D-1/S5</t>
  </si>
  <si>
    <t>G3-D-2/S1</t>
  </si>
  <si>
    <t>톤·브라이트닝 스킨케어</t>
  </si>
  <si>
    <t>G3-D-2/S2</t>
  </si>
  <si>
    <t>마미케어 오쏘타민 비타C 앰플 15ml
프로캄 멜라 화이트닝 모이스쳐 세럼
프로캄 멜라 화이트닝 리프팅 세럼</t>
  </si>
  <si>
    <t>pd0001188
pd0002463
pd0002460</t>
  </si>
  <si>
    <t>pd0001188 1F
pd0002463 1F
pd0002460 1F</t>
  </si>
  <si>
    <t>G3-D-2/S3</t>
  </si>
  <si>
    <t>(리쥬올)어드밴스드 레티노멜라세럼
닥터 리쥬올 어드밴스드 레티노 멜라 톤 크림</t>
  </si>
  <si>
    <t>pd0002346
pd0002342</t>
  </si>
  <si>
    <t>pd0002346 1F
pd0002342 1F</t>
  </si>
  <si>
    <t>G3-D-2/S4</t>
  </si>
  <si>
    <t>마미케어 오쏘타민 비타민C 크림 50ml
마리나비 비타민씨25 펄 브라이트닝 세럼</t>
  </si>
  <si>
    <t>pd0001190
pd0002501</t>
  </si>
  <si>
    <t>pd0001190 1F
pd0002501 1F</t>
  </si>
  <si>
    <t>G3-D-2/S5</t>
  </si>
  <si>
    <t>마미케어 오쏘타민 비타민C 앰플 마스크팩</t>
  </si>
  <si>
    <t>pd0001191</t>
  </si>
  <si>
    <t>pd0001191 1F</t>
  </si>
  <si>
    <t>G3-D-3/S1</t>
  </si>
  <si>
    <t>G3-D-3/S2</t>
  </si>
  <si>
    <t>리쥬올어드밴스드PDRN카밍선세럼
프로캄 멜라이트 선 에센스</t>
  </si>
  <si>
    <t>pd0002343
pd0002468</t>
  </si>
  <si>
    <t>pd0002343 1F
pd0002468 1F</t>
  </si>
  <si>
    <t>G3-D-3/S3</t>
  </si>
  <si>
    <t>테카플러스포뮬러 컴포트선크림
마리나비 트루 마일드 선스크린</t>
  </si>
  <si>
    <t>pd0002548
pd0002503</t>
  </si>
  <si>
    <t>pd0002548 1F
pd0002503 1F</t>
  </si>
  <si>
    <t>G3-D-3/S4</t>
  </si>
  <si>
    <t>비플레인 선뮤즈 톤업 앤 코렉팅 선크림 (NEW)
비플레인 선뮤즈 모이스처 선크림 (NEW)</t>
  </si>
  <si>
    <t>pd0002278
pd0002280</t>
  </si>
  <si>
    <t>pd0002278 1F
pd0002280 1F</t>
  </si>
  <si>
    <t>G3-D-3/S5</t>
  </si>
  <si>
    <t>싸이닉 엔조이 워터프루프 에어핏 선스틱 20g</t>
  </si>
  <si>
    <t>pd0001513</t>
  </si>
  <si>
    <t>pd0001513 1F</t>
  </si>
  <si>
    <t>G3-U-1/S1</t>
  </si>
  <si>
    <t>G3-U-1/S2</t>
  </si>
  <si>
    <t>미녹시딜 바이그루트 5%겔
미녹시딜액5%</t>
  </si>
  <si>
    <t>pd0002255
pd0002257</t>
  </si>
  <si>
    <t>pd0002255 1F
pd0002257 1F</t>
  </si>
  <si>
    <t>G3-U-1/S3</t>
  </si>
  <si>
    <t>(신)니조랄2%액</t>
  </si>
  <si>
    <t>pd0002513</t>
  </si>
  <si>
    <t>pd0002513 1F</t>
  </si>
  <si>
    <t>G3-U-1/S4</t>
  </si>
  <si>
    <t>닥터 리쥬올 어드밴스드 피디알엔 헤어 덴시티 스칼프 세럼
루브큐텐플러스 헤어토닉 100ML</t>
  </si>
  <si>
    <t>pd0002335
pd0002506</t>
  </si>
  <si>
    <t>pd0002335 1F
pd0002506 1F</t>
  </si>
  <si>
    <t>G3-U-1/S5</t>
  </si>
  <si>
    <t>샴푸·두피 세정</t>
  </si>
  <si>
    <t>루트헤어 세라리프 베리어 클리닉 샴푸 295ml
메이레브 너리싱 앤 두피 케어 샴푸 400ML</t>
  </si>
  <si>
    <t>pd0002094
pd0002509</t>
  </si>
  <si>
    <t>pd0002094 1F
pd0002509 1F</t>
  </si>
  <si>
    <t>G3-U-2/S1</t>
  </si>
  <si>
    <t>여성 상담약</t>
  </si>
  <si>
    <t>머시론정
멜리안정</t>
  </si>
  <si>
    <t>pd0001987
pd0001988</t>
  </si>
  <si>
    <t>pd0001987 1F
pd0001988 1F</t>
  </si>
  <si>
    <t>G3-U-2/S2</t>
  </si>
  <si>
    <t>카네스텐1질정</t>
  </si>
  <si>
    <t>pd0002418</t>
  </si>
  <si>
    <t>pd0002418 1F</t>
  </si>
  <si>
    <t>G3-U-2/S3</t>
  </si>
  <si>
    <t>여성 위생·청결</t>
  </si>
  <si>
    <t>프로캄 클레어진
닥터헬퍼 여성세정엔 락센(여성청결제)</t>
  </si>
  <si>
    <t>pd0002417
pd0000108</t>
  </si>
  <si>
    <t>pd0002417 1F
pd0000108 1F</t>
  </si>
  <si>
    <t>G3-U-2/S4</t>
  </si>
  <si>
    <t>템포내추럴
리올가닉 롱팬티라이너 26P</t>
  </si>
  <si>
    <t>pd0001830
pd0002321</t>
  </si>
  <si>
    <t>pd0001830 1F
pd0002321 1F</t>
  </si>
  <si>
    <t>G3-U-2/S5</t>
  </si>
  <si>
    <t>콘돔·셀프검사</t>
  </si>
  <si>
    <t>소프트콘돔PLAINP(일반형)
센스데이 얼리체크</t>
  </si>
  <si>
    <t>pd0000014
pd0002510</t>
  </si>
  <si>
    <t>pd0000014 1F
pd0002510 1F</t>
  </si>
  <si>
    <t>G3-U-3/S1</t>
  </si>
  <si>
    <t>수면 상담약</t>
  </si>
  <si>
    <t>G3-U-3/S2</t>
  </si>
  <si>
    <t>자멘쏙정
한미슬리펠정</t>
  </si>
  <si>
    <t>pd0002219
pd0002350</t>
  </si>
  <si>
    <t>pd0002219 1F
pd0002350 1F</t>
  </si>
  <si>
    <t>G3-U-3/S3</t>
  </si>
  <si>
    <t>수면 관련 식품</t>
  </si>
  <si>
    <t>앨리스랩 하이퍼셀 식물성 멜라토닌 구미
수면엔릴잠</t>
  </si>
  <si>
    <t>pd0002492
pd0002556</t>
  </si>
  <si>
    <t>pd0002492 1F
pd0002556 1F</t>
  </si>
  <si>
    <t>G3-U-3/S4</t>
  </si>
  <si>
    <t>COZA 코자아</t>
  </si>
  <si>
    <t>pd0000128</t>
  </si>
  <si>
    <t>pd0000128 1F</t>
  </si>
  <si>
    <t>G3-U-3/S5</t>
  </si>
  <si>
    <t>치질 상담약</t>
  </si>
  <si>
    <t>푸레파인마일드연고
치지래연고</t>
  </si>
  <si>
    <t>pd0001926
pd0002037</t>
  </si>
  <si>
    <t>pd0001926 1F
pd0002037 1F</t>
  </si>
  <si>
    <t>G4-D-1/S1</t>
  </si>
  <si>
    <t>G4-D-1/S2</t>
  </si>
  <si>
    <t>비타민씨정1000mg</t>
  </si>
  <si>
    <t>pd0001996</t>
  </si>
  <si>
    <t>pd0001996 1F</t>
  </si>
  <si>
    <t>G4-D-1/S3</t>
  </si>
  <si>
    <t>고려은단 비타민C1000(120T)
고려은단 메가도스C 비타민C 3000mg
하이퍼셀리포좀비타민C</t>
  </si>
  <si>
    <t>pd0002204
pd0002201
pd0002413</t>
  </si>
  <si>
    <t>pd0002204 2F
pd0002201 1F
pd0002413 1F</t>
  </si>
  <si>
    <t>G4-D-1/S4</t>
  </si>
  <si>
    <t>하이퍼셀 리포좀 글루타치온C
라티브 글루타치온 화이트토마토샷</t>
  </si>
  <si>
    <t>pd0002414
pd0000267</t>
  </si>
  <si>
    <t>pd0002414 1F
pd0000267 1F</t>
  </si>
  <si>
    <t>G4-D-1/S5</t>
  </si>
  <si>
    <t>고려은단 비타민C1000(300T)</t>
  </si>
  <si>
    <t>pd0002087</t>
  </si>
  <si>
    <t>pd0002087 1F</t>
  </si>
  <si>
    <t>G4-D-2/S1</t>
  </si>
  <si>
    <t>G4-D-2/S2</t>
  </si>
  <si>
    <t>생유산균_락토핏_골드_리뉴얼
한미 엔플 덴마크 유산균 30C</t>
  </si>
  <si>
    <t>pd0002377
pd0002214</t>
  </si>
  <si>
    <t>pd0002377 2F
pd0002214 1F</t>
  </si>
  <si>
    <t>G4-D-2/S3</t>
  </si>
  <si>
    <t>그린스토어 우먼프로바이오틱스</t>
  </si>
  <si>
    <t>pd0002533</t>
  </si>
  <si>
    <t>pd0002533 1F</t>
  </si>
  <si>
    <t>G4-D-2/S4</t>
  </si>
  <si>
    <t>테일러 딥워터 푸룬
STOM 식이섬유정 1000</t>
  </si>
  <si>
    <t>pd0002148
pd0000157</t>
  </si>
  <si>
    <t>pd0002148 1F
pd0000157 1F</t>
  </si>
  <si>
    <t>G4-D-2/S5</t>
  </si>
  <si>
    <t>웰니스효소
달심 효소 후르츠믹스</t>
  </si>
  <si>
    <t>pd0002016
pd0002187</t>
  </si>
  <si>
    <t>pd0002016 1F
pd0002187 1F</t>
  </si>
  <si>
    <t>G4-U-1/S1</t>
  </si>
  <si>
    <t>G4-U-1/S2</t>
  </si>
  <si>
    <t>에버콜라겐 타임 레티놀 A
에버콜라겐 타임 비오틴 셀</t>
  </si>
  <si>
    <t>pd0000001
pd0000054</t>
  </si>
  <si>
    <t>pd0000001 2F
pd0000054 1F</t>
  </si>
  <si>
    <t>G4-U-1/S3</t>
  </si>
  <si>
    <t>앱솔루트콜라겐9.0</t>
  </si>
  <si>
    <t>pd0002014</t>
  </si>
  <si>
    <t>pd0002014 1F</t>
  </si>
  <si>
    <t>G4-U-1/S4</t>
  </si>
  <si>
    <t>단백질·아미노산</t>
  </si>
  <si>
    <t>낫띵베럴 단백질 쉐이크 초코크런치
낫띵베럴 단백질 쉐이크 딸기라떼</t>
  </si>
  <si>
    <t>pd0000344
pd0000345</t>
  </si>
  <si>
    <t>pd0000344 1F
pd0000345 1F</t>
  </si>
  <si>
    <t>G4-U-1/S5</t>
  </si>
  <si>
    <t>아르기닌 화이트 3X
익스트림 듀얼아르기닌 플러스 120정 (2개월분)</t>
  </si>
  <si>
    <t>pd0002500
pd0000464</t>
  </si>
  <si>
    <t>pd0002500 1F
pd0000464 1F</t>
  </si>
  <si>
    <t>G4-U-2/S1</t>
  </si>
  <si>
    <t>G4-U-2/S2</t>
  </si>
  <si>
    <t>고려은단 멀티비타민 올인원 맨
고려은단 멀티비타민 올인원 우먼</t>
  </si>
  <si>
    <t>pd0002194
pd0002196</t>
  </si>
  <si>
    <t>pd0002194 1F
pd0002196 1F</t>
  </si>
  <si>
    <t>G4-U-2/S3</t>
  </si>
  <si>
    <t>루테인·눈 영양</t>
  </si>
  <si>
    <t>고려은단 루테인 지아잔틴 아스타잔틴
올인원 루테인지아잔틴아스타잔틴</t>
  </si>
  <si>
    <t>pd0002193
pd0001991</t>
  </si>
  <si>
    <t>pd0002193 1F
pd0001991 1F</t>
  </si>
  <si>
    <t>G4-U-2/S4</t>
  </si>
  <si>
    <t>오메가3·혈행 영양</t>
  </si>
  <si>
    <t>고려은단 식물성 알티지 오메가3
한미 엔플 알티지 오메가3 츄어블1000 30C</t>
  </si>
  <si>
    <t>pd0002205
pd0002215</t>
  </si>
  <si>
    <t>pd0002205 1F
pd0002215 1F</t>
  </si>
  <si>
    <t>G4-U-2/S5</t>
  </si>
  <si>
    <t>칼슘·비타민D / 밀크씨슬·간 영양</t>
  </si>
  <si>
    <t>네츄럴메이드 코랄칼슘앤마그네슘플러스(3개월분)
네츄럴메이드 비타민D 2000IU (3개월분)
고려은단 퓨어 밀크씨슬</t>
  </si>
  <si>
    <t>pd0000186
pd0000190
pd0002206</t>
  </si>
  <si>
    <t>pd0000186 1F
pd0000190 1F
pd0002206 1F</t>
  </si>
  <si>
    <t>G5-D-1/S1</t>
  </si>
  <si>
    <t>PDRN 스킨케어 / 장벽·보습 스킨케어</t>
  </si>
  <si>
    <t>G5-D-1/S2</t>
  </si>
  <si>
    <t>pd0002347 2F</t>
  </si>
  <si>
    <t>G5-D-1/S3</t>
  </si>
  <si>
    <t>pd0002339 2F</t>
  </si>
  <si>
    <t>G5-D-1/S4</t>
  </si>
  <si>
    <t>닥터리쥬올PDRN마스크</t>
  </si>
  <si>
    <t>pd0002337</t>
  </si>
  <si>
    <t>pd0002337 1F</t>
  </si>
  <si>
    <t>G5-D-1/S5</t>
  </si>
  <si>
    <t>닥터리쥬올-어드밴스드 PDLLA 퍼밍 크림</t>
  </si>
  <si>
    <t>pd0002348</t>
  </si>
  <si>
    <t>pd0002348 1F</t>
  </si>
  <si>
    <t>G5-D-2/S1</t>
  </si>
  <si>
    <t>탄력·주름 스킨케어</t>
  </si>
  <si>
    <t>최상단 개구100mm, 계획 상품높이80mm 이하. 낮은 포장 또는 허용된 눕힘 진열만. 초과 시 S2 이하로 재배치. 도면 후크 설치존: 후크가 선반을 대체하는지 업체 확인. 후크 추가 수용량은 미산정.</t>
  </si>
  <si>
    <t>도면 후크존·방식 대조</t>
  </si>
  <si>
    <t>G5-D-2/S2</t>
  </si>
  <si>
    <t>네오젠 리얼레티놀세럼
네오젠 리얼 바쿠치올 퍼밍 세럼</t>
  </si>
  <si>
    <t>pd0000554
pd0000555</t>
  </si>
  <si>
    <t>상품명·규격은 원장 보존. 판매 단위·포장 치수·집기 실측 확인 후 배치 확정. 도면 후크 설치존: 후크가 선반을 대체하는지 업체 확인. 후크 추가 수용량은 미산정.</t>
  </si>
  <si>
    <t>pd0000554 1F
pd0000555 1F</t>
  </si>
  <si>
    <t>G5-D-2/S3</t>
  </si>
  <si>
    <t>톰 펩타이드 부스트 앰플 (50g)
마미케어 쥬베핏 펩타이드 앰플 35ml</t>
  </si>
  <si>
    <t>pd0001735
pd0001192</t>
  </si>
  <si>
    <t>pd0001735 1F
pd0001192 1F</t>
  </si>
  <si>
    <t>G5-D-2/S4</t>
  </si>
  <si>
    <t>마스크팩·패드</t>
  </si>
  <si>
    <t>더마픽스 리쥬콜 코드알엔 리셋 마스크팩</t>
  </si>
  <si>
    <t>pd0001448</t>
  </si>
  <si>
    <t>pd0001448 1F</t>
  </si>
  <si>
    <t>G5-D-2/S5</t>
  </si>
  <si>
    <t>마미케어 쥬베핏 펩타이드 캡슐크림 50ml</t>
  </si>
  <si>
    <t>pd0001193</t>
  </si>
  <si>
    <t>pd0001193 1F</t>
  </si>
  <si>
    <t>G5-D-3/S1</t>
  </si>
  <si>
    <t>G5-D-3/S2</t>
  </si>
  <si>
    <t>리쥬비에스
리쥬란 턴오버 앰플</t>
  </si>
  <si>
    <t>pd0001847
pd0002333</t>
  </si>
  <si>
    <t>pd0001847 2F
pd0002333 1F</t>
  </si>
  <si>
    <t>G5-D-3/S3</t>
  </si>
  <si>
    <t>리쥬란 턴오버 인핸스드 크림
레비온 RX PDRN EGF크림</t>
  </si>
  <si>
    <t>pd0002341
pd0001946</t>
  </si>
  <si>
    <t>pd0002341 2F
pd0001946 1F</t>
  </si>
  <si>
    <t>G5-D-3/S4</t>
  </si>
  <si>
    <t>리쥬란 턴오버 마스크
레비온알엑스마스크(PDRN,EGF)</t>
  </si>
  <si>
    <t>pd0002332
pd0001948</t>
  </si>
  <si>
    <t>pd0002332 1F
pd0001948 1F</t>
  </si>
  <si>
    <t>G5-D-3/S5</t>
  </si>
  <si>
    <t>피더린 리쥬부스터 크림 마스크</t>
  </si>
  <si>
    <t>pd0002517</t>
  </si>
  <si>
    <t>pd0002517 1F</t>
  </si>
  <si>
    <t>G5-U-1/S1</t>
  </si>
  <si>
    <t>G5-U-1/S2</t>
  </si>
  <si>
    <t>엠디스픽 테카테카 D판테놀 리페어 크림 Rx
닥터알파 피부장벽 크림 80ML
닥터오라클 세라마베리어 페이셜 세라마이드 크림</t>
  </si>
  <si>
    <t>pd0001054
pd0002464
pd0000583</t>
  </si>
  <si>
    <t>pd0001054 1F
pd0002464 1F
pd0000583 1F</t>
  </si>
  <si>
    <t>G5-U-1/S3</t>
  </si>
  <si>
    <t>G5-U-1/S4</t>
  </si>
  <si>
    <t>비플레인 밀크 세라마이드 보습 토너 (NEW)</t>
  </si>
  <si>
    <t>pd0002283</t>
  </si>
  <si>
    <t>pd0002283 1F</t>
  </si>
  <si>
    <t>G5-U-1/S5</t>
  </si>
  <si>
    <t>G5-U-2/S1</t>
  </si>
  <si>
    <t>G5-U-2/S2</t>
  </si>
  <si>
    <t>테카플러스포뮬러 페이셜 리페어 크림
프로캄 후시메디 리페어 크림S</t>
  </si>
  <si>
    <t>pd0002547
pd0002461</t>
  </si>
  <si>
    <t>pd0002547 2F
pd0002461 2F</t>
  </si>
  <si>
    <t>G5-U-2/S3</t>
  </si>
  <si>
    <t>테카 플러스 포뮬러 페이셜 리페어 크림 라이트
엠디스픽 테카테카 카밍 세럼
엠디스픽 테카테카 카밍 캡슐 크림</t>
  </si>
  <si>
    <t>pd0002550
pd0001047
pd0001049</t>
  </si>
  <si>
    <t>pd0002550 1F
pd0001047 1F
pd0001049 1F</t>
  </si>
  <si>
    <t>G5-U-2/S4</t>
  </si>
  <si>
    <t>프로캄 후시메디 리페어 젤 마스크
엠디스픽 테카테카 카밍 세럼 인 마스크</t>
  </si>
  <si>
    <t>pd0002465
pd0001052</t>
  </si>
  <si>
    <t>pd0002465 1F
pd0001052 1F</t>
  </si>
  <si>
    <t>G5-U-2/S5</t>
  </si>
  <si>
    <t>비플레인 마데카소사이드 진정 앰플 패드(NEW)
엠디스픽 테카테카 카밍 토너 패드</t>
  </si>
  <si>
    <t>pd0002286
pd0001045</t>
  </si>
  <si>
    <t>pd0002286 1F
pd0001045 1F</t>
  </si>
  <si>
    <t>G5-U-3/S1</t>
  </si>
  <si>
    <t>G5-U-3/S2</t>
  </si>
  <si>
    <t>비플레인 아쿠아 퓨어 히알루로닉 세럼
톰 히알루론산 부스트 앰플 (30g)</t>
  </si>
  <si>
    <t>pd0002275
pd0001736</t>
  </si>
  <si>
    <t>pd0002275 1F
pd0001736 1F</t>
  </si>
  <si>
    <t>G5-U-3/S3</t>
  </si>
  <si>
    <t>G5-U-3/S4</t>
  </si>
  <si>
    <t>비플레인 B5 수분 앰플 마스크팩
비플레인 B5 수분 앰플 패드(NEW)</t>
  </si>
  <si>
    <t>pd0002277
pd0002285</t>
  </si>
  <si>
    <t>pd0002277 1F
pd0002285 1F</t>
  </si>
  <si>
    <t>G5-U-3/S5</t>
  </si>
  <si>
    <t>G6-D-1/S1</t>
  </si>
  <si>
    <t>립 외용 의약품</t>
  </si>
  <si>
    <t>큐립연고 마일드허브향
큐립연고 프레시로즈향</t>
  </si>
  <si>
    <t>pd0001818
pd0001819</t>
  </si>
  <si>
    <t>pd0001818 2F
pd0001819 1F</t>
  </si>
  <si>
    <t>G6-D-1/S2</t>
  </si>
  <si>
    <t>프로캄 판테놀 스틱 립밤
바세린립테라피오리지날립밤</t>
  </si>
  <si>
    <t>pd0002380
pd0002384</t>
  </si>
  <si>
    <t>pd0002380 1F
pd0002384 1F</t>
  </si>
  <si>
    <t>G6-D-1/S3</t>
  </si>
  <si>
    <t>프로캄 판테놀 립 에센스
비플레인 밀크 세라마이드 립 에센스 (NEW)</t>
  </si>
  <si>
    <t>pd0002381
pd0002281</t>
  </si>
  <si>
    <t>pd0002381 1F
pd0002281 1F</t>
  </si>
  <si>
    <t>G6-D-1/S4</t>
  </si>
  <si>
    <t>G6-D-1/S5</t>
  </si>
  <si>
    <t>믹순 내추럴 콩 립 마스크 밤</t>
  </si>
  <si>
    <t>pd0002298</t>
  </si>
  <si>
    <t>pd0002298 1F</t>
  </si>
  <si>
    <t>G6-D-2/S1</t>
  </si>
  <si>
    <t>점안·세안 의약품</t>
  </si>
  <si>
    <t>프렌즈아이드롭점안액(순)
아이미루콘택트퓨어점안액(12ml)</t>
  </si>
  <si>
    <t>pd0001971
pd0001976</t>
  </si>
  <si>
    <t>pd0001971 1F
pd0001976 1F</t>
  </si>
  <si>
    <t>G6-D-2/S2</t>
  </si>
  <si>
    <t>리안점안액
아이오쿨 프로점안액</t>
  </si>
  <si>
    <t>pd0001959
pd0002540</t>
  </si>
  <si>
    <t>pd0001959 2F
pd0002540 1F</t>
  </si>
  <si>
    <t>G6-D-2/S3</t>
  </si>
  <si>
    <t>블레파크린</t>
  </si>
  <si>
    <t>pd0001965</t>
  </si>
  <si>
    <t>pd0001965 1F</t>
  </si>
  <si>
    <t>G6-D-2/S4</t>
  </si>
  <si>
    <t>바슈롬 리뉴 후레쉬용액 120ml
보스톤 세척액(어드밴스클리너액)
보스톤 보존액(어드밴스클리너)</t>
  </si>
  <si>
    <t>pd0000085
pd0001995
pd0002401</t>
  </si>
  <si>
    <t>pd0000085 1F
pd0001995 1F
pd0002401 1F</t>
  </si>
  <si>
    <t>G6-D-2/S5</t>
  </si>
  <si>
    <t>눈가 화장품</t>
  </si>
  <si>
    <t>믹순 피디알엔 콜라겐 아이 세럼
믹순 콩 아이크림</t>
  </si>
  <si>
    <t>pd0002288
pd0002296</t>
  </si>
  <si>
    <t>pd0002288 1F
pd0002296 1F</t>
  </si>
  <si>
    <t>G6-D-3/S1</t>
  </si>
  <si>
    <t>다리 순환 상담약</t>
  </si>
  <si>
    <t>G6-D-3/S2</t>
  </si>
  <si>
    <t>뉴베인액</t>
  </si>
  <si>
    <t>pd0001914</t>
  </si>
  <si>
    <t>pd0001914 2F</t>
  </si>
  <si>
    <t>G6-D-3/S3</t>
  </si>
  <si>
    <t>센시아정
디오맥스(디오스민)정</t>
  </si>
  <si>
    <t>pd0001918
pd0001920</t>
  </si>
  <si>
    <t>pd0001918 1F
pd0001920 1F</t>
  </si>
  <si>
    <t>G6-D-3/S4</t>
  </si>
  <si>
    <t>디오라인티 현탁용분말</t>
  </si>
  <si>
    <t>pd0001916</t>
  </si>
  <si>
    <t>pd0001916 1F</t>
  </si>
  <si>
    <t>G6-D-3/S5</t>
  </si>
  <si>
    <t>G6-U-1/S1</t>
  </si>
  <si>
    <t>티눈·굳은살 외용제</t>
  </si>
  <si>
    <t>신신티눈밴드
신신티눈액</t>
  </si>
  <si>
    <t>pd0001887
pd0001881</t>
  </si>
  <si>
    <t>pd0001887 1F
pd0001881 1F</t>
  </si>
  <si>
    <t>G6-U-1/S2</t>
  </si>
  <si>
    <t>무좀·진균 외용제</t>
  </si>
  <si>
    <t>바르지오모두크림
터비뉴더블액션겔</t>
  </si>
  <si>
    <t>pd0001876
pd0001879</t>
  </si>
  <si>
    <t>pd0001876 1F
pd0001879 1F</t>
  </si>
  <si>
    <t>G6-U-1/S3</t>
  </si>
  <si>
    <t>바르지오원스외용액
바르지오네일라카(5ml*2)</t>
  </si>
  <si>
    <t>pd0001873
pd0001874</t>
  </si>
  <si>
    <t>pd0001873 1F
pd0001874 1F</t>
  </si>
  <si>
    <t>G6-U-1/S4</t>
  </si>
  <si>
    <t>다한증 외용제</t>
  </si>
  <si>
    <t>노스엣센스액(염화알루미늄)
드리클로액</t>
  </si>
  <si>
    <t>pd0001869
pd0001871</t>
  </si>
  <si>
    <t>pd0001869 2F
pd0001871 1F</t>
  </si>
  <si>
    <t>G6-U-1/S5</t>
  </si>
  <si>
    <t>신신티눈밴드(발바닥용)</t>
  </si>
  <si>
    <t>pd0001885</t>
  </si>
  <si>
    <t>pd0001885 1F</t>
  </si>
  <si>
    <t>G6-U-2/S1</t>
  </si>
  <si>
    <t>발 건조·보습 화장품</t>
  </si>
  <si>
    <t>G6-U-2/S2</t>
  </si>
  <si>
    <t>EGF 스킨케어 / 풋 케어 화장품</t>
  </si>
  <si>
    <t>프로캄 EGF 우레아 케라톤크림
플루 인텐시브 리페어 풋크림 100g</t>
  </si>
  <si>
    <t>pd0002462
pd0000543</t>
  </si>
  <si>
    <t>pd0002462 1F
pd0000543 1F</t>
  </si>
  <si>
    <t>G6-U-2/S3</t>
  </si>
  <si>
    <t>닥터원더 각질제거 악어발팩
풋 필링 페로린 민트</t>
  </si>
  <si>
    <t>pd0002088
pd0002349</t>
  </si>
  <si>
    <t>pd0002088 1F
pd0002349 1F</t>
  </si>
  <si>
    <t>G6-U-2/S4</t>
  </si>
  <si>
    <t>메디올가 올클리어 풋미스트 100ml
새니닥 토앤솔 풋케어 스프레이 100ml</t>
  </si>
  <si>
    <t>pd0000483
pd0000508</t>
  </si>
  <si>
    <t>pd0000483 1F
pd0000508 1F</t>
  </si>
  <si>
    <t>G6-U-2/S5</t>
  </si>
  <si>
    <t>미용 도구 / 여행·생활용품</t>
  </si>
  <si>
    <t>아케이 리빙 티파니글라스 풋파일
심플리프 발뒤꿈치 보습양말(검정)</t>
  </si>
  <si>
    <t>pd0002124
pd0002118</t>
  </si>
  <si>
    <t>pd0002124 1F
pd0002118 1F</t>
  </si>
  <si>
    <t>G6-U-3/S1</t>
  </si>
  <si>
    <t>보호대·테이핑·온열용품</t>
  </si>
  <si>
    <t>하루온 붙이는 핫팩</t>
  </si>
  <si>
    <t>pd0000046</t>
  </si>
  <si>
    <t>pd0000046 1F</t>
  </si>
  <si>
    <t>G6-U-3/S2</t>
  </si>
  <si>
    <t>큐어온 관절보호대 테이핑서포터(발목)
큐어온 관절보호대 테이핑서포터(무릎)</t>
  </si>
  <si>
    <t>pd0000036
pd0000039</t>
  </si>
  <si>
    <t>pd0000036 1F
pd0000039 1F</t>
  </si>
  <si>
    <t>G6-U-3/S3</t>
  </si>
  <si>
    <t>하루온 이지페인 아랫배온팩(숲속향)</t>
  </si>
  <si>
    <t>pd0000074</t>
  </si>
  <si>
    <t>pd0000074 1F</t>
  </si>
  <si>
    <t>G6-U-3/S4</t>
  </si>
  <si>
    <t>마시는 스웨그 수분 부스터
알디콤BOOST 에너지젤 그린제스트 1포</t>
  </si>
  <si>
    <t>pd0002396
pd0002446</t>
  </si>
  <si>
    <t>pd0002396 1F
pd0002446 1F</t>
  </si>
  <si>
    <t>G6-U-3/S5</t>
  </si>
  <si>
    <t>벌레물림 외용제</t>
  </si>
  <si>
    <t>물린디액
물린디쿨액(50ml)</t>
  </si>
  <si>
    <t>pd0001877
pd0002363</t>
  </si>
  <si>
    <t>pd0001877 1F
pd0002363 1F</t>
  </si>
  <si>
    <t>G1-EL/S1</t>
  </si>
  <si>
    <t>현재 피부 상태 안내</t>
  </si>
  <si>
    <t>면포성 여드름 외용제 / 붉은 여드름 외용제 / 흉터 외용제</t>
  </si>
  <si>
    <t>최상단 개구100mm, 계획 상품높이80mm 이하. 낮은 포장 또는 허용된 눕힘 진열만. 초과 시 S2 이하로 재배치. 엔드는 본진과 다른 목적 메시지. 보조 진열은 SKU당 1곳·1F.</t>
  </si>
  <si>
    <t>PDF p3 (2026-08-11) + 원본 2526품목; 판매·마진 데이터 없음</t>
  </si>
  <si>
    <t>G1-EL/S2</t>
  </si>
  <si>
    <t>면포·피지 → G1-D-1/S2</t>
  </si>
  <si>
    <t>상품명·규격은 원장 보존. 판매 단위·포장 치수·집기 실측 확인 후 배치 확정. 엔드는 본진과 다른 목적 메시지. 보조 진열은 SKU당 1곳·1F.</t>
  </si>
  <si>
    <t>G1-EL/S3</t>
  </si>
  <si>
    <t>붉은 여드름 → G1-D-1/S3</t>
  </si>
  <si>
    <t>G1-EL/S4</t>
  </si>
  <si>
    <t>후속 상담 안내 확장 여유</t>
  </si>
  <si>
    <t>G1-EL/S5</t>
  </si>
  <si>
    <t>교체 안내물 여유</t>
  </si>
  <si>
    <t>G1-ER/S1</t>
  </si>
  <si>
    <t>피지·모공 스킨케어 / 바디 보습·미스트</t>
  </si>
  <si>
    <t>G1-ER/S2</t>
  </si>
  <si>
    <t>프랭클리 나이아신아마이드15% 징크 비즈 트러블케어세럼 30ml</t>
  </si>
  <si>
    <t>pd0002238</t>
  </si>
  <si>
    <t>pd0002238 1F</t>
  </si>
  <si>
    <t>G1-ER/S3</t>
  </si>
  <si>
    <t>낫포유 클리어 바디 미스트 120ml</t>
  </si>
  <si>
    <t>pd0000531</t>
  </si>
  <si>
    <t>pd0000531 1F</t>
  </si>
  <si>
    <t>G1-ER/S4</t>
  </si>
  <si>
    <t>G1-ER/S5</t>
  </si>
  <si>
    <t>G2-EL/S1</t>
  </si>
  <si>
    <t>G2-EL/S2</t>
  </si>
  <si>
    <t>G2-EL/S3</t>
  </si>
  <si>
    <t>스카덤울트라</t>
  </si>
  <si>
    <t>pd0001832</t>
  </si>
  <si>
    <t>pd0001832 1F</t>
  </si>
  <si>
    <t>G2-EL/S4</t>
  </si>
  <si>
    <t>G2-EL/S5</t>
  </si>
  <si>
    <t>G2-ER/S1</t>
  </si>
  <si>
    <t>일반·방수 밴드 / 습윤 드레싱</t>
  </si>
  <si>
    <t>G2-ER/S2</t>
  </si>
  <si>
    <t>케어리브방수형M</t>
  </si>
  <si>
    <t>pd0001861</t>
  </si>
  <si>
    <t>pd0001861 1F</t>
  </si>
  <si>
    <t>G2-ER/S3</t>
  </si>
  <si>
    <t>케어리브습윤방수(중형)</t>
  </si>
  <si>
    <t>pd0002046</t>
  </si>
  <si>
    <t>pd0002046 1F</t>
  </si>
  <si>
    <t>G2-ER/S4</t>
  </si>
  <si>
    <t>G2-ER/S5</t>
  </si>
  <si>
    <t>G3-EL/S1</t>
  </si>
  <si>
    <t>기미·색소 외용제 / 톤·브라이트닝 스킨케어</t>
  </si>
  <si>
    <t>G3-EL/S2</t>
  </si>
  <si>
    <t>멜라토닝크림</t>
  </si>
  <si>
    <t>pd0002265</t>
  </si>
  <si>
    <t>pd0002265 1F</t>
  </si>
  <si>
    <t>G3-EL/S3</t>
  </si>
  <si>
    <t>리쥬올어드밴스드PDRN카밍선세럼</t>
  </si>
  <si>
    <t>pd0002343</t>
  </si>
  <si>
    <t>pd0002343 1F</t>
  </si>
  <si>
    <t>G3-EL/S4</t>
  </si>
  <si>
    <t>G3-EL/S5</t>
  </si>
  <si>
    <t>G3-ER/S1</t>
  </si>
  <si>
    <t>탈모·두피 상담약 / 두피 화장품</t>
  </si>
  <si>
    <t>G3-ER/S2</t>
  </si>
  <si>
    <t>닥터 리쥬올 어드밴스드 피디알엔 헤어 덴시티 스칼프 세럼</t>
  </si>
  <si>
    <t>pd0002335</t>
  </si>
  <si>
    <t>pd0002335 1F</t>
  </si>
  <si>
    <t>G3-ER/S3</t>
  </si>
  <si>
    <t>G3-ER/S4</t>
  </si>
  <si>
    <t>G3-ER/S5</t>
  </si>
  <si>
    <t>G4-EL/S1</t>
  </si>
  <si>
    <t>비타민C 경구제품 / 콜라겐·이너뷰티</t>
  </si>
  <si>
    <t>G4-EL/S2</t>
  </si>
  <si>
    <t>하이퍼셀리포좀비타민C</t>
  </si>
  <si>
    <t>pd0002413</t>
  </si>
  <si>
    <t>pd0002413 1F</t>
  </si>
  <si>
    <t>G4-EL/S3</t>
  </si>
  <si>
    <t>G4-EL/S4</t>
  </si>
  <si>
    <t>G4-EL/S5</t>
  </si>
  <si>
    <t>G4-ER/S1</t>
  </si>
  <si>
    <t>루테인·눈 영양 / 유산균 / 오메가3·혈행 영양</t>
  </si>
  <si>
    <t>G4-ER/S2</t>
  </si>
  <si>
    <t>생유산균_락토핏_골드_리뉴얼</t>
  </si>
  <si>
    <t>pd0002377</t>
  </si>
  <si>
    <t>pd0002377 1F</t>
  </si>
  <si>
    <t>G4-ER/S3</t>
  </si>
  <si>
    <t>고려은단 멀티비타민 올인원 맨</t>
  </si>
  <si>
    <t>pd0002194</t>
  </si>
  <si>
    <t>pd0002194 1F</t>
  </si>
  <si>
    <t>G4-ER/S4</t>
  </si>
  <si>
    <t>G4-ER/S5</t>
  </si>
  <si>
    <t>G5-EL/S1</t>
  </si>
  <si>
    <t>G5-EL/S2</t>
  </si>
  <si>
    <t>닥터알파 피부장벽 크림 80ML</t>
  </si>
  <si>
    <t>pd0002464</t>
  </si>
  <si>
    <t>pd0002464 1F</t>
  </si>
  <si>
    <t>G5-EL/S3</t>
  </si>
  <si>
    <t>프로캄 후시메디 리페어 젤 마스크</t>
  </si>
  <si>
    <t>pd0002465</t>
  </si>
  <si>
    <t>pd0002465 1F</t>
  </si>
  <si>
    <t>G5-EL/S4</t>
  </si>
  <si>
    <t>G5-EL/S5</t>
  </si>
  <si>
    <t>G5-ER/S1</t>
  </si>
  <si>
    <t>PDRN 스킨케어 / PDRN 일반의약품</t>
  </si>
  <si>
    <t>G5-ER/S2</t>
  </si>
  <si>
    <t>리쥬란 턴오버 인핸스드 크림</t>
  </si>
  <si>
    <t>pd0002341</t>
  </si>
  <si>
    <t>pd0002341 1F</t>
  </si>
  <si>
    <t>G5-ER/S3</t>
  </si>
  <si>
    <t>레비온 RX PDRN EGF크림</t>
  </si>
  <si>
    <t>pd0001946</t>
  </si>
  <si>
    <t>pd0001946 1F</t>
  </si>
  <si>
    <t>G5-ER/S4</t>
  </si>
  <si>
    <t>G5-ER/S5</t>
  </si>
  <si>
    <t>G6-EL/S1</t>
  </si>
  <si>
    <t>립 보습 화장품 / 점안·세안 의약품</t>
  </si>
  <si>
    <t>G6-EL/S2</t>
  </si>
  <si>
    <t>프로캄 판테놀 립 에센스</t>
  </si>
  <si>
    <t>pd0002381</t>
  </si>
  <si>
    <t>pd0002381 1F</t>
  </si>
  <si>
    <t>G6-EL/S3</t>
  </si>
  <si>
    <t>G6-EL/S4</t>
  </si>
  <si>
    <t>G6-EL/S5</t>
  </si>
  <si>
    <t>G6-ER/S1</t>
  </si>
  <si>
    <t>무좀·진균 외용제 / 일반·방수 밴드 / 파스·바르는 진통제</t>
  </si>
  <si>
    <t>G6-ER/S2</t>
  </si>
  <si>
    <t>플루 인텐시브 리페어 풋크림 100g</t>
  </si>
  <si>
    <t>pd0000543</t>
  </si>
  <si>
    <t>pd0000543 1F</t>
  </si>
  <si>
    <t>G6-ER/S3</t>
  </si>
  <si>
    <t>마시는 스웨그 수분 부스터</t>
  </si>
  <si>
    <t>pd0002396</t>
  </si>
  <si>
    <t>pd0002396 1F</t>
  </si>
  <si>
    <t>G6-ER/S4</t>
  </si>
  <si>
    <t>G6-ER/S5</t>
  </si>
  <si>
    <t>전체 상품 2,526행 · 도입 권장·중요도·페이싱</t>
  </si>
  <si>
    <t>원본명·규격·공급코드 보존 | A 핵심 / B 보완 / T 시험 / C 대체 / H 확인 / N 초도 제외 | O~Q는 배치표 연동 | V~X는 소매포장 실측 mm</t>
  </si>
  <si>
    <t>원본 행</t>
  </si>
  <si>
    <t>원본 상품명</t>
  </si>
  <si>
    <t>원본 규격</t>
  </si>
  <si>
    <t>대분류</t>
  </si>
  <si>
    <t>권장 주 진열</t>
  </si>
  <si>
    <t>구체 선반</t>
  </si>
  <si>
    <t>취급 권장</t>
  </si>
  <si>
    <t>확정 위치</t>
  </si>
  <si>
    <t>분류·표시 대조</t>
  </si>
  <si>
    <t>분류·원본 이슈</t>
  </si>
  <si>
    <t>중요도</t>
  </si>
  <si>
    <t>오픈 선정</t>
  </si>
  <si>
    <t>본진 F</t>
  </si>
  <si>
    <t>추가 F</t>
  </si>
  <si>
    <t>총 F</t>
  </si>
  <si>
    <t>채택시 시작F</t>
  </si>
  <si>
    <t>선정·보류 사유</t>
  </si>
  <si>
    <t>브랜드 검토</t>
  </si>
  <si>
    <t>중복 대조코드</t>
  </si>
  <si>
    <t>포장 가로 mm</t>
  </si>
  <si>
    <t>포장 높이 mm</t>
  </si>
  <si>
    <t>포장 깊이 mm</t>
  </si>
  <si>
    <t>소매단위 확인</t>
  </si>
  <si>
    <t>확정 바코드</t>
  </si>
  <si>
    <t>최종 취급결정</t>
  </si>
  <si>
    <t>30포</t>
  </si>
  <si>
    <t>영양·이너뷰티</t>
  </si>
  <si>
    <t>오픈 핵심</t>
  </si>
  <si>
    <t>식품·건기식·의약품 구분 대조</t>
  </si>
  <si>
    <t>A</t>
  </si>
  <si>
    <t>예</t>
  </si>
  <si>
    <t>기존 핵심 수요 또는 약국 기본 상담 구색. 우선 도입 제안.</t>
  </si>
  <si>
    <t>에버콜라겐</t>
  </si>
  <si>
    <t>현행 공급·바코드 대조</t>
  </si>
  <si>
    <t>미확정</t>
  </si>
  <si>
    <t>pd0000002</t>
  </si>
  <si>
    <t>리도프론크림</t>
  </si>
  <si>
    <t>30g</t>
  </si>
  <si>
    <t>피부 상담약</t>
  </si>
  <si>
    <t>오픈 보완</t>
  </si>
  <si>
    <t>의약품 후보·허가 대조</t>
  </si>
  <si>
    <t>B</t>
  </si>
  <si>
    <t>기본품과 다른 제형·부위·포장으로 선택 폭 보완.</t>
  </si>
  <si>
    <t>원본명 참고·브랜드 대조</t>
  </si>
  <si>
    <t>pd0000003</t>
  </si>
  <si>
    <t>신신파파베정</t>
  </si>
  <si>
    <t>10T</t>
  </si>
  <si>
    <t>일반 상비·상담약</t>
  </si>
  <si>
    <t>대체 후보</t>
  </si>
  <si>
    <t>C</t>
  </si>
  <si>
    <t>아니오</t>
  </si>
  <si>
    <t>소화·위장 상담약 기본 선정품의 대안. 동시 입고보다 가격·제형·공급 차이가 있을 때 교체.</t>
  </si>
  <si>
    <t>신신</t>
  </si>
  <si>
    <t>pd0000004</t>
  </si>
  <si>
    <t>케어스카겔</t>
  </si>
  <si>
    <t>20g</t>
  </si>
  <si>
    <t>흉터 외용제 기본 선정품의 대안. 동시 입고보다 가격·제형·공급 차이가 있을 때 교체.</t>
  </si>
  <si>
    <t>pd0000005</t>
  </si>
  <si>
    <t>코자아케어</t>
  </si>
  <si>
    <t>25mL*5병</t>
  </si>
  <si>
    <t>수면 관련 식품 기본 선정품의 대안. 동시 입고보다 가격·제형·공급 차이가 있을 때 교체.</t>
  </si>
  <si>
    <t>소매 단위·구성 대조</t>
  </si>
  <si>
    <t>pd0000006</t>
  </si>
  <si>
    <t>록소나카타플라스마</t>
  </si>
  <si>
    <t>5매</t>
  </si>
  <si>
    <t>파스·바르는 진통제 기본 선정품의 대안. 동시 입고보다 가격·제형·공급 차이가 있을 때 교체.</t>
  </si>
  <si>
    <t>pd0000007</t>
  </si>
  <si>
    <t>류펜프리플라스타</t>
  </si>
  <si>
    <t>10매</t>
  </si>
  <si>
    <t>pd0000008</t>
  </si>
  <si>
    <t>엠오이칼 비타민샷(저당)</t>
  </si>
  <si>
    <t>75g</t>
  </si>
  <si>
    <t>식음료</t>
  </si>
  <si>
    <t>캔디·간식</t>
  </si>
  <si>
    <t>상설 미배정</t>
  </si>
  <si>
    <t>초도 비권장</t>
  </si>
  <si>
    <t>식품 후보·유형 확인</t>
  </si>
  <si>
    <t>N</t>
  </si>
  <si>
    <t>약국의 핵심 상담 구색 대비 우선순위 낮음. 인접 뷰티·일반 소매와 역할 중복 및 재고 분산 검토.</t>
  </si>
  <si>
    <t>pd0000009</t>
  </si>
  <si>
    <t>에버콜라겐 스킨앤헤어</t>
  </si>
  <si>
    <t>20ml*28포</t>
  </si>
  <si>
    <t>콜라겐·이너뷰티 기본 선정품의 대안. 동시 입고보다 가격·제형·공급 차이가 있을 때 교체.</t>
  </si>
  <si>
    <t>pd0000010</t>
  </si>
  <si>
    <t>케로팝경고제</t>
  </si>
  <si>
    <t>티눈·굳은살 외용제 기본 선정품의 대안. 동시 입고보다 가격·제형·공급 차이가 있을 때 교체.</t>
  </si>
  <si>
    <t>pd0000011</t>
  </si>
  <si>
    <t>루테인지아잔틴아스타잔틴골드</t>
  </si>
  <si>
    <t>30C</t>
  </si>
  <si>
    <t>루테인·눈 영양 기본 선정품의 대안. 동시 입고보다 가격·제형·공급 차이가 있을 때 교체.</t>
  </si>
  <si>
    <t>pd0000012</t>
  </si>
  <si>
    <t>케어아크네크림</t>
  </si>
  <si>
    <t>15g</t>
  </si>
  <si>
    <t>붉은 여드름 외용제 기본 선정품의 대안. 동시 입고보다 가격·제형·공급 차이가 있을 때 교체.</t>
  </si>
  <si>
    <t>pd0000013</t>
  </si>
  <si>
    <t>글루콤액</t>
  </si>
  <si>
    <t>10mL*15병*3EA</t>
  </si>
  <si>
    <t>자양강장·한방 상담약</t>
  </si>
  <si>
    <t>pd0000014</t>
  </si>
  <si>
    <t>소프트콘돔PLAINP(일반형)</t>
  </si>
  <si>
    <t>10P</t>
  </si>
  <si>
    <t>바디·헤어·위생</t>
  </si>
  <si>
    <t>품목별 표시 확인</t>
  </si>
  <si>
    <t>pd0000015</t>
  </si>
  <si>
    <t>소프트콘돔포티나인(밀착형)</t>
  </si>
  <si>
    <t>콘돔·셀프검사 기본 선정품의 대안. 동시 입고보다 가격·제형·공급 차이가 있을 때 교체.</t>
  </si>
  <si>
    <t>pd0000016</t>
  </si>
  <si>
    <t>소프트콘돔SPIRALSS(나선형)</t>
  </si>
  <si>
    <t>pd0000017</t>
  </si>
  <si>
    <t>소프트콘돔DOTSD(돗트형)</t>
  </si>
  <si>
    <t>pd0000018</t>
  </si>
  <si>
    <t>소프트콘돔PTYPE(슬림형)</t>
  </si>
  <si>
    <t>pd0000019</t>
  </si>
  <si>
    <t>소프트콘돔GREENC(프리미엄)</t>
  </si>
  <si>
    <t>12P</t>
  </si>
  <si>
    <t>pd0000020</t>
  </si>
  <si>
    <t>엠오이칼클래식(무가당)</t>
  </si>
  <si>
    <t>40g</t>
  </si>
  <si>
    <t>pd0000021</t>
  </si>
  <si>
    <t>엠오이칼레몬(무가당)</t>
  </si>
  <si>
    <t>pd0000022</t>
  </si>
  <si>
    <t>엠오이칼 캔디(어린이/무가당)</t>
  </si>
  <si>
    <t>pd0000023</t>
  </si>
  <si>
    <t>더블자임정</t>
  </si>
  <si>
    <t>pd0000024</t>
  </si>
  <si>
    <t>메모큐액</t>
  </si>
  <si>
    <t>10mL*30병*2EA</t>
  </si>
  <si>
    <t>자양강장·한방 상담약 기본 선정품의 대안. 동시 입고보다 가격·제형·공급 차이가 있을 때 교체.</t>
  </si>
  <si>
    <t>pd0000025</t>
  </si>
  <si>
    <t>케어믹신플러스연고</t>
  </si>
  <si>
    <t>10g</t>
  </si>
  <si>
    <t>상처 항균 외용제 기본 선정품의 대안. 동시 입고보다 가격·제형·공급 차이가 있을 때 교체.</t>
  </si>
  <si>
    <t>pd0000026</t>
  </si>
  <si>
    <t>쎄레스틴크림</t>
  </si>
  <si>
    <t>피부염·가려움 외용제 기본 선정품의 대안. 동시 입고보다 가격·제형·공급 차이가 있을 때 교체.</t>
  </si>
  <si>
    <t>pd0000027</t>
  </si>
  <si>
    <t>pd0000028</t>
  </si>
  <si>
    <t>pd0000029</t>
  </si>
  <si>
    <t>엠오이칼진저오렌지(무가당)</t>
  </si>
  <si>
    <t>pd0000030</t>
  </si>
  <si>
    <t>고려홍삼양갱</t>
  </si>
  <si>
    <t>400g</t>
  </si>
  <si>
    <t>pd0000031</t>
  </si>
  <si>
    <t>고려홍삼제리</t>
  </si>
  <si>
    <t>pd0000032</t>
  </si>
  <si>
    <t>고려홍삼캔디</t>
  </si>
  <si>
    <t>pd0000033</t>
  </si>
  <si>
    <t>큐어온 관절보호대 테이핑서포터(손목)</t>
  </si>
  <si>
    <t>S</t>
  </si>
  <si>
    <t>도구·기기</t>
  </si>
  <si>
    <t>보호대·테이핑·온열용품 기본 선정품의 대안. 동시 입고보다 가격·제형·공급 차이가 있을 때 교체.</t>
  </si>
  <si>
    <t>pd0000034</t>
  </si>
  <si>
    <t>M</t>
  </si>
  <si>
    <t>pd0000035</t>
  </si>
  <si>
    <t>L</t>
  </si>
  <si>
    <t>pd0000036</t>
  </si>
  <si>
    <t>큐어온 관절보호대 테이핑서포터(발목)</t>
  </si>
  <si>
    <t>pd0000037</t>
  </si>
  <si>
    <t>pd0000038</t>
  </si>
  <si>
    <t>pd0000039</t>
  </si>
  <si>
    <t>큐어온 관절보호대 테이핑서포터(무릎)</t>
  </si>
  <si>
    <t>pd0000040</t>
  </si>
  <si>
    <t>pd0000041</t>
  </si>
  <si>
    <t>pd0000042</t>
  </si>
  <si>
    <t>큐어온 관절보호대 테이핑서포터(팔꿈치)</t>
  </si>
  <si>
    <t>pd0000043</t>
  </si>
  <si>
    <t>pd0000044</t>
  </si>
  <si>
    <t>pd0000045</t>
  </si>
  <si>
    <t>큐어온 관절보호대 서포트(허리)</t>
  </si>
  <si>
    <t>FREE</t>
  </si>
  <si>
    <t>pd0000047</t>
  </si>
  <si>
    <t>파모텍스정 10mg</t>
  </si>
  <si>
    <t>pd0000048</t>
  </si>
  <si>
    <t>헤파모닝액</t>
  </si>
  <si>
    <t>75mL</t>
  </si>
  <si>
    <t>간 관련 상담약</t>
  </si>
  <si>
    <t>간 관련 상담약 기본 선정품의 대안. 동시 입고보다 가격·제형·공급 차이가 있을 때 교체.</t>
  </si>
  <si>
    <t>pd0000049</t>
  </si>
  <si>
    <t>활혈산통고</t>
  </si>
  <si>
    <t>6매</t>
  </si>
  <si>
    <t>pd0000050</t>
  </si>
  <si>
    <t>위엔부틴정</t>
  </si>
  <si>
    <t>pd0000051</t>
  </si>
  <si>
    <t>위엔자임정</t>
  </si>
  <si>
    <t>pd0000052</t>
  </si>
  <si>
    <t>마그콤</t>
  </si>
  <si>
    <t>30mL*10병*3EA</t>
  </si>
  <si>
    <t>pd0000053</t>
  </si>
  <si>
    <t>에버콜라겐 인앤업 비오틴 셀</t>
  </si>
  <si>
    <t>56T</t>
  </si>
  <si>
    <t>pd0000054</t>
  </si>
  <si>
    <t>에버콜라겐 타임 비오틴 셀</t>
  </si>
  <si>
    <t>30p</t>
  </si>
  <si>
    <t>pd0000055</t>
  </si>
  <si>
    <t>테리나플러스크림</t>
  </si>
  <si>
    <t>무좀·진균 외용제 기본 선정품의 대안. 동시 입고보다 가격·제형·공급 차이가 있을 때 교체.</t>
  </si>
  <si>
    <t>pd0000056</t>
  </si>
  <si>
    <t>비타콤</t>
  </si>
  <si>
    <t>(430mg*2T+30mL)10병*3EA</t>
  </si>
  <si>
    <t>멀티비타민·미네랄 기본 선정품의 대안. 동시 입고보다 가격·제형·공급 차이가 있을 때 교체.</t>
  </si>
  <si>
    <t>pd0000057</t>
  </si>
  <si>
    <t>엠오이칼살베이(무가당)</t>
  </si>
  <si>
    <t>pd0000058</t>
  </si>
  <si>
    <t>큐어온 관절보호대 스포츠(손목)</t>
  </si>
  <si>
    <t>pd0000059</t>
  </si>
  <si>
    <t>pd0000060</t>
  </si>
  <si>
    <t>pd0000061</t>
  </si>
  <si>
    <t>에버콜라겐 블랙</t>
  </si>
  <si>
    <t>84T</t>
  </si>
  <si>
    <t>pd0000062</t>
  </si>
  <si>
    <t>인콤정</t>
  </si>
  <si>
    <t>2T</t>
  </si>
  <si>
    <t>기타 상담약·약효 확인</t>
  </si>
  <si>
    <t>확인 후 검토</t>
  </si>
  <si>
    <t>분류·구성 수동 확인</t>
  </si>
  <si>
    <t>H</t>
  </si>
  <si>
    <t>세부 목적·법적 분류 또는 소매 규격 확인 전 취급·페이싱을 보류.</t>
  </si>
  <si>
    <t>pd0000063</t>
  </si>
  <si>
    <t>아이퓨어점안액</t>
  </si>
  <si>
    <t>0.5mL*30관</t>
  </si>
  <si>
    <t>립·눈·구강</t>
  </si>
  <si>
    <t>점안·세안 의약품 기본 선정품의 대안. 동시 입고보다 가격·제형·공급 차이가 있을 때 교체.</t>
  </si>
  <si>
    <t>pd0000064</t>
  </si>
  <si>
    <t>티어클린점안액</t>
  </si>
  <si>
    <t>pd0000065</t>
  </si>
  <si>
    <t>록센플라스타</t>
  </si>
  <si>
    <t>12매</t>
  </si>
  <si>
    <t>pd0000066</t>
  </si>
  <si>
    <t>나들이시럽</t>
  </si>
  <si>
    <t>4포</t>
  </si>
  <si>
    <t>멀미 상담약 기본 선정품의 대안. 동시 입고보다 가격·제형·공급 차이가 있을 때 교체.</t>
  </si>
  <si>
    <t>pd0000067</t>
  </si>
  <si>
    <t>세노비아에프정</t>
  </si>
  <si>
    <t>20T</t>
  </si>
  <si>
    <t>pd0000068</t>
  </si>
  <si>
    <t>엠오이칼와일드체리(무가당)</t>
  </si>
  <si>
    <t>pd0000069</t>
  </si>
  <si>
    <t>알미틴플러스정</t>
  </si>
  <si>
    <t>pd0000070</t>
  </si>
  <si>
    <t>온감 10매</t>
  </si>
  <si>
    <t>pd0000071</t>
  </si>
  <si>
    <t>코자아 젤리</t>
  </si>
  <si>
    <t>20구미</t>
  </si>
  <si>
    <t>pd0000072</t>
  </si>
  <si>
    <t>프렌즈 렌즈 보존액</t>
  </si>
  <si>
    <t>365mL</t>
  </si>
  <si>
    <t>개별 표시 확인</t>
  </si>
  <si>
    <t>렌즈·눈꺼풀 위생 기본 선정품의 대안. 동시 입고보다 가격·제형·공급 차이가 있을 때 교체.</t>
  </si>
  <si>
    <t>pd0000073</t>
  </si>
  <si>
    <t>매일매일 건강한 눈</t>
  </si>
  <si>
    <t>pd0000075</t>
  </si>
  <si>
    <t>신신스코베르캡슐</t>
  </si>
  <si>
    <t>10C</t>
  </si>
  <si>
    <t>pd0000076</t>
  </si>
  <si>
    <t>에버콜라겐 레티놀 A</t>
  </si>
  <si>
    <t>pd0000077</t>
  </si>
  <si>
    <t>대웅 굿앤굿골드</t>
  </si>
  <si>
    <t>100ml</t>
  </si>
  <si>
    <t>건강즙·차·음료</t>
  </si>
  <si>
    <t>냉장고 또는 상온 음료, 별도 검토</t>
  </si>
  <si>
    <t>pd0000078</t>
  </si>
  <si>
    <t>대웅 아미큐B</t>
  </si>
  <si>
    <t>pd0000079</t>
  </si>
  <si>
    <t>유기농본생리대(대형)</t>
  </si>
  <si>
    <t>14P</t>
  </si>
  <si>
    <t>여성 위생·청결 기본 선정품의 대안. 동시 입고보다 가격·제형·공급 차이가 있을 때 교체.</t>
  </si>
  <si>
    <t>pd0000080</t>
  </si>
  <si>
    <t>유기농본생리대(중형)</t>
  </si>
  <si>
    <t>16P</t>
  </si>
  <si>
    <t>pd0000081</t>
  </si>
  <si>
    <t>유기농본생리대(소형)</t>
  </si>
  <si>
    <t>18p</t>
  </si>
  <si>
    <t>pd0000082</t>
  </si>
  <si>
    <t>유기농본오버나이트생리대</t>
  </si>
  <si>
    <t>pd0000083</t>
  </si>
  <si>
    <t>유기농본팬티라이너</t>
  </si>
  <si>
    <t>34p</t>
  </si>
  <si>
    <t>pd0000084</t>
  </si>
  <si>
    <t>유기농본 롱팬티라이너</t>
  </si>
  <si>
    <t>28P</t>
  </si>
  <si>
    <t>pd0000085</t>
  </si>
  <si>
    <t>바슈롬 리뉴 후레쉬용액 120ml</t>
  </si>
  <si>
    <t>120ml</t>
  </si>
  <si>
    <t>pd0000086</t>
  </si>
  <si>
    <t>알유21(RU21) 숙취해소엔 웨이크업 스틱 (젤리타입/사과맛)</t>
  </si>
  <si>
    <t>20g*10포</t>
  </si>
  <si>
    <t>숙취 관련 식품</t>
  </si>
  <si>
    <t>숙취 관련 식품 기본 선정품의 대안. 동시 입고보다 가격·제형·공급 차이가 있을 때 교체.</t>
  </si>
  <si>
    <t>pd0000087</t>
  </si>
  <si>
    <t>컨디션 스틱 젤리(초코맛/행오버/숙취개선효과)</t>
  </si>
  <si>
    <t>18g*10P</t>
  </si>
  <si>
    <t>pd0000088</t>
  </si>
  <si>
    <t>컨디션 스틱 젤리(민트초코맛/행오버/숙취개선효과)</t>
  </si>
  <si>
    <t>pd0000089</t>
  </si>
  <si>
    <t>이케어 데일리마스크</t>
  </si>
  <si>
    <t>pd0000090</t>
  </si>
  <si>
    <t>이케어 데일리마스크(검정색) 5매입</t>
  </si>
  <si>
    <t>마스크·위생 소모품 기본 선정품의 대안. 동시 입고보다 가격·제형·공급 차이가 있을 때 교체.</t>
  </si>
  <si>
    <t>pd0000091</t>
  </si>
  <si>
    <t>세븐플러스 일회용 부직포 마스크</t>
  </si>
  <si>
    <t>8매</t>
  </si>
  <si>
    <t>pd0000092</t>
  </si>
  <si>
    <t>세븐플러스 일회용 부직포 마스크(검정/7+1매기획상품)</t>
  </si>
  <si>
    <t>pd0000093</t>
  </si>
  <si>
    <t>NEW 컨디션 스틱 젤리 제로(컨디션맛/행오버/숙취개선효과)</t>
  </si>
  <si>
    <t>pd0000094</t>
  </si>
  <si>
    <t>NEW 컨디션 스틱 젤리 제로(망고맛/행오버/숙취개선효과)</t>
  </si>
  <si>
    <t>pd0000095</t>
  </si>
  <si>
    <t>알유21(RU21) 숙취해소엔 웨이크업 스틱 (젤리타입/꿀배맛)</t>
  </si>
  <si>
    <t>pd0000096</t>
  </si>
  <si>
    <t>주스업 프리미엄 유산균 팥차[오픈마켓판매금지]</t>
  </si>
  <si>
    <t>80ml*10EA</t>
  </si>
  <si>
    <t>pd0000097</t>
  </si>
  <si>
    <t>주스업 프리미엄 유산균 검은콩차[오픈마켓판매금지]</t>
  </si>
  <si>
    <t>pd0000098</t>
  </si>
  <si>
    <t>주스업 프리미엄 유산균 모로오렌지주스[오픈마켓판매금지]</t>
  </si>
  <si>
    <t>pd0000099</t>
  </si>
  <si>
    <t>주스업 프리미엄 유산균 석류주스[오픈마켓판매금지]</t>
  </si>
  <si>
    <t>pd0000100</t>
  </si>
  <si>
    <t>주스업 프리미엄 유산균 호박즙[오픈마켓판매금지]</t>
  </si>
  <si>
    <t>pd0000101</t>
  </si>
  <si>
    <t>주스업 프리미엄 유산균 레몬주스[오픈마켓판매금지]</t>
  </si>
  <si>
    <t>pd0000102</t>
  </si>
  <si>
    <t>주스업 프리미엄 유산균 배도라지즙[오픈마켓판매금지]</t>
  </si>
  <si>
    <t>pd0000103</t>
  </si>
  <si>
    <t>주스업 프리미엄 유산균 ABC주스[오픈마켓판매금지]</t>
  </si>
  <si>
    <t>pd0000104</t>
  </si>
  <si>
    <t>주스업 프리미엄 유산균 사과즙[오픈마켓판매금지]</t>
  </si>
  <si>
    <t>pd0000105</t>
  </si>
  <si>
    <t>주스업 프리미엄 유산균 푸룬주스[오픈마켓판매금지]</t>
  </si>
  <si>
    <t>pd0000106</t>
  </si>
  <si>
    <t>닥터플러스 KF94 황사마스크 (대형/검정색/새부리형)</t>
  </si>
  <si>
    <t>1매</t>
  </si>
  <si>
    <t>pd0000107</t>
  </si>
  <si>
    <t>닥터플러스 KF94 황사마스크 (대형/백색/새부리형)</t>
  </si>
  <si>
    <t>pd0000108</t>
  </si>
  <si>
    <t>닥터헬퍼 여성세정엔 락센(여성청결제)</t>
  </si>
  <si>
    <t>200g</t>
  </si>
  <si>
    <t>pd0000109</t>
  </si>
  <si>
    <t>바슈롬 리뉴 후레쉬용액 355ml</t>
  </si>
  <si>
    <t>355ml</t>
  </si>
  <si>
    <t>pd0000110</t>
  </si>
  <si>
    <t>웰빙헬스 고운발(빨강)</t>
  </si>
  <si>
    <t>100g</t>
  </si>
  <si>
    <t>풋 케어 화장품 기본 선정품의 대안. 동시 입고보다 가격·제형·공급 차이가 있을 때 교체.</t>
  </si>
  <si>
    <t>pd0000111</t>
  </si>
  <si>
    <t>웰빙헬스 관절애(HOT/마사지크림) 120g</t>
  </si>
  <si>
    <t>120g</t>
  </si>
  <si>
    <t>바디 보습·미스트 기본 선정품의 대안. 동시 입고보다 가격·제형·공급 차이가 있을 때 교체.</t>
  </si>
  <si>
    <t>pd0000112</t>
  </si>
  <si>
    <t>웰빙헬스 명품 고운발</t>
  </si>
  <si>
    <t>110g</t>
  </si>
  <si>
    <t>pd0000113</t>
  </si>
  <si>
    <t>큐원 상쾌환 스틱형(망고맛)</t>
  </si>
  <si>
    <t>10포</t>
  </si>
  <si>
    <t>pd0000114</t>
  </si>
  <si>
    <t>큐원 상쾌환 스틱형 제로(청사과맛)</t>
  </si>
  <si>
    <t>pd0000115</t>
  </si>
  <si>
    <t>큐원 상쾌환 스틱형(샤인머스켓)</t>
  </si>
  <si>
    <t>pd0000116</t>
  </si>
  <si>
    <t>큐원 상쾌환 스틱형 제로(납작복숭아맛)</t>
  </si>
  <si>
    <t>pd0000117</t>
  </si>
  <si>
    <t>헛개 컨디션(약국전용) 10병</t>
  </si>
  <si>
    <t>120ml*10병</t>
  </si>
  <si>
    <t>pd0000118</t>
  </si>
  <si>
    <t>컨디션 스틱 젤리(그린애플맛/행오버/숙취개선효과)</t>
  </si>
  <si>
    <t>pd0000119</t>
  </si>
  <si>
    <t>컨디션 스틱 젤리(자두맛/행오버/숙취개선효과)</t>
  </si>
  <si>
    <t>pd0000120</t>
  </si>
  <si>
    <t>큐원상쾌환(음주 전/후)신포장</t>
  </si>
  <si>
    <t>2P</t>
  </si>
  <si>
    <t>pd0000121</t>
  </si>
  <si>
    <t>아사이치케아 성시경 숙취해소제(액상스틱/오리지널) 세트</t>
  </si>
  <si>
    <t>14포*8EA</t>
  </si>
  <si>
    <t>pd0000122</t>
  </si>
  <si>
    <t>아사이치케아 성시경 숙취해소제(액상스틱/자몽맛) 세트</t>
  </si>
  <si>
    <t>pd0000123</t>
  </si>
  <si>
    <t>알유21(RU21)</t>
  </si>
  <si>
    <t>6T</t>
  </si>
  <si>
    <t>pd0000124</t>
  </si>
  <si>
    <t>데일리들 스킨핏 아이 마이크로 패치</t>
  </si>
  <si>
    <t>2매</t>
  </si>
  <si>
    <t>화장품 후보·표시 확인</t>
  </si>
  <si>
    <t>동일 품명·규격 복수 코드</t>
  </si>
  <si>
    <t>눈가 화장품 기본 선정품의 대안. 동시 입고보다 가격·제형·공급 차이가 있을 때 교체.</t>
  </si>
  <si>
    <t>pd0000125</t>
  </si>
  <si>
    <t>데일리들 카밍 마이크로 패치</t>
  </si>
  <si>
    <t>상처 보호재</t>
  </si>
  <si>
    <t>의약품·의약외품·의료기기 등 개별 확인</t>
  </si>
  <si>
    <t>스팟 보호 패치 기본 선정품의 대안. 동시 입고보다 가격·제형·공급 차이가 있을 때 교체.</t>
  </si>
  <si>
    <t>pd0000126</t>
  </si>
  <si>
    <t>데일리들 글로우 온 마이크로 패치</t>
  </si>
  <si>
    <t>클렌징·선케어·팩</t>
  </si>
  <si>
    <t>G5-U</t>
  </si>
  <si>
    <t>마스크팩·패드 기본 선정품의 대안. 동시 입고보다 가격·제형·공급 차이가 있을 때 교체.</t>
  </si>
  <si>
    <t>pd0000127</t>
  </si>
  <si>
    <t>데일리들 립 플럼핑 마이크로 패치</t>
  </si>
  <si>
    <t>립 보습 화장품 기본 선정품의 대안. 동시 입고보다 가격·제형·공급 차이가 있을 때 교체.</t>
  </si>
  <si>
    <t>소량 시험</t>
  </si>
  <si>
    <t>T</t>
  </si>
  <si>
    <t>신성분·필링·수면 식품 등 소수 시험. 상담·반응을 기록해 확대 여부 결정.</t>
  </si>
  <si>
    <t>pd0000129</t>
  </si>
  <si>
    <t>(증정)아니모 마그네슘오일클라우드 스프레이 마일드</t>
  </si>
  <si>
    <t>운영·확인</t>
  </si>
  <si>
    <t>테스트·증정·구성 미확인</t>
  </si>
  <si>
    <t>판매 진열 제외</t>
  </si>
  <si>
    <t>제품 정보 확인</t>
  </si>
  <si>
    <t>매입가 0 의미 확인 / 분류·구성 수동 확인</t>
  </si>
  <si>
    <t>테스트·증정 또는 매장 소모품. 운영 구매는 별도 검토.</t>
  </si>
  <si>
    <t>pd0000130</t>
  </si>
  <si>
    <t>아니모 마그네슘 오일 클라우드 스프레이 스포츠</t>
  </si>
  <si>
    <t>pd0000131</t>
  </si>
  <si>
    <t>숙취엔 벌나무 듀얼 플러스</t>
  </si>
  <si>
    <t>200ml</t>
  </si>
  <si>
    <t>pd0000132</t>
  </si>
  <si>
    <t>천호앤케어 퓨어유기농레몬즙 20G</t>
  </si>
  <si>
    <t>15포</t>
  </si>
  <si>
    <t>pd0000133</t>
  </si>
  <si>
    <t>천호앤케어 퓨어유기농진저샷 20G</t>
  </si>
  <si>
    <t>14포</t>
  </si>
  <si>
    <t>pd0000134</t>
  </si>
  <si>
    <t>천호앤케어 퓨어유기농석류즙 10ML</t>
  </si>
  <si>
    <t>pd0000135</t>
  </si>
  <si>
    <t>천호앤케어 퓨어유기농푸룬즙 20G</t>
  </si>
  <si>
    <t>푸룬·식이섬유 식품 기본 선정품의 대안. 동시 입고보다 가격·제형·공급 차이가 있을 때 교체.</t>
  </si>
  <si>
    <t>pd0000136</t>
  </si>
  <si>
    <t>천호앤케어 퓨어유기농블루베리 20G</t>
  </si>
  <si>
    <t>pd0000137</t>
  </si>
  <si>
    <t>천호앤케어 퓨어유기농여주 20G</t>
  </si>
  <si>
    <t>pd0000138</t>
  </si>
  <si>
    <t>천호앤케어 퓨어유기농토마토즙 20G</t>
  </si>
  <si>
    <t>pd0000139</t>
  </si>
  <si>
    <t>천호앤케어 바이탈모닝레몬콜라겐글루타치온 20G</t>
  </si>
  <si>
    <t>pd0000140</t>
  </si>
  <si>
    <t>천호앤케어 엑스트라버진유기농올리브오일 10G</t>
  </si>
  <si>
    <t>pd0000141</t>
  </si>
  <si>
    <t>천호앤케어 화이트토마토ACE 2G</t>
  </si>
  <si>
    <t>기타 영양·건강식품</t>
  </si>
  <si>
    <t>/ 세부 사용목적 확인</t>
  </si>
  <si>
    <t>기타 영양·건강식품 기본 선정품의 대안. 동시 입고보다 가격·제형·공급 차이가 있을 때 교체.</t>
  </si>
  <si>
    <t>pd0000142</t>
  </si>
  <si>
    <t>천호앤케어 레모닝325 120T</t>
  </si>
  <si>
    <t>120T</t>
  </si>
  <si>
    <t>비타민C 경구제품 기본 선정품의 대안. 동시 입고보다 가격·제형·공급 차이가 있을 때 교체.</t>
  </si>
  <si>
    <t>pd0000143</t>
  </si>
  <si>
    <t>천호앤케어 초코효소알파CD 3G</t>
  </si>
  <si>
    <t>효소 식품 기본 선정품의 대안. 동시 입고보다 가격·제형·공급 차이가 있을 때 교체.</t>
  </si>
  <si>
    <t>pd0000144</t>
  </si>
  <si>
    <t>천호앤케어 유기농효소비움채움 3G</t>
  </si>
  <si>
    <t>pd0000145</t>
  </si>
  <si>
    <t>천호앤케어 더비움채움곡물발효효소 3G</t>
  </si>
  <si>
    <t>pd0000146</t>
  </si>
  <si>
    <t>천호앤케어 데일리코어녹차카테킨다이어트(new) 60T</t>
  </si>
  <si>
    <t>60T</t>
  </si>
  <si>
    <t>체중관리 경구제품</t>
  </si>
  <si>
    <t>pd0000147</t>
  </si>
  <si>
    <t>천호앤케어 액티브솔루션콜라겐뷰티샷 25ML</t>
  </si>
  <si>
    <t>5병</t>
  </si>
  <si>
    <t>pd0000148</t>
  </si>
  <si>
    <t>천호앤케어 콜라겐담은석류젤리(new) 20G</t>
  </si>
  <si>
    <t>pd0000149</t>
  </si>
  <si>
    <t>천호앤케어 홍삼스틱원 10포</t>
  </si>
  <si>
    <t>홍삼 제품 기본 선정품의 대안. 동시 입고보다 가격·제형·공급 차이가 있을 때 교체.</t>
  </si>
  <si>
    <t>pd0000150</t>
  </si>
  <si>
    <t>천호앤케어 홍삼스틱원 100포</t>
  </si>
  <si>
    <t>100포</t>
  </si>
  <si>
    <t>pd0000151</t>
  </si>
  <si>
    <t>천호앤케어 배도라지청 10ML</t>
  </si>
  <si>
    <t>pd0000152</t>
  </si>
  <si>
    <t>천호앤케어 레몬생강청 10ML</t>
  </si>
  <si>
    <t>pd0000153</t>
  </si>
  <si>
    <t>천호앤케어 쌍화흑도라지배생강청 10ML</t>
  </si>
  <si>
    <t>pd0000154</t>
  </si>
  <si>
    <t>천호앤케어 양배추청 15ML</t>
  </si>
  <si>
    <t>pd0000155</t>
  </si>
  <si>
    <t>천호앤케어 흑마늘청 10ML</t>
  </si>
  <si>
    <t>pd0000156</t>
  </si>
  <si>
    <t>천호앤케어 홍삼청 10ML</t>
  </si>
  <si>
    <t>pd0000157</t>
  </si>
  <si>
    <t>STOM 식이섬유정 1000</t>
  </si>
  <si>
    <t>pd0000158</t>
  </si>
  <si>
    <t>STOM 이너카솔</t>
  </si>
  <si>
    <t>pd0000159</t>
  </si>
  <si>
    <t>비포밀 윔 쉐이크 검은콩 30g</t>
  </si>
  <si>
    <t>1EA</t>
  </si>
  <si>
    <t>실물 규격 확인</t>
  </si>
  <si>
    <t>단백질·아미노산 기본 선정품의 대안. 동시 입고보다 가격·제형·공급 차이가 있을 때 교체.</t>
  </si>
  <si>
    <t>pd0000160</t>
  </si>
  <si>
    <t>비포밀 윔 쉐이크 검은콩 대용량 800g</t>
  </si>
  <si>
    <t>800g</t>
  </si>
  <si>
    <t>pd0000161</t>
  </si>
  <si>
    <t>비포밀 윔 쉐이크 초코 30g</t>
  </si>
  <si>
    <t>pd0000162</t>
  </si>
  <si>
    <t>비포밀 윔 쉐이크 초코 대용량 800g</t>
  </si>
  <si>
    <t>pd0000163</t>
  </si>
  <si>
    <t>비포밀</t>
  </si>
  <si>
    <t>pd0000164</t>
  </si>
  <si>
    <t>비포밀 스위치</t>
  </si>
  <si>
    <t>pd0000165</t>
  </si>
  <si>
    <t>리아프 애플사이다비니거 사과맛 오리지널</t>
  </si>
  <si>
    <t>5g*10포</t>
  </si>
  <si>
    <t>pd0000166</t>
  </si>
  <si>
    <t>리아프 애플사이다비니거 레몬맛</t>
  </si>
  <si>
    <t>pd0000167</t>
  </si>
  <si>
    <t>리아프 애플사이다비니거 리치맛</t>
  </si>
  <si>
    <t>pd0000168</t>
  </si>
  <si>
    <t>리아프 애플사이다비니거 복숭아맛</t>
  </si>
  <si>
    <t>pd0000169</t>
  </si>
  <si>
    <t>닥터코치 다이어트&amp;프로테이크 30포</t>
  </si>
  <si>
    <t>40g*30포</t>
  </si>
  <si>
    <t>pd0000170</t>
  </si>
  <si>
    <t>닥터코치 올인원팩 30포</t>
  </si>
  <si>
    <t>pd0000171</t>
  </si>
  <si>
    <t>닥터코치 클린티S 20포</t>
  </si>
  <si>
    <t>8g*20포</t>
  </si>
  <si>
    <t>pd0000172</t>
  </si>
  <si>
    <t>웰리너스 석류 찬 콜라겐 10포</t>
  </si>
  <si>
    <t>25g*10포</t>
  </si>
  <si>
    <t>pd0000173</t>
  </si>
  <si>
    <t>웰리너스 망고 찬 콜라겐 10포</t>
  </si>
  <si>
    <t>pd0000174</t>
  </si>
  <si>
    <t>웰리너스 유기농 레몬즙 14포</t>
  </si>
  <si>
    <t>20g*14포</t>
  </si>
  <si>
    <t>pd0000175</t>
  </si>
  <si>
    <t>온이브 데이케어</t>
  </si>
  <si>
    <t>pd0000176</t>
  </si>
  <si>
    <t>온이브 데이케어 포 우먼 크랜베리</t>
  </si>
  <si>
    <t>남성·여성 특화 영양</t>
  </si>
  <si>
    <t>남성·여성 특화 영양 기본 선정품의 대안. 동시 입고보다 가격·제형·공급 차이가 있을 때 교체.</t>
  </si>
  <si>
    <t>pd0000177</t>
  </si>
  <si>
    <t>온이브 데이케어 비오틴</t>
  </si>
  <si>
    <t>비오틴·모발 영양</t>
  </si>
  <si>
    <t>비오틴·모발 영양 기본 선정품의 대안. 동시 입고보다 가격·제형·공급 차이가 있을 때 교체.</t>
  </si>
  <si>
    <t>pd0000178</t>
  </si>
  <si>
    <t>여리여리 괄사</t>
  </si>
  <si>
    <t>미용 도구</t>
  </si>
  <si>
    <t>미용 도구 기본 선정품의 대안. 동시 입고보다 가격·제형·공급 차이가 있을 때 교체.</t>
  </si>
  <si>
    <t>pd0000179</t>
  </si>
  <si>
    <t>여리여리 브라이트닝 슬리핑 크림</t>
  </si>
  <si>
    <t>50ml</t>
  </si>
  <si>
    <t>스킨케어</t>
  </si>
  <si>
    <t>톤·브라이트닝 스킨케어 기본 선정품의 대안. 동시 입고보다 가격·제형·공급 차이가 있을 때 교체.</t>
  </si>
  <si>
    <t>pd0000180</t>
  </si>
  <si>
    <t>스프렉사 쓰리아웃</t>
  </si>
  <si>
    <t>45g</t>
  </si>
  <si>
    <t>pd0000181</t>
  </si>
  <si>
    <t>스프렉사 워터믹스 제로 자몽맛</t>
  </si>
  <si>
    <t>189g</t>
  </si>
  <si>
    <t>수분·에너지 식품 기본 선정품의 대안. 동시 입고보다 가격·제형·공급 차이가 있을 때 교체.</t>
  </si>
  <si>
    <t>pd0000182</t>
  </si>
  <si>
    <t>스프렉사 포만 쉐이크 그린커피빈</t>
  </si>
  <si>
    <t>450g</t>
  </si>
  <si>
    <t>pd0000183</t>
  </si>
  <si>
    <t>스프렉사 알파CD제로</t>
  </si>
  <si>
    <t>42g</t>
  </si>
  <si>
    <t>pd0000184</t>
  </si>
  <si>
    <t>스프렉사 위스틱 효소</t>
  </si>
  <si>
    <t>pd0000185</t>
  </si>
  <si>
    <t>네츄럴메이드 
 리포좀 비타민C 플러스 (2개월분)</t>
  </si>
  <si>
    <t>1900mg*60T</t>
  </si>
  <si>
    <t>네츄럴메이드</t>
  </si>
  <si>
    <t>pd0000186</t>
  </si>
  <si>
    <t>네츄럴메이드 코랄칼슘앤마그네슘플러스(3개월분)</t>
  </si>
  <si>
    <t>1730mg*90T</t>
  </si>
  <si>
    <t>칼슘·비타민D</t>
  </si>
  <si>
    <t>pd0000187</t>
  </si>
  <si>
    <t>네츄럴메이드 포스파티딜세린 브레인 스톰(1개월분)</t>
  </si>
  <si>
    <t>1200mg*60C</t>
  </si>
  <si>
    <t>관절·인지 영양</t>
  </si>
  <si>
    <t>관절·인지 영양 기본 선정품의 대안. 동시 입고보다 가격·제형·공급 차이가 있을 때 교체.</t>
  </si>
  <si>
    <t>pd0000188</t>
  </si>
  <si>
    <t>네츄럴메이드 쏘팔메토 아연 골드(3개월분)</t>
  </si>
  <si>
    <t>1300mg*90C</t>
  </si>
  <si>
    <t>pd0000189</t>
  </si>
  <si>
    <t>네츄럴메이드 멀티비타민 앤 미네랄 포맨(3개월분)</t>
  </si>
  <si>
    <t>1445mg*90T</t>
  </si>
  <si>
    <t>pd0000190</t>
  </si>
  <si>
    <t>네츄럴메이드 비타민D 2000IU (3개월분)</t>
  </si>
  <si>
    <t>150mg*90C</t>
  </si>
  <si>
    <t>pd0000191</t>
  </si>
  <si>
    <t>네츄럴메이드 멀티비타민 앤 미네랄(3개월분)</t>
  </si>
  <si>
    <t>pd0000192</t>
  </si>
  <si>
    <t>네츄럴메이드 울트라파워 아이루테인(3개월분)</t>
  </si>
  <si>
    <t>500mg*90C</t>
  </si>
  <si>
    <t>pd0000193</t>
  </si>
  <si>
    <t>네츄럴메이드 프로폴리스 앤 아연 (3개월분)</t>
  </si>
  <si>
    <t>1000mg*90C</t>
  </si>
  <si>
    <t>pd0000194</t>
  </si>
  <si>
    <t>네츄럴메이드 엠에스엠 조인트플렉스(2개월분)</t>
  </si>
  <si>
    <t>2035mg*60T</t>
  </si>
  <si>
    <t>pd0000195</t>
  </si>
  <si>
    <t>네츄럴메이드 플랙씨드 앤 햄프씨드 (3개월분)</t>
  </si>
  <si>
    <t>1000mg*180C</t>
  </si>
  <si>
    <t>오메가3·혈행 영양 기본 선정품의 대안. 동시 입고보다 가격·제형·공급 차이가 있을 때 교체.</t>
  </si>
  <si>
    <t>pd0000196</t>
  </si>
  <si>
    <t>네츄럴메이드 액티브셀 알티지 오메가3 (2개월분)</t>
  </si>
  <si>
    <t>1202mg*60C</t>
  </si>
  <si>
    <t>pd0000197</t>
  </si>
  <si>
    <t>네츄럴메이드 후레쉬한 구강유산균</t>
  </si>
  <si>
    <t>850mg*6T</t>
  </si>
  <si>
    <t>구강 유산균</t>
  </si>
  <si>
    <t>상품명 구강유산균에 따라 장 유산균과 분리. 건기식 여부는 표시 확인.</t>
  </si>
  <si>
    <t>구강 유산균 기본 선정품의 대안. 동시 입고보다 가격·제형·공급 차이가 있을 때 교체.</t>
  </si>
  <si>
    <t>pd0000198</t>
  </si>
  <si>
    <t>가꾸기 피부케어&amp;비피더스유산균 본품 30포</t>
  </si>
  <si>
    <t>유산균 기본 선정품의 대안. 동시 입고보다 가격·제형·공급 차이가 있을 때 교체.</t>
  </si>
  <si>
    <t>pd0000199</t>
  </si>
  <si>
    <t>가꾸기 피부케어&amp;비피더스유산균 스타터팩 15포</t>
  </si>
  <si>
    <t>pd0000200</t>
  </si>
  <si>
    <t>가꾸기 브이롭티 본품 30포</t>
  </si>
  <si>
    <t>pd0000201</t>
  </si>
  <si>
    <t>가꾸기 브이롭티 스타터팩 15포</t>
  </si>
  <si>
    <t>pd0000202</t>
  </si>
  <si>
    <t>가꾸기 다이어팅티 애플맛 14포</t>
  </si>
  <si>
    <t>pd0000203</t>
  </si>
  <si>
    <t>가꾸기 다이어팅티 복숭아맛 14포</t>
  </si>
  <si>
    <t>pd0000204</t>
  </si>
  <si>
    <t>가꾸기 텐글 스킨 부스터샷 14포</t>
  </si>
  <si>
    <t>pd0000205</t>
  </si>
  <si>
    <t>가꾸기 다이어트 쉐이크 곡물맛_낱포</t>
  </si>
  <si>
    <t>pd0000206</t>
  </si>
  <si>
    <t>가꾸기 다이어트 쉐이크 초코맛_낱포</t>
  </si>
  <si>
    <t>pd0000207</t>
  </si>
  <si>
    <t>가꾸기 다이어트 쉐이크 흑임자맛_낱포</t>
  </si>
  <si>
    <t>pd0000208</t>
  </si>
  <si>
    <t>가꾸기 다이어트 쉐이크 옥수수맛_낱포</t>
  </si>
  <si>
    <t>pd0000209</t>
  </si>
  <si>
    <t>가꾸기 다이어트 쉐이크 쿠키앤크림맛_낱포</t>
  </si>
  <si>
    <t>pd0000210</t>
  </si>
  <si>
    <t>퍼니트 유기농 올레샷 올리브오일 앤 레몬즙 14포</t>
  </si>
  <si>
    <t>pd0000211</t>
  </si>
  <si>
    <t>퍼니트 마시는 샐러드 30포</t>
  </si>
  <si>
    <t>2g*30포</t>
  </si>
  <si>
    <t>pd0000212</t>
  </si>
  <si>
    <t>퍼니트 리얼 파인애플 효소 30포</t>
  </si>
  <si>
    <t>3g*30포</t>
  </si>
  <si>
    <t>pd0000213</t>
  </si>
  <si>
    <t>퍼니트 리얼 콤부차 파인애플 30개입</t>
  </si>
  <si>
    <t>5g*30포</t>
  </si>
  <si>
    <t>pd0000214</t>
  </si>
  <si>
    <t>퍼니트 리얼 콤부차 애플사이다비니거 30개입</t>
  </si>
  <si>
    <t>pd0000215</t>
  </si>
  <si>
    <t>퍼니트 화이트 저분자 콜라겐 30포</t>
  </si>
  <si>
    <t>3.3g*30포</t>
  </si>
  <si>
    <t>pd0000216</t>
  </si>
  <si>
    <t>퍼니트 링포유 레몬맛 10포</t>
  </si>
  <si>
    <t>11g*10포</t>
  </si>
  <si>
    <t>pd0000217</t>
  </si>
  <si>
    <t>퍼니트 새빨간 콜레우스 포스콜리 다이어트 56정</t>
  </si>
  <si>
    <t>800mg*56T</t>
  </si>
  <si>
    <t>pd0000218</t>
  </si>
  <si>
    <t>퍼니트 몽모랑시 타트체리정 90정</t>
  </si>
  <si>
    <t>500mg*90T</t>
  </si>
  <si>
    <t>pd0000219</t>
  </si>
  <si>
    <t>퍼니트 리얼 그린아세로라 비타민C 14포</t>
  </si>
  <si>
    <t>2g*14포</t>
  </si>
  <si>
    <t>pd0000220</t>
  </si>
  <si>
    <t>알디콤A 숙취해소제 12포</t>
  </si>
  <si>
    <t>12포</t>
  </si>
  <si>
    <t>pd0000221</t>
  </si>
  <si>
    <t>알디콤V 숙취해소제 12포</t>
  </si>
  <si>
    <t>pd0000222</t>
  </si>
  <si>
    <t>알디콤Plus 숙취해소제 12포</t>
  </si>
  <si>
    <t>pd0000223</t>
  </si>
  <si>
    <t>니아르 브이케어 파인애플맛</t>
  </si>
  <si>
    <t>28T</t>
  </si>
  <si>
    <t>pd0000224</t>
  </si>
  <si>
    <t>니아르 브이케어 리치피치맛</t>
  </si>
  <si>
    <t>pd0000225</t>
  </si>
  <si>
    <t>니아르 오일케어</t>
  </si>
  <si>
    <t>pd0000226</t>
  </si>
  <si>
    <t>니아르 가르시니아 샤인머스켓</t>
  </si>
  <si>
    <t>pd0000227</t>
  </si>
  <si>
    <t>니아르 퓨어애사비</t>
  </si>
  <si>
    <t>pd0000228</t>
  </si>
  <si>
    <t>니아르 쉐이킷 초코맛</t>
  </si>
  <si>
    <t>1포</t>
  </si>
  <si>
    <t>pd0000229</t>
  </si>
  <si>
    <t>니아르 쉐이킷 아사이베리맛</t>
  </si>
  <si>
    <t>pd0000230</t>
  </si>
  <si>
    <t>뉴트리원 NFC 하스카프베리 착즙액 100%</t>
  </si>
  <si>
    <t>8g*14포</t>
  </si>
  <si>
    <t>pd0000231</t>
  </si>
  <si>
    <t>뉴트리원 뉴트리원 루테인 지아잔틴 츄</t>
  </si>
  <si>
    <t>300mg*6C*5EA</t>
  </si>
  <si>
    <t>pd0000232</t>
  </si>
  <si>
    <t>뉴트리원 NFC 유기농 로마토마토 착즙액 100%</t>
  </si>
  <si>
    <t>pd0000233</t>
  </si>
  <si>
    <t>뉴트리원 비비랩 올리브레몬 듀얼샷</t>
  </si>
  <si>
    <t>pd0000234</t>
  </si>
  <si>
    <t>뉴트리원 비비랩 유기농 올리브 석류 듀얼샷</t>
  </si>
  <si>
    <t>pd0000235</t>
  </si>
  <si>
    <t>뉴트리원 비비랩 올리브 블러드 오렌지 듀얼샷</t>
  </si>
  <si>
    <t>pd0000236</t>
  </si>
  <si>
    <t>뉴트리원 비비랩 유기농 올리브엔 토마토듀얼샷</t>
  </si>
  <si>
    <t>pd0000237</t>
  </si>
  <si>
    <t>뉴트리원 비비랩 화이트 콜라겐</t>
  </si>
  <si>
    <t>pd0000238</t>
  </si>
  <si>
    <t>뉴트리원 더 콜라겐 더블케어</t>
  </si>
  <si>
    <t>pd0000239</t>
  </si>
  <si>
    <t>뉴트리원 더 엘라스틴</t>
  </si>
  <si>
    <t>pd0000240</t>
  </si>
  <si>
    <t>뉴트리원 프로바이오틱스 더블유 이너케어</t>
  </si>
  <si>
    <t>170mg*30C</t>
  </si>
  <si>
    <t>pd0000241</t>
  </si>
  <si>
    <t>뉴트리원 저분자콜라겐 유산균</t>
  </si>
  <si>
    <t>2g*50포</t>
  </si>
  <si>
    <t>pd0000242</t>
  </si>
  <si>
    <t>뉴트리원 저분자콜라겐 유산균C</t>
  </si>
  <si>
    <t>pd0000243</t>
  </si>
  <si>
    <t>뉴트리원 비비랩 카무트 브랜드 밀 효소 골드</t>
  </si>
  <si>
    <t>3g*20포</t>
  </si>
  <si>
    <t>pd0000244</t>
  </si>
  <si>
    <t>뉴트리원 비비랩 에센셜 저분자콜라겐</t>
  </si>
  <si>
    <t>pd0000245</t>
  </si>
  <si>
    <t>뉴트리원 비비랩 리포좀 비타민C 저분자콜라겐</t>
  </si>
  <si>
    <t>pd0000246</t>
  </si>
  <si>
    <t>뉴트리원 비비랩 콜라겐 탱글 업</t>
  </si>
  <si>
    <t>pd0000247</t>
  </si>
  <si>
    <t>뉴트리원 비비랩 효소 밀크티맛</t>
  </si>
  <si>
    <t>2.5g*20포</t>
  </si>
  <si>
    <t>pd0000248</t>
  </si>
  <si>
    <t>뉴트리원 비비랩 효소 말차라떼맛</t>
  </si>
  <si>
    <t>pd0000249</t>
  </si>
  <si>
    <t>뉴트리원 비타민D3 3000IU</t>
  </si>
  <si>
    <t>100mg*60C</t>
  </si>
  <si>
    <t>칼슘·비타민D 기본 선정품의 대안. 동시 입고보다 가격·제형·공급 차이가 있을 때 교체.</t>
  </si>
  <si>
    <t>pd0000250</t>
  </si>
  <si>
    <t>뉴트리원 맥시도스C 3000</t>
  </si>
  <si>
    <t>3g*100포</t>
  </si>
  <si>
    <t>pd0000251</t>
  </si>
  <si>
    <t>뉴트리원 에너마그업</t>
  </si>
  <si>
    <t>마그네슘 경구제품 기본 선정품의 대안. 동시 입고보다 가격·제형·공급 차이가 있을 때 교체.</t>
  </si>
  <si>
    <t>pd0000252</t>
  </si>
  <si>
    <t>뉴트리원 아르기닌 맥스 5000</t>
  </si>
  <si>
    <t>18ml*15포</t>
  </si>
  <si>
    <t>pd0000253</t>
  </si>
  <si>
    <t>뉴트리원 골든타임 웰키즈</t>
  </si>
  <si>
    <t>1300mg*30T</t>
  </si>
  <si>
    <t>pd0000254</t>
  </si>
  <si>
    <t>뉴트리원 장용성 종합비타민 이뮨+</t>
  </si>
  <si>
    <t>1600mg*30T</t>
  </si>
  <si>
    <t>pd0000255</t>
  </si>
  <si>
    <t>뉴트리원 혈당 혈행 간 토탈케어</t>
  </si>
  <si>
    <t>500mg*60T</t>
  </si>
  <si>
    <t>밀크씨슬·간 영양</t>
  </si>
  <si>
    <t>밀크씨슬·간 영양 기본 선정품의 대안. 동시 입고보다 가격·제형·공급 차이가 있을 때 교체.</t>
  </si>
  <si>
    <t>pd0000256</t>
  </si>
  <si>
    <t>뉴트리원 뉴트리원 올인원멀티비타 이뮨플러스 7병</t>
  </si>
  <si>
    <t>7병</t>
  </si>
  <si>
    <t>pd0000257</t>
  </si>
  <si>
    <t>뉴트리원 올인원 종합비타민 이뮨샷 14병</t>
  </si>
  <si>
    <t>14병</t>
  </si>
  <si>
    <t>pd0000258</t>
  </si>
  <si>
    <t>뉴트리원 비비랩 석류콜라겐S</t>
  </si>
  <si>
    <t>pd0000259</t>
  </si>
  <si>
    <t>뉴트리원 비피더스 100억 밸런스 유산균</t>
  </si>
  <si>
    <t>350mg*30C</t>
  </si>
  <si>
    <t>pd0000260</t>
  </si>
  <si>
    <t>올더뮤 뮤신 딥글로우 자두맛</t>
  </si>
  <si>
    <t>200g*10포</t>
  </si>
  <si>
    <t>pd0000261</t>
  </si>
  <si>
    <t>올더뮤 뮤신 딥글로우 키위맛</t>
  </si>
  <si>
    <t>pd0000262</t>
  </si>
  <si>
    <t>올더뮤 뮤신 바운스 복숭아맛</t>
  </si>
  <si>
    <t>pd0000263</t>
  </si>
  <si>
    <t>올더뮤 뮤신 클리어모닝 사과맛</t>
  </si>
  <si>
    <t>pd0000264</t>
  </si>
  <si>
    <t>올더뮤 뮤신 딥글로우플러스 레몬청포도맛</t>
  </si>
  <si>
    <t>pd0000265</t>
  </si>
  <si>
    <t>올더뮤 뮤신 이노베리밸런스 크랜베리맛</t>
  </si>
  <si>
    <t>pd0000266</t>
  </si>
  <si>
    <t>라티브 올리브레몬샷</t>
  </si>
  <si>
    <t>14EA</t>
  </si>
  <si>
    <t>pd0000267</t>
  </si>
  <si>
    <t>라티브 글루타치온 화이트토마토샷</t>
  </si>
  <si>
    <t>pd0000268</t>
  </si>
  <si>
    <t>6EA</t>
  </si>
  <si>
    <t>pd0000269</t>
  </si>
  <si>
    <t>라티브 커큐민레몬진저샷</t>
  </si>
  <si>
    <t>pd0000270</t>
  </si>
  <si>
    <t>글루타치온 함유 식품 기본 선정품의 대안. 동시 입고보다 가격·제형·공급 차이가 있을 때 교체.</t>
  </si>
  <si>
    <t>pd0000271</t>
  </si>
  <si>
    <t>라티브 브이라이트 레몬키위샷</t>
  </si>
  <si>
    <t>pd0000272</t>
  </si>
  <si>
    <t>푸응 팻버닝 프로</t>
  </si>
  <si>
    <t>pd0000273</t>
  </si>
  <si>
    <t>푸응 나이트버닝 프로</t>
  </si>
  <si>
    <t>pd0000274</t>
  </si>
  <si>
    <t>푸응 파비플로라</t>
  </si>
  <si>
    <t>14C</t>
  </si>
  <si>
    <t>pd0000275</t>
  </si>
  <si>
    <t>푸응 다이어트</t>
  </si>
  <si>
    <t>20포</t>
  </si>
  <si>
    <t>pd0000276</t>
  </si>
  <si>
    <t>푸응 LCEC 450버닝</t>
  </si>
  <si>
    <t>pd0000277</t>
  </si>
  <si>
    <t>비타민마을 알파CD 마이핏</t>
  </si>
  <si>
    <t>3.5g*30포</t>
  </si>
  <si>
    <t>pd0000278</t>
  </si>
  <si>
    <t>비타민마을 PDRN 글로우샷 100 콜라겐 글루타치온</t>
  </si>
  <si>
    <t>pd0000279</t>
  </si>
  <si>
    <t>비타민마을 한방에 뺄래</t>
  </si>
  <si>
    <t>650mg*3T*28포</t>
  </si>
  <si>
    <t>pd0000280</t>
  </si>
  <si>
    <t>비타민마을 츄잇 그린 샐러드 캔디</t>
  </si>
  <si>
    <t>2g*28T</t>
  </si>
  <si>
    <t>pd0000281</t>
  </si>
  <si>
    <t>비타민마을 빠질라카노</t>
  </si>
  <si>
    <t>3.3g*60포</t>
  </si>
  <si>
    <t>pd0000282</t>
  </si>
  <si>
    <t>비타민마을 더블유 이너케어 여성유산균</t>
  </si>
  <si>
    <t>pd0000283</t>
  </si>
  <si>
    <t>비타민마을 콜린 미오 이노시톨 4000 엽산 800</t>
  </si>
  <si>
    <t>pd0000284</t>
  </si>
  <si>
    <t>비타민마을 톤업 글루타치온 초저분자콜라겐 비오틴 정</t>
  </si>
  <si>
    <t>1,000mg*90T</t>
  </si>
  <si>
    <t>pd0000285</t>
  </si>
  <si>
    <t>비타민마을 10억 유산균이 들어간 화이트 글루타치온</t>
  </si>
  <si>
    <t>pd0000286</t>
  </si>
  <si>
    <t>비타민마을 식물성 멜라토닌 5mg 함유 이지나이트 트리플 콤플렉스</t>
  </si>
  <si>
    <t>1,000mg*30T</t>
  </si>
  <si>
    <t>pd0000287</t>
  </si>
  <si>
    <t>딥트 3일 피치(맛)번 30정 (30일분)</t>
  </si>
  <si>
    <t>30T</t>
  </si>
  <si>
    <t>pd0000288</t>
  </si>
  <si>
    <t>딥트 3일 애플번 30정 (15일분)</t>
  </si>
  <si>
    <t>pd0000289</t>
  </si>
  <si>
    <t>딥트 3일 분해효소 리셋 8포</t>
  </si>
  <si>
    <t>8포</t>
  </si>
  <si>
    <t>pd0000290</t>
  </si>
  <si>
    <t>딥트 3일 스트롱 플러스 8포</t>
  </si>
  <si>
    <t>pd0000291</t>
  </si>
  <si>
    <t>딥트 3일 스트롱 플러스 15포</t>
  </si>
  <si>
    <t>pd0000292</t>
  </si>
  <si>
    <t>딥트 3일 듀얼밸런스 효소 매실 30포</t>
  </si>
  <si>
    <t>pd0000293</t>
  </si>
  <si>
    <t>딥트 3일 호박하나 10포</t>
  </si>
  <si>
    <t>pd0000294</t>
  </si>
  <si>
    <t>캄프 단백 레시피 45g</t>
  </si>
  <si>
    <t>pd0000295</t>
  </si>
  <si>
    <t>작심랩 콤부차 납작복숭아 50g</t>
  </si>
  <si>
    <t>pd0000296</t>
  </si>
  <si>
    <t>작심랩 콤부차 샤인머스캣 50g</t>
  </si>
  <si>
    <t>pd0000297</t>
  </si>
  <si>
    <t>작심랩 콤부차 애플망고 50g</t>
  </si>
  <si>
    <t>pd0000298</t>
  </si>
  <si>
    <t>작심랩 콤부차 골드키위 50g</t>
  </si>
  <si>
    <t>pd0000299</t>
  </si>
  <si>
    <t>작심랩 콤부차 레몬 50g</t>
  </si>
  <si>
    <t>pd0000300</t>
  </si>
  <si>
    <t>작심랩 콤부차 자몽 50g</t>
  </si>
  <si>
    <t>pd0000301</t>
  </si>
  <si>
    <t>작심랩 콤부차 체리콕 50g</t>
  </si>
  <si>
    <t>pd0000302</t>
  </si>
  <si>
    <t>작심랩 콤부차 블루베리 50g</t>
  </si>
  <si>
    <t>pd0000303</t>
  </si>
  <si>
    <t>작심랩 콤부차 파인애플 50g</t>
  </si>
  <si>
    <t>pd0000304</t>
  </si>
  <si>
    <t>작심랩 콤부차 복숭아 50g</t>
  </si>
  <si>
    <t>pd0000305</t>
  </si>
  <si>
    <t>작심랩 콤부차 매실 50g</t>
  </si>
  <si>
    <t>pd0000306</t>
  </si>
  <si>
    <t>작심랩 콤부차 패션후르츠 50g</t>
  </si>
  <si>
    <t>pd0000307</t>
  </si>
  <si>
    <t>작심랩 애플사이다비니거 청사과 150g</t>
  </si>
  <si>
    <t>15g*10포</t>
  </si>
  <si>
    <t>pd0000308</t>
  </si>
  <si>
    <t>작심랩 애플사이다비니거 레몬 150g</t>
  </si>
  <si>
    <t>pd0000309</t>
  </si>
  <si>
    <t>모닝컴스 오리지널 캡슐 수입버전 30C</t>
  </si>
  <si>
    <t>pd0000310</t>
  </si>
  <si>
    <t>모닝컴스 오리지널 캡슐 10C</t>
  </si>
  <si>
    <t>pd0000311</t>
  </si>
  <si>
    <t>모닝컴스 레이디스앤젠틀맨</t>
  </si>
  <si>
    <t>2C*4포</t>
  </si>
  <si>
    <t>pd0000312</t>
  </si>
  <si>
    <t>SC인터내셔널 피넛버터콘 132g</t>
  </si>
  <si>
    <t>132g</t>
  </si>
  <si>
    <t>pd0000313</t>
  </si>
  <si>
    <t>SC인터내셔널 말차콘 132g</t>
  </si>
  <si>
    <t>pd0000314</t>
  </si>
  <si>
    <t>SC인터내셔널 블랙트러플 하몽 크래커 319g</t>
  </si>
  <si>
    <t>319g</t>
  </si>
  <si>
    <t>pd0000315</t>
  </si>
  <si>
    <t>SC인터내셔널 흑마늘 감자 크래커 286g</t>
  </si>
  <si>
    <t>286g</t>
  </si>
  <si>
    <t>pd0000316</t>
  </si>
  <si>
    <t>SC인터내셔널 블랙트러플 감자 크래커 286g</t>
  </si>
  <si>
    <t>pd0000317</t>
  </si>
  <si>
    <t>SC인터내셔널 그린피 30g</t>
  </si>
  <si>
    <t>pd0000318</t>
  </si>
  <si>
    <t>SC인터내셔널 딸기 토스트 크래커 210g</t>
  </si>
  <si>
    <t>210g</t>
  </si>
  <si>
    <t>pd0000319</t>
  </si>
  <si>
    <t>SC인터내셔널 블루베리 토스트 크래커 210g</t>
  </si>
  <si>
    <t>pd0000320</t>
  </si>
  <si>
    <t>SC인터내셔널 선식 크래커 블랙 200g</t>
  </si>
  <si>
    <t>pd0000321</t>
  </si>
  <si>
    <t>SC인터내셔널 스내픽 에어프리즈 초콜릿 16g</t>
  </si>
  <si>
    <t>16g</t>
  </si>
  <si>
    <t>pd0000322</t>
  </si>
  <si>
    <t>선망 콤부차 10개입 레몬</t>
  </si>
  <si>
    <t>pd0000323</t>
  </si>
  <si>
    <t>선망 콤부차 10개입 복숭아</t>
  </si>
  <si>
    <t>pd0000324</t>
  </si>
  <si>
    <t>선망 콤부차 10개입 샤인머스켓</t>
  </si>
  <si>
    <t>pd0000325</t>
  </si>
  <si>
    <t>선망 콤부차 10개입 자몽</t>
  </si>
  <si>
    <t>pd0000326</t>
  </si>
  <si>
    <t>선망 콤부차 10개입 사과</t>
  </si>
  <si>
    <t>pd0000327</t>
  </si>
  <si>
    <t>선망 콤부차 10개입 파인애플</t>
  </si>
  <si>
    <t>pd0000328</t>
  </si>
  <si>
    <t>선망 콤부차 10개입 체리</t>
  </si>
  <si>
    <t>pd0000329</t>
  </si>
  <si>
    <t>선망 콤부차 10개입 포도</t>
  </si>
  <si>
    <t>pd0000330</t>
  </si>
  <si>
    <t>잇츠베러 크래커 초코시나몬</t>
  </si>
  <si>
    <t>pd0000331</t>
  </si>
  <si>
    <t>잇츠베러 크래커 어니언</t>
  </si>
  <si>
    <t>pd0000332</t>
  </si>
  <si>
    <t>잇츠베러 크래커 베리즈</t>
  </si>
  <si>
    <t>pd0000333</t>
  </si>
  <si>
    <t>잇츠베러 제로슈가 쿠키 더블초코</t>
  </si>
  <si>
    <t>pd0000334</t>
  </si>
  <si>
    <t>잇츠베러 제로슈가 쿠키토피넛</t>
  </si>
  <si>
    <t>pd0000335</t>
  </si>
  <si>
    <t>잇츠베러 제로슈가 쿠키 말차초코칩</t>
  </si>
  <si>
    <t>pd0000336</t>
  </si>
  <si>
    <t>잇츠베러 코코넛칩 브라우니</t>
  </si>
  <si>
    <t>pd0000337</t>
  </si>
  <si>
    <t>잇츠베러 코코넛칩 망고</t>
  </si>
  <si>
    <t>pd0000338</t>
  </si>
  <si>
    <t>낫띵베럴 드링킷 4종 100ml 호박즙</t>
  </si>
  <si>
    <t>pd0000339</t>
  </si>
  <si>
    <t>낫띵베럴 드링킷 4종 100ml 팥물</t>
  </si>
  <si>
    <t>pd0000340</t>
  </si>
  <si>
    <t>낫띵베럴 드링킷 4종 100ml 마시는 샐러드</t>
  </si>
  <si>
    <t>pd0000341</t>
  </si>
  <si>
    <t>낫띵베럴 드링킷 4종 100ml 사과 양배추즙</t>
  </si>
  <si>
    <t>pd0000342</t>
  </si>
  <si>
    <t>낫띵베럴 이너주스 2종 100ml 애사비</t>
  </si>
  <si>
    <t>pd0000343</t>
  </si>
  <si>
    <t>낫띵베럴 이너주스 2종 100ml 레몬즙</t>
  </si>
  <si>
    <t>pd0000344</t>
  </si>
  <si>
    <t>낫띵베럴 단백질 쉐이크 초코크런치</t>
  </si>
  <si>
    <t>pd0000345</t>
  </si>
  <si>
    <t>낫띵베럴 단백질 쉐이크 딸기라떼</t>
  </si>
  <si>
    <t>pd0000346</t>
  </si>
  <si>
    <t>낫띵베럴 단백질 쉐이크 19곡물</t>
  </si>
  <si>
    <t>pd0000347</t>
  </si>
  <si>
    <t>낫띵베럴 럽티 피치루이보스</t>
  </si>
  <si>
    <t>30g*15입</t>
  </si>
  <si>
    <t>pd0000348</t>
  </si>
  <si>
    <t>낫띵베럴 럽티 레몬녹차</t>
  </si>
  <si>
    <t>pd0000349</t>
  </si>
  <si>
    <t>낫띵베럴 럽티 호박차</t>
  </si>
  <si>
    <t>pd0000350</t>
  </si>
  <si>
    <t>낫띵베럴 럽티 팥차</t>
  </si>
  <si>
    <t>pd0000351</t>
  </si>
  <si>
    <t>자연공유 곤약쫀득이</t>
  </si>
  <si>
    <t>35g</t>
  </si>
  <si>
    <t>pd0000352</t>
  </si>
  <si>
    <t>자연공유 말차쫀득이</t>
  </si>
  <si>
    <t>pd0000353</t>
  </si>
  <si>
    <t>자연공유 보이차쫀득이</t>
  </si>
  <si>
    <t>pd0000354</t>
  </si>
  <si>
    <t>자연공유 매울신쫀득이</t>
  </si>
  <si>
    <t>pd0000355</t>
  </si>
  <si>
    <t>자연공유 츄러스쫀득이</t>
  </si>
  <si>
    <t>pd0000356</t>
  </si>
  <si>
    <t>자연공유 커피쫀득이</t>
  </si>
  <si>
    <t>pd0000357</t>
  </si>
  <si>
    <t>자연공유 단백한공유 오리지널</t>
  </si>
  <si>
    <t>17g</t>
  </si>
  <si>
    <t>pd0000358</t>
  </si>
  <si>
    <t>자연공유 단백질이 답이다 오리지널</t>
  </si>
  <si>
    <t>50g</t>
  </si>
  <si>
    <t>pd0000359</t>
  </si>
  <si>
    <t>자연공유 단백질이 답이다 스위트</t>
  </si>
  <si>
    <t>pd0000360</t>
  </si>
  <si>
    <t>자연공유 단백질이 답이다 마늘빵</t>
  </si>
  <si>
    <t>pd0000361</t>
  </si>
  <si>
    <t>자연공유 단백질이 닭이다 랜치맛</t>
  </si>
  <si>
    <t>pd0000362</t>
  </si>
  <si>
    <t>자연공유 단백질이 닭이다 김치맛</t>
  </si>
  <si>
    <t>pd0000363</t>
  </si>
  <si>
    <t>자연공유 유기농 100% 레몬즙</t>
  </si>
  <si>
    <t>20g*15포</t>
  </si>
  <si>
    <t>pd0000364</t>
  </si>
  <si>
    <t>자연공유 유기농 100% 푸룬주스</t>
  </si>
  <si>
    <t>pd0000365</t>
  </si>
  <si>
    <t>자연공유 인생어포 까삭이</t>
  </si>
  <si>
    <t>80g</t>
  </si>
  <si>
    <t>pd0000366</t>
  </si>
  <si>
    <t>자연공유 칠리하새우</t>
  </si>
  <si>
    <t>pd0000367</t>
  </si>
  <si>
    <t>CJ제일제당 얼티브 아몬드두유 저당 190ML 24개입</t>
  </si>
  <si>
    <t>190ML*24EA</t>
  </si>
  <si>
    <t>pd0000368</t>
  </si>
  <si>
    <t>CJ제일제당 얼티브 아몬드두유 저당 190ML</t>
  </si>
  <si>
    <t>190ML</t>
  </si>
  <si>
    <t>pd0000369</t>
  </si>
  <si>
    <t>CJ제일제당 얼티브 파로두유 저당 190ML</t>
  </si>
  <si>
    <t>pd0000370</t>
  </si>
  <si>
    <t>pd0000371</t>
  </si>
  <si>
    <t>CJ제일제당 다시다/팝콘 다시다맛80G</t>
  </si>
  <si>
    <t>80G</t>
  </si>
  <si>
    <t>pd0000372</t>
  </si>
  <si>
    <t>CJ제일제당 비비고/김 팝콘 80G</t>
  </si>
  <si>
    <t>pd0000373</t>
  </si>
  <si>
    <t>CJ제일제당 다시다/나쵸 65G</t>
  </si>
  <si>
    <t>65G</t>
  </si>
  <si>
    <t>pd0000374</t>
  </si>
  <si>
    <t>CJ제일제당 비비고/김 나쵸 65G</t>
  </si>
  <si>
    <t>pd0000375</t>
  </si>
  <si>
    <t>CJ제일제당 햇반/파로누룽지차 500ML</t>
  </si>
  <si>
    <t>500ML</t>
  </si>
  <si>
    <t>pd0000376</t>
  </si>
  <si>
    <t>CJ제일제당 햇반/루피니빈 보리차 500ML</t>
  </si>
  <si>
    <t>pd0000377</t>
  </si>
  <si>
    <t>CJ제일제당 햇반/파로누룽지식혜 340ML</t>
  </si>
  <si>
    <t>340ML</t>
  </si>
  <si>
    <t>pd0000378</t>
  </si>
  <si>
    <t>CJ제일제당 햇반/레드빈 호박차 500ML</t>
  </si>
  <si>
    <t>pd0000379</t>
  </si>
  <si>
    <t>CJ제일제당 맥스셋 레몬비타 120ML*10입</t>
  </si>
  <si>
    <t>120ML*10EA</t>
  </si>
  <si>
    <t>pd0000380</t>
  </si>
  <si>
    <t>CJ제일제당 맥스셋 레몬비타 120ML</t>
  </si>
  <si>
    <t>120ML*1EA</t>
  </si>
  <si>
    <t>pd0000381</t>
  </si>
  <si>
    <t>CJ제일제당 맥스셋 푸룬클렌즈 170ML</t>
  </si>
  <si>
    <t>170ML</t>
  </si>
  <si>
    <t>pd0000382</t>
  </si>
  <si>
    <t>티젠 콤부차 레몬</t>
  </si>
  <si>
    <t>10EA</t>
  </si>
  <si>
    <t>pd0000383</t>
  </si>
  <si>
    <t>티젠 콤부차 피치</t>
  </si>
  <si>
    <t>pd0000384</t>
  </si>
  <si>
    <t>티젠 콤부차 스트로베리키위</t>
  </si>
  <si>
    <t>pd0000385</t>
  </si>
  <si>
    <t>티젠 콤부차 매실</t>
  </si>
  <si>
    <t>pd0000386</t>
  </si>
  <si>
    <t>티젠 콤부차 자두</t>
  </si>
  <si>
    <t>pd0000387</t>
  </si>
  <si>
    <t>티젠 콤부차 파인애플</t>
  </si>
  <si>
    <t>pd0000388</t>
  </si>
  <si>
    <t>티젠 콤부차 샤인머스캣</t>
  </si>
  <si>
    <t>pd0000389</t>
  </si>
  <si>
    <t>티젠 애플사이다비니거</t>
  </si>
  <si>
    <t>pd0000390</t>
  </si>
  <si>
    <t>티젠 애플사이다비니거 더블비니거</t>
  </si>
  <si>
    <t>pd0000391</t>
  </si>
  <si>
    <t>티젠 브이핏 말차레몬</t>
  </si>
  <si>
    <t>pd0000392</t>
  </si>
  <si>
    <t>티젠 브이핏 호박팥차</t>
  </si>
  <si>
    <t>15EA</t>
  </si>
  <si>
    <t>pd0000393</t>
  </si>
  <si>
    <t>티젠 말차라떼</t>
  </si>
  <si>
    <t>7EA</t>
  </si>
  <si>
    <t>pd0000394</t>
  </si>
  <si>
    <t>티젠 티오마카세 얼그레이 아몬드 와플</t>
  </si>
  <si>
    <t>pd0000395</t>
  </si>
  <si>
    <t>티젠 티오마카세 말차 와플</t>
  </si>
  <si>
    <t>pd0000396</t>
  </si>
  <si>
    <t>티젠 티오마카세 말차 웨하스</t>
  </si>
  <si>
    <t>pd0000397</t>
  </si>
  <si>
    <t>티젠 티오마카세 얼그레이 웨하스</t>
  </si>
  <si>
    <t>pd0000398</t>
  </si>
  <si>
    <t>티젠 티오마카세 호지차 웨하스</t>
  </si>
  <si>
    <t>pd0000399</t>
  </si>
  <si>
    <t>티젠 에너지티 부스트</t>
  </si>
  <si>
    <t>pd0000400</t>
  </si>
  <si>
    <t>티젠 콤부차 이온</t>
  </si>
  <si>
    <t>pd0000401</t>
  </si>
  <si>
    <t>티젠 애사비소다 오리지널 RTD</t>
  </si>
  <si>
    <t>500mL</t>
  </si>
  <si>
    <t>pd0000402</t>
  </si>
  <si>
    <t>셀시어스 OTG 베리맛</t>
  </si>
  <si>
    <t>4.5g*10포</t>
  </si>
  <si>
    <t>pd0000403</t>
  </si>
  <si>
    <t>셀시어스 OTG 키위구아바맛</t>
  </si>
  <si>
    <t>pd0000404</t>
  </si>
  <si>
    <t>곡물도감 서리태콩물두유 180ml</t>
  </si>
  <si>
    <t>180ml</t>
  </si>
  <si>
    <t>pd0000405</t>
  </si>
  <si>
    <t>곡물도감 국산 무가당 21곡 서리태 가득 콩물두유 180ml</t>
  </si>
  <si>
    <t>pd0000406</t>
  </si>
  <si>
    <t>곡물도감 말차 서리태콩물두유 180ml</t>
  </si>
  <si>
    <t>pd0000407</t>
  </si>
  <si>
    <t>곡물도감 카무트귀리두유 180ml</t>
  </si>
  <si>
    <t>pd0000408</t>
  </si>
  <si>
    <t>곡물도감 식이섬유 가득 비움두유 180ml</t>
  </si>
  <si>
    <t>pd0000409</t>
  </si>
  <si>
    <t>곡물도감 더 진한 무가당 맷돌 콩물두유 180ml</t>
  </si>
  <si>
    <t>pd0000410</t>
  </si>
  <si>
    <t>곡물도감 그래놀라 오리지널 20g</t>
  </si>
  <si>
    <t>pd0000411</t>
  </si>
  <si>
    <t>곡물도감 그래놀라 카카오 20g</t>
  </si>
  <si>
    <t>pd0000412</t>
  </si>
  <si>
    <t>곡물도감 그래놀라 피스타치오 20g</t>
  </si>
  <si>
    <t>pd0000413</t>
  </si>
  <si>
    <t>곡물도감 그래놀라 흑임자 20g</t>
  </si>
  <si>
    <t>pd0000414</t>
  </si>
  <si>
    <t>당쉼 오리지널 바나바잎 여주 돼지감자차 500ml</t>
  </si>
  <si>
    <t>500ml</t>
  </si>
  <si>
    <t>pd0000415</t>
  </si>
  <si>
    <t>당쉼 결명자 바나바잎 여주 돼지감자차 500ml</t>
  </si>
  <si>
    <t>pd0000416</t>
  </si>
  <si>
    <t>당쉼 검은콩 바나바잎 여주 돼지감자차 500ml</t>
  </si>
  <si>
    <t>pd0000417</t>
  </si>
  <si>
    <t>당쉼 스파클링 레몬 500ml</t>
  </si>
  <si>
    <t>pd0000418</t>
  </si>
  <si>
    <t>당쉼 스파클링 체리 500ml</t>
  </si>
  <si>
    <t>pd0000419</t>
  </si>
  <si>
    <t>당쉼 스파클링 애플 500ml</t>
  </si>
  <si>
    <t>pd0000420</t>
  </si>
  <si>
    <t>당쉼 혈당컷 오리지널 15ml</t>
  </si>
  <si>
    <t>15ml</t>
  </si>
  <si>
    <t>pd0000421</t>
  </si>
  <si>
    <t>당쉼 혈당컷 레몬맛 15ml</t>
  </si>
  <si>
    <t>pd0000422</t>
  </si>
  <si>
    <t>담터 포켓몬 콤부차 레몬 10입</t>
  </si>
  <si>
    <t>5g*10입</t>
  </si>
  <si>
    <t>pd0000423</t>
  </si>
  <si>
    <t>담터 포켓몬 콤부차 타트체리 10입</t>
  </si>
  <si>
    <t>pd0000424</t>
  </si>
  <si>
    <t>담터 포켓몬 콤부차 샤인머스캣 10입</t>
  </si>
  <si>
    <t>pd0000425</t>
  </si>
  <si>
    <t>담터 포켓몬 콤부차 청매실 10입</t>
  </si>
  <si>
    <t>pd0000426</t>
  </si>
  <si>
    <t>담터 포켓몬 콤부차 납작복숭아 10입</t>
  </si>
  <si>
    <t>pd0000427</t>
  </si>
  <si>
    <t>담터 포켓몬 콤부차 포도 10입</t>
  </si>
  <si>
    <t>pd0000428</t>
  </si>
  <si>
    <t>티트리트 여우티 호박팥차 티백 20T</t>
  </si>
  <si>
    <t>20개입</t>
  </si>
  <si>
    <t>pd0000429</t>
  </si>
  <si>
    <t>티트리트 여우티 차전자피차 티백 20T</t>
  </si>
  <si>
    <t>pd0000430</t>
  </si>
  <si>
    <t>티트리트 여우티 오르조 보리로스팅 티백 20T</t>
  </si>
  <si>
    <t>pd0000431</t>
  </si>
  <si>
    <t>티트리트 여우티 호박팥차 페트 500ml</t>
  </si>
  <si>
    <t>pd0000432</t>
  </si>
  <si>
    <t>티트리트 여우티 호박팥차 캔 175ml</t>
  </si>
  <si>
    <t>175ml</t>
  </si>
  <si>
    <t>pd0000433</t>
  </si>
  <si>
    <t>티트리트 브이캔디 자두맛 28T</t>
  </si>
  <si>
    <t>pd0000434</t>
  </si>
  <si>
    <t>옵타움 필로우 미스트 3종 선물세트 (유니버스 드림)</t>
  </si>
  <si>
    <t>색조·향·네일</t>
  </si>
  <si>
    <t>향수·방향 제품</t>
  </si>
  <si>
    <t>화장품·생활제품 개별 확인</t>
  </si>
  <si>
    <t>pd0000435</t>
  </si>
  <si>
    <t>옵타움 필로우 미스트 &amp;드림캐처 선물세트 (워킹 문)</t>
  </si>
  <si>
    <t>pd0000436</t>
  </si>
  <si>
    <t>메달리스트 리커버리 드링크</t>
  </si>
  <si>
    <t>pd0000437</t>
  </si>
  <si>
    <t>메달리스트 에너지젤 사과 12입</t>
  </si>
  <si>
    <t>12EA</t>
  </si>
  <si>
    <t>pd0000438</t>
  </si>
  <si>
    <t>메달리스트 에너지젤 포도 12입</t>
  </si>
  <si>
    <t>pd0000439</t>
  </si>
  <si>
    <t>메달리스트 에너지젤 자몽 12입</t>
  </si>
  <si>
    <t>pd0000440</t>
  </si>
  <si>
    <t>메달리스트 에너지젤 커피 12입</t>
  </si>
  <si>
    <t>pd0000441</t>
  </si>
  <si>
    <t>메달리스트 스웨그 ORS</t>
  </si>
  <si>
    <t>pd0000442</t>
  </si>
  <si>
    <t>메달리스트 까망약사 부스터</t>
  </si>
  <si>
    <t>pd0000443</t>
  </si>
  <si>
    <t>알디콤BOOST 에너지젤 핑크시트러스 12포</t>
  </si>
  <si>
    <t>pd0000444</t>
  </si>
  <si>
    <t>알디콤BOOST 에너지젤 그린제스트 12포</t>
  </si>
  <si>
    <t>pd0000445</t>
  </si>
  <si>
    <t>칼로 EMS 슬림메이커 프로</t>
  </si>
  <si>
    <t>미용·건강 기기</t>
  </si>
  <si>
    <t>pd0000446</t>
  </si>
  <si>
    <t>칼로 EMS 애플핏 레깅스 M</t>
  </si>
  <si>
    <t>pd0000447</t>
  </si>
  <si>
    <t>칼로 EMS 애플핏 레깅스 L</t>
  </si>
  <si>
    <t>pd0000448</t>
  </si>
  <si>
    <t>칼로 EMS 슬림코어 벨트</t>
  </si>
  <si>
    <t>pd0000449</t>
  </si>
  <si>
    <t>칼로 CES 이지 슬립</t>
  </si>
  <si>
    <t>pd0000450</t>
  </si>
  <si>
    <t>패칫 슬림잇</t>
  </si>
  <si>
    <t>14매</t>
  </si>
  <si>
    <t>기능 표방 패치·분류 확인</t>
  </si>
  <si>
    <t>pd0000451</t>
  </si>
  <si>
    <t>패칫 에너짓</t>
  </si>
  <si>
    <t>pd0000452</t>
  </si>
  <si>
    <t>패칫 드림잇</t>
  </si>
  <si>
    <t>pd0000453</t>
  </si>
  <si>
    <t>패칫 라인잇</t>
  </si>
  <si>
    <t>pd0000454</t>
  </si>
  <si>
    <t>패칫 링잇</t>
  </si>
  <si>
    <t>pd0000455</t>
  </si>
  <si>
    <t>링탭 글루타치온 패치</t>
  </si>
  <si>
    <t>20매</t>
  </si>
  <si>
    <t>pd0000456</t>
  </si>
  <si>
    <t>링탭 굿나잇 패치</t>
  </si>
  <si>
    <t>pd0000457</t>
  </si>
  <si>
    <t>링탭 메모리 패치</t>
  </si>
  <si>
    <t>pd0000458</t>
  </si>
  <si>
    <t>링탭 롱타임 패치</t>
  </si>
  <si>
    <t>pd0000459</t>
  </si>
  <si>
    <t>링탭 부스트 에너지 패치</t>
  </si>
  <si>
    <t>pd0000460</t>
  </si>
  <si>
    <t>링탭 PMS 패치</t>
  </si>
  <si>
    <t>pd0000461</t>
  </si>
  <si>
    <t>링탭 히알루론산 패치</t>
  </si>
  <si>
    <t>pd0000462</t>
  </si>
  <si>
    <t>링탭 관절 탁 패치</t>
  </si>
  <si>
    <t>48매</t>
  </si>
  <si>
    <t>pd0000463</t>
  </si>
  <si>
    <t>꿈꾸미 식물성 멜라토닌 구미젤리</t>
  </si>
  <si>
    <t>180G</t>
  </si>
  <si>
    <t>pd0000464</t>
  </si>
  <si>
    <t>익스트림 듀얼아르기닌 플러스 120정 (2개월분)</t>
  </si>
  <si>
    <t>pd0000465</t>
  </si>
  <si>
    <t>익스트림 아르기닌 화이트 3X 15포</t>
  </si>
  <si>
    <t>pd0000466</t>
  </si>
  <si>
    <t>익스트림 블랙마카 맥스 부스터 120정 (1개월분)</t>
  </si>
  <si>
    <t>pd0000467</t>
  </si>
  <si>
    <t>익스트림 블랙마카 1800 X 120정 (1개월분)</t>
  </si>
  <si>
    <t>pd0000468</t>
  </si>
  <si>
    <t>익스트림 식물성 멜라토닌 함유 릴렉스온 30정 (1개월분)</t>
  </si>
  <si>
    <t>pd0000469</t>
  </si>
  <si>
    <t>익스트림 두뇌엔 포스파티딜세린 PS 징코 30정 (1개월분)</t>
  </si>
  <si>
    <t>pd0000470</t>
  </si>
  <si>
    <t>익스트림 류신 단백질 플러스 60정 (2개월분)</t>
  </si>
  <si>
    <t>pd0000471</t>
  </si>
  <si>
    <t>익스트림 팻 버닝 1개입 40정 (20일분)</t>
  </si>
  <si>
    <t>40T</t>
  </si>
  <si>
    <t>pd0000472</t>
  </si>
  <si>
    <t>익스트림 슬림핏 슬림쉐이크 곡물맛</t>
  </si>
  <si>
    <t>pd0000473</t>
  </si>
  <si>
    <t>익스트림 슬림핏 슬림쉐이크 더블초코맛</t>
  </si>
  <si>
    <t>pd0000474</t>
  </si>
  <si>
    <t>익스트림 이지핏 단백 쉐이크 제주녹차맛</t>
  </si>
  <si>
    <t>pd0000475</t>
  </si>
  <si>
    <t>익스트림 이지핏 단백 쉐이크 딸기라떼맛</t>
  </si>
  <si>
    <t>pd0000476</t>
  </si>
  <si>
    <t>익스트림 하스카프베리 NFC 착즙 14포</t>
  </si>
  <si>
    <t>pd0000477</t>
  </si>
  <si>
    <t>익스트림 비로소 유기농 엑스트라버진 올리브유 100% 스페인 30포</t>
  </si>
  <si>
    <t>pd0000478</t>
  </si>
  <si>
    <t>리즈케이 프리미엄 알블랙 헤어에센스 150ml</t>
  </si>
  <si>
    <t>150ml</t>
  </si>
  <si>
    <t>헤어 트리트먼트·스타일링</t>
  </si>
  <si>
    <t>pd0000479</t>
  </si>
  <si>
    <t>리즈케이 프리미엄 알블랙 샴푸 350g</t>
  </si>
  <si>
    <t>350g</t>
  </si>
  <si>
    <t>샴푸·두피 세정 기본 선정품의 대안. 동시 입고보다 가격·제형·공급 차이가 있을 때 교체.</t>
  </si>
  <si>
    <t>pd0000480</t>
  </si>
  <si>
    <t>나노랩 나노 바이오틴 탈모샴푸 1000ml</t>
  </si>
  <si>
    <t>1000ml</t>
  </si>
  <si>
    <t>pd0000481</t>
  </si>
  <si>
    <t>나노랩 스템큘 헤어 스칼프 앰플 30ml</t>
  </si>
  <si>
    <t>30ml</t>
  </si>
  <si>
    <t>두피 화장품 기본 선정품의 대안. 동시 입고보다 가격·제형·공급 차이가 있을 때 교체.</t>
  </si>
  <si>
    <t>pd0000482</t>
  </si>
  <si>
    <t>메디올가 시카퓨어 바디미스트 200ml</t>
  </si>
  <si>
    <t>pd0000483</t>
  </si>
  <si>
    <t>메디올가 올클리어 풋미스트 100ml</t>
  </si>
  <si>
    <t>pd0000484</t>
  </si>
  <si>
    <t>파이코어 마일드 퍼펙트 트리트 바디로션 500ml</t>
  </si>
  <si>
    <t>pd0000485</t>
  </si>
  <si>
    <t>인투메디 에이치알 펩타이드 4ml*5vials</t>
  </si>
  <si>
    <t>4ml*5vials</t>
  </si>
  <si>
    <t>pd0000486</t>
  </si>
  <si>
    <t>TS샴푸 더블랙17샴푸 500g</t>
  </si>
  <si>
    <t>500g</t>
  </si>
  <si>
    <t>pd0000487</t>
  </si>
  <si>
    <t>TS샴푸 더블랙17토닉 80g</t>
  </si>
  <si>
    <t>pd0000488</t>
  </si>
  <si>
    <t>TS샴푸 프리미엄플러스TS샴푸기획세트 500g*1EA+6g*5EA</t>
  </si>
  <si>
    <t>500g*1EA+6g*5EA</t>
  </si>
  <si>
    <t>pd0000489</t>
  </si>
  <si>
    <t>TS샴푸 지디샴푸 800g</t>
  </si>
  <si>
    <t>pd0000490</t>
  </si>
  <si>
    <t>TS샴푸 지디샴푸포걸 800g</t>
  </si>
  <si>
    <t>pd0000491</t>
  </si>
  <si>
    <t>TS샴푸 지디샴푸포보이 800g</t>
  </si>
  <si>
    <t>pd0000492</t>
  </si>
  <si>
    <t>TS샴푸 액티브올인원워시 300g</t>
  </si>
  <si>
    <t>300g</t>
  </si>
  <si>
    <t>바디 세정 기본 선정품의 대안. 동시 입고보다 가격·제형·공급 차이가 있을 때 교체.</t>
  </si>
  <si>
    <t>pd0000493</t>
  </si>
  <si>
    <t>TS샴푸 지디샴푸 400g</t>
  </si>
  <si>
    <t>pd0000494</t>
  </si>
  <si>
    <t>TS샴푸 지디샴푸포걸 400g</t>
  </si>
  <si>
    <t>pd0000495</t>
  </si>
  <si>
    <t>TS샴푸 지디샴푸포보이 400g</t>
  </si>
  <si>
    <t>pd0000496</t>
  </si>
  <si>
    <t>TS샴푸 크리미버터헤어팩트리트먼트 200g</t>
  </si>
  <si>
    <t>pd0000497</t>
  </si>
  <si>
    <t>TS샴푸 레드PDRN스칼프앰플500 15ml</t>
  </si>
  <si>
    <t>pd0000498</t>
  </si>
  <si>
    <t>라이프프로젝트 리틀포레스트 헤어샴푸 500ml</t>
  </si>
  <si>
    <t>pd0000499</t>
  </si>
  <si>
    <t>라이프프로젝트 리틀포레스트 헤어컨디셔너 500ml</t>
  </si>
  <si>
    <t>300ml</t>
  </si>
  <si>
    <t>pd0000502</t>
  </si>
  <si>
    <t>라이프프로젝트 리틀포레스트 핸드크림 50ml</t>
  </si>
  <si>
    <t>핸드 케어 기본 선정품의 대안. 동시 입고보다 가격·제형·공급 차이가 있을 때 교체.</t>
  </si>
  <si>
    <t>pd0000503</t>
  </si>
  <si>
    <t>라이프프로젝트 디어베이비 핸드크림 50ml</t>
  </si>
  <si>
    <t>pd0000504</t>
  </si>
  <si>
    <t>라이프프로젝트 피에이치 밸런싱 젤 페이스클렌저 300ml</t>
  </si>
  <si>
    <t>세안제·클렌징 기본 선정품의 대안. 동시 입고보다 가격·제형·공급 차이가 있을 때 교체.</t>
  </si>
  <si>
    <t>pd0000505</t>
  </si>
  <si>
    <t>브리티시엠 말차 샴푸 350ml</t>
  </si>
  <si>
    <t>350ml</t>
  </si>
  <si>
    <t>pd0000506</t>
  </si>
  <si>
    <t>브리티시엠 로즈 피디알엔 부스터 60ml</t>
  </si>
  <si>
    <t>60ml</t>
  </si>
  <si>
    <t>pd0000507</t>
  </si>
  <si>
    <t>브리티시엠 진생 엑소좀 토닉 100ml</t>
  </si>
  <si>
    <t>pd0000508</t>
  </si>
  <si>
    <t>새니닥 토앤솔 풋케어 스프레이 100ml</t>
  </si>
  <si>
    <t>pd0000509</t>
  </si>
  <si>
    <t>새니닥 세라파인 바쿠치올 바디크림 150ml</t>
  </si>
  <si>
    <t>pd0000510</t>
  </si>
  <si>
    <t>주드로 WNL 올인원 컬크림</t>
  </si>
  <si>
    <t>pd0000511</t>
  </si>
  <si>
    <t>비건네이처 비건 샴푸바 시트러스향 100g</t>
  </si>
  <si>
    <t>pd0000512</t>
  </si>
  <si>
    <t>비건네이처 비건 샴푸바 프루티플로럴향 100g</t>
  </si>
  <si>
    <t>pd0000513</t>
  </si>
  <si>
    <t>비건네이처 비건 트리트먼트바 옐로우로즈향 85g</t>
  </si>
  <si>
    <t>85g</t>
  </si>
  <si>
    <t>pd0000514</t>
  </si>
  <si>
    <t>비건네이처 비건 샴푸바 시트러스향 100g / 알루미늄 컨테이너</t>
  </si>
  <si>
    <t>pd0000515</t>
  </si>
  <si>
    <t>비건네이처 비건 프루티플로럴향 100g / 알루미늄 컨테이너</t>
  </si>
  <si>
    <t>기초 스킨케어·세부목적 확인</t>
  </si>
  <si>
    <t>pd0000516</t>
  </si>
  <si>
    <t>비건네이처 비건 트리트먼트바 옐로우로즈향 85g / 알루미늄 컨테이너</t>
  </si>
  <si>
    <t>pd0000517</t>
  </si>
  <si>
    <t>피에스바이오 샴푸</t>
  </si>
  <si>
    <t>pd0000518</t>
  </si>
  <si>
    <t>피에스바이오 케어팩</t>
  </si>
  <si>
    <t>pd0000519</t>
  </si>
  <si>
    <t>피에스바이오 바디클렌져</t>
  </si>
  <si>
    <t>pd0000520</t>
  </si>
  <si>
    <t>카푸네 바이어스 샴푸 500ml</t>
  </si>
  <si>
    <t>pd0000521</t>
  </si>
  <si>
    <t>카푸네 바이어스 클리닉 트리트먼트 200ml</t>
  </si>
  <si>
    <t>pd0000522</t>
  </si>
  <si>
    <t>카푸네 인핸서 헤어 토닉 120ml</t>
  </si>
  <si>
    <t>pd0000523</t>
  </si>
  <si>
    <t>댕기머리 기골드 진생 블라썸 샴푸 710ml</t>
  </si>
  <si>
    <t>710ml</t>
  </si>
  <si>
    <t>pd0000524</t>
  </si>
  <si>
    <t>댕기머리 기골드 진생 블라썸 트리트먼트 710ml</t>
  </si>
  <si>
    <t>pd0000525</t>
  </si>
  <si>
    <t>댕기머리 오리지널뉴골드샴푸 500ml</t>
  </si>
  <si>
    <t>pd0000526</t>
  </si>
  <si>
    <t>댕기머리 오리지널진기샴푸 500ml</t>
  </si>
  <si>
    <t>pd0000527</t>
  </si>
  <si>
    <t>댕기머리 오리지널한방트리트먼트 500ml</t>
  </si>
  <si>
    <t>pd0000528</t>
  </si>
  <si>
    <t>댕기머리 진기모근진액 145ml</t>
  </si>
  <si>
    <t>145ml</t>
  </si>
  <si>
    <t>pd0000529</t>
  </si>
  <si>
    <t>용닥터 탈모증상완화 기능성 카페인 샴푸 (비듬·각질·지루성 두피케어)</t>
  </si>
  <si>
    <t>400ml</t>
  </si>
  <si>
    <t>pd0000530</t>
  </si>
  <si>
    <t>용닥터 두피진정 영양 토닉 (보습 · 각질케어)</t>
  </si>
  <si>
    <t>pd0000532</t>
  </si>
  <si>
    <t>낫포유 3-in-1 아토리스 이치 멀티밤 20g</t>
  </si>
  <si>
    <t>pd0000533</t>
  </si>
  <si>
    <t>낫포유 모이스처 크림 바디 미스트 머스크향 200ml</t>
  </si>
  <si>
    <t>pd0000534</t>
  </si>
  <si>
    <t>낫포유 소프트 바디 미스트 115ml</t>
  </si>
  <si>
    <t>115ml</t>
  </si>
  <si>
    <t>pd0000535</t>
  </si>
  <si>
    <t>낫포유 비건 선 바디 미스트 SPF40 85ml</t>
  </si>
  <si>
    <t>85ml</t>
  </si>
  <si>
    <t>pd0000536</t>
  </si>
  <si>
    <t>레베코코 골든드립 48k 샴푸 400ml</t>
  </si>
  <si>
    <t>pd0000537</t>
  </si>
  <si>
    <t>레베코코 골든드립 48k 샴푸 255ml</t>
  </si>
  <si>
    <t>255ml</t>
  </si>
  <si>
    <t>pd0000538</t>
  </si>
  <si>
    <t>레베코코 골든드립 64k 토닉 110ml</t>
  </si>
  <si>
    <t>110ml</t>
  </si>
  <si>
    <t>pd0000540</t>
  </si>
  <si>
    <t>닥터바이오 랩업 샴푸 750ml</t>
  </si>
  <si>
    <t>750ml</t>
  </si>
  <si>
    <t>pd0000541</t>
  </si>
  <si>
    <t>닥터바이오 랩업 트리트먼트 750ml</t>
  </si>
  <si>
    <t>pd0000542</t>
  </si>
  <si>
    <t>플루 테라피 두피 스케일링 스크럽 200g</t>
  </si>
  <si>
    <t>250g</t>
  </si>
  <si>
    <t>pd0000545</t>
  </si>
  <si>
    <t>네오젠 카밍시카트리패드</t>
  </si>
  <si>
    <t>90매</t>
  </si>
  <si>
    <t>진정 스킨케어 기본 선정품의 대안. 동시 입고보다 가격·제형·공급 차이가 있을 때 교체.</t>
  </si>
  <si>
    <t>네오젠</t>
  </si>
  <si>
    <t>pd0000546</t>
  </si>
  <si>
    <t>네오젠 에이클리어수딩핑크이레이져</t>
  </si>
  <si>
    <t>피지·모공 스킨케어 기본 선정품의 대안. 동시 입고보다 가격·제형·공급 차이가 있을 때 교체.</t>
  </si>
  <si>
    <t>pd0000547</t>
  </si>
  <si>
    <t>네오젠 에이클리어아크네폼클렌져</t>
  </si>
  <si>
    <t>pd0000548</t>
  </si>
  <si>
    <t>네오젠 에이클리어 스팟 패치</t>
  </si>
  <si>
    <t>24매</t>
  </si>
  <si>
    <t>pd0000549</t>
  </si>
  <si>
    <t>네오젠  하이알 엑소좀 크림</t>
  </si>
  <si>
    <t>40ml</t>
  </si>
  <si>
    <t>신성분 스킨케어 기본 선정품의 대안. 동시 입고보다 가격·제형·공급 차이가 있을 때 교체.</t>
  </si>
  <si>
    <t>pd0000550</t>
  </si>
  <si>
    <t>네오젠 하이지엑소좀마스크팩</t>
  </si>
  <si>
    <t>pd0000552</t>
  </si>
  <si>
    <t>네오젠 리얼 비타민C 세럼</t>
  </si>
  <si>
    <t>pd0000553</t>
  </si>
  <si>
    <t>네오젠 리얼 펩타이드세럼</t>
  </si>
  <si>
    <t>탄력·주름 스킨케어 기본 선정품의 대안. 동시 입고보다 가격·제형·공급 차이가 있을 때 교체.</t>
  </si>
  <si>
    <t>pd0000554</t>
  </si>
  <si>
    <t>네오젠 리얼레티놀세럼</t>
  </si>
  <si>
    <t>pd0000555</t>
  </si>
  <si>
    <t>네오젠 리얼 바쿠치올 퍼밍 세럼</t>
  </si>
  <si>
    <t>pd0000556</t>
  </si>
  <si>
    <t>네오젠 리얼 나이아신아마이드 15% 세럼</t>
  </si>
  <si>
    <t>pd0000557</t>
  </si>
  <si>
    <t>네오젠 리얼 나이아신아마이드 버블클렌저</t>
  </si>
  <si>
    <t>pd0000558</t>
  </si>
  <si>
    <t>네오젠 리얼 나이아신아마이드 글로우업 데일리 마스크</t>
  </si>
  <si>
    <t>40매</t>
  </si>
  <si>
    <t>pd0000559</t>
  </si>
  <si>
    <t>네오젠 넥스트 글로우 토너</t>
  </si>
  <si>
    <t>210ml</t>
  </si>
  <si>
    <t>pd0000560</t>
  </si>
  <si>
    <t>네오젠 넥스트 글로우 프렙 세럼</t>
  </si>
  <si>
    <t>32ml</t>
  </si>
  <si>
    <t>pd0000561</t>
  </si>
  <si>
    <t>네오젠 넥스트 글로우 워터리 크림</t>
  </si>
  <si>
    <t>pd0000562</t>
  </si>
  <si>
    <t>네오젠 넥스트 클리어 토너</t>
  </si>
  <si>
    <t>pd0000563</t>
  </si>
  <si>
    <t>네오젠 넥스트 클리어 스팟 솔루션</t>
  </si>
  <si>
    <t>pd0000564</t>
  </si>
  <si>
    <t>네오젠 넥스트 클리어 아이 크림</t>
  </si>
  <si>
    <t>20ml</t>
  </si>
  <si>
    <t>pd0000565</t>
  </si>
  <si>
    <t>네오젠 리얼 페먼트 마이크로 에센스</t>
  </si>
  <si>
    <t>pd0000566</t>
  </si>
  <si>
    <t>네오젠 히알글로우 로즈 에센스</t>
  </si>
  <si>
    <t>160ml</t>
  </si>
  <si>
    <t>수분 스킨케어 기본 선정품의 대안. 동시 입고보다 가격·제형·공급 차이가 있을 때 교체.</t>
  </si>
  <si>
    <t>pd0000567</t>
  </si>
  <si>
    <t>네오젠 아줄렌 수딩 약산성 클렌져</t>
  </si>
  <si>
    <t>pd0000568</t>
  </si>
  <si>
    <t>네오젠 아줄렌수딩무스토너</t>
  </si>
  <si>
    <t>pd0000569</t>
  </si>
  <si>
    <t>네오젠 아줄렌수딩펩타이드앰플</t>
  </si>
  <si>
    <t>80ml</t>
  </si>
  <si>
    <t>pd0000570</t>
  </si>
  <si>
    <t>네오젠 아줄렌진정크림(50ml)</t>
  </si>
  <si>
    <t>pd0000571</t>
  </si>
  <si>
    <t>네오젠 수퍼글루타치온1000™ 브라이트톤업크림</t>
  </si>
  <si>
    <t>pd0000572</t>
  </si>
  <si>
    <t>네오젠 수퍼 글루타치온 1000™ 인리치드 크림</t>
  </si>
  <si>
    <t>pd0000573</t>
  </si>
  <si>
    <t>네오젠 슈퍼 글루타치온 1000™ 브라이트 앰플</t>
  </si>
  <si>
    <t>pd0000574</t>
  </si>
  <si>
    <t>네오젠 수퍼히알루로닉100아쿠아마스크</t>
  </si>
  <si>
    <t>pd0000575</t>
  </si>
  <si>
    <t>네오젠 수퍼캄 리페어링 마스크팩</t>
  </si>
  <si>
    <t>pd0000576</t>
  </si>
  <si>
    <t>네오젠 더마인퓨젼마스크너리싱세라-브릭 마스크팩</t>
  </si>
  <si>
    <t>장벽·보습 스킨케어 기본 선정품의 대안. 동시 입고보다 가격·제형·공급 차이가 있을 때 교체.</t>
  </si>
  <si>
    <t>pd0000577</t>
  </si>
  <si>
    <t>네오젠 더마인퓨젼마스크하이드레이팅히알 마스크팩</t>
  </si>
  <si>
    <t>pd0000578</t>
  </si>
  <si>
    <t>네오젠 더마인퓨젼마스크릴렉싱시카-풀 마스크팩</t>
  </si>
  <si>
    <t>pd0000579</t>
  </si>
  <si>
    <t>네오젠 더마인퓨젼마스크브라이트닝비타-믹스 마스크팩</t>
  </si>
  <si>
    <t>pd0000580</t>
  </si>
  <si>
    <t>닥터오라클 EPL 큐어 밸런싱 세럼 XD</t>
  </si>
  <si>
    <t>닥터오라클</t>
  </si>
  <si>
    <t>pd0000581</t>
  </si>
  <si>
    <t>닥터오라클 EPL 큐어 크림 XD</t>
  </si>
  <si>
    <t>pd0000582</t>
  </si>
  <si>
    <t>닥터오라클 EPL 데일리 선블록</t>
  </si>
  <si>
    <t>자외선차단 기본 선정품의 대안. 동시 입고보다 가격·제형·공급 차이가 있을 때 교체.</t>
  </si>
  <si>
    <t>pd0000583</t>
  </si>
  <si>
    <t>닥터오라클 세라마베리어 페이셜 세라마이드 크림</t>
  </si>
  <si>
    <t>pd0000584</t>
  </si>
  <si>
    <t>닥터오라클 21STAY 에이테라 클렌징폼</t>
  </si>
  <si>
    <t>pd0000585</t>
  </si>
  <si>
    <t>닥터오라클 21STAY 에이테라 토너</t>
  </si>
  <si>
    <t>pd0000586</t>
  </si>
  <si>
    <t>닥터오라클 21STAY 히아루로닉 앰플</t>
  </si>
  <si>
    <t>pd0000587</t>
  </si>
  <si>
    <t>닥터오라클 21STAY 에이테라 크림</t>
  </si>
  <si>
    <t>pd0000589</t>
  </si>
  <si>
    <t>필플로 퀵 카밍 스팟 패치</t>
  </si>
  <si>
    <t>4mg 
*12patches</t>
  </si>
  <si>
    <t>pd0000590</t>
  </si>
  <si>
    <t>필플로 다크 스팟 브라이트닝 패치</t>
  </si>
  <si>
    <t>7mg 
*6patches</t>
  </si>
  <si>
    <t>pd0000591</t>
  </si>
  <si>
    <t>필플로 펩타이드 마이크로 아이 패치</t>
  </si>
  <si>
    <t>17mg 
*2patches</t>
  </si>
  <si>
    <t>pd0000592</t>
  </si>
  <si>
    <t>필플로 멜라페이드 인퓨즈드 곶감 토닝 세럼</t>
  </si>
  <si>
    <t>45ml</t>
  </si>
  <si>
    <t>pd0000593</t>
  </si>
  <si>
    <t>필플로 캄 클레라 인퓨즈드 미나리 카밍 세럼</t>
  </si>
  <si>
    <t>pd0000594</t>
  </si>
  <si>
    <t>필플로 콜라펩 인퓨즈드 잣막걸리 퍼밍 세럼</t>
  </si>
  <si>
    <t>pd0000595</t>
  </si>
  <si>
    <t>필플로 피토 에이씨 인퓨즈드 율무 더마 수딩 세럼</t>
  </si>
  <si>
    <t>240ml</t>
  </si>
  <si>
    <t>pd0000597</t>
  </si>
  <si>
    <t>쓰리워즈 에잇레터스 프리미엄 트리플샷 마스크 올인원</t>
  </si>
  <si>
    <t>25ml</t>
  </si>
  <si>
    <t>pd0000598</t>
  </si>
  <si>
    <t>쓰리워즈 에잇레터스 슈퍼 더블샷 마스크 시카쿨링</t>
  </si>
  <si>
    <t>27ml</t>
  </si>
  <si>
    <t>pd0000599</t>
  </si>
  <si>
    <t>쓰리워즈 에잇레터스 슈퍼 더블샷 마스크 비타C 토닝</t>
  </si>
  <si>
    <t>pd0000600</t>
  </si>
  <si>
    <t>쓰리워즈 에잇레터스 딥 오프 앤 프레시 클렌징 오일</t>
  </si>
  <si>
    <t>205ml</t>
  </si>
  <si>
    <t>pd0000601</t>
  </si>
  <si>
    <t>쓰리워즈 에잇레터스 에너지 엑티브 앰플 이엑스</t>
  </si>
  <si>
    <t>pd0000602</t>
  </si>
  <si>
    <t>비티테라 테라베리어크림 엠디(MD)</t>
  </si>
  <si>
    <t>pd0000603</t>
  </si>
  <si>
    <t>250ml</t>
  </si>
  <si>
    <t>창상피복재·MD 크림 기본 선정품의 대안. 동시 입고보다 가격·제형·공급 차이가 있을 때 교체.</t>
  </si>
  <si>
    <t>pd0000604</t>
  </si>
  <si>
    <t>비티테라 테라베리어 퓨어폼워시</t>
  </si>
  <si>
    <t>pd0000605</t>
  </si>
  <si>
    <t>비티테라 테라베리어크림</t>
  </si>
  <si>
    <t>pd0000606</t>
  </si>
  <si>
    <t>비티테라 테라UV선프로텍터</t>
  </si>
  <si>
    <t>pd0000607</t>
  </si>
  <si>
    <t>비티테라 테라리페어크림</t>
  </si>
  <si>
    <t>pd0000608</t>
  </si>
  <si>
    <t>비티테라 테라비타케이크림</t>
  </si>
  <si>
    <t>pd0000609</t>
  </si>
  <si>
    <t>딸맘드 차가 탄력 앰플</t>
  </si>
  <si>
    <t>pd0000610</t>
  </si>
  <si>
    <t>딸맘드 차가시카 엑소 베리어 크림</t>
  </si>
  <si>
    <t>pd0000611</t>
  </si>
  <si>
    <t>딸맘드 차가펩타 엑소 베리어 토너</t>
  </si>
  <si>
    <t>pd0000612</t>
  </si>
  <si>
    <t>더멀매트릭스 페이셜 더멀케어 마스크팩</t>
  </si>
  <si>
    <t>4매</t>
  </si>
  <si>
    <t>pd0000613</t>
  </si>
  <si>
    <t>pd0000614</t>
  </si>
  <si>
    <t>더멀매트릭스 페이셜 쿨링케어 마스크팩</t>
  </si>
  <si>
    <t>pd0000615</t>
  </si>
  <si>
    <t>더멀매트릭스 에피더멀 디톡시파잉 마스크팩</t>
  </si>
  <si>
    <t>pd0000616</t>
  </si>
  <si>
    <t>더멀매트릭스 스트라텀 베이슬 리스토어링 크림</t>
  </si>
  <si>
    <t>pd0000617</t>
  </si>
  <si>
    <t>더멀매트릭스 퀵 바이탈라이징 패치</t>
  </si>
  <si>
    <t>pd0000618</t>
  </si>
  <si>
    <t>더멀매트릭스 베이직 더멀케어 에센스 마스크</t>
  </si>
  <si>
    <t>pd0000619</t>
  </si>
  <si>
    <t>원진이펙트 닥터원진 PDLLA 부스팅 풀 샷 앰플</t>
  </si>
  <si>
    <t>35ml</t>
  </si>
  <si>
    <t>pd0000620</t>
  </si>
  <si>
    <t>원진이펙트 닥터원진 PDLLA 부스팅 풀 샷 크림</t>
  </si>
  <si>
    <t>pd0000621</t>
  </si>
  <si>
    <t>원진이펙트 원진이펙트 너리싱 서플먼트 다매 마스크</t>
  </si>
  <si>
    <t>30매</t>
  </si>
  <si>
    <t>pd0000622</t>
  </si>
  <si>
    <t>원진이펙트 원진이펙트 에델 리쥬브네이션 다매 마스크</t>
  </si>
  <si>
    <t>30메</t>
  </si>
  <si>
    <t>pd0000623</t>
  </si>
  <si>
    <t>원진이펙트 원진이펙트 워터토닝 다매 마스크</t>
  </si>
  <si>
    <t>pd0000624</t>
  </si>
  <si>
    <t>원진이펙트 원진이펙트 하이드로 라이즈 히알루로닉 다매 마스크</t>
  </si>
  <si>
    <t>pd0000625</t>
  </si>
  <si>
    <t>에끌라두 엑소 클리니카 크림</t>
  </si>
  <si>
    <t>pd0000626</t>
  </si>
  <si>
    <t>에끌라두 엑소 클리니카 선크림</t>
  </si>
  <si>
    <t>pd0000627</t>
  </si>
  <si>
    <t>에끌라두 멜라이져 화이트닝 세럼</t>
  </si>
  <si>
    <t>pd0000628</t>
  </si>
  <si>
    <t>에끌라두 멜라이져 레디언스 크림</t>
  </si>
  <si>
    <t>70g</t>
  </si>
  <si>
    <t>pd0000629</t>
  </si>
  <si>
    <t>에끌라두 A.C 센텔라 폼 클렌져</t>
  </si>
  <si>
    <t>pd0000630</t>
  </si>
  <si>
    <t>에끌라두 A.C컨트롤 앰플F</t>
  </si>
  <si>
    <t>pd0000631</t>
  </si>
  <si>
    <t>에끌라두 A.C 핌필크림</t>
  </si>
  <si>
    <t>pd0000632</t>
  </si>
  <si>
    <t>에끌라두 커버 선크림</t>
  </si>
  <si>
    <t>pd0000633</t>
  </si>
  <si>
    <t>파이코어 디퍼런씨 수딩 크림 블루 바이옴 리페어</t>
  </si>
  <si>
    <t>pd0000634</t>
  </si>
  <si>
    <t>파이코어 디퍼런씨 멜팅 크림 블루 바이옴 리페어</t>
  </si>
  <si>
    <t>80m</t>
  </si>
  <si>
    <t>pd0000635</t>
  </si>
  <si>
    <t>파이코어 디퍼런씨 세럼 블루 바이옴 리페어</t>
  </si>
  <si>
    <t>pd0000636</t>
  </si>
  <si>
    <t>파이코어 디퍼런씨 세럼 미스트 블루 바이옴 리페어</t>
  </si>
  <si>
    <t>pd0000637</t>
  </si>
  <si>
    <t>파이코어 디퍼런씨 포어 세럼 1989 시피큐-샷</t>
  </si>
  <si>
    <t>pd0000638</t>
  </si>
  <si>
    <t>파이코어 디퍼런씨 썬프로텍터 블루 바이옴 리페어</t>
  </si>
  <si>
    <t>pd0000639</t>
  </si>
  <si>
    <t>파이코어 디퍼런씨 클렌징 폼 블루 바이옴 리페어</t>
  </si>
  <si>
    <t>pd0000640</t>
  </si>
  <si>
    <t>파이코어 디퍼런씨 토너패드 블루 바이옴 리페어</t>
  </si>
  <si>
    <t>pd0000641</t>
  </si>
  <si>
    <t>파이코어 아카시카 크림 히얄 캡슐 100 솔루션</t>
  </si>
  <si>
    <t>pd0000642</t>
  </si>
  <si>
    <t>파이코어 아카시카 세럼 히얄 캡슐 100 솔루션</t>
  </si>
  <si>
    <t>pd0000643</t>
  </si>
  <si>
    <t>파이코어 아카시카 토너 히얄 캡슐 100 솔루션</t>
  </si>
  <si>
    <t>pd0000644</t>
  </si>
  <si>
    <t>테이지 시카트리 쉐이킹 글로우 선픽서 50ml</t>
  </si>
  <si>
    <t>pd0000645</t>
  </si>
  <si>
    <t>테이지 시카트리 워터 젤리 선세럼 50ml</t>
  </si>
  <si>
    <t>pd0000646</t>
  </si>
  <si>
    <t>테이지 시카트리 투명 선젤 50ml</t>
  </si>
  <si>
    <t>pd0000647</t>
  </si>
  <si>
    <t>테이지 시카트리 수딩 데일리 선플루이드 50ml</t>
  </si>
  <si>
    <t>pd0000648</t>
  </si>
  <si>
    <t>테이지 시카트리 쿨링 선스틱 19g</t>
  </si>
  <si>
    <t>19g</t>
  </si>
  <si>
    <t>pd0000649</t>
  </si>
  <si>
    <t>테이지 시카트리 쿨링 젤투폼 클렌저 120ml</t>
  </si>
  <si>
    <t>pd0000650</t>
  </si>
  <si>
    <t>테이지 레티날 듀얼 볼륨 비타 멀티 밤 9g</t>
  </si>
  <si>
    <t>9g</t>
  </si>
  <si>
    <t>pd0000651</t>
  </si>
  <si>
    <t>테이지 나이아신아마이드 15 트라넥삼산 5 잡티 비타 세럼 30ml</t>
  </si>
  <si>
    <t>pd0000652</t>
  </si>
  <si>
    <t>테이지 페룰릭 트리플 토닝 비타 세럼 30ml</t>
  </si>
  <si>
    <t>pd0000653</t>
  </si>
  <si>
    <t>테이지 레티날 피디알엔 모공 비타 크림 50ml</t>
  </si>
  <si>
    <t>G5-D</t>
  </si>
  <si>
    <t>PDRN 스킨케어 기본 선정품의 대안. 동시 입고보다 가격·제형·공급 차이가 있을 때 교체.</t>
  </si>
  <si>
    <t>pd0000654</t>
  </si>
  <si>
    <t>테이지 판테놀 99 릴리프 비타 크림 50ml</t>
  </si>
  <si>
    <t>pd0000655</t>
  </si>
  <si>
    <t>테이지 비타 케이 카페인 다운타임 겔 크림 50ml</t>
  </si>
  <si>
    <t>pd0000656</t>
  </si>
  <si>
    <t>에이비팜 더마 솔트 크림 50ml</t>
  </si>
  <si>
    <t>pd0000657</t>
  </si>
  <si>
    <t>에이비팜 더마 솔트 크림 25ml</t>
  </si>
  <si>
    <t>pd0000658</t>
  </si>
  <si>
    <t>에이비팜 더마 솔트 크림 120ml</t>
  </si>
  <si>
    <t>pd0000659</t>
  </si>
  <si>
    <t>에이비팜 더마 솔트 클렌저 200ml</t>
  </si>
  <si>
    <t>pd0000660</t>
  </si>
  <si>
    <t>에이비팜 더마 솔트 히알루로닉 앰플토너 150ml</t>
  </si>
  <si>
    <t>pd0000661</t>
  </si>
  <si>
    <t>리즈케이 콜라겐 세럼 스프레이 100ml</t>
  </si>
  <si>
    <t>pd0000662</t>
  </si>
  <si>
    <t>리즈케이 콜라겐 크림 85g</t>
  </si>
  <si>
    <t>pd0000663</t>
  </si>
  <si>
    <t>리즈케이 콜라겐 토너 500ml</t>
  </si>
  <si>
    <t>pd0000664</t>
  </si>
  <si>
    <t>리즈케이 콜라겐 폼 클렌저</t>
  </si>
  <si>
    <t>pd0000665</t>
  </si>
  <si>
    <t>리즈케이 아이펩톡스 360° 아이크림</t>
  </si>
  <si>
    <t>16.5g x 2ea</t>
  </si>
  <si>
    <t>pd0000666</t>
  </si>
  <si>
    <t>리즈케이 넥 펩톡스</t>
  </si>
  <si>
    <t>10g x 2ea</t>
  </si>
  <si>
    <t>pd0000667</t>
  </si>
  <si>
    <t>리즈케이 퍼스트씨 세럼 순수 비타민 C</t>
  </si>
  <si>
    <t>pd0000668</t>
  </si>
  <si>
    <t>리즈케이 퍼스트씨 비타민 크림 15%</t>
  </si>
  <si>
    <t>pd0000669</t>
  </si>
  <si>
    <t>리즈케이 빙하수로 만든 피부 아이스 크림</t>
  </si>
  <si>
    <t>pd0000670</t>
  </si>
  <si>
    <t>리즈케이 하이드라 인텐스 히알루론7 앰플 에센스</t>
  </si>
  <si>
    <t>pd0000671</t>
  </si>
  <si>
    <t>리즈케이 에어핏 쿨 선 SPF50+ / PA++++ 22g PINK TYPE</t>
  </si>
  <si>
    <t>22g</t>
  </si>
  <si>
    <t>pd0000672</t>
  </si>
  <si>
    <t>리즈케이 에어핏 쿨 선 SPF50+ / PA++++ 22g blue TYPE</t>
  </si>
  <si>
    <t>pd0000673</t>
  </si>
  <si>
    <t>리즈케이 비건 모이스처 퓨어 선크림 35ml</t>
  </si>
  <si>
    <t>pd0000674</t>
  </si>
  <si>
    <t>라비엘 아세로라 잡티 &amp; 기미 케어 크림 50ml</t>
  </si>
  <si>
    <t>pd0000675</t>
  </si>
  <si>
    <t>라비엘 아세로라 잡티 &amp; 기미 케어 크림 80ml</t>
  </si>
  <si>
    <t>pd0000676</t>
  </si>
  <si>
    <t>라비엘 아세로라 잡티 &amp; 기미 케어 앰플 30ml</t>
  </si>
  <si>
    <t>pd0000677</t>
  </si>
  <si>
    <t>라비엘 아세로라 잡티 &amp; 기미 케어 토너 150ml</t>
  </si>
  <si>
    <t>pd0000678</t>
  </si>
  <si>
    <t>라비엘 바쿠치올 멜라 프리 크림 50ml</t>
  </si>
  <si>
    <t>pd0000679</t>
  </si>
  <si>
    <t>라비엘 바쿠치올 멜라 프리 세럼 30ml</t>
  </si>
  <si>
    <t>pd0000680</t>
  </si>
  <si>
    <t>라비엘 바이옴 8X 히알루론산 크림 80ml</t>
  </si>
  <si>
    <t>pd0000681</t>
  </si>
  <si>
    <t>라비엘 바이옴 8X 히알루론산 앰플 30ml</t>
  </si>
  <si>
    <t>pd0000682</t>
  </si>
  <si>
    <t>더퓨어로터스 제주보태니컬 하이드로부스트 선스크린 50ml</t>
  </si>
  <si>
    <t>pd0000683</t>
  </si>
  <si>
    <t>더퓨어로터스 제주보태니컬 데일리톤업 선스크린 50ml</t>
  </si>
  <si>
    <t>pd0000684</t>
  </si>
  <si>
    <t>더퓨어로터스 유스바이오틱스 연꽃발효 컨센트레이트 80ml</t>
  </si>
  <si>
    <t>pd0000685</t>
  </si>
  <si>
    <t>더퓨어로터스 유스바이오틱스 연꽃발효 컨센트레이트 크림 50ml</t>
  </si>
  <si>
    <t>pd0000686</t>
  </si>
  <si>
    <t>더퓨어로터스 유스바이오틱스 연꽃발효 오일투폼 클렌저 200ml</t>
  </si>
  <si>
    <t>pd0000687</t>
  </si>
  <si>
    <t>나노랩 코어샷 다크 스팟 세럼</t>
  </si>
  <si>
    <t>5ml</t>
  </si>
  <si>
    <t>pd0000688</t>
  </si>
  <si>
    <t>나노랩 엑소좀 시카 카밍 한지 패드</t>
  </si>
  <si>
    <t>pd0000689</t>
  </si>
  <si>
    <t>닥터에이지 더마 시카 리페어 토너 패드</t>
  </si>
  <si>
    <t>60매*2</t>
  </si>
  <si>
    <t>pd0000690</t>
  </si>
  <si>
    <t>60매</t>
  </si>
  <si>
    <t>pd0000691</t>
  </si>
  <si>
    <t>pd0000692</t>
  </si>
  <si>
    <t>닥터에이지 더마 시카 카밍 앰플</t>
  </si>
  <si>
    <t>35ml*2</t>
  </si>
  <si>
    <t>pd0000693</t>
  </si>
  <si>
    <t>pd0000694</t>
  </si>
  <si>
    <t>닥터에이지 더마 시카 리페어크림</t>
  </si>
  <si>
    <t>50ml*2</t>
  </si>
  <si>
    <t>pd0000695</t>
  </si>
  <si>
    <t>닥터에이지 파하 갈락 필링패드</t>
  </si>
  <si>
    <t>각질·필링 케어 기본 선정품의 대안. 동시 입고보다 가격·제형·공급 차이가 있을 때 교체.</t>
  </si>
  <si>
    <t>pd0000696</t>
  </si>
  <si>
    <t>닥터에이지 1/2 시루시루 코튼 화장솜 120매</t>
  </si>
  <si>
    <t>120매*3</t>
  </si>
  <si>
    <t>pd0000697</t>
  </si>
  <si>
    <t>닥터에이지 시카 카밍 퍼스트 셀 에센스 토너</t>
  </si>
  <si>
    <t>pd0000698</t>
  </si>
  <si>
    <t>인투메디 딥모이스처카머_70ml</t>
  </si>
  <si>
    <t>70ml</t>
  </si>
  <si>
    <t>pd0000699</t>
  </si>
  <si>
    <t>인투메디 오일컨트롤카머_70ml</t>
  </si>
  <si>
    <t>pd0000700</t>
  </si>
  <si>
    <t>인투메디 인텐시브베리어카머_90ml</t>
  </si>
  <si>
    <t>90ml</t>
  </si>
  <si>
    <t>pd0000701</t>
  </si>
  <si>
    <t>인투메디 앰플런스 하이드로_50ml</t>
  </si>
  <si>
    <t>pd0000702</t>
  </si>
  <si>
    <t>인투메디 앰플런스 하이드로 버블폼_150ml</t>
  </si>
  <si>
    <t>pd0000703</t>
  </si>
  <si>
    <t>인투메디 앰플런스 하이드로 크림_75ml</t>
  </si>
  <si>
    <t>75ml</t>
  </si>
  <si>
    <t>pd0000704</t>
  </si>
  <si>
    <t>인투메디 클리닉스 라뉴필_24ml (4ml x 6vials)</t>
  </si>
  <si>
    <t>24ml</t>
  </si>
  <si>
    <t>pd0000705</t>
  </si>
  <si>
    <t>인투메디 클리닉스 리쥬_20ml (4ml x 5vials)</t>
  </si>
  <si>
    <t>pd0000706</t>
  </si>
  <si>
    <t>인투메디 클리닉스 화이트_20ml (4ml x 5vials)</t>
  </si>
  <si>
    <t>pd0000707</t>
  </si>
  <si>
    <t>인투메디 클리닉스 하이드로_20ml (4ml x 5vials)</t>
  </si>
  <si>
    <t>pd0000708</t>
  </si>
  <si>
    <t>스킨알엑스랩 마데세라 크림 50ml</t>
  </si>
  <si>
    <t>pd0000709</t>
  </si>
  <si>
    <t>스킨알엑스랩 워터풀 썬업 플러스 50ml</t>
  </si>
  <si>
    <t>pd0000710</t>
  </si>
  <si>
    <t>스킨알엑스랩 마데세라 엑소 펩타이드 플루이드 50ml</t>
  </si>
  <si>
    <t>pd0000711</t>
  </si>
  <si>
    <t>스킨알엑스랩 마데세라 코어 크림 50ml</t>
  </si>
  <si>
    <t>pd0000712</t>
  </si>
  <si>
    <t>스킨알엑스랩 마데세라 크림 15ml</t>
  </si>
  <si>
    <t>pd0000713</t>
  </si>
  <si>
    <t>더라퓨즈유브이디펜스라이트선세럼50ml</t>
  </si>
  <si>
    <t>pd0000714</t>
  </si>
  <si>
    <t>더라퓨즈알쓰리코어리프트더블세럼</t>
  </si>
  <si>
    <t>55g</t>
  </si>
  <si>
    <t>pd0000715</t>
  </si>
  <si>
    <t>더라퓨즈알쓰리코어리프트더블세럼트라이얼키트</t>
  </si>
  <si>
    <t>2.5g * 5</t>
  </si>
  <si>
    <t>화장품 기획·복합 세트</t>
  </si>
  <si>
    <t>화장품 기획·복합 세트 기본 선정품의 대안. 동시 입고보다 가격·제형·공급 차이가 있을 때 교체.</t>
  </si>
  <si>
    <t>pd0000716</t>
  </si>
  <si>
    <t>더라퓨즈라이브하이드로젤인토너150ml</t>
  </si>
  <si>
    <t>pd0000717</t>
  </si>
  <si>
    <t>캄프 풋귤 플루이드 카밍 패드</t>
  </si>
  <si>
    <t>70매</t>
  </si>
  <si>
    <t>pd0000718</t>
  </si>
  <si>
    <t>캄프 미스티 포레스트 퍼퓸드 핸드 크림</t>
  </si>
  <si>
    <t>pd0000719</t>
  </si>
  <si>
    <t>캄프 퀵 글로우 버블 세럼</t>
  </si>
  <si>
    <t>pd0000720</t>
  </si>
  <si>
    <t>캄프 에어리 베일 카밍 선 스틱 SPF50+ PA++++</t>
  </si>
  <si>
    <t>pd0000721</t>
  </si>
  <si>
    <t>치후레 모이스처 클렌징폼</t>
  </si>
  <si>
    <t>150g</t>
  </si>
  <si>
    <t>pd0000722</t>
  </si>
  <si>
    <t>치후레 클렌징 오일</t>
  </si>
  <si>
    <t>220ml</t>
  </si>
  <si>
    <t>pd0000723</t>
  </si>
  <si>
    <t>치후레 포밍 페이스 워시</t>
  </si>
  <si>
    <t>pd0000724</t>
  </si>
  <si>
    <t>알라딘 알엑스 SA100 스킨 밸런싱 클렌저</t>
  </si>
  <si>
    <t>pd0000725</t>
  </si>
  <si>
    <t>알라딘 알엑스 DS200 인텐시브 카밍 바이오 셀 마스크</t>
  </si>
  <si>
    <t>pd0000726</t>
  </si>
  <si>
    <t>pd0000727</t>
  </si>
  <si>
    <t>알라딘 알엑스 EP400 포스트 베리어 크림</t>
  </si>
  <si>
    <t>pd0000728</t>
  </si>
  <si>
    <t>알라딘 알엑스 DA 500 베리어 프로텍션 선크림</t>
  </si>
  <si>
    <t>pd0000729</t>
  </si>
  <si>
    <t>아실 피토 리페어 인퓨전 앰플</t>
  </si>
  <si>
    <t>38ml</t>
  </si>
  <si>
    <t>pd0000730</t>
  </si>
  <si>
    <t>아실 피토 리페어 에이지 크림</t>
  </si>
  <si>
    <t>pd0000731</t>
  </si>
  <si>
    <t>아실 피토 디펜스 에센스 선</t>
  </si>
  <si>
    <t>pd0000732</t>
  </si>
  <si>
    <t>에포나 크림</t>
  </si>
  <si>
    <t>pd0000733</t>
  </si>
  <si>
    <t>에포나 홍삼 골드 화이트닝 크림</t>
  </si>
  <si>
    <t>pd0000734</t>
  </si>
  <si>
    <t>에포나 프리미엄 연어유 크림</t>
  </si>
  <si>
    <t>pd0000735</t>
  </si>
  <si>
    <t>에포나 리부트 듀얼 이펙트 톡스 세럼</t>
  </si>
  <si>
    <t>12ml</t>
  </si>
  <si>
    <t>pd0000736</t>
  </si>
  <si>
    <t>에포나 리부트 어드밴스드 피디알엔 리쥬브네이팅 크림</t>
  </si>
  <si>
    <t>pd0000737</t>
  </si>
  <si>
    <t>에포나 리부트 피디알엔 리바이탈 앰플</t>
  </si>
  <si>
    <t>pd0000738</t>
  </si>
  <si>
    <t>에포나 리부트 듀얼 이펙트 톡스 콜라겐 셀룰로오스 마스크</t>
  </si>
  <si>
    <t>pd0000739</t>
  </si>
  <si>
    <t>베르티 티트리 자일리톨 워터젯 크림</t>
  </si>
  <si>
    <t>pd0000740</t>
  </si>
  <si>
    <t>베르티 티트리 시카 리파이닝 패드</t>
  </si>
  <si>
    <t>50매</t>
  </si>
  <si>
    <t>pd0000741</t>
  </si>
  <si>
    <t>베르티 그린 탠저린 토닝 스팟 크림</t>
  </si>
  <si>
    <t>pd0000742</t>
  </si>
  <si>
    <t>파인다이브 바쿠치올 앰플 인 마스크</t>
  </si>
  <si>
    <t>pd0000743</t>
  </si>
  <si>
    <t>파인다이브 바쿠치올 앰플 선 30ml</t>
  </si>
  <si>
    <t>pd0000744</t>
  </si>
  <si>
    <t>파인다이브 바쿠치올 콜라겐 부스터 멜팅 마스크</t>
  </si>
  <si>
    <t>pd0000745</t>
  </si>
  <si>
    <t>파인다이브 바쿠치올 앰플 립 마스크 8g</t>
  </si>
  <si>
    <t>8g</t>
  </si>
  <si>
    <t>pd0000746</t>
  </si>
  <si>
    <t>파인다이브 바쿠치올 엔자임 파우더 비타민 C 클렌저</t>
  </si>
  <si>
    <t>pd0000747</t>
  </si>
  <si>
    <t>파인다이브 PDRN 시카 엑소좀 세럼 인 마스크</t>
  </si>
  <si>
    <t>pd0000748</t>
  </si>
  <si>
    <t>파인다이브 PDRN 시카 엑소좀 케어 마스크</t>
  </si>
  <si>
    <t>pd0000749</t>
  </si>
  <si>
    <t>파인다이브 PDRN 시카 엑소좀 아이 리커버리 크림</t>
  </si>
  <si>
    <t>pd0000751</t>
  </si>
  <si>
    <t>코이터널 리프레싱 하이드레이션 토너</t>
  </si>
  <si>
    <t>pd0000752</t>
  </si>
  <si>
    <t>코이터널 씨위드 디톡스 워시오프 마스크</t>
  </si>
  <si>
    <t>pd0000753</t>
  </si>
  <si>
    <t>코이터널 카밍 하이드레이션 크림</t>
  </si>
  <si>
    <t>pd0000754</t>
  </si>
  <si>
    <t>메디포셀 울트라 히알루론산 크림 100ml</t>
  </si>
  <si>
    <t>pd0000755</t>
  </si>
  <si>
    <t>메디포셀 울트라 히알루론산 앰플 100ml</t>
  </si>
  <si>
    <t>pd0000756</t>
  </si>
  <si>
    <t>메디포셀 메디포셀 히알루론산 모이스처 선크림 50ml</t>
  </si>
  <si>
    <t>pd0000757</t>
  </si>
  <si>
    <t>메디포셀 프리쥬비네이션 레티날 페이스 크림 50ml</t>
  </si>
  <si>
    <t>pd0000758</t>
  </si>
  <si>
    <t>메디포셀 프리쥬비네이션 레티날 앰플 50ml</t>
  </si>
  <si>
    <t>pd0000759</t>
  </si>
  <si>
    <t>메디포셀 프리쥬비네이션 레티날 아이크림 25ml</t>
  </si>
  <si>
    <t>pd0000760</t>
  </si>
  <si>
    <t>메디포셀 퍼밍 허니 콜라겐 랩핑 마스크 80ml</t>
  </si>
  <si>
    <t>pd0000761</t>
  </si>
  <si>
    <t>메디포셀 콜라겐 톤업 선크림 50ml</t>
  </si>
  <si>
    <t>pd0000762</t>
  </si>
  <si>
    <t>메디포셀 멜라드롭 코직씨 캡슐 겔마스크 36g (5매입)</t>
  </si>
  <si>
    <t>36g</t>
  </si>
  <si>
    <t>pd0000763</t>
  </si>
  <si>
    <t>메디포셀 멜라드롭 코직씨 캡슐 세럼 50ml</t>
  </si>
  <si>
    <t>pd0000764</t>
  </si>
  <si>
    <t>벨로즈 로지에프 테카 B5 장벽 리페어 크림</t>
  </si>
  <si>
    <t>pd0000765</t>
  </si>
  <si>
    <t>벨로즈 로지에프 히알루 B5 속수분 진정 앰플</t>
  </si>
  <si>
    <t>pd0000766</t>
  </si>
  <si>
    <t>벨로즈 유기농 호호바오일</t>
  </si>
  <si>
    <t>pd0000767</t>
  </si>
  <si>
    <t>벨로즈 바디 디톡스 괄사</t>
  </si>
  <si>
    <t>pd0000768</t>
  </si>
  <si>
    <t>퓨어그램 리포좀 레티놀 A 부스터 15ml</t>
  </si>
  <si>
    <t>pd0000769</t>
  </si>
  <si>
    <t>퓨어그램 PDRN 베리어 크림 50ml</t>
  </si>
  <si>
    <t>pd0000770</t>
  </si>
  <si>
    <t>퓨어그램 오리진 니들 부스터샷 100 앰플 30ml</t>
  </si>
  <si>
    <t>pd0000771</t>
  </si>
  <si>
    <t>퓨어그램 오리진 니들 부스터샷 300 앰플 30ml</t>
  </si>
  <si>
    <t>pd0000772</t>
  </si>
  <si>
    <t>퓨어그램 오리진 니들 부스터샷 700 앰플 20ml</t>
  </si>
  <si>
    <t>pd0000773</t>
  </si>
  <si>
    <t>퓨어그램 오리진 니들 부스터샷 1000 앰플 20ml</t>
  </si>
  <si>
    <t>pd0000774</t>
  </si>
  <si>
    <t>퓨어그램 콜라겐 니들 부스터샷 100 앰플 20ml</t>
  </si>
  <si>
    <t>pd0000775</t>
  </si>
  <si>
    <t>퓨어그램 콜라겐 니들 부스터샷 300 앰플 20ml</t>
  </si>
  <si>
    <t>pd0000776</t>
  </si>
  <si>
    <t>퓨어그램 제주 시카 모공 딥 클렌징폼 120ml</t>
  </si>
  <si>
    <t>pd0000777</t>
  </si>
  <si>
    <t>퓨어그램 콜라겐 딥 클렌징폼 120ml</t>
  </si>
  <si>
    <t>pd0000778</t>
  </si>
  <si>
    <t>메디올가 메디 아하크림 스트롱</t>
  </si>
  <si>
    <t>pd0000779</t>
  </si>
  <si>
    <t>메디올가 브라이트닝 크림 플러스</t>
  </si>
  <si>
    <t>pd0000780</t>
  </si>
  <si>
    <t>메디올가 브이액티브크림</t>
  </si>
  <si>
    <t>pd0000781</t>
  </si>
  <si>
    <t>메디올가 스네이크톡스 크림</t>
  </si>
  <si>
    <t>pd0000782</t>
  </si>
  <si>
    <t>메디올가 따끔블루 스피큘 니들샷 에센스</t>
  </si>
  <si>
    <t>pd0000783</t>
  </si>
  <si>
    <t>백아율 모이스처 밸런싱 토너 300ml</t>
  </si>
  <si>
    <t>pd0000784</t>
  </si>
  <si>
    <t>백아율 모이스처 밸런싱 세럼 50ml</t>
  </si>
  <si>
    <t>pd0000785</t>
  </si>
  <si>
    <t>백아율 모이스처 밸런싱 크림 50ml</t>
  </si>
  <si>
    <t>pd0000786</t>
  </si>
  <si>
    <t>백아율 모이스처 밸런싱 마스크 1매</t>
  </si>
  <si>
    <t>pd0000787</t>
  </si>
  <si>
    <t>백아율 보태니컬 배리어 카밍 크림 50ml</t>
  </si>
  <si>
    <t>pd0000788</t>
  </si>
  <si>
    <t>백아율 작약꽃 앰플 30ml</t>
  </si>
  <si>
    <t>pd0000789</t>
  </si>
  <si>
    <t>백아율 클래식 크림 오리진 80ml</t>
  </si>
  <si>
    <t>pd0000790</t>
  </si>
  <si>
    <t>샤르드 멜라레이징 앰플 크림</t>
  </si>
  <si>
    <t>pd0000791</t>
  </si>
  <si>
    <t>샤르드 다크토닝 버블 필 세럼</t>
  </si>
  <si>
    <t>pd0000792</t>
  </si>
  <si>
    <t>샤르드 포어 본딩 크림</t>
  </si>
  <si>
    <t>pd0000793</t>
  </si>
  <si>
    <t>샤르드 NMN 플러스 리프트 아이크림</t>
  </si>
  <si>
    <t>pd0000794</t>
  </si>
  <si>
    <t>샤르드 레티노 부스팅 세럼</t>
  </si>
  <si>
    <t>pd0000795</t>
  </si>
  <si>
    <t>샤르드 버블 젝션 세럼</t>
  </si>
  <si>
    <t>pd0000796</t>
  </si>
  <si>
    <t>샤르드 리프쎄라 겔 마스크팩</t>
  </si>
  <si>
    <t>pd0000797</t>
  </si>
  <si>
    <t>화이테오라 멜라 5D 세럼 50ml</t>
  </si>
  <si>
    <t>pd0000798</t>
  </si>
  <si>
    <t>화이테오라 멜라 5D 마스크팩</t>
  </si>
  <si>
    <t>pd0000799</t>
  </si>
  <si>
    <t>화이테오라 5D 포밍 클렌저 150ml</t>
  </si>
  <si>
    <t>150ML</t>
  </si>
  <si>
    <t>pd0000800</t>
  </si>
  <si>
    <t>화이테오라 리뉴오라 프라임 에이지엑스 앰플</t>
  </si>
  <si>
    <t>30ML</t>
  </si>
  <si>
    <t>pd0000801</t>
  </si>
  <si>
    <t>30정</t>
  </si>
  <si>
    <t>pd0000802</t>
  </si>
  <si>
    <t>화이테오라 플럼핑오라 코어필 크림</t>
  </si>
  <si>
    <t>50ML</t>
  </si>
  <si>
    <t>pd0000803</t>
  </si>
  <si>
    <t>화이테오라 화이브디 토닝 선세럼</t>
  </si>
  <si>
    <t>pd0000804</t>
  </si>
  <si>
    <t>화이테오라 울트라 디펜스 선스크린</t>
  </si>
  <si>
    <t>pd0000805</t>
  </si>
  <si>
    <t>화이테오라 피알비더블유오라 듀얼케어솔루션 하이드로겔마스크팩</t>
  </si>
  <si>
    <t>pd0000806</t>
  </si>
  <si>
    <t>화이테오라 피알비더블유오라 바나바 혈당컷 앤 카테킨 42정</t>
  </si>
  <si>
    <t>42정</t>
  </si>
  <si>
    <t>pd0000807</t>
  </si>
  <si>
    <t>화이테오라 화이테오라 5D 글로우 세럼</t>
  </si>
  <si>
    <t>pd0000808</t>
  </si>
  <si>
    <t>투데이위드 소프트 모이스쳐 카밍 앰플</t>
  </si>
  <si>
    <t>pd0000809</t>
  </si>
  <si>
    <t>투데이위드 소프트 모이스쳐 판테놀 크림</t>
  </si>
  <si>
    <t>pd0000810</t>
  </si>
  <si>
    <t>투데이위드 소프트 모이스쳐 판테놀 로션</t>
  </si>
  <si>
    <t>pd0000811</t>
  </si>
  <si>
    <t>투데이위드 소프트 모이스쳐 무기자차 선크림</t>
  </si>
  <si>
    <t>pd0000812</t>
  </si>
  <si>
    <t>투데이위드 소프트 모이스쳐 젤 클렌저</t>
  </si>
  <si>
    <t>pd0000813</t>
  </si>
  <si>
    <t>투데이위드 소프트 모이스쳐 효소 바디워시</t>
  </si>
  <si>
    <t>pd0000814</t>
  </si>
  <si>
    <t>펠드아포테케 에어리 워터 선스크린 프로페셔널</t>
  </si>
  <si>
    <t>37ml</t>
  </si>
  <si>
    <t>pd0000815</t>
  </si>
  <si>
    <t>펠드아포테케 피토캄 진정 세럼</t>
  </si>
  <si>
    <t>pd0000816</t>
  </si>
  <si>
    <t>펠드아포테케 피토캄 수분 크림</t>
  </si>
  <si>
    <t>pd0000817</t>
  </si>
  <si>
    <t>스와니코코 PDRN 리쥬비네이팅 리페어 크림</t>
  </si>
  <si>
    <t>pd0000818</t>
  </si>
  <si>
    <t>스와니코코 PDRN 하이드레이팅 리페어 앰플</t>
  </si>
  <si>
    <t>pd0000819</t>
  </si>
  <si>
    <t>스와니코코 퍼멘테이션 펩타인 아이케 어크림</t>
  </si>
  <si>
    <t>20ml*3EA</t>
  </si>
  <si>
    <t>pd0000820</t>
  </si>
  <si>
    <t>10ml</t>
  </si>
  <si>
    <t>pd0000821</t>
  </si>
  <si>
    <t>pd0000822</t>
  </si>
  <si>
    <t>스와니코코 PDRN 바이오 에볼루션 볼륨 밤</t>
  </si>
  <si>
    <t>pd0000823</t>
  </si>
  <si>
    <t>스와니코코 PDRN 바이오에볼루션 센시티브 선크림</t>
  </si>
  <si>
    <t>pd0000824</t>
  </si>
  <si>
    <t>스와니코코 울트라 펩타인 바이옴 스킨토너</t>
  </si>
  <si>
    <t>130ml</t>
  </si>
  <si>
    <t>pd0000825</t>
  </si>
  <si>
    <t>스와니코코 울트라 펩타인 바이옴 에멀젼</t>
  </si>
  <si>
    <t>pd0000826</t>
  </si>
  <si>
    <t>스와니코코 올데이 케어 펩타인 바이옴 선크림</t>
  </si>
  <si>
    <t>pd0000827</t>
  </si>
  <si>
    <t>스와니코코 EGF 퓨어앰플10ppm</t>
  </si>
  <si>
    <t>EGF 스킨케어 기본 선정품의 대안. 동시 입고보다 가격·제형·공급 차이가 있을 때 교체.</t>
  </si>
  <si>
    <t>pd0000828</t>
  </si>
  <si>
    <t>스와니코코 FGF 퓨어앰플10ppm</t>
  </si>
  <si>
    <t>pd0000829</t>
  </si>
  <si>
    <t>스와니코코 2GF 바이오믹스마스크팩</t>
  </si>
  <si>
    <t>pd0000830</t>
  </si>
  <si>
    <t>스와니코코 AC 컨트롤 케어 스킨토너</t>
  </si>
  <si>
    <t>pd0000831</t>
  </si>
  <si>
    <t>스와니코코 AC 컨트롤 케어 에멀젼</t>
  </si>
  <si>
    <t>pd0000832</t>
  </si>
  <si>
    <t>스와니코코 AC 컨트롤 케어 딥클렌저</t>
  </si>
  <si>
    <t>pd0000833</t>
  </si>
  <si>
    <t>스와니코코 시카 펩타이드 마스크</t>
  </si>
  <si>
    <t>10ea</t>
  </si>
  <si>
    <t>pd0000834</t>
  </si>
  <si>
    <t>스와니코코 올데이 케어 시카 앤 센텔라 선크림</t>
  </si>
  <si>
    <t>pd0000835</t>
  </si>
  <si>
    <t>스와니코코 더 바이오테라피 퍼스트 에센스</t>
  </si>
  <si>
    <t>pd0000836</t>
  </si>
  <si>
    <t>빈느 에센스 광채쿠션 21호 라이트베이지</t>
  </si>
  <si>
    <t>베이스·색조 화장품</t>
  </si>
  <si>
    <t>pd0000837</t>
  </si>
  <si>
    <t>빈느 에센스 광채쿠션 23호 내추럴베이지</t>
  </si>
  <si>
    <t>pd0000838</t>
  </si>
  <si>
    <t>빈느 에센스 광채쿠션 21호 라이트베이지(리필)</t>
  </si>
  <si>
    <t>pd0000839</t>
  </si>
  <si>
    <t>빈느 에센스 광채쿠션 23호 내추럴베이지(리필)</t>
  </si>
  <si>
    <t>pd0000840</t>
  </si>
  <si>
    <t>빈느 프레스티지 글로우 스킨핏 쿠션 21호 라이트베이지</t>
  </si>
  <si>
    <t>pd0000841</t>
  </si>
  <si>
    <t>빈느 프레스티지 글로우 스킨핏 쿠션 23호 내추럴베이지</t>
  </si>
  <si>
    <t>pd0000842</t>
  </si>
  <si>
    <t>빈느 프레스티지 글로우 스킨핏 쿠션 21호 라이트베이지(리필)</t>
  </si>
  <si>
    <t>pd0000843</t>
  </si>
  <si>
    <t>빈느 프레스티지 글로우 스킨핏 쿠션 23호 내추럴베이지(리필)</t>
  </si>
  <si>
    <t>pd0000844</t>
  </si>
  <si>
    <t>빈느 플럼핑 글로우 틴트 립밤 01 클리어핑크</t>
  </si>
  <si>
    <t>3.1g</t>
  </si>
  <si>
    <t>립 메이크업</t>
  </si>
  <si>
    <t>pd0000845</t>
  </si>
  <si>
    <t>빈느 플럼핑 글로우 틴트 립밤 07 인텐스체리</t>
  </si>
  <si>
    <t>pd0000846</t>
  </si>
  <si>
    <t>빈느 플럼핑 글로우 틴트 립밤 10 베어모브</t>
  </si>
  <si>
    <t>pd0000847</t>
  </si>
  <si>
    <t>빈느 플럼핑 글로우 틴트 립밤 15 디어코랄</t>
  </si>
  <si>
    <t>pd0000848</t>
  </si>
  <si>
    <t>빈느 플럼핑 글로우 틴트 립밤 29 칠링레드</t>
  </si>
  <si>
    <t>pd0000849</t>
  </si>
  <si>
    <t>빈느 플럼핑 글로우 틴트 립밤 33 미드나잇로즈</t>
  </si>
  <si>
    <t>pd0000850</t>
  </si>
  <si>
    <t>빈느 올커버 퍼펙트 헤어쿠션스틱 01 다크브라운</t>
  </si>
  <si>
    <t>5.1g</t>
  </si>
  <si>
    <t>pd0000851</t>
  </si>
  <si>
    <t>빈느 올커버 퍼펙트 헤어쿠션스틱 02 내추럴블랙</t>
  </si>
  <si>
    <t>pd0000852</t>
  </si>
  <si>
    <t>빈느 올커버 퍼펙트 헤어쿠션스틱 03 딥브라운</t>
  </si>
  <si>
    <t>pd0000853</t>
  </si>
  <si>
    <t>빈느 UV 퍼펙션 워터풀 선크림</t>
  </si>
  <si>
    <t>pd0000854</t>
  </si>
  <si>
    <t>빈느 UV 퍼펙션 에어핏 선스틱</t>
  </si>
  <si>
    <t>19.5g</t>
  </si>
  <si>
    <t>pd0000855</t>
  </si>
  <si>
    <t>빈느 퍼펙션 밀키 폼 클렌저</t>
  </si>
  <si>
    <t>pd0000856</t>
  </si>
  <si>
    <t>빈느 바이오 딥 콜라겐 퍼밍 마스크팩</t>
  </si>
  <si>
    <t>pd0000857</t>
  </si>
  <si>
    <t>pd0000858</t>
  </si>
  <si>
    <t>빈느 스킨부스터 레이어링 앰플</t>
  </si>
  <si>
    <t>pd0000859</t>
  </si>
  <si>
    <t>랩포유 멀티엑스리페어크림</t>
  </si>
  <si>
    <t>pd0000860</t>
  </si>
  <si>
    <t>랩포유 멀티엑스클렌징폼</t>
  </si>
  <si>
    <t>pd0000861</t>
  </si>
  <si>
    <t>랩포유 멀티엑스리페어선크림</t>
  </si>
  <si>
    <t>pd0000862</t>
  </si>
  <si>
    <t>랩포유 멀티엑스인텐시브리페어</t>
  </si>
  <si>
    <t>pd0000863</t>
  </si>
  <si>
    <t>랩포유 멀티엑스A.C.크림</t>
  </si>
  <si>
    <t>pd0000864</t>
  </si>
  <si>
    <t>랩포유 멀티엑스A.C.클렌저</t>
  </si>
  <si>
    <t>pd0000865</t>
  </si>
  <si>
    <t>랩포유 파이토 카밍 앰플</t>
  </si>
  <si>
    <t>pd0000866</t>
  </si>
  <si>
    <t>파뮤 뤼미에르 바이탈 C 세럼 30ml</t>
  </si>
  <si>
    <t>pd0000867</t>
  </si>
  <si>
    <t>파뮤 뤼미에르 리파이너 120ml</t>
  </si>
  <si>
    <t>pd0000868</t>
  </si>
  <si>
    <t>파뮤 뤼미에르 컨센트레이트 크림 45g</t>
  </si>
  <si>
    <t>pd0000869</t>
  </si>
  <si>
    <t>파뮤 드림 글로우 마스크팩(활력/광채)</t>
  </si>
  <si>
    <t>4매입</t>
  </si>
  <si>
    <t>pd0000870</t>
  </si>
  <si>
    <t>파뮤 드림 글로우 마스크팩(볼륨/탄력)</t>
  </si>
  <si>
    <t>pd0000871</t>
  </si>
  <si>
    <t>파뮤 듀얼 에센스 카멜리아 100ml</t>
  </si>
  <si>
    <t>pd0000872</t>
  </si>
  <si>
    <t>파뮤 립 슬리핑 마스크 로지페탈 15g</t>
  </si>
  <si>
    <t>pd0000873</t>
  </si>
  <si>
    <t>닥터나인틴 포어엑스좀 비펩톡스 젤리토너 150ml</t>
  </si>
  <si>
    <t>pd0000874</t>
  </si>
  <si>
    <t>닥터나인틴 포어엑스좀 레디알엔 엑소좀 앰플 15ml*2ea</t>
  </si>
  <si>
    <t>15ml*2ea</t>
  </si>
  <si>
    <t>pd0000875</t>
  </si>
  <si>
    <t>닥터나인틴 포어엑스좀 콜라부스터 포어샷 크림 50ml</t>
  </si>
  <si>
    <t>pd0000876</t>
  </si>
  <si>
    <t>닥터나인틴 포어엑스좀 비타아하 듀얼 이펙트 클렌저 150ml</t>
  </si>
  <si>
    <t>pd0000877</t>
  </si>
  <si>
    <t>닥터나인틴 하이드로B5 스킨마그넷 마스크팩</t>
  </si>
  <si>
    <t>pd0000878</t>
  </si>
  <si>
    <t>닥터나인틴 멜라타티온 스킨마그넷 마스크팩</t>
  </si>
  <si>
    <t>pd0000879</t>
  </si>
  <si>
    <t>닥터나인틴 레디알엔 스킨마그넷 마스크팩</t>
  </si>
  <si>
    <t>pd0000880</t>
  </si>
  <si>
    <t>닥터나인틴 센시니컬 데이&amp;나이트 앰플 15ml*2ea</t>
  </si>
  <si>
    <t>pd0000881</t>
  </si>
  <si>
    <t>닥터나인틴 센시니컬 프로텍트 무기 자외선 차단제 40ml</t>
  </si>
  <si>
    <t>pd0000882</t>
  </si>
  <si>
    <t>닥터나인틴 센시니컬  스킨 밸런스 젤투폼 클렌저 150ml</t>
  </si>
  <si>
    <t>pd0000883</t>
  </si>
  <si>
    <t>닥터나인틴 센시니컬 더마 쉴드 크림 100ml</t>
  </si>
  <si>
    <t>pd0000884</t>
  </si>
  <si>
    <t>미라클뮤즈 아하바하메디 크림 플러스</t>
  </si>
  <si>
    <t>pd0000885</t>
  </si>
  <si>
    <t>미라클뮤즈 히알세라 리프팅 수딩 크림 플러스</t>
  </si>
  <si>
    <t>pd0000886</t>
  </si>
  <si>
    <t>미라클뮤즈 스티바에이 크림</t>
  </si>
  <si>
    <t>pd0000887</t>
  </si>
  <si>
    <t>미라클뮤즈 스티바에이 수분 톤업 선크림</t>
  </si>
  <si>
    <t>pd0000888</t>
  </si>
  <si>
    <t>로벡틴 아쿠아 히알루로닉 에센스 180ml</t>
  </si>
  <si>
    <t>pd0000889</t>
  </si>
  <si>
    <t>로벡틴 블루 히알루론산 워터 쉴드 크림 50ml</t>
  </si>
  <si>
    <t>pd0000890</t>
  </si>
  <si>
    <t>로벡틴 비타 다크 스팟 세럼 30ml 기획 (+5ml)</t>
  </si>
  <si>
    <t>pd0000891</t>
  </si>
  <si>
    <t>로벡틴 카밍 연꽃수 크림 60ml</t>
  </si>
  <si>
    <t>pd0000892</t>
  </si>
  <si>
    <t>로벡틴 앤티-이리턴트 배리어 리페어 울트라 크림 100ml</t>
  </si>
  <si>
    <t>pd0000893</t>
  </si>
  <si>
    <t>로벡틴 아쿠아 수딩 선크림 35ml 1+1 기획</t>
  </si>
  <si>
    <t>pd0000894</t>
  </si>
  <si>
    <t>로벡틴 아쿠아 젠틀 클렌징 젤 175ml</t>
  </si>
  <si>
    <t>pd0000895</t>
  </si>
  <si>
    <t>로벡틴 포어케어 노세범 패드 60매 (+10매 증정기획)</t>
  </si>
  <si>
    <t>pd0000896</t>
  </si>
  <si>
    <t>리브나 챕터3 밸런스 율무 멀티 진정 앰플</t>
  </si>
  <si>
    <t>pd0000897</t>
  </si>
  <si>
    <t>리브나 챕터3 밸런스 율무 수분 진정 크림</t>
  </si>
  <si>
    <t>pd0000898</t>
  </si>
  <si>
    <t>리브나 챕터1 퍼펙트 라이스 베리어 리페어 크림</t>
  </si>
  <si>
    <t>pd0000899</t>
  </si>
  <si>
    <t>리브나 챕터3 밸런스 율무 시카 진정 마스크팩</t>
  </si>
  <si>
    <t>pd0000900</t>
  </si>
  <si>
    <t>리브나 챕터3 율무 어성초 진정 미스트 토너</t>
  </si>
  <si>
    <t>pd0000901</t>
  </si>
  <si>
    <t>아크로패스 흔적케어 마이크로콘 패치(8패치)</t>
  </si>
  <si>
    <t>8패치</t>
  </si>
  <si>
    <t>아크로패스</t>
  </si>
  <si>
    <t>pd0000902</t>
  </si>
  <si>
    <t>아크로패스 트러블 카밍 파우더 7g</t>
  </si>
  <si>
    <t>카밍 파우더</t>
  </si>
  <si>
    <t>pd0000904</t>
  </si>
  <si>
    <t>아크로패스 트러블 스팟 케어 패치 (72패치)</t>
  </si>
  <si>
    <t>72매</t>
  </si>
  <si>
    <t>pd0000905</t>
  </si>
  <si>
    <t>아크로패스 트러블큐어 마이크로콘 패치(스몰, 9패치)</t>
  </si>
  <si>
    <t>9패치</t>
  </si>
  <si>
    <t>pd0000906</t>
  </si>
  <si>
    <t>아크로패스 흔적케어 리페어 크림 60ml 특별기획세트</t>
  </si>
  <si>
    <t>60ml + 6패치</t>
  </si>
  <si>
    <t>pd0000907</t>
  </si>
  <si>
    <t>아크로패스 트러블 카밍 클렌징 젤 폼 150ml</t>
  </si>
  <si>
    <t>pd0000908</t>
  </si>
  <si>
    <t>아크로패스 흔적케어 리페어 크림 60ml</t>
  </si>
  <si>
    <t>pd0000909</t>
  </si>
  <si>
    <t>엑소바이오 비타 엑소좀 앰플 브라이트닝</t>
  </si>
  <si>
    <t>5ml*5ea</t>
  </si>
  <si>
    <t>pd0000910</t>
  </si>
  <si>
    <t>엑소바이오 피디알엔 엑소좀 앰플 안티에이징</t>
  </si>
  <si>
    <t>pd0000911</t>
  </si>
  <si>
    <t>엑소바이오 시카 엑소좀 프리미엄 앰플</t>
  </si>
  <si>
    <t>pd0000912</t>
  </si>
  <si>
    <t>엑소바이오 비타 엑소 브라이트닝 앰플</t>
  </si>
  <si>
    <t>pd0000913</t>
  </si>
  <si>
    <t>엑소바이오 피디알엔 엑소 안티에이징 모이스처 앰플</t>
  </si>
  <si>
    <t>pd0000914</t>
  </si>
  <si>
    <t>엑소바이오 시카 엑소 수딩 모이스처 앰플</t>
  </si>
  <si>
    <t>pd0000915</t>
  </si>
  <si>
    <t>리윤바이오 리윤 리페어로션</t>
  </si>
  <si>
    <t>80mL</t>
  </si>
  <si>
    <t>pd0000916</t>
  </si>
  <si>
    <t>리윤바이오 포레아 모이스처라이징 토너미스트</t>
  </si>
  <si>
    <t>100mL</t>
  </si>
  <si>
    <t>pd0000917</t>
  </si>
  <si>
    <t>리윤바이오 포레아 모이스처라이징 크림</t>
  </si>
  <si>
    <t>50mL</t>
  </si>
  <si>
    <t>pd0000918</t>
  </si>
  <si>
    <t>리윤바이오 포레아 온가족 바디로션</t>
  </si>
  <si>
    <t>300mL</t>
  </si>
  <si>
    <t>pd0000919</t>
  </si>
  <si>
    <t>트롤즈오브스웨덴 스노트롤_누드콜라겐 테라피 필오프 마스크팩</t>
  </si>
  <si>
    <t>pd0000920</t>
  </si>
  <si>
    <t>트롤즈오브스웨덴 스노트롤_리바운드 테라피 슬리핑 마스크팩</t>
  </si>
  <si>
    <t>pd0000921</t>
  </si>
  <si>
    <t>pd0000922</t>
  </si>
  <si>
    <t>pd0000923</t>
  </si>
  <si>
    <t>에스에이치랩 슈알리아 SHC-100 뉴트리션 앰플 100ml</t>
  </si>
  <si>
    <t>pd0000924</t>
  </si>
  <si>
    <t>에스에이치랩 슈알리아 SHC-100 뉴트리션 앰플 50ml</t>
  </si>
  <si>
    <t>pd0000925</t>
  </si>
  <si>
    <t>에스에이치랩 슈알리아 SHC-100 뉴트리션 앰플 10ml</t>
  </si>
  <si>
    <t>pd0000926</t>
  </si>
  <si>
    <t>에스에이치랩 슈알리아 SHC-100 뉴트리션 마스크팩</t>
  </si>
  <si>
    <t>매입가 0 의미 확인</t>
  </si>
  <si>
    <t>pd0000927</t>
  </si>
  <si>
    <t>뷰티비티 슈퍼푸드 하이드레이팅 딥클렌징 오일</t>
  </si>
  <si>
    <t>pd0000928</t>
  </si>
  <si>
    <t>뷰티비티 슈퍼푸드 하이드레이팅 내추럴 클렌징 오일</t>
  </si>
  <si>
    <t>pd0000929</t>
  </si>
  <si>
    <t>에이루리포뮬러 Hydra Relief Serum 하이드라 릴리프 세럼 30ml</t>
  </si>
  <si>
    <t>pd0000930</t>
  </si>
  <si>
    <t>에이루리포뮬러 Brightening Glow Essence 브라이트닝 글로우 에센스 30ml</t>
  </si>
  <si>
    <t>pd0000931</t>
  </si>
  <si>
    <t>에이루리포뮬러 Barrier Balance Emulsion 베리어 벨런스 에멀전 30ml</t>
  </si>
  <si>
    <t>pd0000932</t>
  </si>
  <si>
    <t>코첼렙 코첼랩 그린에디션 모공 광채 세럼 50ml</t>
  </si>
  <si>
    <t>pd0000933</t>
  </si>
  <si>
    <t>코첼렙 코첼랩 그린에디션 하이드레이팅 젤 크림 50ml</t>
  </si>
  <si>
    <t>pd0000934</t>
  </si>
  <si>
    <t>코첼렙 코첼랩 그린에디션 딥카밍 하이드레이팅 크림 50ml</t>
  </si>
  <si>
    <t>pd0000935</t>
  </si>
  <si>
    <t>하예진 블레싱 오브 스프라우트 래디언스 토너</t>
  </si>
  <si>
    <t>pd0000936</t>
  </si>
  <si>
    <t>하예진 블레싱 오브 스프라우트 인리치드 세럼 30ml</t>
  </si>
  <si>
    <t>pd0000937</t>
  </si>
  <si>
    <t>하예진 블레싱 오브 스프라우트 바이탈리티 크림</t>
  </si>
  <si>
    <t>pd0000938</t>
  </si>
  <si>
    <t>하예진 블레싱 오브 스프라우트 카밍 클렌저</t>
  </si>
  <si>
    <t>170ml</t>
  </si>
  <si>
    <t>pd0000939</t>
  </si>
  <si>
    <t>하예진 블레싱 오브 스프라우트 링클어웨이 아이크림</t>
  </si>
  <si>
    <t>pd0000940</t>
  </si>
  <si>
    <t>하예진 쌀겨 오일 포 페이스</t>
  </si>
  <si>
    <t>pd0000941</t>
  </si>
  <si>
    <t>하예진 쌀겨 오일 포 바디</t>
  </si>
  <si>
    <t>pd0000942</t>
  </si>
  <si>
    <t>하예진 라이스필라™ 클렌징 오일</t>
  </si>
  <si>
    <t>200</t>
  </si>
  <si>
    <t>pd0000943</t>
  </si>
  <si>
    <t>하예진 라이스필라™ 클렌징 폼</t>
  </si>
  <si>
    <t>100</t>
  </si>
  <si>
    <t>pd0000944</t>
  </si>
  <si>
    <t>하예진 라이스필라™ 오일 토너</t>
  </si>
  <si>
    <t>pd0000945</t>
  </si>
  <si>
    <t>하예진 라이스필라™ 보습 크림</t>
  </si>
  <si>
    <t>pd0000946</t>
  </si>
  <si>
    <t>하예진 라이스필라™ 더블 보습 크림</t>
  </si>
  <si>
    <t>50</t>
  </si>
  <si>
    <t>pd0000947</t>
  </si>
  <si>
    <t>하예진 라이스필라™ 수분 선크림 SPF50+ PA++++</t>
  </si>
  <si>
    <t>pd0000948</t>
  </si>
  <si>
    <t>에이디솔루션 베리어 리페어 밤</t>
  </si>
  <si>
    <t>pd0000949</t>
  </si>
  <si>
    <t>에이디솔루션 베리어 리페어 마스크</t>
  </si>
  <si>
    <t>pd0000950</t>
  </si>
  <si>
    <t>에이디솔루션 아토 패스트 카밍 세럼</t>
  </si>
  <si>
    <t>30g×5매</t>
  </si>
  <si>
    <t>pd0000951</t>
  </si>
  <si>
    <t>에이디솔루션 아토 패스트 카밍 패치</t>
  </si>
  <si>
    <t>6g×10파우치</t>
  </si>
  <si>
    <t>pd0000952</t>
  </si>
  <si>
    <t>에이디솔루션 루트캄 샴푸</t>
  </si>
  <si>
    <t>pd0000953</t>
  </si>
  <si>
    <t>에이디솔루션 루트캄 앰플</t>
  </si>
  <si>
    <t>pd0000954</t>
  </si>
  <si>
    <t>트로이아르케 힐링칵테일 앰플샷 70ml (그린)</t>
  </si>
  <si>
    <t>pd0000955</t>
  </si>
  <si>
    <t>트로이아르케 힐링칵테일 앰플샷 70ml (옐로우)</t>
  </si>
  <si>
    <t>pd0000956</t>
  </si>
  <si>
    <t>트로이아르케 힐링칵테일 앰플샷 70ml (레드)</t>
  </si>
  <si>
    <t>pd0000957</t>
  </si>
  <si>
    <t>트로이아르케 힐링칵테일 앰플샷 70ml (블루)</t>
  </si>
  <si>
    <t>pd0000958</t>
  </si>
  <si>
    <t>트로이아르케 서울 워터인 퀀칭 세럼 50ml</t>
  </si>
  <si>
    <t>pd0000959</t>
  </si>
  <si>
    <t>트로이아르케 서울 엑토인 퀀칭 크림 50ml</t>
  </si>
  <si>
    <t>pd0000960</t>
  </si>
  <si>
    <t>트로이아르케 서울 더마인 리 플러스 베리어 60ml</t>
  </si>
  <si>
    <t>pd0000961</t>
  </si>
  <si>
    <t>트로이아르케 서울 옥시젠 토닝 클렌저</t>
  </si>
  <si>
    <t>pd0000962</t>
  </si>
  <si>
    <t>트로이아르케 서울 엑토인 톤업 선세럼</t>
  </si>
  <si>
    <t>pd0000963</t>
  </si>
  <si>
    <t>로리코 레티 0.5 딥 인 세럼 30ml</t>
  </si>
  <si>
    <t>pd0000964</t>
  </si>
  <si>
    <t>로리코 레티 0.5 딥 인 세럼 10ml</t>
  </si>
  <si>
    <t>10ml(2ml*5ea)</t>
  </si>
  <si>
    <t>pd0000965</t>
  </si>
  <si>
    <t>로트리 리페어 애플 앰플 50ml</t>
  </si>
  <si>
    <t>pd0000966</t>
  </si>
  <si>
    <t>로트리 타이트닝 베리 앰플 50ml</t>
  </si>
  <si>
    <t>pd0000967</t>
  </si>
  <si>
    <t>로트리 비타민 캐롯 앰플 50ml</t>
  </si>
  <si>
    <t>pd0000968</t>
  </si>
  <si>
    <t>눈빛 골드크림</t>
  </si>
  <si>
    <t>pd0000969</t>
  </si>
  <si>
    <t>눈빛 세럼</t>
  </si>
  <si>
    <t>pd0000970</t>
  </si>
  <si>
    <t>눈빛 마스크팩</t>
  </si>
  <si>
    <t>7매</t>
  </si>
  <si>
    <t>pd0000971</t>
  </si>
  <si>
    <t>코이이드 라이스 쿨링 하이드로겔 마스크팩 5매입</t>
  </si>
  <si>
    <t>pd0000972</t>
  </si>
  <si>
    <t>ESOMI 저분자 콜라겐 스킨밤</t>
  </si>
  <si>
    <t>200 ml</t>
  </si>
  <si>
    <t>pd0000973</t>
  </si>
  <si>
    <t>ESOMI UV 프로텍션 선스크린</t>
  </si>
  <si>
    <t>50 ml</t>
  </si>
  <si>
    <t>pd0000974</t>
  </si>
  <si>
    <t>ESOMI 로즈 앤 밤부 휘핑 팩클렌저</t>
  </si>
  <si>
    <t>100 ml</t>
  </si>
  <si>
    <t>pd0000975</t>
  </si>
  <si>
    <t>ESOMI 엑소 리뉴 글로우 세럼 (워시오프)</t>
  </si>
  <si>
    <t>pd0000976</t>
  </si>
  <si>
    <t>노바메디 듈로 펌핑파운데이션 17호 라이트포슬린</t>
  </si>
  <si>
    <t>15gX2</t>
  </si>
  <si>
    <t>pd0000977</t>
  </si>
  <si>
    <t>노바메디 듈로 펌핑파운데이션 21호 아이보리</t>
  </si>
  <si>
    <t>pd0000978</t>
  </si>
  <si>
    <t>닥터노바메디 플라센타 카밍앤토닝 부스트샷9.0앰플</t>
  </si>
  <si>
    <t>3ml X 4</t>
  </si>
  <si>
    <t>pd0000979</t>
  </si>
  <si>
    <t>닥터노바메디 리쥬브네이팅 슈퍼시카 피디알엔 마스크</t>
  </si>
  <si>
    <t>25mlX5</t>
  </si>
  <si>
    <t>pd0000980</t>
  </si>
  <si>
    <t>닥터노바메디 옥토퍼스 아토크림</t>
  </si>
  <si>
    <t>pd0000981</t>
  </si>
  <si>
    <t>닥터노바메디 옥토퍼스 바스앤샴푸</t>
  </si>
  <si>
    <t>pd0000982</t>
  </si>
  <si>
    <t>닥터노바메디 옥토퍼스 립 디펜스</t>
  </si>
  <si>
    <t>3.8g X 2</t>
  </si>
  <si>
    <t>pd0000983</t>
  </si>
  <si>
    <t>닥터노바메디 옥토퍼스 무기자차 선크림</t>
  </si>
  <si>
    <t>pd0000984</t>
  </si>
  <si>
    <t>닥터노바메디 더마스파인 리바이벌 테라피</t>
  </si>
  <si>
    <t>36ml</t>
  </si>
  <si>
    <t>pd0000985</t>
  </si>
  <si>
    <t>키프트 멀티솔루션 페이스 앤 아이 세럼 30ml</t>
  </si>
  <si>
    <t>pd0000986</t>
  </si>
  <si>
    <t>키프트 멀티솔루션 미라클 마스크 크림 50ml</t>
  </si>
  <si>
    <t>pd0000987</t>
  </si>
  <si>
    <t>키프트 멀티솔루션 에어 글로우 크림 50ml</t>
  </si>
  <si>
    <t>pd0000988</t>
  </si>
  <si>
    <t>키프트 슈퍼버블 마스크 올인원 100ml</t>
  </si>
  <si>
    <t>pd0000989</t>
  </si>
  <si>
    <t>키프트 슈퍼버블 마스크 올인원 28ml</t>
  </si>
  <si>
    <t>28ml</t>
  </si>
  <si>
    <t>pd0000990</t>
  </si>
  <si>
    <t>키프트 멀티솔루션 페이스 앤 바디 솝 [오리지널] 85g</t>
  </si>
  <si>
    <t>pd0000991</t>
  </si>
  <si>
    <t>키프트 멀티솔루션 페이스 앤 바디 솝 [딥] 85g</t>
  </si>
  <si>
    <t>pd0000992</t>
  </si>
  <si>
    <t>키프트 멀티솔루션 페이스 앤 바디 솝 - 디스커버리키트 20gX2</t>
  </si>
  <si>
    <t>pd0000993</t>
  </si>
  <si>
    <t>심플레 브라이트닝 글로우 미스트 세럼 80ml</t>
  </si>
  <si>
    <t>pd0000994</t>
  </si>
  <si>
    <t>심플레 스트로베리 밀키 톤업 선앰플 30ml</t>
  </si>
  <si>
    <t>pd0000995</t>
  </si>
  <si>
    <t>심플레 밀크필 토너투에센스 200ml</t>
  </si>
  <si>
    <t>pd0000996</t>
  </si>
  <si>
    <t>에르쯔틴 리제너레이티브 실트 크림</t>
  </si>
  <si>
    <t>pd0000997</t>
  </si>
  <si>
    <t>에르쯔틴 리제너레이티브 실트 앰플</t>
  </si>
  <si>
    <t>pd0000998</t>
  </si>
  <si>
    <t>에르쯔틴 리제너레이티브 실트 마스크팩</t>
  </si>
  <si>
    <t>pd0000999</t>
  </si>
  <si>
    <t>에르쯔틴 리제너레이티브 실트 토너</t>
  </si>
  <si>
    <t>pd0001000</t>
  </si>
  <si>
    <t>에르쯔틴 리제너레이티브 실트 클렌징 폼</t>
  </si>
  <si>
    <t>pd0001001</t>
  </si>
  <si>
    <t>숌 화이트 비건 클렌징밤 60ml 더블기획</t>
  </si>
  <si>
    <t>60ml * 2ea</t>
  </si>
  <si>
    <t>pd0001002</t>
  </si>
  <si>
    <t>숌 소프트 비건 클렌징밤 60ml 더블기획</t>
  </si>
  <si>
    <t>pd0001003</t>
  </si>
  <si>
    <t>숌 시카 글로우 PDRN 미스트 100ml</t>
  </si>
  <si>
    <t>pd0001004</t>
  </si>
  <si>
    <t>숌 쿨핑 글로우 톤업 선크림 50ml</t>
  </si>
  <si>
    <t>pd0001005</t>
  </si>
  <si>
    <t>숌 글로우 페어 크림 50ml</t>
  </si>
  <si>
    <t>pd0001006</t>
  </si>
  <si>
    <t>숌 시카 모이스처 쿨링 크림 50ml</t>
  </si>
  <si>
    <t>pd0001007</t>
  </si>
  <si>
    <t>숌 비타C 글로우 앰플 50ml</t>
  </si>
  <si>
    <t>pd0001008</t>
  </si>
  <si>
    <t>숌 시카 결 앰플 50ml</t>
  </si>
  <si>
    <t>pd0001009</t>
  </si>
  <si>
    <t>숌 시카 수딩 밸런싱 토너 1,000ml</t>
  </si>
  <si>
    <t>1,000ml</t>
  </si>
  <si>
    <t>pd0001010</t>
  </si>
  <si>
    <t>시르즈 엑소좀 에이징케어 세럼 30ml</t>
  </si>
  <si>
    <t>pd0001011</t>
  </si>
  <si>
    <t>시르즈 엑소좀 시카 카밍 세럼 30ml</t>
  </si>
  <si>
    <t>pd0001012</t>
  </si>
  <si>
    <t>시르즈 엑소좀 에센셜 토너 150ml</t>
  </si>
  <si>
    <t>pd0001013</t>
  </si>
  <si>
    <t>시르즈 이펙티브 클렌징밤 100ml</t>
  </si>
  <si>
    <t>pd0001014</t>
  </si>
  <si>
    <t>시르즈 엑소좀 리페어 크림 50ml</t>
  </si>
  <si>
    <t>pd0001015</t>
  </si>
  <si>
    <t>원진성형외과 더블유제이 센텔레스트 라이스 엔자임 딥 클렌저</t>
  </si>
  <si>
    <t>pd0001016</t>
  </si>
  <si>
    <t>원진성형외과 더블유제이 센텔레스트 슈퍼센텔라 부스터 토너세럼</t>
  </si>
  <si>
    <t>pd0001017</t>
  </si>
  <si>
    <t>원진성형외과 더블유제이 센텔레스트 슈퍼센텔라 바이오디톡스 토너패드</t>
  </si>
  <si>
    <t>105g(70pads)</t>
  </si>
  <si>
    <t>pd0001018</t>
  </si>
  <si>
    <t>원진성형외과 더블유제이 센텔레스트 슈퍼판테놀 배리어 크림</t>
  </si>
  <si>
    <t>pd0001019</t>
  </si>
  <si>
    <t>원진성형외과 더블유제이 센텔레스트 릴리프 선케어</t>
  </si>
  <si>
    <t>pd0001020</t>
  </si>
  <si>
    <t>원진성형외과 더블유제이 센텔레스트 랩프로 톤업 선케어</t>
  </si>
  <si>
    <t>pd0001021</t>
  </si>
  <si>
    <t>원진성형외과 더블유제이 센텔레스트 하이드로 앰플 마스크팩</t>
  </si>
  <si>
    <t>pd0001022</t>
  </si>
  <si>
    <t>원진성형외과 더블유제이 이지에프온 더마 클리닉 앰플</t>
  </si>
  <si>
    <t>pd0001023</t>
  </si>
  <si>
    <t>원진성형외과 더블유제이 이지에프온 더마 클리닉 크림</t>
  </si>
  <si>
    <t>pd0001024</t>
  </si>
  <si>
    <t>원진성형외과 더블유제이 이지에프온 리바이탈 크림 마스크팩</t>
  </si>
  <si>
    <t>pd0001025</t>
  </si>
  <si>
    <t>원진성형외과 더블유제이 아크니드 블레미쉬레드 폼 클렌저</t>
  </si>
  <si>
    <t>pd0001026</t>
  </si>
  <si>
    <t>원진성형외과 더블유제이 아크니드 블레미쉬 레드 파인필링</t>
  </si>
  <si>
    <t>pd0001027</t>
  </si>
  <si>
    <t>원진성형외과 더블유제이 아크니드 블레미쉬 레드 스팟솔루션</t>
  </si>
  <si>
    <t>pd0001028</t>
  </si>
  <si>
    <t>원진성형외과 더블유제이 아크니드 블레미쉬 화이트 에센스</t>
  </si>
  <si>
    <t>pd0001029</t>
  </si>
  <si>
    <t>원진성형외과 더블유제이 아크니드 블레미쉬 화이트 크림</t>
  </si>
  <si>
    <t>pd0001030</t>
  </si>
  <si>
    <t>원진성형외과 더블유제이 더마케어 글루타치온 브라이트닝 앰플마스크팩</t>
  </si>
  <si>
    <t>pd0001031</t>
  </si>
  <si>
    <t>원진성형외과 더블유제이 더마케어 시카 얼티메이트수딩 앰플마스크팩</t>
  </si>
  <si>
    <t>pd0001032</t>
  </si>
  <si>
    <t>원진성형외과 더블유제이 더마케어 콜라겐 워터글로우 앰플마스크팩</t>
  </si>
  <si>
    <t>pd0001033</t>
  </si>
  <si>
    <t>원진성형외과 더블유제이 더마테라 크리스탈 스킨 마스크 &amp; 샷+</t>
  </si>
  <si>
    <t>24g*5ea(mask)
4ml*5ea(shot)</t>
  </si>
  <si>
    <t>pd0001034</t>
  </si>
  <si>
    <t>닥터슈라클 AC큐어 솔루션 블루원 50ml</t>
  </si>
  <si>
    <t>pd0001035</t>
  </si>
  <si>
    <t>닥터슈라클 AC큐어 솔루션 그린투 50ml</t>
  </si>
  <si>
    <t>pd0001036</t>
  </si>
  <si>
    <t>닥터슈라클 AC큐어 솔루션 핑크젤 50ml</t>
  </si>
  <si>
    <t>pd0001037</t>
  </si>
  <si>
    <t>닥터슈라클 AC 스팟 힐러</t>
  </si>
  <si>
    <t>-</t>
  </si>
  <si>
    <t>pd0001038</t>
  </si>
  <si>
    <t>닥터슈라클 PLC 카밍 솔루션 패드</t>
  </si>
  <si>
    <t>130매</t>
  </si>
  <si>
    <t>pd0001039</t>
  </si>
  <si>
    <t>닥터슈라클 PLC 리서페이싱 크림</t>
  </si>
  <si>
    <t>pd0001040</t>
  </si>
  <si>
    <t>닥터슈라클 PLC 비타K 리포솜 오일 앰플</t>
  </si>
  <si>
    <t>pd0001041</t>
  </si>
  <si>
    <t>닥터슈라클 비건 콤부차 티 에센스</t>
  </si>
  <si>
    <t>pd0001042</t>
  </si>
  <si>
    <t>닥터슈라클 비건 콤부차 티 젤 크림</t>
  </si>
  <si>
    <t>pd0001043</t>
  </si>
  <si>
    <t>엠디스픽 테카테카 카밍 젤리폼 클렌저</t>
  </si>
  <si>
    <t>엠디스픽</t>
  </si>
  <si>
    <t>pd0001044</t>
  </si>
  <si>
    <t>엠디스픽 테카테카 카밍 포어 클렌징 오일</t>
  </si>
  <si>
    <t>pd0001045</t>
  </si>
  <si>
    <t>엠디스픽 테카테카 카밍 토너 패드</t>
  </si>
  <si>
    <t>70ea</t>
  </si>
  <si>
    <t>pd0001046</t>
  </si>
  <si>
    <t>엠디스픽 테카테카 카밍 워터 토너</t>
  </si>
  <si>
    <t>pd0001047</t>
  </si>
  <si>
    <t>엠디스픽 테카테카 카밍 세럼</t>
  </si>
  <si>
    <t>pd0001048</t>
  </si>
  <si>
    <t>엠디스픽 테카테카 카밍 딥 앰플</t>
  </si>
  <si>
    <t>pd0001049</t>
  </si>
  <si>
    <t>엠디스픽 테카테카 카밍 캡슐 크림</t>
  </si>
  <si>
    <t>pd0001050</t>
  </si>
  <si>
    <t>엠디스픽 테카테카 카밍 로션</t>
  </si>
  <si>
    <t>pd0001051</t>
  </si>
  <si>
    <t>엠디스픽 테카테카 카밍 아쿠아 선크림</t>
  </si>
  <si>
    <t>pd0001052</t>
  </si>
  <si>
    <t>엠디스픽 테카테카 카밍 세럼 인 마스크</t>
  </si>
  <si>
    <t>6ea</t>
  </si>
  <si>
    <t>pd0001053</t>
  </si>
  <si>
    <t>엠디스픽 테카테카 카밍 순 바디미스트</t>
  </si>
  <si>
    <t>pd0001054</t>
  </si>
  <si>
    <t>엠디스픽 테카테카 D판테놀 리페어 크림 Rx</t>
  </si>
  <si>
    <t>pd0001055</t>
  </si>
  <si>
    <t>엠디스픽 테카테카 징크 PCA 클리어 크림 Rx</t>
  </si>
  <si>
    <t>pd0001056</t>
  </si>
  <si>
    <t>엠디스픽 테카테카 리쥬톡스 PDRN 크림 RX</t>
  </si>
  <si>
    <t>pd0001057</t>
  </si>
  <si>
    <t>엠디스픽 아웃앤어바웃 모이스처 티트리 시카 토너</t>
  </si>
  <si>
    <t>pd0001058</t>
  </si>
  <si>
    <t>엠디스픽 아웃앤어바웃 브라이트닝 콜라겐 세럼</t>
  </si>
  <si>
    <t>pd0001059</t>
  </si>
  <si>
    <t>엠디스픽 라플랑 피디알엔 바이오리들 100</t>
  </si>
  <si>
    <t>pd0001060</t>
  </si>
  <si>
    <t>엠디스픽 라플랑 피디알엔 바이오리들 150</t>
  </si>
  <si>
    <t>pd0001061</t>
  </si>
  <si>
    <t>엠디스픽 라플랑 피디알엔 바이오리들 300</t>
  </si>
  <si>
    <t>pd0001062</t>
  </si>
  <si>
    <t>엠디스픽 라플랑 피디알엔 아이크림</t>
  </si>
  <si>
    <t>pd0001063</t>
  </si>
  <si>
    <t>엠디스픽 라플랑 피디알엔 크림</t>
  </si>
  <si>
    <t>pd0001064</t>
  </si>
  <si>
    <t>엠디스픽 라플랑 피디알엔 바이오리들 100 샤세 2ml * 10EA</t>
  </si>
  <si>
    <t>20ml*10</t>
  </si>
  <si>
    <t>pd0001065</t>
  </si>
  <si>
    <t>엠디스픽 오하나 이스케이프 데저트 선 세럼</t>
  </si>
  <si>
    <t>pd0001066</t>
  </si>
  <si>
    <t>셀로라바이 포텐션 펜타샷</t>
  </si>
  <si>
    <t>408g</t>
  </si>
  <si>
    <t>pd0001067</t>
  </si>
  <si>
    <t>셀로라바이 투겔이씨엠엘라맥스엑스퍼트크림20ml</t>
  </si>
  <si>
    <t>pd0001068</t>
  </si>
  <si>
    <t>셀로라바이 PDRN콜라겐버블퀵마스크100ml</t>
  </si>
  <si>
    <t>pd0001069</t>
  </si>
  <si>
    <t>셀로라바이 더마리페어하이드로세럼30ml</t>
  </si>
  <si>
    <t>pd0001070</t>
  </si>
  <si>
    <t>셀로라바이 포텐션포어타이트닝부스트세럼30ml</t>
  </si>
  <si>
    <t>pd0001071</t>
  </si>
  <si>
    <t>EOA 풀텐자</t>
  </si>
  <si>
    <t>1ea</t>
  </si>
  <si>
    <t>pd0001072</t>
  </si>
  <si>
    <t>EOA 풀쎄라 프로</t>
  </si>
  <si>
    <t>pd0001073</t>
  </si>
  <si>
    <t>EOA 풀써마 프로</t>
  </si>
  <si>
    <t>pd0001074</t>
  </si>
  <si>
    <t>EOA NAD+리프팅 하이드로겔 마스크 4매입</t>
  </si>
  <si>
    <t>4ea</t>
  </si>
  <si>
    <t>pd0001075</t>
  </si>
  <si>
    <t>EOA PowerGF 타이트 샷 앰플</t>
  </si>
  <si>
    <t>pd0001076</t>
  </si>
  <si>
    <t>EOA PowerGF 리페어 카밍 크림</t>
  </si>
  <si>
    <t>pd0001077</t>
  </si>
  <si>
    <t>EOA PowerGF 링클 포어 플럼핑 미스트</t>
  </si>
  <si>
    <t>pd0001078</t>
  </si>
  <si>
    <t>EOA 콜라겐 시너지 부스팅젤 200ml</t>
  </si>
  <si>
    <t>pd0001079</t>
  </si>
  <si>
    <t>닥터알파 피부장벽 크림 80ml</t>
  </si>
  <si>
    <t>원본명·규격 중복 후보(pd0002464). 바코드·공급조건 대조 후 한 코드 우선.</t>
  </si>
  <si>
    <t>닥터알파</t>
  </si>
  <si>
    <t>pd0001080</t>
  </si>
  <si>
    <t>닥터알파 피부장벽 크림 45ml</t>
  </si>
  <si>
    <t>pd0001081</t>
  </si>
  <si>
    <t>닥터알파 포어 리프레쉬 클렌징폼</t>
  </si>
  <si>
    <t>pd0001082</t>
  </si>
  <si>
    <t>닥터알파 울트라 5 쉴드 선 크림</t>
  </si>
  <si>
    <t>pd0001083</t>
  </si>
  <si>
    <t>닥터알파 블레미쉬 케어 리페어 크림</t>
  </si>
  <si>
    <t>pd0001084</t>
  </si>
  <si>
    <t>닥터알파 블레미쉬 케어 카밍 폼 클렌저</t>
  </si>
  <si>
    <t>pd0001085</t>
  </si>
  <si>
    <t>닥터알파 블레미쉬 케어 스팟 트리트먼트</t>
  </si>
  <si>
    <t>25g</t>
  </si>
  <si>
    <t>pd0001086</t>
  </si>
  <si>
    <t>레필레오 인퓨리쥬 유브이 쉴드</t>
  </si>
  <si>
    <t>40mL</t>
  </si>
  <si>
    <t>pd0001087</t>
  </si>
  <si>
    <t>레필레오 피디알엔 5 리젠 앰플</t>
  </si>
  <si>
    <t>30 mL</t>
  </si>
  <si>
    <t>pd0001088</t>
  </si>
  <si>
    <t>레필레오 골드 콜라겐 5디 마스크</t>
  </si>
  <si>
    <t>65g</t>
  </si>
  <si>
    <t>pd0001089</t>
  </si>
  <si>
    <t>레필레오 비오플랑 리차징 마스크</t>
  </si>
  <si>
    <t>30mL</t>
  </si>
  <si>
    <t>pd0001090</t>
  </si>
  <si>
    <t>레필레오 글로우 모드 카멜리아 엑소 콜라겐 겔 마스크</t>
  </si>
  <si>
    <t>34g*4ea</t>
  </si>
  <si>
    <t>pd0001091</t>
  </si>
  <si>
    <t>시오레 NMN 하이드로 캡슐 클렌징 밀크</t>
  </si>
  <si>
    <t>150mL</t>
  </si>
  <si>
    <t>pd0001092</t>
  </si>
  <si>
    <t>시오레 NMN 인텐시브 세럼</t>
  </si>
  <si>
    <t>pd0001093</t>
  </si>
  <si>
    <t>시오레 딥 글로우 리치 크림</t>
  </si>
  <si>
    <t>pd0001094</t>
  </si>
  <si>
    <t>시오레 NMN 프레쉬 버블 토너</t>
  </si>
  <si>
    <t>145mL</t>
  </si>
  <si>
    <t>pd0001095</t>
  </si>
  <si>
    <t>시오레 NMN 하이드레이팅 수딩 크림</t>
  </si>
  <si>
    <t>pd0001096</t>
  </si>
  <si>
    <t>시오레 데일리 릴리프 에센스 토너</t>
  </si>
  <si>
    <t>pd0001097</t>
  </si>
  <si>
    <t>시오레 데일리 릴리프 리페어 앰플</t>
  </si>
  <si>
    <t>pd0001098</t>
  </si>
  <si>
    <t>시오레 데일리 릴리프 컴포트 크림</t>
  </si>
  <si>
    <t>pd0001099</t>
  </si>
  <si>
    <t>시오레 데일리 릴리프 카밍 수딩 젤</t>
  </si>
  <si>
    <t>pd0001100</t>
  </si>
  <si>
    <t>시오레 마시는 PDRN200 어드밴스드</t>
  </si>
  <si>
    <t>15g×15포(225g)</t>
  </si>
  <si>
    <t>PDRN 함유 경구제품·분류 확인</t>
  </si>
  <si>
    <t>마시는 제품을 외용 PDRN 스킨케어에서 제외. 식품유형·표시 확인 전 보류.</t>
  </si>
  <si>
    <t>pd0001101</t>
  </si>
  <si>
    <t>닥터 멜락신 칼슘 볼륨 아이패치 60ea</t>
  </si>
  <si>
    <t>60ea</t>
  </si>
  <si>
    <t>pd0001102</t>
  </si>
  <si>
    <t>닥터 멜락신 칼슘 다크서클 커버 아이크림 15g</t>
  </si>
  <si>
    <t>pd0001103</t>
  </si>
  <si>
    <t>닥터 멜락신 칼슘 볼륨 멀티 밤 9g</t>
  </si>
  <si>
    <t>pd0001104</t>
  </si>
  <si>
    <t>닥터 멜락신 칼슘 볼륨 크림 50ml</t>
  </si>
  <si>
    <t>pd0001105</t>
  </si>
  <si>
    <t>닥터 멜락신 칼슘 볼륨 세럼 30ml</t>
  </si>
  <si>
    <t>pd0001106</t>
  </si>
  <si>
    <t>닥터 멜락신 나이아신아마이드 피코토닉샷 착색 세럼 30ml</t>
  </si>
  <si>
    <t>pd0001107</t>
  </si>
  <si>
    <t>닥터 멜락신 나이아신아마이드 피코토닉샷 착색 토너 150ml</t>
  </si>
  <si>
    <t>pd0001108</t>
  </si>
  <si>
    <t>닥터 멜락신 나이아신아마이드 피코토닉샷 착색 크림 80g</t>
  </si>
  <si>
    <t>pd0001109</t>
  </si>
  <si>
    <t>닥터 멜락신 피코토닉샷 착색 밤 25g</t>
  </si>
  <si>
    <t>pd0001110</t>
  </si>
  <si>
    <t>닥터 멜락신 넥스팔트 이씨엠 세라마이드 넥 크림 50g</t>
  </si>
  <si>
    <t>pd0001111</t>
  </si>
  <si>
    <t>닥터 멜락신 넥스팔트 이씨엠 세라마이드 넥 세럼 1.5ml X 10ea</t>
  </si>
  <si>
    <t>1.5ml X 10ea</t>
  </si>
  <si>
    <t>pd0001112</t>
  </si>
  <si>
    <t>닥터 멜락신 멜라씨이 페룰릭 세럼 50ml</t>
  </si>
  <si>
    <t>pd0001113</t>
  </si>
  <si>
    <t>닥터 멜락신 멜라씨이 페룰릭 아이크림 15g</t>
  </si>
  <si>
    <t>pd0001114</t>
  </si>
  <si>
    <t>닥터 멜락신 멜라씨이 페룰릭 크림 80g</t>
  </si>
  <si>
    <t>pd0001115</t>
  </si>
  <si>
    <t>닥터 멜락신 멜라씨이 페룰릭 코어 멀티 밤 10g</t>
  </si>
  <si>
    <t>pd0001116</t>
  </si>
  <si>
    <t>닥터 멜락신 멜라씨이 페룰릭 버블 토너 150ml</t>
  </si>
  <si>
    <t>pd0001117</t>
  </si>
  <si>
    <t>닥터 멜락신 티엑스 레티날좀 더블 이펙트 아이크림</t>
  </si>
  <si>
    <t>pd0001118</t>
  </si>
  <si>
    <t>닥터 멜락신 티엑스 세럼 30ml</t>
  </si>
  <si>
    <t>pd0001120</t>
  </si>
  <si>
    <t>닥터 멜락신 티엑스 크림 50g</t>
  </si>
  <si>
    <t>pd0001121</t>
  </si>
  <si>
    <t>닥터 멜락신 티엑스 크림 플러스 100g</t>
  </si>
  <si>
    <t>pd0001122</t>
  </si>
  <si>
    <t>닥터 멜락신 티엑스 기미 미백 듀오 세트 (50g+40g)</t>
  </si>
  <si>
    <t>50g+40g</t>
  </si>
  <si>
    <t>pd0001123</t>
  </si>
  <si>
    <t>닥터 멜락신 티엑스 크림 프로페셔널 50g</t>
  </si>
  <si>
    <t>pd0001124</t>
  </si>
  <si>
    <t>닥터 멜락신 아이팔트 아이백 크림 플러스, 레티날 아이백 크림 듀오 세트 10g+10g</t>
  </si>
  <si>
    <t>10g+10g</t>
  </si>
  <si>
    <t>pd0001125</t>
  </si>
  <si>
    <t>닥터 멜락신 아이팔트 레티날 아이백 크림 20g</t>
  </si>
  <si>
    <t>pd0001126</t>
  </si>
  <si>
    <t>닥터 멜락신 에스 징크 블레미쉬 크림 100g</t>
  </si>
  <si>
    <t>pd0001127</t>
  </si>
  <si>
    <t>카이네 콤부 하이드레이팅 데일리 클렌저 155g</t>
  </si>
  <si>
    <t>155g</t>
  </si>
  <si>
    <t>pd0001128</t>
  </si>
  <si>
    <t>카이네 콤부 밸런싱 앰플 토너 150ml</t>
  </si>
  <si>
    <t>pd0001129</t>
  </si>
  <si>
    <t>카이네 콤부 배리어 앰플 30ml</t>
  </si>
  <si>
    <t>pd0001130</t>
  </si>
  <si>
    <t>카이네 라벤더 PDRN 리바이탈라이징 토너 300ml</t>
  </si>
  <si>
    <t>pd0001131</t>
  </si>
  <si>
    <t>카이네 애플 사이다 비니거 그라인딩 클렌징 밤 50ml</t>
  </si>
  <si>
    <t>pd0001132</t>
  </si>
  <si>
    <t>카이네 카페티날 크림 50ml</t>
  </si>
  <si>
    <t>pd0001133</t>
  </si>
  <si>
    <t>카이네 그린 캄 아쿠아 수딩 크림 70ml</t>
  </si>
  <si>
    <t>pd0001134</t>
  </si>
  <si>
    <t>카이네 그린 핏 프로 선 55ml</t>
  </si>
  <si>
    <t>55ml</t>
  </si>
  <si>
    <t>pd0001135</t>
  </si>
  <si>
    <t>카이네 비건 콜라겐 크림 50ml</t>
  </si>
  <si>
    <t>pd0001136</t>
  </si>
  <si>
    <t>카이네 차가 콜라겐 차징 세럼 30ml</t>
  </si>
  <si>
    <t>pd0001137</t>
  </si>
  <si>
    <t>카이네 로즈마리 릴리프 젤 클렌저 150ml</t>
  </si>
  <si>
    <t>pd0001138</t>
  </si>
  <si>
    <t>카이네 로즈마리 약산성 클렌징 바 100g</t>
  </si>
  <si>
    <t>pd0001139</t>
  </si>
  <si>
    <t>카이네 글로우 멜팅 립밤 #01 퓨어</t>
  </si>
  <si>
    <t>pd0001140</t>
  </si>
  <si>
    <t>카이네 글로우 멜팅 립밤 #02 로지 플럼</t>
  </si>
  <si>
    <t>pd0001141</t>
  </si>
  <si>
    <t>카이네 글로우 멜팅 립밤 #03 웜 애프리콧</t>
  </si>
  <si>
    <t>pd0001142</t>
  </si>
  <si>
    <t>카이네 히알루로닉 쿨링 부스터겔 100ml</t>
  </si>
  <si>
    <t>pd0001143</t>
  </si>
  <si>
    <t>카이네 트래블 키트</t>
  </si>
  <si>
    <t>172g</t>
  </si>
  <si>
    <t>pd0001144</t>
  </si>
  <si>
    <t>디어클레어스 블루 이지에프 인텐시브 프로 크림 30g</t>
  </si>
  <si>
    <t>pd0001145</t>
  </si>
  <si>
    <t>디어클레어스 블루 이지에프 리페어 립밤 10ml</t>
  </si>
  <si>
    <t>pd0001146</t>
  </si>
  <si>
    <t>디어클레어스 블루 이지에프 카밍 겔 마스크 30g</t>
  </si>
  <si>
    <t>pd0001147</t>
  </si>
  <si>
    <t>디어클레어스 블루 이지에프 카밍 미스트 100ml</t>
  </si>
  <si>
    <t>pd0001148</t>
  </si>
  <si>
    <t>디어클레어스 블루 카페인 풀 커버 아이 패치 60매</t>
  </si>
  <si>
    <t>pd0001149</t>
  </si>
  <si>
    <t>디어클레어스 비타민 드롭 35ml</t>
  </si>
  <si>
    <t>pd0001150</t>
  </si>
  <si>
    <t>디어클레어스 비타민 E 마스크 90g</t>
  </si>
  <si>
    <t>90g</t>
  </si>
  <si>
    <t>pd0001151</t>
  </si>
  <si>
    <t>디어클레어스 데일리 디펜스 서플 블레미쉬 크림 40g_아이보리 베이지</t>
  </si>
  <si>
    <t>pd0001152</t>
  </si>
  <si>
    <t>디어클레어스 데일리 디펜스 서플 블레미쉬 크림 40g_내추럴 베이지</t>
  </si>
  <si>
    <t>pd0001153</t>
  </si>
  <si>
    <t>원본명·규격 중복 후보(pd0000125). 바코드·공급조건 대조 후 한 코드 우선.</t>
  </si>
  <si>
    <t>pd0001154</t>
  </si>
  <si>
    <t>원본명·규격 중복 후보(pd0000126). 바코드·공급조건 대조 후 한 코드 우선.</t>
  </si>
  <si>
    <t>pd0001155</t>
  </si>
  <si>
    <t>원본명·규격 중복 후보(pd0000124). 바코드·공급조건 대조 후 한 코드 우선.</t>
  </si>
  <si>
    <t>pd0001156</t>
  </si>
  <si>
    <t>원본명·규격 중복 후보(pd0000127). 바코드·공급조건 대조 후 한 코드 우선.</t>
  </si>
  <si>
    <t>pd0001157</t>
  </si>
  <si>
    <t>메디큐브 제로 모공 블랙헤드 머드팩</t>
  </si>
  <si>
    <t>pd0001158</t>
  </si>
  <si>
    <t>메디큐브 2024 제로 모공 패드 2.0</t>
  </si>
  <si>
    <t>pd0001159</t>
  </si>
  <si>
    <t>메디큐브 제로 모공 클리어링 캡슐 클렌징 폼</t>
  </si>
  <si>
    <t>pd0001160</t>
  </si>
  <si>
    <t>메디큐브 2024 딥 비타 씨 패드</t>
  </si>
  <si>
    <t>pd0001161</t>
  </si>
  <si>
    <t>메디큐브 딥 비타 씨 캡슐 크림 55g</t>
  </si>
  <si>
    <t>pd0001162</t>
  </si>
  <si>
    <t>메디큐브 딥 비타 에이 레티놀 세럼 30ml</t>
  </si>
  <si>
    <t>pd0001163</t>
  </si>
  <si>
    <t>메디큐브 코직애씨드 터메릭 나이트 랩핑마스크 75ml</t>
  </si>
  <si>
    <t>pd0001164</t>
  </si>
  <si>
    <t>메디큐브 코직애씨드 터메릭 토닝 클렌저 120g</t>
  </si>
  <si>
    <t>pd0001165</t>
  </si>
  <si>
    <t>메디큐브 코직애씨드 터메릭패드</t>
  </si>
  <si>
    <t>pd0001166</t>
  </si>
  <si>
    <t>메디큐브 트리플 콜라겐 토너 4.0 140ml</t>
  </si>
  <si>
    <t>140ml</t>
  </si>
  <si>
    <t>pd0001167</t>
  </si>
  <si>
    <t>메디큐브 트리플 콜라겐 세럼 4.0 55ml</t>
  </si>
  <si>
    <t>pd0001168</t>
  </si>
  <si>
    <t>메디큐브 트리플 콜라겐 크림 4.0 50ml</t>
  </si>
  <si>
    <t>pd0001169</t>
  </si>
  <si>
    <t>메디큐브 콜라겐 나이트 랩핑마스크 75ml</t>
  </si>
  <si>
    <t>pd0001170</t>
  </si>
  <si>
    <t>메디큐브 PDRN 핑크 펩타이드 세럼 30ml</t>
  </si>
  <si>
    <t>pd0001171</t>
  </si>
  <si>
    <t>메디큐브 PDRN 핑크 시카 수딩 토너 250ml</t>
  </si>
  <si>
    <t>pd0001172</t>
  </si>
  <si>
    <t>메디큐브 PDRN 핑크 콜라겐 토닝 겔 토너패드</t>
  </si>
  <si>
    <t>pd0001173</t>
  </si>
  <si>
    <t>메디큐브 PDRN 콜라겐 캡슐 크림</t>
  </si>
  <si>
    <t>pd0001174</t>
  </si>
  <si>
    <t>메디큐브 PDRN 립 슬리핑 마스크 10g</t>
  </si>
  <si>
    <t>pd0001175</t>
  </si>
  <si>
    <t>메디큐브 PDRN 핑크 카페인 나이트 랩핑 마스크 75ml</t>
  </si>
  <si>
    <t>pd0001176</t>
  </si>
  <si>
    <t>메디큐브 메디큐브_PDRN_피디알엔핑크콜라겐글로우젤리미스트세럼_60 ml_00</t>
  </si>
  <si>
    <t>pd0001177</t>
  </si>
  <si>
    <t>메디큐브 나이아신아마이드 트라넥사믹 애씨드 세럼 30ml</t>
  </si>
  <si>
    <t>pd0001178</t>
  </si>
  <si>
    <t>메디큐브 나이아신아마이드 트라넥사믹 캡슐크림</t>
  </si>
  <si>
    <t>pd0001179</t>
  </si>
  <si>
    <t>메디큐브 PDRN 핑크 콜라겐 겔 마스크팩</t>
  </si>
  <si>
    <t>pd0001180</t>
  </si>
  <si>
    <t>메디큐브 PDRN 핑크 비타 코팅 마스크팩</t>
  </si>
  <si>
    <t>pd0001181</t>
  </si>
  <si>
    <t>메디큐브 하이포클로로스애씨드 필 마스크팩</t>
  </si>
  <si>
    <t>3매</t>
  </si>
  <si>
    <t>pd0001182</t>
  </si>
  <si>
    <t>메디큐브 코직애씨드 터메릭 브라이트닝 겔 마스크팩</t>
  </si>
  <si>
    <t>pd0001183</t>
  </si>
  <si>
    <t>메디큐브 딥 비타C 글루타치온 브라이트닝마스크팩</t>
  </si>
  <si>
    <t>pd0001184</t>
  </si>
  <si>
    <t>메디큐브 딥 펩타이드 래디언스 마스크팩</t>
  </si>
  <si>
    <t>pd0001185</t>
  </si>
  <si>
    <t>메디큐브 제로 모공 쿨링 마스크팩</t>
  </si>
  <si>
    <t>pd0001186</t>
  </si>
  <si>
    <t>메디큐브 콜라겐 리프팅 마스크팩</t>
  </si>
  <si>
    <t>pd0001187</t>
  </si>
  <si>
    <t>메디큐브 딥 비타 씨 데일리 퀵 마스크팩</t>
  </si>
  <si>
    <t>pd0001188</t>
  </si>
  <si>
    <t>마미케어 오쏘타민 비타C 앰플 15ml</t>
  </si>
  <si>
    <t>마미케어</t>
  </si>
  <si>
    <t>pd0001189</t>
  </si>
  <si>
    <t>마미케어 오쏘타민 비타민C 아이크림 15ml</t>
  </si>
  <si>
    <t>pd0001190</t>
  </si>
  <si>
    <t>마미케어 오쏘타민 비타민C 크림 50ml</t>
  </si>
  <si>
    <t>pd0001192</t>
  </si>
  <si>
    <t>마미케어 쥬베핏 펩타이드 앰플 35ml</t>
  </si>
  <si>
    <t>pd0001194</t>
  </si>
  <si>
    <t>밀크터치 서양송악 그린 히알루론 올데이 보습 진정 크림</t>
  </si>
  <si>
    <t>pd0001195</t>
  </si>
  <si>
    <t>밀크터치 서양송악 그린히알루론 6초 수분 크림</t>
  </si>
  <si>
    <t>pd0001196</t>
  </si>
  <si>
    <t>밀크터치 서양송악 그린히알루론 6초 수분 진정 패드</t>
  </si>
  <si>
    <t>pd0001197</t>
  </si>
  <si>
    <t>밀크터치 서양송악 그린 히알루론 데일리 수딩 마스크팩</t>
  </si>
  <si>
    <t>pd0001198</t>
  </si>
  <si>
    <t>밀크터치 서양송악 그린히알루론 6초 수분 진정 세럼</t>
  </si>
  <si>
    <t>pd0001199</t>
  </si>
  <si>
    <t>밀크터치 화이트 티트리 라하 트러블 릴리프 세럼</t>
  </si>
  <si>
    <t>pd0001200</t>
  </si>
  <si>
    <t>밀크터치 서양송악 그린히알루론 6초 수분 진정 패드 (10매입)</t>
  </si>
  <si>
    <t>pd0001201</t>
  </si>
  <si>
    <t>밀크터치 산삼 골드 PDRN 데일리 스페셜 마스크팩</t>
  </si>
  <si>
    <t>pd0001202</t>
  </si>
  <si>
    <t>밀크터치 산삼 골드 PDRN 더블 부스팅 크림</t>
  </si>
  <si>
    <t>pd0001203</t>
  </si>
  <si>
    <t>밀크터치 산삼 골드 PDRN 더블 부스팅 세럼</t>
  </si>
  <si>
    <t>pd0001204</t>
  </si>
  <si>
    <t>밀크터치 산삼 골드 PDRN 듀얼 토너 미스트</t>
  </si>
  <si>
    <t>pd0001205</t>
  </si>
  <si>
    <t>밀크터치 블랙 머드 포어 왁싱 마스크 (모공왁싱팩)</t>
  </si>
  <si>
    <t>pd0001206</t>
  </si>
  <si>
    <t>조이크 레티날 말차 글로우 버블세럼</t>
  </si>
  <si>
    <t>155ml</t>
  </si>
  <si>
    <t>pd0001207</t>
  </si>
  <si>
    <t>조이크 레티날 말차 글로우 크림</t>
  </si>
  <si>
    <t>pd0001208</t>
  </si>
  <si>
    <t>조이크 레티날 글로우 밤투폼 클렌저</t>
  </si>
  <si>
    <t>pd0001209</t>
  </si>
  <si>
    <t>닥터딥 블루필 PDLLA 펩타이드 볼륨 부스터샷</t>
  </si>
  <si>
    <t>pd0001210</t>
  </si>
  <si>
    <t>닥터딥 미네랄 세라마이드 6X 베리어 리페어 크림</t>
  </si>
  <si>
    <t>pd0001211</t>
  </si>
  <si>
    <t>닥터딥 클리니컬 텍스쳐턴오버 스팟크림</t>
  </si>
  <si>
    <t>pd0001213</t>
  </si>
  <si>
    <t>닥터딥 미네랄 프리-필링 글로우샷 1500</t>
  </si>
  <si>
    <t>pd0001214</t>
  </si>
  <si>
    <t>닥터딥 미네랄 PDRN 퍼밍 래디언스 캡슐 세럼</t>
  </si>
  <si>
    <t>pd0001215</t>
  </si>
  <si>
    <t>닥터딥 미네랄 PDRN 52000 리-베리어 퍼밍 래디언스 크림</t>
  </si>
  <si>
    <t>pd0001216</t>
  </si>
  <si>
    <t>닥터딥 올인원 클렌징폼</t>
  </si>
  <si>
    <t>pd0001217</t>
  </si>
  <si>
    <t>닥터딥 스킨토너</t>
  </si>
  <si>
    <t>pd0001218</t>
  </si>
  <si>
    <t>닥터딥 멀티에멀젼</t>
  </si>
  <si>
    <t>pd0001219</t>
  </si>
  <si>
    <t>닥터딥 멀티아토크림</t>
  </si>
  <si>
    <t>pd0001220</t>
  </si>
  <si>
    <t>닥터딥 미네랄 바디미스트</t>
  </si>
  <si>
    <t>pd0001221</t>
  </si>
  <si>
    <t>닥터딥 미네랄 바디워시</t>
  </si>
  <si>
    <t>pd0001222</t>
  </si>
  <si>
    <t>닥터딥 미네랄 바디로션</t>
  </si>
  <si>
    <t>pd0001223</t>
  </si>
  <si>
    <t>온슬로 레티날 팔자주름패치 40매</t>
  </si>
  <si>
    <t>pd0001224</t>
  </si>
  <si>
    <t>온슬로 레티날 미간주름패치 45매</t>
  </si>
  <si>
    <t>45매</t>
  </si>
  <si>
    <t>pd0001225</t>
  </si>
  <si>
    <t>온슬로 트라넥삼산 기미패치</t>
  </si>
  <si>
    <t>2매*6</t>
  </si>
  <si>
    <t>pd0001226</t>
  </si>
  <si>
    <t>온슬로 PDRN 아이패치 24매</t>
  </si>
  <si>
    <t>pd0001227</t>
  </si>
  <si>
    <t>온슬로 리얼 콜라겐 치크팩</t>
  </si>
  <si>
    <t>pd0001228</t>
  </si>
  <si>
    <t>온슬로 나이아신아마이드 치크팩</t>
  </si>
  <si>
    <t>pd0001229</t>
  </si>
  <si>
    <t>온슬로 히알루론산 치크팩</t>
  </si>
  <si>
    <t>pd0001230</t>
  </si>
  <si>
    <t>온슬로 마데카소사이드 치크팩</t>
  </si>
  <si>
    <t>pd0001231</t>
  </si>
  <si>
    <t>엘비비 포인원 마이크로 폼 클렌저 100ml</t>
  </si>
  <si>
    <t>pd0001232</t>
  </si>
  <si>
    <t>엘비비 모이스처라이징 프라임 토너 100ml</t>
  </si>
  <si>
    <t>pd0001233</t>
  </si>
  <si>
    <t>엘비비 인텐시브 수딩 앰플 60ml</t>
  </si>
  <si>
    <t>pd0001234</t>
  </si>
  <si>
    <t>엘비비 인텐시브 케어 인 세럼 30ml</t>
  </si>
  <si>
    <t>pd0001235</t>
  </si>
  <si>
    <t>엘비비 올 데이 에어핏 선스크린 50ml</t>
  </si>
  <si>
    <t>pd0001236</t>
  </si>
  <si>
    <t>엘비비 골드렐라 펩타이드 28 안티멜라닌 에센스 50ml</t>
  </si>
  <si>
    <t>pd0001237</t>
  </si>
  <si>
    <t>엘비비 골드렐라 펩타이드 28 안티멜라닌 에센스 150ml</t>
  </si>
  <si>
    <t>pd0001238</t>
  </si>
  <si>
    <t>엘비비 골드렐라 펩타이드 28 안티멜라닌 마스크 크림 100ml</t>
  </si>
  <si>
    <t>pd0001239</t>
  </si>
  <si>
    <t>엘비비 퓨어 레디언스 크림  with OMVP 캡슐 50ml</t>
  </si>
  <si>
    <t>pd0001240</t>
  </si>
  <si>
    <t>엘비비 아로마틱 핸드크림 UV 쉴드 35ml</t>
  </si>
  <si>
    <t>pd0001241</t>
  </si>
  <si>
    <t>엘비비 리바이탈 엘릭시어 샴푸 400ml</t>
  </si>
  <si>
    <t>pd0001242</t>
  </si>
  <si>
    <t>엘비비 미라클 헤어 토닉 100ml</t>
  </si>
  <si>
    <t>pd0001243</t>
  </si>
  <si>
    <t>에센느 베리올로지 더마 리페어 크림</t>
  </si>
  <si>
    <t>pd0001244</t>
  </si>
  <si>
    <t>에센느 베리올로지 데일리 리페어 로션</t>
  </si>
  <si>
    <t>pd0001245</t>
  </si>
  <si>
    <t>에센느 베리올로지 더마일드 헤어 앤 바디워시</t>
  </si>
  <si>
    <t>290mL</t>
  </si>
  <si>
    <t>pd0001246</t>
  </si>
  <si>
    <t>에센느 아크놀로지 나이아시카 컨트롤 세럼</t>
  </si>
  <si>
    <t>pd0001247</t>
  </si>
  <si>
    <t>에센느 아크놀로지 릴렉시카 폼 클렌저</t>
  </si>
  <si>
    <t>pd0001248</t>
  </si>
  <si>
    <t>에센느 아크놀로지 센텔라 스팟겔</t>
  </si>
  <si>
    <t>pd0001249</t>
  </si>
  <si>
    <t>지디일레븐 리페어 앰플 프로그램(파우더1EA+솔루션1EA)</t>
  </si>
  <si>
    <t>실물 규격 확인 / 세부 사용목적 확인</t>
  </si>
  <si>
    <t>pd0001250</t>
  </si>
  <si>
    <t>지디일레븐 리페어 플러스 앰플 프로그램(파우더3EA+솔루션3EA)</t>
  </si>
  <si>
    <t>pd0001251</t>
  </si>
  <si>
    <t>지디일레븐 리페어 마스크</t>
  </si>
  <si>
    <t>pd0001252</t>
  </si>
  <si>
    <t>배내스템 휴먼 씨비씨엠 크림</t>
  </si>
  <si>
    <t>pd0001253</t>
  </si>
  <si>
    <t>배내스템 선블록 트루 워터리</t>
  </si>
  <si>
    <t>pd0001254</t>
  </si>
  <si>
    <t>스킨필리아 엑소뮨 부스터(파우더4EA+솔루션4EA)</t>
  </si>
  <si>
    <t>pd0001255</t>
  </si>
  <si>
    <t>스킨필리아 엑소뮨 비비크림</t>
  </si>
  <si>
    <t>pd0001256</t>
  </si>
  <si>
    <t>스킨필리아 엑소뮨 마스크팩</t>
  </si>
  <si>
    <t>pd0001257</t>
  </si>
  <si>
    <t>트리넬 필드 브리즈 세럼 50ml</t>
  </si>
  <si>
    <t>pd0001258</t>
  </si>
  <si>
    <t>미로담 진윤 세럼 PDRN 50ml</t>
  </si>
  <si>
    <t>pd0001259</t>
  </si>
  <si>
    <t>운호컴퍼니 더 토마토 오일 미스트</t>
  </si>
  <si>
    <t>pd0001260</t>
  </si>
  <si>
    <t>운호컴퍼니 더 토마토 선크림</t>
  </si>
  <si>
    <t>pd0001261</t>
  </si>
  <si>
    <t>운호컴퍼니 텐션 업 리얼 핏 마스크</t>
  </si>
  <si>
    <t>pd0001262</t>
  </si>
  <si>
    <t>운호컴퍼니 트리플 리부트 스킨 부스터 세럼</t>
  </si>
  <si>
    <t>pd0001263</t>
  </si>
  <si>
    <t>운호컴퍼니 아이백 리프팅 크림</t>
  </si>
  <si>
    <t>pd0001264</t>
  </si>
  <si>
    <t>이엘뷰티 채광 미스트 100ml</t>
  </si>
  <si>
    <t>pd0001265</t>
  </si>
  <si>
    <t>이엘뷰티 채윤 리셋크림 60ml</t>
  </si>
  <si>
    <t>pd0001266</t>
  </si>
  <si>
    <t>이엘뷰티 채윤 버블핀 에센스 70ml</t>
  </si>
  <si>
    <t>pd0001267</t>
  </si>
  <si>
    <t>오롯이 I mts앰플</t>
  </si>
  <si>
    <t>?</t>
  </si>
  <si>
    <t>pd0001268</t>
  </si>
  <si>
    <t>오롯이 Luneed 리브라이트 눈밑 니들 패치</t>
  </si>
  <si>
    <t>pd0001269</t>
  </si>
  <si>
    <t>씨스터앤 S-EGF 리프팅 부스트 샷 앰플</t>
  </si>
  <si>
    <t>pd0001270</t>
  </si>
  <si>
    <t>씨스터앤 S-EGF 리프팅 베리어 크림</t>
  </si>
  <si>
    <t>pd0001271</t>
  </si>
  <si>
    <t>씨스터앤 에어핏 선크림</t>
  </si>
  <si>
    <t>pd0001272</t>
  </si>
  <si>
    <t>에어무드 히알루로닉 스노우 크림 50ml</t>
  </si>
  <si>
    <t>pd0001273</t>
  </si>
  <si>
    <t>에어무드 핑크 톤업 물결 선크림 50ml</t>
  </si>
  <si>
    <t>pd0001274</t>
  </si>
  <si>
    <t>잇츠쏘미 이쁘니 비타 마스크</t>
  </si>
  <si>
    <t>pd0001275</t>
  </si>
  <si>
    <t>잇츠쏘미 이쁘니 시카 마스크</t>
  </si>
  <si>
    <t>pd0001276</t>
  </si>
  <si>
    <t>잇츠쏘미 이쁘니 콜라겐 마스크</t>
  </si>
  <si>
    <t>pd0001277</t>
  </si>
  <si>
    <t>잇츠쏘미 시카 포어 클렌징 폼</t>
  </si>
  <si>
    <t>pd0001278</t>
  </si>
  <si>
    <t>잇츠쏘미 콜라겐 아이 크림</t>
  </si>
  <si>
    <t>pd0001279</t>
  </si>
  <si>
    <t>잇츠쏘미 글루 히알 콜라겐 마스크</t>
  </si>
  <si>
    <t>pd0001280</t>
  </si>
  <si>
    <t>잇츠쏘미 콜라겐 글로우 스네일 크림</t>
  </si>
  <si>
    <t>pd0001281</t>
  </si>
  <si>
    <t>잇츠쏘미 시카 프로바이오틱스 페미닌워시</t>
  </si>
  <si>
    <t>pd0001282</t>
  </si>
  <si>
    <t>잇츠쏘미 아쿠아 워터 글로우 시카 크림</t>
  </si>
  <si>
    <t>pd0001283</t>
  </si>
  <si>
    <t>잇츠쏘미 캐모마일 그린티 페미닌 워시</t>
  </si>
  <si>
    <t>pd0001284</t>
  </si>
  <si>
    <t>더씨 104 멀티부스팅세럼</t>
  </si>
  <si>
    <t>pd0001285</t>
  </si>
  <si>
    <t>더씨 모주 마스크팩</t>
  </si>
  <si>
    <t>25ml*5</t>
  </si>
  <si>
    <t>pd0001286</t>
  </si>
  <si>
    <t>더씨 논스틱 썬스틱</t>
  </si>
  <si>
    <t>pd0001287</t>
  </si>
  <si>
    <t>더씨 센서티브 모주 C 클렌저</t>
  </si>
  <si>
    <t>pd0001288</t>
  </si>
  <si>
    <t>모어슈어 포어텐스업 딥 포어 클렌징 오일</t>
  </si>
  <si>
    <t>pd0001289</t>
  </si>
  <si>
    <t>모어슈어 포어텐스업 딥 포어 클렌징 폼</t>
  </si>
  <si>
    <t>pd0001290</t>
  </si>
  <si>
    <t>모어슈어 포어텐스업 퍼밍 토너</t>
  </si>
  <si>
    <t>pd0001291</t>
  </si>
  <si>
    <t>모어슈어 포어텐스업 퍼밍 세럼</t>
  </si>
  <si>
    <t>pd0001292</t>
  </si>
  <si>
    <t>모어슈어 포어텐스업 퍼밍 크림</t>
  </si>
  <si>
    <t>pd0001293</t>
  </si>
  <si>
    <t>레스트 데일리 마일드 포밍 클렌저(150)</t>
  </si>
  <si>
    <t>pd0001294</t>
  </si>
  <si>
    <t>레스트 데일리 마일드 모이스트 크림(80)</t>
  </si>
  <si>
    <t>pd0001295</t>
  </si>
  <si>
    <t>레스트 시카 베리어 리페어갤(30)</t>
  </si>
  <si>
    <t>pd0001296</t>
  </si>
  <si>
    <t>레스트 포스트 리페어 솔루션(60)</t>
  </si>
  <si>
    <t>pd0001297</t>
  </si>
  <si>
    <t>앤셔 마이베스트뷰티앰플</t>
  </si>
  <si>
    <t>pd0001298</t>
  </si>
  <si>
    <t>앤셔 토닥진정앰플</t>
  </si>
  <si>
    <t>pd0001299</t>
  </si>
  <si>
    <t>앤셔 촉착수고앰플</t>
  </si>
  <si>
    <t>pd0001300</t>
  </si>
  <si>
    <t>앤셔 노워링클앰플</t>
  </si>
  <si>
    <t>pd0001301</t>
  </si>
  <si>
    <t>앤셔 지켜줄게앰플</t>
  </si>
  <si>
    <t>pd0001302</t>
  </si>
  <si>
    <t>그리츠 네이처 어썸블 잇탱크림</t>
  </si>
  <si>
    <t>pd0001303</t>
  </si>
  <si>
    <t>그리츠 네이처 어썸블 실킹 올클렌저</t>
  </si>
  <si>
    <t>pd0001304</t>
  </si>
  <si>
    <t>인 에센셜리 에센셜리 코큐텐 에어 투 세럼 클렌저</t>
  </si>
  <si>
    <t>pd0001305</t>
  </si>
  <si>
    <t>은하_BarrierFix Gift Set (토너 200ml·세럼 50ml·로션 75ml 3종 구성)</t>
  </si>
  <si>
    <t>SET</t>
  </si>
  <si>
    <t>pd0001306</t>
  </si>
  <si>
    <t>은하_GlowCycle Gift Set (토너 200ml·세럼 50ml·로션 75ml 3종 구성)</t>
  </si>
  <si>
    <t>pd0001307</t>
  </si>
  <si>
    <t>은하_Deeplift Gift Set (토너 200ml·세럼 50ml·로션 75ml 3종 구성)</t>
  </si>
  <si>
    <t>pd0001308</t>
  </si>
  <si>
    <t>은하_CICA CHILL 시트마스크팩</t>
  </si>
  <si>
    <t>pd0001309</t>
  </si>
  <si>
    <t>은하_COLLAGEN FREEZE 시트마스크팩</t>
  </si>
  <si>
    <t>pd0001310</t>
  </si>
  <si>
    <t>메킷해빗 데일리해빗 티디 업소브 모이스처 클렌징세럼</t>
  </si>
  <si>
    <t>pd0001311</t>
  </si>
  <si>
    <t>페이즈로그 하이드로 레이어 버블에센스</t>
  </si>
  <si>
    <t>95ml</t>
  </si>
  <si>
    <t>pd0001312</t>
  </si>
  <si>
    <t>셀리뮤어 펩티에이징 보툴 리프팅 앰플 (30ml)</t>
  </si>
  <si>
    <t>pd0001313</t>
  </si>
  <si>
    <t>셀리뮤어 펩티에이징 EGF 리커버리 크림 (55ml)</t>
  </si>
  <si>
    <t>pd0001314</t>
  </si>
  <si>
    <t>셀리뮤어 펩티에이징 콜라겐 랩핑마스크 (70ml)</t>
  </si>
  <si>
    <t>pd0001315</t>
  </si>
  <si>
    <t>마리나비 켈프시카카밍 크림</t>
  </si>
  <si>
    <t>pd0001316</t>
  </si>
  <si>
    <t>마리나비 켈프시카카밍 마스크팩</t>
  </si>
  <si>
    <t>pd0001317</t>
  </si>
  <si>
    <t>마리나비 켈프시카카밍 세럼</t>
  </si>
  <si>
    <t>pd0001318</t>
  </si>
  <si>
    <t>마리나비 비타민C 25 펄 브라이트닝 세럼</t>
  </si>
  <si>
    <t>pd0001319</t>
  </si>
  <si>
    <t>마리나비 리페어 아이크림</t>
  </si>
  <si>
    <t>pd0001320</t>
  </si>
  <si>
    <t>마리나비 트루마일드 선스크린</t>
  </si>
  <si>
    <t>원본명·규격 중복 후보(pd0002503). 바코드·공급조건 대조 후 한 코드 우선.</t>
  </si>
  <si>
    <t>pd0002503</t>
  </si>
  <si>
    <t>pd0001321</t>
  </si>
  <si>
    <t>마리나비 씨위드 PDRN 바디스크럽</t>
  </si>
  <si>
    <t>pd0001322</t>
  </si>
  <si>
    <t>마리나비 씨위드 PDRN 페이스 스크럽</t>
  </si>
  <si>
    <t>pd0001323</t>
  </si>
  <si>
    <t>마리나비 씨위드 펄 브라이트닝 마스크</t>
  </si>
  <si>
    <t>pd0001324</t>
  </si>
  <si>
    <t>마리나비 켈프시카카밍 마스크팩(5매)</t>
  </si>
  <si>
    <t>pd0001325</t>
  </si>
  <si>
    <t>어테이션 약산성 익모초 올인원바</t>
  </si>
  <si>
    <t>pd0001326</t>
  </si>
  <si>
    <t>어테이션 익모초 수딩 에센스 토너 150ml</t>
  </si>
  <si>
    <t>pd0001327</t>
  </si>
  <si>
    <t>어테이션 익모초 수딩 에센스 미스트 100ml</t>
  </si>
  <si>
    <t>pd0001328</t>
  </si>
  <si>
    <t>어테이션 익모초 수딩 시카 토너패드 145ml 70매</t>
  </si>
  <si>
    <t>pd0001329</t>
  </si>
  <si>
    <t>어테이션 익모초 콜라겐 리파이닝 세럼 40ml</t>
  </si>
  <si>
    <t>pd0001330</t>
  </si>
  <si>
    <t>어테이션 로지블룸 비타민 브라이트닝 미백 앰플 20ml</t>
  </si>
  <si>
    <t>pd0001331</t>
  </si>
  <si>
    <t>어테이션 로지블룸 비타민 미백 브라이트닝 마스크팩 (28g*5매입)</t>
  </si>
  <si>
    <t>pd0001332</t>
  </si>
  <si>
    <t>어테이션 익모초 멀티 하이드레이팅 크림</t>
  </si>
  <si>
    <t>pd0001333</t>
  </si>
  <si>
    <t>어테이션 익모초 유브이 톤업 선스크린SPF50+/PA++++ 40ml</t>
  </si>
  <si>
    <t>pd0001334</t>
  </si>
  <si>
    <t>어테이션 익모초 쿨링 선스틱 SPF50+/PA++++</t>
  </si>
  <si>
    <t>pd0001335</t>
  </si>
  <si>
    <t>어테이션 퍼퓸드 핸드앤바디크림 센티드모닝 50ml</t>
  </si>
  <si>
    <t>pd0001336</t>
  </si>
  <si>
    <t>리즈 오트 이너프 세럼 30ml</t>
  </si>
  <si>
    <t>pd0001337</t>
  </si>
  <si>
    <t>리즈 오트 이너프 모이스처 크림폼 100ml</t>
  </si>
  <si>
    <t>pd0001338</t>
  </si>
  <si>
    <t>리즈 오트 이너프 퀵 버블 샤워 500ml</t>
  </si>
  <si>
    <t>pd0001339</t>
  </si>
  <si>
    <t>리즈 이지 선 라이프 모이스처 365 40ml</t>
  </si>
  <si>
    <t>pd0001340</t>
  </si>
  <si>
    <t>유리프 클렌징세럼 나이아신아마이드 100ml</t>
  </si>
  <si>
    <t>pd0001341</t>
  </si>
  <si>
    <t>유리프 클렌징세럼 콜라겐 100ml</t>
  </si>
  <si>
    <t>pd0001342</t>
  </si>
  <si>
    <t>유리프 셋업 토너 시카 RS (250ml)</t>
  </si>
  <si>
    <t>pd0001343</t>
  </si>
  <si>
    <t>유리프 셋업 수분크림 시카 RS (100ml)</t>
  </si>
  <si>
    <t>pd0001344</t>
  </si>
  <si>
    <t>유리프 선크림 아쿠아 50ml</t>
  </si>
  <si>
    <t>pd0001345</t>
  </si>
  <si>
    <t>유리프 선크림 워터프루프 50ml</t>
  </si>
  <si>
    <t>pd0001346</t>
  </si>
  <si>
    <t>유리프 선크림 에센스 50ml</t>
  </si>
  <si>
    <t>pd0001347</t>
  </si>
  <si>
    <t>유리프 시카 레티날앰플 (30ml)</t>
  </si>
  <si>
    <t>pd0001348</t>
  </si>
  <si>
    <t>유리프 다이아 토닝 세럼 (30ml)</t>
  </si>
  <si>
    <t>pd0001349</t>
  </si>
  <si>
    <t>유리프 다이아 클리어 세럼 (30ml)</t>
  </si>
  <si>
    <t>pd0001350</t>
  </si>
  <si>
    <t>유리프 ECW 앰플 (50ml)</t>
  </si>
  <si>
    <t>pd0001351</t>
  </si>
  <si>
    <t>하우파파 누씨오 워터리 에센스 스킨 150ml</t>
  </si>
  <si>
    <t>pd0001352</t>
  </si>
  <si>
    <t>하우파파 누씨오 부활초 속건조 패드 100매/260ml</t>
  </si>
  <si>
    <t>100매/260ml</t>
  </si>
  <si>
    <t>pd0001353</t>
  </si>
  <si>
    <t>하우파파 누씨오 워터리 부활초 크림 50ml</t>
  </si>
  <si>
    <t>pd0001354</t>
  </si>
  <si>
    <t>하우파파 누씨오 워터리 부활초 선로션 50ml</t>
  </si>
  <si>
    <t>pd0001355</t>
  </si>
  <si>
    <t>엑소메라 엑소메라 나노 테크닉브라이트닝 세럼</t>
  </si>
  <si>
    <t>pd0001356</t>
  </si>
  <si>
    <t>블린 셀 바이탈 아쿠아크림</t>
  </si>
  <si>
    <t>pd0001357</t>
  </si>
  <si>
    <t>블린 셀 바이탈 피그 콜라겐 팩</t>
  </si>
  <si>
    <t>pd0001358</t>
  </si>
  <si>
    <t>블린 셀 바이탈 앰플</t>
  </si>
  <si>
    <t>pd0001359</t>
  </si>
  <si>
    <t>리퓨즈 리페어 안티에이징 에센스 30ml</t>
  </si>
  <si>
    <t>pd0001360</t>
  </si>
  <si>
    <t>리퓨즈 리페어 안티에이징 에센스(리필) 30ml</t>
  </si>
  <si>
    <t>pd0001361</t>
  </si>
  <si>
    <t>리퓨즈 리페어 안티에이징 크림 50ml</t>
  </si>
  <si>
    <t>pd0001362</t>
  </si>
  <si>
    <t>리퓨즈 리페어 안티에이징 크림(리필) 50ml</t>
  </si>
  <si>
    <t>pd0001363</t>
  </si>
  <si>
    <t>리퓨즈 리페어 안티에이징 버블 토너 95ml</t>
  </si>
  <si>
    <t>pd0001364</t>
  </si>
  <si>
    <t>샘이나벨벳항산화젤</t>
  </si>
  <si>
    <t>pd0001365</t>
  </si>
  <si>
    <t>샘이나벨벳영양크림</t>
  </si>
  <si>
    <t>pd0001366</t>
  </si>
  <si>
    <t>샘이나콜펩세럼</t>
  </si>
  <si>
    <t>pd0001367</t>
  </si>
  <si>
    <t>샘이나플랑스킨토너</t>
  </si>
  <si>
    <t>pd0001368</t>
  </si>
  <si>
    <t>샘이나플랑에센스로션</t>
  </si>
  <si>
    <t>pd0001369</t>
  </si>
  <si>
    <t>샘이나플랑항노화리프팅크림</t>
  </si>
  <si>
    <t>pd0001370</t>
  </si>
  <si>
    <t>샘이나플랑항노화리프팅세럼</t>
  </si>
  <si>
    <t>pd0001371</t>
  </si>
  <si>
    <t>샘이나마누카허니세럼</t>
  </si>
  <si>
    <t>pd0001372</t>
  </si>
  <si>
    <t>뉴랜드비타씨토탈케어앰플</t>
  </si>
  <si>
    <t>pd0001373</t>
  </si>
  <si>
    <t>뉴랜드더마리바이브톤업베이스</t>
  </si>
  <si>
    <t>pd0001374</t>
  </si>
  <si>
    <t>1unit</t>
  </si>
  <si>
    <t>pd0001375</t>
  </si>
  <si>
    <t>원본명·규격 중복 후보(pd0000179). 바코드·공급조건 대조 후 한 코드 우선.</t>
  </si>
  <si>
    <t>pd0001376</t>
  </si>
  <si>
    <t>다칸토 포메리드 아이 리페어 앰플</t>
  </si>
  <si>
    <t>pd0001377</t>
  </si>
  <si>
    <t>다칸토 카밍 스파 패드</t>
  </si>
  <si>
    <t>pd0001378</t>
  </si>
  <si>
    <t>다칸토 아카시아 수분 약산성 크림 클렌저</t>
  </si>
  <si>
    <t>pd0001379</t>
  </si>
  <si>
    <t>다칸토 어성초 진정 약산성 크림 클렌저</t>
  </si>
  <si>
    <t>pd0001380</t>
  </si>
  <si>
    <t>닥터샤이 다크스팟 크림 50ml</t>
  </si>
  <si>
    <t>pd0001381</t>
  </si>
  <si>
    <t>닥터쁘띠 더마컴플리트 판테놀 크림</t>
  </si>
  <si>
    <t>pd0001382</t>
  </si>
  <si>
    <t>닥터쁘띠 더마컴플리트 비타민K 크림</t>
  </si>
  <si>
    <t>pd0001383</t>
  </si>
  <si>
    <t>닥터쁘띠 더마컴플리트 히알 볼륨 립세린</t>
  </si>
  <si>
    <t>9.55 ml</t>
  </si>
  <si>
    <t>pd0001384</t>
  </si>
  <si>
    <t>닥터쁘띠 더마컴플리트 히알 볼륨 플럼핑 립글로스</t>
  </si>
  <si>
    <t>3.8g</t>
  </si>
  <si>
    <t>pd0001385</t>
  </si>
  <si>
    <t>닥터쁘띠 마일드 클렌징 워터</t>
  </si>
  <si>
    <t>pd0001386</t>
  </si>
  <si>
    <t>닥터쁘띠 포어 밸런스 포밍 클렌저</t>
  </si>
  <si>
    <t>pd0001387</t>
  </si>
  <si>
    <t>닥터쁘띠 데일리 카밍 세럼 클렌저</t>
  </si>
  <si>
    <t>pd0001388</t>
  </si>
  <si>
    <t>닥터쁘띠 세라 토닝 캡슐 크림</t>
  </si>
  <si>
    <t>pd0001389</t>
  </si>
  <si>
    <t>닥터쁘띠 바쿠치올 리페어 크림</t>
  </si>
  <si>
    <t>pd0001390</t>
  </si>
  <si>
    <t>리안후 바쿠치올 리페어 세럼</t>
  </si>
  <si>
    <t>pd0001391</t>
  </si>
  <si>
    <t>리안후 바쿠치올 에멀젼 시트마스크팩</t>
  </si>
  <si>
    <t>pd0001392</t>
  </si>
  <si>
    <t>리안후 엑소부스터 골드샷 앰플</t>
  </si>
  <si>
    <t>2ml*7</t>
  </si>
  <si>
    <t>pd0001393</t>
  </si>
  <si>
    <t>리안후 엑소좀 시카 카밍 선크림</t>
  </si>
  <si>
    <t>pd0001394</t>
  </si>
  <si>
    <t>베어플레인 더마 멀티펩타이드 토너</t>
  </si>
  <si>
    <t>pd0001395</t>
  </si>
  <si>
    <t>베어플레인 더마 비타민씨 페이스 세럼</t>
  </si>
  <si>
    <t>pd0001396</t>
  </si>
  <si>
    <t>베어플레인 더마 알컴비안트 리커버리 세럼</t>
  </si>
  <si>
    <t>pd0001397</t>
  </si>
  <si>
    <t>베어플레인 더마 컴비안트 펩타이드 크림</t>
  </si>
  <si>
    <t>pd0001398</t>
  </si>
  <si>
    <t>데저트프리 캑타이드 배리어 선크림 50ml</t>
  </si>
  <si>
    <t>pd0001399</t>
  </si>
  <si>
    <t>데저트프리 캑타이드 더블 리페어 세럼 50ml</t>
  </si>
  <si>
    <t>pd0001400</t>
  </si>
  <si>
    <t>데저트프리 캑타이드 아쿠아젤 퍼스트 세럼 130ml</t>
  </si>
  <si>
    <t>pd0001401</t>
  </si>
  <si>
    <t>데저트프리 캑타이드 글로우 씨 세럼 50ml</t>
  </si>
  <si>
    <t>pd0001402</t>
  </si>
  <si>
    <t>도아엘 율무 레디언트 클레이 팩</t>
  </si>
  <si>
    <t>pd0001403</t>
  </si>
  <si>
    <t>도아엘 율무 페이셜 모이스처라이징 크림</t>
  </si>
  <si>
    <t>pd0001404</t>
  </si>
  <si>
    <t>라이엘 퍼밍 시카 아이크림</t>
  </si>
  <si>
    <t>pd0001405</t>
  </si>
  <si>
    <t>라이엘 시카 워터풀 크림</t>
  </si>
  <si>
    <t>pd0001406</t>
  </si>
  <si>
    <t>라이엘 릴렉스 시카 아쿠아 토너</t>
  </si>
  <si>
    <t>pd0001407</t>
  </si>
  <si>
    <t>라이엘 트리플 시카 모이스트 세럼</t>
  </si>
  <si>
    <t>pd0001408</t>
  </si>
  <si>
    <t>라이엘 릴렉스 시카 버블폼</t>
  </si>
  <si>
    <t>pd0001409</t>
  </si>
  <si>
    <t>줄리스 스킨 클린저</t>
  </si>
  <si>
    <t>pd0001410</t>
  </si>
  <si>
    <t>줄리스 밸런싱 워터</t>
  </si>
  <si>
    <t>pd0001411</t>
  </si>
  <si>
    <t>줄리스 리주버나이즈 25</t>
  </si>
  <si>
    <t>pd0001412</t>
  </si>
  <si>
    <t>줄리스 세큐어 토너</t>
  </si>
  <si>
    <t>pd0001413</t>
  </si>
  <si>
    <t>줄리스 세큐어 세럼</t>
  </si>
  <si>
    <t>pd0001414</t>
  </si>
  <si>
    <t>줄리스 화이트 크림</t>
  </si>
  <si>
    <t>pd0001415</t>
  </si>
  <si>
    <t>줄리스 세큐어 크림</t>
  </si>
  <si>
    <t>pd0001416</t>
  </si>
  <si>
    <t>쏘큐 모이스처라이징 &amp; 브라이트닝 라이스 토너</t>
  </si>
  <si>
    <t>pd0001417</t>
  </si>
  <si>
    <t>쏘큐 모이스처라이징 &amp; 브라이트닝 라이스 세럼</t>
  </si>
  <si>
    <t>pd0001418</t>
  </si>
  <si>
    <t>쏘큐 모이스처라이징 &amp; 브라이트닝  라이스 크림</t>
  </si>
  <si>
    <t>70</t>
  </si>
  <si>
    <t>pd0001419</t>
  </si>
  <si>
    <t>쏘큐 모이스처라이징 &amp; 브라이트닝 라이스 클렌징 폼</t>
  </si>
  <si>
    <t>pd0001420</t>
  </si>
  <si>
    <t>쏘큐 라이스 모이스처라이징 &amp; 브라이트닝  마스크팩(5매)</t>
  </si>
  <si>
    <t>pd0001421</t>
  </si>
  <si>
    <t>쏘큐 라이스+콜라겐 버블 마스크</t>
  </si>
  <si>
    <t>150</t>
  </si>
  <si>
    <t>pd0001422</t>
  </si>
  <si>
    <t>쏘큐 피치+콜라겐 버블 마스크</t>
  </si>
  <si>
    <t>pd0001423</t>
  </si>
  <si>
    <t>쏘큐 모이스처라이징 &amp; 브라이트닝 라이스 버블 토너</t>
  </si>
  <si>
    <t>pd0001424</t>
  </si>
  <si>
    <t>메큐릭 크리스파투스 페미닌 미스트</t>
  </si>
  <si>
    <t>pd0001425</t>
  </si>
  <si>
    <t>메큐릭 크리스파투스 페미닌 앰플</t>
  </si>
  <si>
    <t>pd0001426</t>
  </si>
  <si>
    <t>메큐릭 크리스파투스 페미닌 티슈</t>
  </si>
  <si>
    <t>pd0001427</t>
  </si>
  <si>
    <t>메큐릭 프리바이오틱스 페미닌 워시</t>
  </si>
  <si>
    <t>pd0001428</t>
  </si>
  <si>
    <t>DMCK 엑토인 2% 더마 부스터 앰플 50ml</t>
  </si>
  <si>
    <t>pd0001429</t>
  </si>
  <si>
    <t>DMCK PN PDRN 더마 부스터 앰플 7ml 8P</t>
  </si>
  <si>
    <t>7ml * 8p</t>
  </si>
  <si>
    <t>pd0001430</t>
  </si>
  <si>
    <t>DMCK PN PDRN 더마 부스터 크림 50g</t>
  </si>
  <si>
    <t>pd0001431</t>
  </si>
  <si>
    <t>DMCK PLLA 더마 부스터 앰플 7ml 8P</t>
  </si>
  <si>
    <t>pd0001432</t>
  </si>
  <si>
    <t>DMCK PLLA 더마 부스터 크림 50g</t>
  </si>
  <si>
    <t>pd0001433</t>
  </si>
  <si>
    <t>DMCK 더마 MD 크림 100g</t>
  </si>
  <si>
    <t>pd0001434</t>
  </si>
  <si>
    <t>DMCK 엑토인 9% 더마 부스터 앰플 7ml 8P</t>
  </si>
  <si>
    <t>pd0001435</t>
  </si>
  <si>
    <t>닥터리쥬진 하이퍼인퓨전 쓰리에스 세럼</t>
  </si>
  <si>
    <t>pd0001436</t>
  </si>
  <si>
    <t>닥터리쥬진 하이퍼인퓨전 포디 앰플</t>
  </si>
  <si>
    <t>pd0001437</t>
  </si>
  <si>
    <t>닥터리쥬진 하이퍼인퓨전 이십점이케이 리페어 크림</t>
  </si>
  <si>
    <t>pd0001438</t>
  </si>
  <si>
    <t>닥터리쥬진 하이퍼인퓨전 멜라포엑스</t>
  </si>
  <si>
    <t>pd0001439</t>
  </si>
  <si>
    <t>닥터리쥬진 하이퍼인퓨전 앤에이디 엔엠엔 아이크림 맥스</t>
  </si>
  <si>
    <t>pd0001440</t>
  </si>
  <si>
    <t>닥터리쥬진 하이퍼인퓨전 브이원 리페어 마스크</t>
  </si>
  <si>
    <t>4P</t>
  </si>
  <si>
    <t>pd0001441</t>
  </si>
  <si>
    <t>닥터리쥬진 하이퍼인퓨전 마그네틱 인퓨저</t>
  </si>
  <si>
    <t>미용기기·분류 확인</t>
  </si>
  <si>
    <t>인퓨저·기기형 제품명. 제형과 법적 분류 대조 전 보류.</t>
  </si>
  <si>
    <t>pd0001442</t>
  </si>
  <si>
    <t>닥터리쥬진 마스터 프로그램 선물세트 4종+쇼핑백</t>
  </si>
  <si>
    <t>pd0001443</t>
  </si>
  <si>
    <t>디에이브 더마-테카 바이옴 토너</t>
  </si>
  <si>
    <t>pd0001444</t>
  </si>
  <si>
    <t>디에이브 더마-테카 바이옴 세럼</t>
  </si>
  <si>
    <t>pd0001445</t>
  </si>
  <si>
    <t>디에이브 더마-테카 바이옴 크림</t>
  </si>
  <si>
    <t>pd0001446</t>
  </si>
  <si>
    <t>더마픽스 리쥬콜 코드알엔 리뉴 앰플</t>
  </si>
  <si>
    <t>pd0001447</t>
  </si>
  <si>
    <t>더마픽스 리쥬콜 코드알엔 리바이브 크림</t>
  </si>
  <si>
    <t>pd0001449</t>
  </si>
  <si>
    <t>더마픽스 인세라 튠페이스</t>
  </si>
  <si>
    <t>pd0001450</t>
  </si>
  <si>
    <t>더마픽스 리얼퍼포먼스 리얼콜라겐 마스크팩</t>
  </si>
  <si>
    <t>pd0001451</t>
  </si>
  <si>
    <t>더마픽스 리얼퍼포먼스 비타콜라겐 마스크팩</t>
  </si>
  <si>
    <t>pd0001452</t>
  </si>
  <si>
    <t>더마픽스 리얼퍼포먼스 시카콜라겐 마스크팩</t>
  </si>
  <si>
    <t>pd0001453</t>
  </si>
  <si>
    <t>더마픽스 리얼퍼포먼스 히알콜라겐 마스크팩</t>
  </si>
  <si>
    <t>pd0001454</t>
  </si>
  <si>
    <t>더마픽스 페이턴트 퍼포먼스 리얼콜라겐 마스크팩</t>
  </si>
  <si>
    <t>pd0001455</t>
  </si>
  <si>
    <t>더마픽스 페이턴트 퍼포먼스 비타콜라겐 마스크팩</t>
  </si>
  <si>
    <t>pd0001456</t>
  </si>
  <si>
    <t>더마픽스 페이턴트 퍼포먼스 시카콜라겐 마스크팩</t>
  </si>
  <si>
    <t>pd0001457</t>
  </si>
  <si>
    <t>더마픽스 리얼 콜라겐 텐션업 농축토너</t>
  </si>
  <si>
    <t>pd0001458</t>
  </si>
  <si>
    <t>더마픽스 리얼 콜라겐 텐션업 세럼</t>
  </si>
  <si>
    <t>pd0001459</t>
  </si>
  <si>
    <t>더마픽스 리얼 콜라겐 텐션업 앰플크림</t>
  </si>
  <si>
    <t>pd0001460</t>
  </si>
  <si>
    <t>더마픽스 비타콜라겐 브라이트닝 토너페드</t>
  </si>
  <si>
    <t>60매/ 130ml</t>
  </si>
  <si>
    <t>pd0001461</t>
  </si>
  <si>
    <t>더마픽스 비타콜라겐 브라이트닝 앰플</t>
  </si>
  <si>
    <t>pd0001462</t>
  </si>
  <si>
    <t>더마픽스 비타콜라겐 브라이트닝 크림</t>
  </si>
  <si>
    <t>pd0001463</t>
  </si>
  <si>
    <t>더마픽스 시카콜라겐 부스트업 토너</t>
  </si>
  <si>
    <t>pd0001464</t>
  </si>
  <si>
    <t>더마픽스 시카콜라겐 카밍 세럼</t>
  </si>
  <si>
    <t>pd0001465</t>
  </si>
  <si>
    <t>더마픽스 시카콜라겐 S.O.S 크림</t>
  </si>
  <si>
    <t>pd0001466</t>
  </si>
  <si>
    <t>듀어썸 피디알엔 베이비 콜라겐 버블 마스크 100ml</t>
  </si>
  <si>
    <t>pd0001467</t>
  </si>
  <si>
    <t>듀어썸 프로 콜라겐 듀얼 마스크 160매</t>
  </si>
  <si>
    <t>160매</t>
  </si>
  <si>
    <t>pd0001468</t>
  </si>
  <si>
    <t>듀어썸 프로 비타민 듀얼 마스크 160매</t>
  </si>
  <si>
    <t>pd0001469</t>
  </si>
  <si>
    <t>듀어썸 글루타치온 토닝 앰플 마스크 80매</t>
  </si>
  <si>
    <t>80매</t>
  </si>
  <si>
    <t>pd0001470</t>
  </si>
  <si>
    <t>듀어썸 비피다 에너지 앰플 마스크 80매</t>
  </si>
  <si>
    <t>pd0001471</t>
  </si>
  <si>
    <t>듀어썸 글루타치온 톤업 선 세럼 60ml</t>
  </si>
  <si>
    <t>pd0001472</t>
  </si>
  <si>
    <t>반데르피게 MSM 유황솔트크림 40ml</t>
  </si>
  <si>
    <t>pd0001473</t>
  </si>
  <si>
    <t>반데르피게 MSM 리커버리 밸런싱 바디 패치</t>
  </si>
  <si>
    <t>8g*2</t>
  </si>
  <si>
    <t>pd0001474</t>
  </si>
  <si>
    <t>반데르피게 카텐벳 멀티밤 100g</t>
  </si>
  <si>
    <t>pd0001475</t>
  </si>
  <si>
    <t>반데르피게 카텐벳 멀티밤 미니 28g</t>
  </si>
  <si>
    <t>28g</t>
  </si>
  <si>
    <t>pd0001476</t>
  </si>
  <si>
    <t>반데르피게 머슬 앤 조인트밤 95g</t>
  </si>
  <si>
    <t>95g</t>
  </si>
  <si>
    <t>pd0001477</t>
  </si>
  <si>
    <t>반데르피게 에센셜허브 호프밤 95g</t>
  </si>
  <si>
    <t>pd0001478</t>
  </si>
  <si>
    <t>반데르피게 아킬레아 레그젤 150ml</t>
  </si>
  <si>
    <t>pd0001479</t>
  </si>
  <si>
    <t>반데르피게 포텐 트래블 키트</t>
  </si>
  <si>
    <t>88ml</t>
  </si>
  <si>
    <t>pd0001480</t>
  </si>
  <si>
    <t>브래비티 마이크로홀 겔마스크(4매입)</t>
  </si>
  <si>
    <t>30g * 4EA</t>
  </si>
  <si>
    <t>pd0001481</t>
  </si>
  <si>
    <t>브래비티 PDRN 스킨부스터 마스크(5매입)</t>
  </si>
  <si>
    <t>40g * 5EA</t>
  </si>
  <si>
    <t>pd0001482</t>
  </si>
  <si>
    <t>브래비티 스템셀 글로우 에센스</t>
  </si>
  <si>
    <t>pd0001483</t>
  </si>
  <si>
    <t>브래비티 카밍엘릭서 40ml</t>
  </si>
  <si>
    <t>pd0001484</t>
  </si>
  <si>
    <t>브래비티 카카젠트 포어리액터 40ml</t>
  </si>
  <si>
    <t>pd0001485</t>
  </si>
  <si>
    <t>브래비티 더마 넥 타이트닝 앰플</t>
  </si>
  <si>
    <t>pd0001486</t>
  </si>
  <si>
    <t>브래비티 더마 아이 리페어 앰플</t>
  </si>
  <si>
    <t>pd0001487</t>
  </si>
  <si>
    <t>셀인펙트 트리플 마스크팩</t>
  </si>
  <si>
    <t>pd0001488</t>
  </si>
  <si>
    <t>pd0001489</t>
  </si>
  <si>
    <t>셀인펙트 플라큘 리쥬 크림 EMS</t>
  </si>
  <si>
    <t>pd0001490</t>
  </si>
  <si>
    <t>셀인펙트 플라큘 리쥬 크림(50g)</t>
  </si>
  <si>
    <t>pd0001491</t>
  </si>
  <si>
    <t>셀인펙트 DDD 마스크팩(보습)</t>
  </si>
  <si>
    <t>pd0001492</t>
  </si>
  <si>
    <t>셀인펙트 DDD 마스크팩(진정)</t>
  </si>
  <si>
    <t>pd0001493</t>
  </si>
  <si>
    <t>이너타이드 더마 엑소좀 버블 올인원 에센스</t>
  </si>
  <si>
    <t>pd0001494</t>
  </si>
  <si>
    <t>이너타이드 더마 엑소좀 버블 올인원 에센스 (30ml)</t>
  </si>
  <si>
    <t>pd0001495</t>
  </si>
  <si>
    <t>이너타이드 더마 엑소좀 카밍 버블 에센스</t>
  </si>
  <si>
    <t>pd0001496</t>
  </si>
  <si>
    <t>이너타이드 더마 엑소좀 아이&amp;링클 솔루션 500</t>
  </si>
  <si>
    <t>20 mg * 1ea
18 g * 1ea</t>
  </si>
  <si>
    <t>pd0001497</t>
  </si>
  <si>
    <t>이너타이드 코어컨트롤 핑크 나이트 스팟</t>
  </si>
  <si>
    <t>pd0001498</t>
  </si>
  <si>
    <t>이너타이드 더마 엑소좀 리제너 크림 100</t>
  </si>
  <si>
    <t>pd0001499</t>
  </si>
  <si>
    <t>이너타이드 엑소 브라잇 멜팅 파우더 인 크림</t>
  </si>
  <si>
    <t>7g</t>
  </si>
  <si>
    <t>pd0001500</t>
  </si>
  <si>
    <t>슈링크홈 잽포어샷</t>
  </si>
  <si>
    <t>기기</t>
  </si>
  <si>
    <t>pd0001501</t>
  </si>
  <si>
    <t>슈링크홈 PDRN 볼류마이징 부스터샷 앰플 30mL</t>
  </si>
  <si>
    <t>pd0001502</t>
  </si>
  <si>
    <t>슈링크홈 토닝 부스터샷 앰플 30mL</t>
  </si>
  <si>
    <t>pd0001503</t>
  </si>
  <si>
    <t>슈링크홈 리커버리 수딩 선크림 50mL</t>
  </si>
  <si>
    <t>pd0001504</t>
  </si>
  <si>
    <t>슈링크홈 블루 펩타이드 세럼 50mL</t>
  </si>
  <si>
    <t>pd0001505</t>
  </si>
  <si>
    <t>싸이닉 원 샷 리프팅 부스터</t>
  </si>
  <si>
    <t>1g*7개</t>
  </si>
  <si>
    <t>pd0001506</t>
  </si>
  <si>
    <t>싸이닉 히알스피큘 150샷 50ml</t>
  </si>
  <si>
    <t>pd0001507</t>
  </si>
  <si>
    <t>싸이닉 더 심플 카밍 토너 145ml</t>
  </si>
  <si>
    <t>pd0001508</t>
  </si>
  <si>
    <t>싸이닉 더 심플 데일리 로션 145ml</t>
  </si>
  <si>
    <t>pd0001509</t>
  </si>
  <si>
    <t>싸이닉 더 심플 릴리프 수분 크림 80ml</t>
  </si>
  <si>
    <t>pd0001510</t>
  </si>
  <si>
    <t>싸이닉 더 심플 베리어크림 40ml</t>
  </si>
  <si>
    <t>pd0001511</t>
  </si>
  <si>
    <t>싸이닉 엔조이 슈퍼 마일드 선 에센스 50ml</t>
  </si>
  <si>
    <t>pd0001512</t>
  </si>
  <si>
    <t>싸이닉 엔조이 워터프루프 수분 선크림 80ml</t>
  </si>
  <si>
    <t>pd0001514</t>
  </si>
  <si>
    <t>싸이닉 엔조이 액티브프루프 쿨링 선스프레이 100ml</t>
  </si>
  <si>
    <t>pd0001515</t>
  </si>
  <si>
    <t>아나시스 벨라컨투어 울트라 V 리프팅 밴드</t>
  </si>
  <si>
    <t>밴드</t>
  </si>
  <si>
    <t>pd0001516</t>
  </si>
  <si>
    <t>아나시스 벨라컨투어 V 퍼밍크림</t>
  </si>
  <si>
    <t>pd0001517</t>
  </si>
  <si>
    <t>아나시스 벨라컨투어 V 컨투어링세럼</t>
  </si>
  <si>
    <t>pd0001518</t>
  </si>
  <si>
    <t>더마펌 펩트아이드 다크서클 크림</t>
  </si>
  <si>
    <t>pd0001519</t>
  </si>
  <si>
    <t>더마펌 PDRN 200</t>
  </si>
  <si>
    <t>3ml*6EA</t>
  </si>
  <si>
    <t>pd0001520</t>
  </si>
  <si>
    <t>더마펌 멜라비타 기미크림 100</t>
  </si>
  <si>
    <t>pd0001521</t>
  </si>
  <si>
    <t>더마펌 세라마이드 수분크림 100</t>
  </si>
  <si>
    <t>pd0001522</t>
  </si>
  <si>
    <t>더마펌 안티링클 탄력크림 100</t>
  </si>
  <si>
    <t>pd0001523</t>
  </si>
  <si>
    <t>더마펌  펩타이드 광채크림 100</t>
  </si>
  <si>
    <t>pd0001524</t>
  </si>
  <si>
    <t>에필로우 슈퍼차가 엑소좀 엔에이디 원데이 에스오에스 마스크팩_탄력광채 10EA</t>
  </si>
  <si>
    <t>pd0001525</t>
  </si>
  <si>
    <t>에필로우 어성초 피디알엔 마데카소사이드 원데이 에스오에스 쿨링 마스크팩_흔적 진정 리페어 10EA</t>
  </si>
  <si>
    <t>pd0001526</t>
  </si>
  <si>
    <t>에필로우 핑크레몬 피디알엔 비타-나이아신 원데이 에스오에스 마스크팩_흔적미백 단품</t>
  </si>
  <si>
    <t>22ml</t>
  </si>
  <si>
    <t>pd0001527</t>
  </si>
  <si>
    <t>에필로우 히알루론-지지 판테놀 스쿠알란 원데이 에스오에스 마스크팩_수분밀도 10EA</t>
  </si>
  <si>
    <t>pd0001528</t>
  </si>
  <si>
    <t>웰더마 콜라겐 펩타이드 피팅 겔 마스크팩 4매</t>
  </si>
  <si>
    <t>pd0001529</t>
  </si>
  <si>
    <t>웰더마 시카 리페어 피팅 겔 마스크팩 4매</t>
  </si>
  <si>
    <t>pd0001530</t>
  </si>
  <si>
    <t>웰더마 레티놀 리스토어 피팅 겔 마스크팩 4매</t>
  </si>
  <si>
    <t>pd0001531</t>
  </si>
  <si>
    <t>웰더마 PDRN 엑소좀 피팅 겔 마스크팩 4매</t>
  </si>
  <si>
    <t>pd0001532</t>
  </si>
  <si>
    <t>웰더마 프로폴리스 1000 에너지 앰플 50ml</t>
  </si>
  <si>
    <t>pd0001533</t>
  </si>
  <si>
    <t>웰더마 저분자 마린 콜라겐 퍼펙트 클렌징폼 150ml</t>
  </si>
  <si>
    <t>pd0001535</t>
  </si>
  <si>
    <t>입큰 PDRN 바이탈 2종세트 200ml+200ml</t>
  </si>
  <si>
    <t>200ml+200ml</t>
  </si>
  <si>
    <t>pd0001536</t>
  </si>
  <si>
    <t>입큰 PDRN 바이탈 에센스 120ml</t>
  </si>
  <si>
    <t>pd0001537</t>
  </si>
  <si>
    <t>입큰 PDRN 바이탈 크림 120ml</t>
  </si>
  <si>
    <t>pd0001538</t>
  </si>
  <si>
    <t>입큰맨 파워액티브 올인원 프로 120ml+50ml</t>
  </si>
  <si>
    <t>120ml+50ml</t>
  </si>
  <si>
    <t>pd0001539</t>
  </si>
  <si>
    <t>마지스레네 블랑쉬 더블 화이트닝 크림 1+1 기획</t>
  </si>
  <si>
    <t>50ml+50ml</t>
  </si>
  <si>
    <t>pd0001540</t>
  </si>
  <si>
    <t>마지스레네 블랑쉬 트리플 화이트닝 올인원 1+1 기획</t>
  </si>
  <si>
    <t>120ml+120ml</t>
  </si>
  <si>
    <t>pd0001541</t>
  </si>
  <si>
    <t>마지스레네 블랑쉬 글루타치온 토닝 앰플 1+1 기획</t>
  </si>
  <si>
    <t>pd0001542</t>
  </si>
  <si>
    <t>바버 앰플 멀티 비타민 2ml*7ml</t>
  </si>
  <si>
    <t>2ml*7ea</t>
  </si>
  <si>
    <t>pd0001543</t>
  </si>
  <si>
    <t>바버 앰플 액티브 퓨리파이어 2ml*7ml</t>
  </si>
  <si>
    <t>pd0001544</t>
  </si>
  <si>
    <t>바버 앰플 콜라겐 부스터 2ml*7ml</t>
  </si>
  <si>
    <t>pd0001545</t>
  </si>
  <si>
    <t>이즈앤트리 어니언 뉴페어 겔크림 플러스 80ml</t>
  </si>
  <si>
    <t>pd0001546</t>
  </si>
  <si>
    <t>이즈앤트리 하이퍼 나이아신아마이드20 세럼_20ml</t>
  </si>
  <si>
    <t>pd0001547</t>
  </si>
  <si>
    <t>이즈앤트리 하이퍼 레티놀 EX 1.0 세럼 20ml</t>
  </si>
  <si>
    <t>pd0001548</t>
  </si>
  <si>
    <t>이즈앤트리 하이퍼 비타민C23 세럼_20ml</t>
  </si>
  <si>
    <t>pd0001549</t>
  </si>
  <si>
    <t>이즈앤트리 씨-나이아신 토닝앰플_50ml</t>
  </si>
  <si>
    <t>pd0001550</t>
  </si>
  <si>
    <t>이즈앤트리 씨-나이아신토닝 크림_50ml</t>
  </si>
  <si>
    <t>pd0001551</t>
  </si>
  <si>
    <t>케이부스터 데일리 더마 캡슐 광채 선세럼 50ml</t>
  </si>
  <si>
    <t>pd0001552</t>
  </si>
  <si>
    <t>케이부스터 데일리 모이스처 부스팅 토너 붓기 미스트 50ml</t>
  </si>
  <si>
    <t>pd0001553</t>
  </si>
  <si>
    <t>케이부스터 데일리 모이스처 부스팅 토너 붓기 미스트 100ml</t>
  </si>
  <si>
    <t>pd0001554</t>
  </si>
  <si>
    <t>케이부스터 데일리 더마 리페어 크림 50ml</t>
  </si>
  <si>
    <t>pd0001555</t>
  </si>
  <si>
    <t>케이부스터 데일리 더마 리페어 에센스 50ml</t>
  </si>
  <si>
    <t>pd0001556</t>
  </si>
  <si>
    <t>케이부스터 인텐스 아쿠아 A 부스터 앰플 30ml</t>
  </si>
  <si>
    <t>pd0001557</t>
  </si>
  <si>
    <t>케이부스터 인텐스 브라이트 W 부스터 앰플 30ml</t>
  </si>
  <si>
    <t>pd0001558</t>
  </si>
  <si>
    <t>케이부스터 인텐스 리쥬비 R 재생 부스터 앰플 30ml</t>
  </si>
  <si>
    <t>pd0001559</t>
  </si>
  <si>
    <t>코르테 더모 에센셜 카밍 컴플렉션 마스크 20g</t>
  </si>
  <si>
    <t>pd0001560</t>
  </si>
  <si>
    <t>코르테 더모 에센셜 브라이트닝 쉴드 마스크 20g</t>
  </si>
  <si>
    <t>pd0001561</t>
  </si>
  <si>
    <t>코르테 더모 에센셜 수딩 마스크 28ml</t>
  </si>
  <si>
    <t>pd0001562</t>
  </si>
  <si>
    <t>코르테 더모 에센셜 모이스처-RX리차징 150ml</t>
  </si>
  <si>
    <t>pd0001563</t>
  </si>
  <si>
    <t>코르테 더모 레쥬비네이션 리젤 60ml</t>
  </si>
  <si>
    <t>pd0001564</t>
  </si>
  <si>
    <t>코르테 코르테 알엑스 쉴드 크림 MD 50g</t>
  </si>
  <si>
    <t>MD 표방 제품·분류 확인</t>
  </si>
  <si>
    <t>상품명의 MD 표기를 식별. 의료기기 품목·라벨 확인 전 일반 스킨케어로 진열하지 않음.</t>
  </si>
  <si>
    <t>pd0001565</t>
  </si>
  <si>
    <t>코르테 코르테 알엑스 로션 MD 300g</t>
  </si>
  <si>
    <t>pd0001566</t>
  </si>
  <si>
    <t>코르테 코르테 알엑스 크림 MD 200g</t>
  </si>
  <si>
    <t>pd0001567</t>
  </si>
  <si>
    <t>코르테 더모 프로텍션 리바이벌 쿠션 (SPF50+,PA+++)자연스러운21호 15g</t>
  </si>
  <si>
    <t>pd0001568</t>
  </si>
  <si>
    <t>코르테 더모 프로텍션 리바이벌 쿠션(리필) (SPF50+,PA+++)자연스러운21호 15g</t>
  </si>
  <si>
    <t>pd0001569</t>
  </si>
  <si>
    <t>코르테 더모 프로텍션 선 밤 15g (SPF50+ PA+++ 15g)</t>
  </si>
  <si>
    <t>pd0001570</t>
  </si>
  <si>
    <t>코르테 더모 퓨어 스팟 포 나이트 20ml (면봉 동봉)</t>
  </si>
  <si>
    <t>pd0001571</t>
  </si>
  <si>
    <t>코르테 더모 프로텍션 리바이벌 밤 50g</t>
  </si>
  <si>
    <t>pd0001572</t>
  </si>
  <si>
    <t>퓨어케이 판테놀 10% 시카 리페어 크림</t>
  </si>
  <si>
    <t>pd0001573</t>
  </si>
  <si>
    <t>퓨어케이 레티날 0.1% LNP 크림</t>
  </si>
  <si>
    <t>pd0001574</t>
  </si>
  <si>
    <t>퓨어케이 BHA 1.8% 클렌징폼</t>
  </si>
  <si>
    <t>pd0001575</t>
  </si>
  <si>
    <t>퓨어케이 BHA 0.5% 퍼펙트딥 클렌징 오일</t>
  </si>
  <si>
    <t>pd0001576</t>
  </si>
  <si>
    <t>에스네이처 아쿠아 스쿠알란 수분크림 80ml</t>
  </si>
  <si>
    <t>pd0001577</t>
  </si>
  <si>
    <t>에스네이처 아쿠아 스쿠알란 세럼 70ml</t>
  </si>
  <si>
    <t>pd0001578</t>
  </si>
  <si>
    <t>에스네이처 아쿠아 스쿠알란 미스트 100ml</t>
  </si>
  <si>
    <t>pd0001579</t>
  </si>
  <si>
    <t>에스네이처 아쿠아 스쿠알란 판테놀 아이크림 포 페이스 밤 25g</t>
  </si>
  <si>
    <t>pd0001580</t>
  </si>
  <si>
    <t>에스네이처 아쿠아 라이스 립앤아이리무버 145ml</t>
  </si>
  <si>
    <t>pd0001581</t>
  </si>
  <si>
    <t>에스네이처 아쿠아 라이스 클렌징밀크 280ml</t>
  </si>
  <si>
    <t>280ml</t>
  </si>
  <si>
    <t>pd0001582</t>
  </si>
  <si>
    <t>에스네이처 아쿠아 라이스 클렌징오일 200ml</t>
  </si>
  <si>
    <t>pd0001583</t>
  </si>
  <si>
    <t>에스네이처 아쿠아 라이스 약산성 클렌징폼 160ml</t>
  </si>
  <si>
    <t>pd0001584</t>
  </si>
  <si>
    <t>에스네이처 아쿠아 오아시스 토너 210ml</t>
  </si>
  <si>
    <t>pd0001585</t>
  </si>
  <si>
    <t>에스네이처 아쿠아 오아시스 수분 젤크림 80ml</t>
  </si>
  <si>
    <t>pd0001586</t>
  </si>
  <si>
    <t>에스네이처 아쿠아 오아시스 판테알란 카밍패드 60매 (190ml)</t>
  </si>
  <si>
    <t>60매 (190ml)</t>
  </si>
  <si>
    <t>pd0001587</t>
  </si>
  <si>
    <t>에스네이처 블랑쉬 클렌저 260ml</t>
  </si>
  <si>
    <t>260ml</t>
  </si>
  <si>
    <t>pd0001588</t>
  </si>
  <si>
    <t>에스네이처 블랑쉬 로션 200ml</t>
  </si>
  <si>
    <t>pd0001589</t>
  </si>
  <si>
    <t>에스네이처 화이트 글로우 앰플 50ml</t>
  </si>
  <si>
    <t>pd0001590</t>
  </si>
  <si>
    <t>에스네이처 수퍼 아쿠아겔 오아시스 앰플 마스크 5매</t>
  </si>
  <si>
    <t>pd0001591</t>
  </si>
  <si>
    <t>에스네이처 화이트 글로우 앰플 마스크 5매</t>
  </si>
  <si>
    <t>pd0001592</t>
  </si>
  <si>
    <t>에스네이처 아쿠아 스쿠알란 수분크림 랩핑마스크 4매</t>
  </si>
  <si>
    <t>pd0001593</t>
  </si>
  <si>
    <t>바이오아 티 피디알엔 에센스 티들 100 50ml</t>
  </si>
  <si>
    <t>pd0001594</t>
  </si>
  <si>
    <t>바이오아 티 피디알엔 에센스 티들 300 50ml</t>
  </si>
  <si>
    <t>pd0001595</t>
  </si>
  <si>
    <t>위미에르 브라이트닝 톤업 래디언스 앰플 30ml</t>
  </si>
  <si>
    <t>pd0001596</t>
  </si>
  <si>
    <t>위미에르 브라이트닝 톤업 래디언스 크림 50ml</t>
  </si>
  <si>
    <t>pd0001597</t>
  </si>
  <si>
    <t>위미에르 브라이트닝 톤업 래디언스 토너 100ml</t>
  </si>
  <si>
    <t>pd0001598</t>
  </si>
  <si>
    <t>위미에르 브라이트닝 톤업 래디언스 퍼스트 세럼 50ml</t>
  </si>
  <si>
    <t>pd0001599</t>
  </si>
  <si>
    <t>위미에르 에이징 트리트먼트 리페어 세럼 50ml</t>
  </si>
  <si>
    <t>pd0001600</t>
  </si>
  <si>
    <t>위미에르 에이징 트리트먼트 리페어 아이크림 30ml</t>
  </si>
  <si>
    <t>pd0001601</t>
  </si>
  <si>
    <t>위미에르 에이징 트리트먼트 리페어 크림 50ml</t>
  </si>
  <si>
    <t>pd0001602</t>
  </si>
  <si>
    <t>위미에르 에이징 트리트먼트 리페어 토너 100ml</t>
  </si>
  <si>
    <t>pd0001603</t>
  </si>
  <si>
    <t>위미에르 인텐시브 하이드라 수딩 세럼 50ml</t>
  </si>
  <si>
    <t>pd0001604</t>
  </si>
  <si>
    <t>위미에르 인텐시브 하이드라 수딩 크림 50ml</t>
  </si>
  <si>
    <t>pd0001605</t>
  </si>
  <si>
    <t>위미에르 인텐시브 하이드라 수딩 토너 100ml</t>
  </si>
  <si>
    <t>pd0001606</t>
  </si>
  <si>
    <t>위미에르 인텐시브 하이드라 수딩 퍼스트 앰플 30ml</t>
  </si>
  <si>
    <t>pd0001607</t>
  </si>
  <si>
    <t>위미에르 포어 컨트롤 타이트닝 세럼 50ml</t>
  </si>
  <si>
    <t>pd0001608</t>
  </si>
  <si>
    <t>위미에르 포어 컨트롤 타이트닝 아이크림 30ml</t>
  </si>
  <si>
    <t>pd0001609</t>
  </si>
  <si>
    <t>위미에르 포어 컨트롤 타이트닝 크림 50ml</t>
  </si>
  <si>
    <t>pd0001610</t>
  </si>
  <si>
    <t>위미에르 포어 컨트롤 타이트닝 토너 100ml</t>
  </si>
  <si>
    <t>pd0001611</t>
  </si>
  <si>
    <t>위미에르 레드 라이스 클렌징 밤 50ml</t>
  </si>
  <si>
    <t>pd0001612</t>
  </si>
  <si>
    <t>크니브 콜라겐 젠틀 리버스 앰플 30ml</t>
  </si>
  <si>
    <t>pd0001613</t>
  </si>
  <si>
    <t>크니브 EGF 젠틀 리버스 앰플 30ml</t>
  </si>
  <si>
    <t>pd0001614</t>
  </si>
  <si>
    <t>크니브 PDRN 젠틀 리버스 앰플 30ml</t>
  </si>
  <si>
    <t>pd0001615</t>
  </si>
  <si>
    <t>크니브 UV 글로우 업 선크림 50ml</t>
  </si>
  <si>
    <t>pd0001616</t>
  </si>
  <si>
    <t>크니브 히알루론산 모이스처 배리어 크림 100ml</t>
  </si>
  <si>
    <t>pd0001617</t>
  </si>
  <si>
    <t>크니브 세라마이드 모이스처 배리어 크림 100ml</t>
  </si>
  <si>
    <t>pd0001618</t>
  </si>
  <si>
    <t>크니브 나이아신아마이드 모이스처 배리어 크림 100ml</t>
  </si>
  <si>
    <t>pd0001619</t>
  </si>
  <si>
    <t>크니브 EGF 모이스처 배리어 크림 100ml</t>
  </si>
  <si>
    <t>pd0001620</t>
  </si>
  <si>
    <t>크니브 비타민 골든 글로우 샷 앰플 30ml</t>
  </si>
  <si>
    <t>pd0001621</t>
  </si>
  <si>
    <t>크니브 프로폴리스 골든 글로우 샷 앰플 30ml</t>
  </si>
  <si>
    <t>pd0001622</t>
  </si>
  <si>
    <t>크니브 EGF 골든 글로우 샷 앰플 30ml</t>
  </si>
  <si>
    <t>pd0001623</t>
  </si>
  <si>
    <t>크니브 펩타이드 골든 글로우 샷 앰플 30ml</t>
  </si>
  <si>
    <t>pd0001624</t>
  </si>
  <si>
    <t>크니브 EGF 콜라겐 퍼밍 부스팅 마스크 10매</t>
  </si>
  <si>
    <t>pd0001625</t>
  </si>
  <si>
    <t>크니브 레티놀 액티브 부스팅 마스크 10매</t>
  </si>
  <si>
    <t>pd0001626</t>
  </si>
  <si>
    <t>크니브 글루타치온 글로우 부스팅 마스크 10매</t>
  </si>
  <si>
    <t>pd0001627</t>
  </si>
  <si>
    <t>크니브 PDRN 리바이탈 부스팅 마스크 10매</t>
  </si>
  <si>
    <t>pd0001628</t>
  </si>
  <si>
    <t>팔레로그 NMN 이너 코어 리바이탈 마스크 22g 10매</t>
  </si>
  <si>
    <t>pd0001629</t>
  </si>
  <si>
    <t>팔레로그 NMN 이너 코어 리바이탈 마스크 22g 1매</t>
  </si>
  <si>
    <t>pd0001630</t>
  </si>
  <si>
    <t>팔레로그 글루타치온 얼티밋 듀얼 토닝 마스크 22g 10매</t>
  </si>
  <si>
    <t>pd0001631</t>
  </si>
  <si>
    <t>팔레로그 글루타치온 얼티밋 듀얼 토닝 마스크 22g 1매</t>
  </si>
  <si>
    <t>pd0001632</t>
  </si>
  <si>
    <t>스튜디오하나 미니어 톤결크림</t>
  </si>
  <si>
    <t>pd0001633</t>
  </si>
  <si>
    <t>배리어글로우 진정 광나는 젤 클렌저</t>
  </si>
  <si>
    <t>pd0001634</t>
  </si>
  <si>
    <t>배리어글로우 수분충전 광크림</t>
  </si>
  <si>
    <t>pd0001635</t>
  </si>
  <si>
    <t>배리어글로우 진정 광나는 선스크린</t>
  </si>
  <si>
    <t>pd0001636</t>
  </si>
  <si>
    <t>배리어글로우 히알루로닉 광앰플 스페셜 세트</t>
  </si>
  <si>
    <t>50ml + 5ml</t>
  </si>
  <si>
    <t>pd0001637</t>
  </si>
  <si>
    <t>배리어글로우 광토닝 앰플</t>
  </si>
  <si>
    <t>pd0001638</t>
  </si>
  <si>
    <t>배리어글로우 내추럴 글로우 커버밤</t>
  </si>
  <si>
    <t>pd0001639</t>
  </si>
  <si>
    <t>배리어글로우 리포좀 글루타치온 순수 500</t>
  </si>
  <si>
    <t>pd0001640</t>
  </si>
  <si>
    <t>배리어글로우 순수 비타민C 2000</t>
  </si>
  <si>
    <t>60정</t>
  </si>
  <si>
    <t>pd0001641</t>
  </si>
  <si>
    <t>베스킨컴퍼니 펩타이더마 멀티 펩타이드 리커버리 크림 75ml</t>
  </si>
  <si>
    <t>pd0001642</t>
  </si>
  <si>
    <t>스페이스2050 부스터 세럼 미스트</t>
  </si>
  <si>
    <t>pd0001643</t>
  </si>
  <si>
    <t>스페이스2050 다이아몬드 수분 크림</t>
  </si>
  <si>
    <t>pd0001644</t>
  </si>
  <si>
    <t>스페이스2050 에어리 모이스처라이징 브라이틀리 세럼</t>
  </si>
  <si>
    <t>pd0001645</t>
  </si>
  <si>
    <t>스페이스2050 핑크 모찌 클렌징</t>
  </si>
  <si>
    <t>pd0001646</t>
  </si>
  <si>
    <t>스페이스2050 프리미엄 나노 콜라겐 시트 X 미스트 세트</t>
  </si>
  <si>
    <t>80ml+8장</t>
  </si>
  <si>
    <t>pd0001647</t>
  </si>
  <si>
    <t>아멍코스메틱 러뷰 리얼 스킨 파룰 효소 파우더 워시 75g</t>
  </si>
  <si>
    <t>pd0001648</t>
  </si>
  <si>
    <t>아멍코스메틱 러뷰 리얼 스킨 파룰 효소 파우더 워시 원타임</t>
  </si>
  <si>
    <t>15P</t>
  </si>
  <si>
    <t>pd0001649</t>
  </si>
  <si>
    <t>아멍코스메틱 러뷰 파룰 퍼스트 클렌징 젤 투 오일</t>
  </si>
  <si>
    <t>pd0001650</t>
  </si>
  <si>
    <t>아멍코스메틱 러뷰 CCC 선 UV 프로텍터 리페어 크림</t>
  </si>
  <si>
    <t>pd0001651</t>
  </si>
  <si>
    <t>아멍코스메틱 러뷰 듀얼샷 컨트롤 C+V 콜라겐 비타 마스크 프로</t>
  </si>
  <si>
    <t>pd0001652</t>
  </si>
  <si>
    <t>아멍코스메틱 러뷰 피토 6 탑 퍼스트 에센스 프로</t>
  </si>
  <si>
    <t>pd0001653</t>
  </si>
  <si>
    <t>아멍코스메틱 러뷰 피토 RX 엔드 리페어 크림 프로</t>
  </si>
  <si>
    <t>pd0001654</t>
  </si>
  <si>
    <t>아멍코스메틱 러뷰 듀이 페이스 세럼</t>
  </si>
  <si>
    <t>pd0001655</t>
  </si>
  <si>
    <t>아멍코스메틱 러뷰 글로잉 스킨 세럼</t>
  </si>
  <si>
    <t>33ml</t>
  </si>
  <si>
    <t>pd0001656</t>
  </si>
  <si>
    <t>아멍코스메틱 러뷰 피코샷 BB 앰플 프로</t>
  </si>
  <si>
    <t>pd0001657</t>
  </si>
  <si>
    <t>아멍코스메틱 러뷰 알파 펩타라겐 이너 밸런스 크림 마스크</t>
  </si>
  <si>
    <t>24g*5ea</t>
  </si>
  <si>
    <t>pd0001658</t>
  </si>
  <si>
    <t>아멍코스메틱 러뷰 클리어 딥톡스 팩</t>
  </si>
  <si>
    <t>pd0001659</t>
  </si>
  <si>
    <t>아멍코스메틱 러뷰 카밍 엘릭서 그린 토너</t>
  </si>
  <si>
    <t>pd0001660</t>
  </si>
  <si>
    <t>에디메디 저자극 결광 앰플 패드</t>
  </si>
  <si>
    <t>190ml</t>
  </si>
  <si>
    <t>pd0001661</t>
  </si>
  <si>
    <t>에브리루틴 리프톡실 골드 앰플</t>
  </si>
  <si>
    <t>pd0001662</t>
  </si>
  <si>
    <t>에브리루틴 100-젤-인-볼 리페어 크림</t>
  </si>
  <si>
    <t>pd0001663</t>
  </si>
  <si>
    <t>에브리루틴 글로시 콜라겐 필업 마스크팩</t>
  </si>
  <si>
    <t>pd0001664</t>
  </si>
  <si>
    <t>에스지메디코스피토버 이펙트 네일가드 8ml</t>
  </si>
  <si>
    <t>8ml</t>
  </si>
  <si>
    <t>네일 케어</t>
  </si>
  <si>
    <t>pd0001665</t>
  </si>
  <si>
    <t>에스지메디코스피토버 이펙트 카밍 오일 15ml 스포이드 ver</t>
  </si>
  <si>
    <t>pd0001666</t>
  </si>
  <si>
    <t>에스지메디코스피토버 클린케어 기획세트 (풋케어 75ml+솝 100g)</t>
  </si>
  <si>
    <t>75ml/100g</t>
  </si>
  <si>
    <t>pd0001667</t>
  </si>
  <si>
    <t>에스지메디코스피토버 클린케어 스킨배리어 로션 230ml</t>
  </si>
  <si>
    <t>230ml</t>
  </si>
  <si>
    <t>pd0001668</t>
  </si>
  <si>
    <t>에스지메디코스피토버 클린케어 선 크림 50ml SPF50+ PA++++</t>
  </si>
  <si>
    <t>pd0001669</t>
  </si>
  <si>
    <t>에스지메디코스피토버 클린케어 스킨배리어 크림 MD 100g</t>
  </si>
  <si>
    <t>pd0001670</t>
  </si>
  <si>
    <t>에스지메디코스피토버 클린케어 솝</t>
  </si>
  <si>
    <t>pd0001671</t>
  </si>
  <si>
    <t>에스지메디코스피토버 알엑스 립 쉴드 12ml</t>
  </si>
  <si>
    <t>pd0001672</t>
  </si>
  <si>
    <t>오닝바이브 파인샷 엑소좀 하이드레이팅 토너</t>
  </si>
  <si>
    <t>pd0001673</t>
  </si>
  <si>
    <t>오닝바이브 파인샷 엑소좀 하이드레이팅 앰플</t>
  </si>
  <si>
    <t>pd0001674</t>
  </si>
  <si>
    <t>오닝바이브 파인샷 엑소좀 하이드레이팅 크림</t>
  </si>
  <si>
    <t>pd0001675</t>
  </si>
  <si>
    <t>오닝바이브 파인샷 엑소좀 모이스처 팩 클렌저</t>
  </si>
  <si>
    <t>pd0001676</t>
  </si>
  <si>
    <t>오닝바이브 파인샷 엑소좀 멜팅 그라인딩 클렌징 밤</t>
  </si>
  <si>
    <t>pd0001677</t>
  </si>
  <si>
    <t>오닝바이브 파인샷 엑소좀 모이스처 수딩 선 크림</t>
  </si>
  <si>
    <t>pd0001678</t>
  </si>
  <si>
    <t>테리브 수딩 퍼스트 더블 앰플 클렌저_130g</t>
  </si>
  <si>
    <t>130g</t>
  </si>
  <si>
    <t>pd0001679</t>
  </si>
  <si>
    <t>테리브 클리어 포어 퍼스트 더블 앰플 클렌저_130g</t>
  </si>
  <si>
    <t>pd0001680</t>
  </si>
  <si>
    <t>테리브 수딩 더블 앰플 클렌저_120g</t>
  </si>
  <si>
    <t>pd0001681</t>
  </si>
  <si>
    <t>테리브 클리어 포어 더블 앰플 클렌저_120g</t>
  </si>
  <si>
    <t>pd0001682</t>
  </si>
  <si>
    <t>프로레나타 트릿 미 텐더 아크네 카밍 솔루션</t>
  </si>
  <si>
    <t>pd0001683</t>
  </si>
  <si>
    <t>프로레나타 트릿 미 텐더 아크네 디펜스 베리어</t>
  </si>
  <si>
    <t>pd0001684</t>
  </si>
  <si>
    <t>에스테인 올스킨 더마센스 클렌징 겔</t>
  </si>
  <si>
    <t>300ML</t>
  </si>
  <si>
    <t>pd0001685</t>
  </si>
  <si>
    <t>에스테인 올스킨 4GF 슈프림 플럼핑 에센스</t>
  </si>
  <si>
    <t>40ML</t>
  </si>
  <si>
    <t>pd0001686</t>
  </si>
  <si>
    <t>에스테인 올스킨 마스크팩(10ea)</t>
  </si>
  <si>
    <t>pd0001687</t>
  </si>
  <si>
    <t>페이스리퍼블릭 비타 래디언스 나이아신 10 크림 50ml</t>
  </si>
  <si>
    <t>pd0001688</t>
  </si>
  <si>
    <t>페이스리퍼블릭 블루밍 에센스 로즈 미스트 100ml</t>
  </si>
  <si>
    <t>pd0001689</t>
  </si>
  <si>
    <t>페이스리퍼블릭 퓨리티 선 에센스 50ml</t>
  </si>
  <si>
    <t>pd0001690</t>
  </si>
  <si>
    <t>토니모리 스네일피디알엔리커버리크림리필기획세트</t>
  </si>
  <si>
    <t>pd0001691</t>
  </si>
  <si>
    <t>토니모리 그린티수분2종세트</t>
  </si>
  <si>
    <t>200ml*2+20ml*2</t>
  </si>
  <si>
    <t>pd0001692</t>
  </si>
  <si>
    <t>토니모리 그린티수분로션</t>
  </si>
  <si>
    <t>pd0001693</t>
  </si>
  <si>
    <t>토니모리 그린티수분미스트</t>
  </si>
  <si>
    <t>pd0001694</t>
  </si>
  <si>
    <t>토니모리 그린티수분세럼</t>
  </si>
  <si>
    <t>pd0001695</t>
  </si>
  <si>
    <t>토니모리 그린티수분크림</t>
  </si>
  <si>
    <t>pd0001696</t>
  </si>
  <si>
    <t>토니모리 그린티수분클렌징오일</t>
  </si>
  <si>
    <t>pd0001697</t>
  </si>
  <si>
    <t>토니모리 그린티수분클렌징워터</t>
  </si>
  <si>
    <t>pd0001698</t>
  </si>
  <si>
    <t>토니모리 그린티수분토너</t>
  </si>
  <si>
    <t>pd0001699</t>
  </si>
  <si>
    <t>토니모리 본셉 PDRN 딥 클렌저</t>
  </si>
  <si>
    <t>pd0001700</t>
  </si>
  <si>
    <t>토니모리 본셉 PDRN 리페어 앰플</t>
  </si>
  <si>
    <t>pd0001701</t>
  </si>
  <si>
    <t>토니모리 본셉 PDRN 베리어 크림</t>
  </si>
  <si>
    <t>pd0001702</t>
  </si>
  <si>
    <t>토니모리 본셉레티날콜라겐글로우크림팩</t>
  </si>
  <si>
    <t>pd0001703</t>
  </si>
  <si>
    <t>토니모리 본셉레티날콜라겐부스팅샷앰플</t>
  </si>
  <si>
    <t>pd0001704</t>
  </si>
  <si>
    <t>토니모리 본셉레티날콜라겐아이크림</t>
  </si>
  <si>
    <t>pd0001705</t>
  </si>
  <si>
    <t>토니모리 본셉레티날콜라겐투스텝마스크시트</t>
  </si>
  <si>
    <t>pd0001706</t>
  </si>
  <si>
    <t>토니모리 블랙티인텐스리바이브오일</t>
  </si>
  <si>
    <t>pd0001707</t>
  </si>
  <si>
    <t>토니모리 블랙티인텐스리페어로션</t>
  </si>
  <si>
    <t>pd0001708</t>
  </si>
  <si>
    <t>토니모리 블랙티인텐스리페어세럼</t>
  </si>
  <si>
    <t>pd0001709</t>
  </si>
  <si>
    <t>토니모리 블랙티인텐스리페어토너</t>
  </si>
  <si>
    <t>pd0001710</t>
  </si>
  <si>
    <t>토니모리 세라마이드모찌수분크림</t>
  </si>
  <si>
    <t>pd0001711</t>
  </si>
  <si>
    <t>토니모리 세라마이드모찌토너500ml</t>
  </si>
  <si>
    <t>pd0001712</t>
  </si>
  <si>
    <t>토니모리 세라마이드하이드레이팅버블세럼</t>
  </si>
  <si>
    <t>pd0001713</t>
  </si>
  <si>
    <t>토니모리 스네일피디알엔리커버리2종세트</t>
  </si>
  <si>
    <t>pd0001714</t>
  </si>
  <si>
    <t>토니모리 스네일피디알엔리커버리로션</t>
  </si>
  <si>
    <t>pd0001715</t>
  </si>
  <si>
    <t>토니모리 스네일피디알엔리커버리아이크림</t>
  </si>
  <si>
    <t>pd0001716</t>
  </si>
  <si>
    <t>토니모리 스네일피디알엔리커버리크림</t>
  </si>
  <si>
    <t>pd0001717</t>
  </si>
  <si>
    <t>토니모리 스네일피디알엔리커버리토너</t>
  </si>
  <si>
    <t>pd0001718</t>
  </si>
  <si>
    <t>토니모리 아줄렌안티블레미쉬2종세트</t>
  </si>
  <si>
    <t>pd0001719</t>
  </si>
  <si>
    <t>토니모리 아줄렌안티블레미쉬로션</t>
  </si>
  <si>
    <t>pd0001720</t>
  </si>
  <si>
    <t>토니모리 아줄렌안티블레미쉬버블폼클렌저</t>
  </si>
  <si>
    <t>pd0001721</t>
  </si>
  <si>
    <t>토니모리 아줄렌안티블레미쉬아크네폼클렌저</t>
  </si>
  <si>
    <t>pd0001722</t>
  </si>
  <si>
    <t>토니모리 아줄렌안티블레미쉬토너</t>
  </si>
  <si>
    <t>pd0001723</t>
  </si>
  <si>
    <t>토니모리 원더세라마이드모찌에멀전</t>
  </si>
  <si>
    <t>pd0001724</t>
  </si>
  <si>
    <t>토니모리 원더히알루론산촉촉앰플</t>
  </si>
  <si>
    <t>pd0001725</t>
  </si>
  <si>
    <t>토니모리 원더히알루론산촉촉토너</t>
  </si>
  <si>
    <t>pd0001726</t>
  </si>
  <si>
    <t>토니모리 그린티수분선크림더블기획세트</t>
  </si>
  <si>
    <t>pd0001727</t>
  </si>
  <si>
    <t>토니모리 그린티수분클렌징티슈100매</t>
  </si>
  <si>
    <t>100매</t>
  </si>
  <si>
    <t>pd0001728</t>
  </si>
  <si>
    <t>토니모리 원더티트리모공산뜻토너</t>
  </si>
  <si>
    <t>pd0001729</t>
  </si>
  <si>
    <t>토니모리 원더속쌀매끈토너</t>
  </si>
  <si>
    <t>톰</t>
  </si>
  <si>
    <t>pd0001731</t>
  </si>
  <si>
    <t>톰 PPM 30,000 트리플 시너지 릴리프 크림 (50ml)</t>
  </si>
  <si>
    <t>pd0001732</t>
  </si>
  <si>
    <t>톰 PPM 50,000 트리플 시너지 리쥬비네이팅 크림 (50ml)</t>
  </si>
  <si>
    <t>pd0001735</t>
  </si>
  <si>
    <t>톰 펩타이드 부스트 앰플 (50g)</t>
  </si>
  <si>
    <t>pd0001736</t>
  </si>
  <si>
    <t>톰 히알루론산 부스트 앰플 (30g)</t>
  </si>
  <si>
    <t>pd0001737</t>
  </si>
  <si>
    <t>톰 콜라겐 부스트 앰플 (50g)</t>
  </si>
  <si>
    <t>pd0001738</t>
  </si>
  <si>
    <t>톰 시카엑소좀 부스트 앰플</t>
  </si>
  <si>
    <t>pd0001739</t>
  </si>
  <si>
    <t>톰 더 부스터_베이지</t>
  </si>
  <si>
    <t>pd0001740</t>
  </si>
  <si>
    <t>톰 더 글로우 시그니처_베이지</t>
  </si>
  <si>
    <t>pd0001741</t>
  </si>
  <si>
    <t>루미타 클리어 젤</t>
  </si>
  <si>
    <t>pd0001742</t>
  </si>
  <si>
    <t>루미타 비파이브 맥스 크림</t>
  </si>
  <si>
    <t>pd0001743</t>
  </si>
  <si>
    <t>루미타 브이씨텐 맥스 크림</t>
  </si>
  <si>
    <t>pd0001744</t>
  </si>
  <si>
    <t>루미타 레티놀 리페어 크림</t>
  </si>
  <si>
    <t>pd0001745</t>
  </si>
  <si>
    <t>루미타 1퍼센트 레티놀 세럼</t>
  </si>
  <si>
    <t>pd0001746</t>
  </si>
  <si>
    <t>루미타 10퍼센트 브이씨 맥스 세럼</t>
  </si>
  <si>
    <t>pd0001747</t>
  </si>
  <si>
    <t>루미타 이지에프 골드 세럼</t>
  </si>
  <si>
    <t>pd0001748</t>
  </si>
  <si>
    <t>루미타 10퍼센트 비파이브 에이치에이 세럼</t>
  </si>
  <si>
    <t>pd0001749</t>
  </si>
  <si>
    <t>루미타 50퍼센트 시카 엑소 세럼</t>
  </si>
  <si>
    <t>pd0001750</t>
  </si>
  <si>
    <t>루미타 10퍼센트 비쓰리 글루타 세럼</t>
  </si>
  <si>
    <t>pd0001751</t>
  </si>
  <si>
    <t>루미타 5퍼센트 아하 락틱 세럼</t>
  </si>
  <si>
    <t>pd0001752</t>
  </si>
  <si>
    <t>리블룸 시카캄 크림</t>
  </si>
  <si>
    <t>pd0001753</t>
  </si>
  <si>
    <t>리블룸 피디알엔 2000 크림</t>
  </si>
  <si>
    <t>pd0001754</t>
  </si>
  <si>
    <t>리블룸 레티놀 에이씨 클리어 크림</t>
  </si>
  <si>
    <t>pd0001755</t>
  </si>
  <si>
    <t>리블룸 나드플러스 엔엠엔 크림</t>
  </si>
  <si>
    <t>pd0001756</t>
  </si>
  <si>
    <t>유진 에스티엠엑스프리즈드라이드앰플키트</t>
  </si>
  <si>
    <t>1제: 200mg x 5vials, 2제: 5ml / 0.16fl.oz. x 2 SET</t>
  </si>
  <si>
    <t>pd0001757</t>
  </si>
  <si>
    <t>라비앙 메디닉 라인 미라클 스템 99 프로그램</t>
  </si>
  <si>
    <t>(120mg * 4EA)+
 (7ml * 4EA)</t>
  </si>
  <si>
    <t>pd0001758</t>
  </si>
  <si>
    <t>라비앙 메디닉 라인 미라클 스템 엑소 스핑고좀 크림</t>
  </si>
  <si>
    <t>pd0001759</t>
  </si>
  <si>
    <t>라비앙 메디닉 라인 퓨어 PDRN 100 리제너레이션 프로그램</t>
  </si>
  <si>
    <t>(100mg * 4EA)+
 (7ml * 4EA)</t>
  </si>
  <si>
    <t>pd0001760</t>
  </si>
  <si>
    <t>라비앙 콜라겐 앰플 프로그램(PINK)</t>
  </si>
  <si>
    <t>(200mg * 4EA)+
 (30ml)</t>
  </si>
  <si>
    <t>pd0001761</t>
  </si>
  <si>
    <t>라비앙 마이크로 콜라겐 미스트 에센스</t>
  </si>
  <si>
    <t>pd0001762</t>
  </si>
  <si>
    <t>라비앙 마이크로 콜라겐 코어 크림</t>
  </si>
  <si>
    <t>pd0001763</t>
  </si>
  <si>
    <t>라비앙 센텔라 크리밍 토너</t>
  </si>
  <si>
    <t>pd0001764</t>
  </si>
  <si>
    <t>라비앙 볼류마이징 래디언스 에센스 (핑크)</t>
  </si>
  <si>
    <t>pd0001765</t>
  </si>
  <si>
    <t>라비앙 비타C 글로우 브라이트닝 더블 캡슐 프렙 부스터</t>
  </si>
  <si>
    <t>pd0001766</t>
  </si>
  <si>
    <t>라비앙 비타C 글로우 브라이트닝 비타 토닝 앰플</t>
  </si>
  <si>
    <t>15ml * 4EA</t>
  </si>
  <si>
    <t>pd0001767</t>
  </si>
  <si>
    <t>라비앙 시카 엘릭서 밸런싱 토너</t>
  </si>
  <si>
    <t>125ml</t>
  </si>
  <si>
    <t>pd0001768</t>
  </si>
  <si>
    <t>라비앙 시카 엘릭서 인텐시브 세럼</t>
  </si>
  <si>
    <t>pd0001769</t>
  </si>
  <si>
    <t>라비앙 시카 엘릭서 베리어 크림</t>
  </si>
  <si>
    <t>60g</t>
  </si>
  <si>
    <t>pd0001770</t>
  </si>
  <si>
    <t>라비앙 시카 엘릭서 포어 타이트닝 앰플 마스크</t>
  </si>
  <si>
    <t>25ml * 5EA</t>
  </si>
  <si>
    <t>pd0001771</t>
  </si>
  <si>
    <t>라비앙 엑토덤 하이드로 스킨 쉴드</t>
  </si>
  <si>
    <t>pd0001772</t>
  </si>
  <si>
    <t>라비앙 엑토덤 인텐시브 에스오에스 앰플</t>
  </si>
  <si>
    <t>1.5ml*7EA</t>
  </si>
  <si>
    <t>pd0001773</t>
  </si>
  <si>
    <t>라비앙 엑토덤 리페어 부스터 세럼</t>
  </si>
  <si>
    <t>pd0001774</t>
  </si>
  <si>
    <t>라비앙 엑토덤 엑티브 베리어 크림</t>
  </si>
  <si>
    <t>pd0001775</t>
  </si>
  <si>
    <t>라비앙 콤부 바이옴 딥 하이드레이션 페이셜 토너</t>
  </si>
  <si>
    <t>pd0001776</t>
  </si>
  <si>
    <t>라비앙 콤부 바이옴 딥 하이드라 카밍 앰플</t>
  </si>
  <si>
    <t>pd0001777</t>
  </si>
  <si>
    <t>라비앙 콤부 바이옴 인텐시브 젤 크림</t>
  </si>
  <si>
    <t>pd0001778</t>
  </si>
  <si>
    <t>라비앙 콤부 딥 하이드레이션 하이드로겔 마스크</t>
  </si>
  <si>
    <t>35g * 5ea</t>
  </si>
  <si>
    <t>pd0001779</t>
  </si>
  <si>
    <t>라비앙 D.N.A 인퓨전 리페어 에센스 100g</t>
  </si>
  <si>
    <t>pd0001780</t>
  </si>
  <si>
    <t>라비앙 인텐스 리페어 씨씨에프 바디 워시</t>
  </si>
  <si>
    <t>pd0001781</t>
  </si>
  <si>
    <t>라비앙 인텐스 리페어 씨씨에프 바디 크림</t>
  </si>
  <si>
    <t>pd0001782</t>
  </si>
  <si>
    <t>라비앙 실크 헤어 헤어앤스칼프 클리어 샴푸 500ml</t>
  </si>
  <si>
    <t>pd0001783</t>
  </si>
  <si>
    <t>라비앙 실크 헤어 헤어앤스칼프 올인원 트리트먼트 500ml</t>
  </si>
  <si>
    <t>pd0001784</t>
  </si>
  <si>
    <t>라비앙 퍼펙트 유스 이지에프 앰플 선크림</t>
  </si>
  <si>
    <t>pd0001785</t>
  </si>
  <si>
    <t>라비앙 더마 래디언스 에센스 비비</t>
  </si>
  <si>
    <t>pd0001786</t>
  </si>
  <si>
    <t>라비앙 퍼펙트 바디 밸런스 플러스</t>
  </si>
  <si>
    <t>(700mg *2) * 30ea</t>
  </si>
  <si>
    <t>pd0001787</t>
  </si>
  <si>
    <t>라비앙 퍼펙트 브이 밸런스</t>
  </si>
  <si>
    <t>2g * 30ea</t>
  </si>
  <si>
    <t>pd0001788</t>
  </si>
  <si>
    <t>라비앙 퍼펙트 에스 밸런스</t>
  </si>
  <si>
    <t>30ml * 30ea</t>
  </si>
  <si>
    <t>pd0001789</t>
  </si>
  <si>
    <t>라비앙 퍼펙트 글루텐 컷 효소 밸런스</t>
  </si>
  <si>
    <t>3.5g * 30ea</t>
  </si>
  <si>
    <t>pd0001790</t>
  </si>
  <si>
    <t>라비앙 퍼펙트 오푼티아 클린 밸런스</t>
  </si>
  <si>
    <t>5g * 30ea</t>
  </si>
  <si>
    <t>pd0001791</t>
  </si>
  <si>
    <t>라비앙 퍼펙트 루미노 글루타치온 밸런스</t>
  </si>
  <si>
    <t>6g * 14ea</t>
  </si>
  <si>
    <t>pd0001792</t>
  </si>
  <si>
    <t>라비앙 퍼펙트 하바노바 핫 버닝 밸런스</t>
  </si>
  <si>
    <t>36g (600mg x 2정) *30포</t>
  </si>
  <si>
    <t>pd0001793</t>
  </si>
  <si>
    <t>스킨1004 마다가스카르 센텔라 매트릭실 10 부스팅샷 앰플 30ml</t>
  </si>
  <si>
    <t>pd0001794</t>
  </si>
  <si>
    <t>스킨1004 마다가스카르 센텔라 나이아신아마이드 10 부스팅샷 앰플 30ml</t>
  </si>
  <si>
    <t>pd0001795</t>
  </si>
  <si>
    <t>스킨1004 마다가스카르 센텔라 레티놀 0.2 부스팅샷 앰플 30ml</t>
  </si>
  <si>
    <t>pd0001796</t>
  </si>
  <si>
    <t>스킨1004 마다가스카르 센텔라 피디알엔 1.5 크림 30ml</t>
  </si>
  <si>
    <t>pd0001797</t>
  </si>
  <si>
    <t>스킨1004 마다가스카르 센텔라 포어마이징 프레쉬 앰플 100ml</t>
  </si>
  <si>
    <t>pd0001798</t>
  </si>
  <si>
    <t>스킨1004 마다가스카르 센텔라 포어마이징 딥 클렌징 폼 125ml</t>
  </si>
  <si>
    <t>pd0001799</t>
  </si>
  <si>
    <t>스킨1004 마다가스카르 센텔라 티트리카 릴리프 앰플 100ml</t>
  </si>
  <si>
    <t>pd0001800</t>
  </si>
  <si>
    <t>스킨1004 마다가스카르 센텔라 티트리카 b5 크림 75ml</t>
  </si>
  <si>
    <t>pd0001801</t>
  </si>
  <si>
    <t>스킨1004 마다가스카르 센텔라 바하 폼 125ml</t>
  </si>
  <si>
    <t>pd0001802</t>
  </si>
  <si>
    <t>루디아 바쿠치올 리페어 세럼</t>
  </si>
  <si>
    <t>pd0001803</t>
  </si>
  <si>
    <t>루디아 크라운 마스터베논 앰플</t>
  </si>
  <si>
    <t>pd0001804</t>
  </si>
  <si>
    <t>루디아 크라운 판테놀 뉴트리션 크림</t>
  </si>
  <si>
    <t>pd0001805</t>
  </si>
  <si>
    <t>듀얼소닉  PDRN 나이아신아마이드 포어 앰플</t>
  </si>
  <si>
    <t>pd0001806</t>
  </si>
  <si>
    <t>듀얼소닉 세라마이드 NAD+글로우 앰플</t>
  </si>
  <si>
    <t>pd0001807</t>
  </si>
  <si>
    <t>듀얼소닉 히알루론 엑토인 아쿠아 앰플</t>
  </si>
  <si>
    <t>pd0001808</t>
  </si>
  <si>
    <t>듀얼소닉 펩타이드 EGF 리페어크림</t>
  </si>
  <si>
    <t>pd0001809</t>
  </si>
  <si>
    <t>듀얼소닉 히알루론 엑토인 워터 크림</t>
  </si>
  <si>
    <t>pd0001810</t>
  </si>
  <si>
    <t>듀얼소닉 시카판테놀카밍마스크</t>
  </si>
  <si>
    <t>25ml*7매</t>
  </si>
  <si>
    <t>pd0001811</t>
  </si>
  <si>
    <t>듀얼소닉 비타민 레티놀 브라이트닝 마스크</t>
  </si>
  <si>
    <t>pd0001812</t>
  </si>
  <si>
    <t>살몬랩 브이진 하이드로 액티브 톤업 CC크림</t>
  </si>
  <si>
    <t>pd0001813</t>
  </si>
  <si>
    <t>살몬랩 브이진 피디알엔 앰플</t>
  </si>
  <si>
    <t>pd0001814</t>
  </si>
  <si>
    <t>살몬랩 브이진 하이드로 액티브 래디언스 비타민 토너</t>
  </si>
  <si>
    <t>pd0001815</t>
  </si>
  <si>
    <t>살몬랩 브이진 하이드로 액티브 스쿠알란 젠틀 클렌징 젤 폼</t>
  </si>
  <si>
    <t>pd0001816</t>
  </si>
  <si>
    <t>살몬랩  브이진 하이드로 액티브 에센스</t>
  </si>
  <si>
    <t>pd0001817</t>
  </si>
  <si>
    <t>살몬랩 브이진 하이드로 액티브 크림</t>
  </si>
  <si>
    <t>pd0001818</t>
  </si>
  <si>
    <t>큐립연고 마일드허브향</t>
  </si>
  <si>
    <t>pd0001819</t>
  </si>
  <si>
    <t>큐립연고 프레시로즈향</t>
  </si>
  <si>
    <t>pd0001820</t>
  </si>
  <si>
    <t>스카덤클리어겔</t>
  </si>
  <si>
    <t>pd0001821</t>
  </si>
  <si>
    <t>큐아크네플러스크림</t>
  </si>
  <si>
    <t>pd0001822</t>
  </si>
  <si>
    <t>후시딘연고</t>
  </si>
  <si>
    <t>5g</t>
  </si>
  <si>
    <t>pd0001823</t>
  </si>
  <si>
    <t>쇼핑백(재생용지/소/220*315*90)(온누리약국인쇄)</t>
  </si>
  <si>
    <t>200매</t>
  </si>
  <si>
    <t>매장 운영 소모품</t>
  </si>
  <si>
    <t>매장 운영품</t>
  </si>
  <si>
    <t>pd0001824</t>
  </si>
  <si>
    <t>쇼핑백(재생용지/대/280*420*100)(온누리약국인쇄)</t>
  </si>
  <si>
    <t>pd0001825</t>
  </si>
  <si>
    <t>약사까운(남/자켓/사계절용)(판)</t>
  </si>
  <si>
    <t>pd0001826</t>
  </si>
  <si>
    <t>95</t>
  </si>
  <si>
    <t>pd0001827</t>
  </si>
  <si>
    <t>비닐봉투(생분해성/소/흰색)(온누리약국글루콤인쇄)(판)</t>
  </si>
  <si>
    <t>pd0001828</t>
  </si>
  <si>
    <t>쇼핑백(재생용지/소/220*315*90)(판촉용)</t>
  </si>
  <si>
    <t>pd0001829</t>
  </si>
  <si>
    <t>105</t>
  </si>
  <si>
    <t>pd0001830</t>
  </si>
  <si>
    <t>템포내추럴</t>
  </si>
  <si>
    <t>pd0001831</t>
  </si>
  <si>
    <t>템포내추럴슈퍼</t>
  </si>
  <si>
    <t>pd0001834</t>
  </si>
  <si>
    <t>스카덤겔</t>
  </si>
  <si>
    <t>pd0001835</t>
  </si>
  <si>
    <t>애크린 겔</t>
  </si>
  <si>
    <t>일반의약품·제조사 확인</t>
  </si>
  <si>
    <t>pd0001836</t>
  </si>
  <si>
    <t>엘라스에이액</t>
  </si>
  <si>
    <t>7ml*10EA</t>
  </si>
  <si>
    <t>다리 순환 상담약 기본 선정품의 대안. 동시 입고보다 가격·제형·공급 차이가 있을 때 교체.</t>
  </si>
  <si>
    <t>pd0001837</t>
  </si>
  <si>
    <t>스카힐골드겔</t>
  </si>
  <si>
    <t>pd0001839</t>
  </si>
  <si>
    <t>더마터치 스페셜 기프트 세트</t>
  </si>
  <si>
    <t>매입가 0 의미 확인 / 실물 규격 확인</t>
  </si>
  <si>
    <t>규격 공란·소매 포장 확정 필요</t>
  </si>
  <si>
    <t>pd0001842</t>
  </si>
  <si>
    <t>pd0001843</t>
  </si>
  <si>
    <t>도미나라이트크림</t>
  </si>
  <si>
    <t>pd0001844</t>
  </si>
  <si>
    <t>스카논겔</t>
  </si>
  <si>
    <t>pd0001845</t>
  </si>
  <si>
    <t>멜라노사 크림</t>
  </si>
  <si>
    <t>pd0001846</t>
  </si>
  <si>
    <t>멜라토닝크림 50g</t>
  </si>
  <si>
    <t>기미·색소 외용제 기본 선정품의 대안. 동시 입고보다 가격·제형·공급 차이가 있을 때 교체.</t>
  </si>
  <si>
    <t>화장품·제조사 확인</t>
  </si>
  <si>
    <t>리쥬비</t>
  </si>
  <si>
    <t>pd0001848</t>
  </si>
  <si>
    <t>도미나크림(튜브타입)4%</t>
  </si>
  <si>
    <t>pd0001849</t>
  </si>
  <si>
    <t>멜라블리크림 (4%)</t>
  </si>
  <si>
    <t>pd0001851</t>
  </si>
  <si>
    <t>도미나크림</t>
  </si>
  <si>
    <t>pd0001853</t>
  </si>
  <si>
    <t>클리어틴외용액2%</t>
  </si>
  <si>
    <t>pd0001854</t>
  </si>
  <si>
    <t>파티마겔2.5%</t>
  </si>
  <si>
    <t>pd0001855</t>
  </si>
  <si>
    <t>아크덤겔</t>
  </si>
  <si>
    <t>기타 여드름 외용제 기본 선정품의 대안. 동시 입고보다 가격·제형·공급 차이가 있을 때 교체.</t>
  </si>
  <si>
    <t>pd0001856</t>
  </si>
  <si>
    <t>애크논 크림</t>
  </si>
  <si>
    <t>13g</t>
  </si>
  <si>
    <t>pd0001857</t>
  </si>
  <si>
    <t>세비타비겔</t>
  </si>
  <si>
    <t>18g</t>
  </si>
  <si>
    <t>pd0001859</t>
  </si>
  <si>
    <t>후시딘겔</t>
  </si>
  <si>
    <t>애크린 외용액은 제조사 안내의 몸 여드름용 외용약. 얼굴용 겔·일상 바디 화장품과 선반 분리.</t>
  </si>
  <si>
    <t>케어리브</t>
  </si>
  <si>
    <t>pd0001862</t>
  </si>
  <si>
    <t>케어리브 방수 손끝형</t>
  </si>
  <si>
    <t>1</t>
  </si>
  <si>
    <t>pd0001863</t>
  </si>
  <si>
    <t>케어리브 방수 대형</t>
  </si>
  <si>
    <t>pd0001864</t>
  </si>
  <si>
    <t>케어리브방수(소형)</t>
  </si>
  <si>
    <t>pd0001865</t>
  </si>
  <si>
    <t>드라이언액</t>
  </si>
  <si>
    <t>다한증 외용제 기본 선정품의 대안. 동시 입고보다 가격·제형·공급 차이가 있을 때 교체.</t>
  </si>
  <si>
    <t>pd0001866</t>
  </si>
  <si>
    <t>노스엣액(30ml)</t>
  </si>
  <si>
    <t>pd0001867</t>
  </si>
  <si>
    <t>디펜쿨플라스타</t>
  </si>
  <si>
    <t>10매*4EA</t>
  </si>
  <si>
    <t>pd0001869</t>
  </si>
  <si>
    <t>노스엣센스액(염화알루미늄)</t>
  </si>
  <si>
    <t>pd0001870</t>
  </si>
  <si>
    <t>디펜쿨액티브플라스타</t>
  </si>
  <si>
    <t>pd0001871</t>
  </si>
  <si>
    <t>드리클로액</t>
  </si>
  <si>
    <t>pd0001872</t>
  </si>
  <si>
    <t>디펜핫플라스타(덕용)</t>
  </si>
  <si>
    <t>pd0001873</t>
  </si>
  <si>
    <t>바르지오원스외용액</t>
  </si>
  <si>
    <t>6g</t>
  </si>
  <si>
    <t>pd0001874</t>
  </si>
  <si>
    <t>바르지오네일라카(5ml*2)</t>
  </si>
  <si>
    <t>5ml*2</t>
  </si>
  <si>
    <t>pd0001875</t>
  </si>
  <si>
    <t>신신파스플렉스 아렉스마일드</t>
  </si>
  <si>
    <t>pd0001876</t>
  </si>
  <si>
    <t>바르지오모두크림</t>
  </si>
  <si>
    <t>pd0001877</t>
  </si>
  <si>
    <t>물린디액</t>
  </si>
  <si>
    <t>pd0001878</t>
  </si>
  <si>
    <t>신신파스 플렉스 캐네펜</t>
  </si>
  <si>
    <t>pd0001879</t>
  </si>
  <si>
    <t>터비뉴더블액션겔</t>
  </si>
  <si>
    <t>pd0001880</t>
  </si>
  <si>
    <t>신신파스 플렉스 한방</t>
  </si>
  <si>
    <t>pd0001881</t>
  </si>
  <si>
    <t>신신티눈액</t>
  </si>
  <si>
    <t>pd0001882</t>
  </si>
  <si>
    <t>신신티눈고</t>
  </si>
  <si>
    <t>pd0001883</t>
  </si>
  <si>
    <t>신신파스 아렉스 롱</t>
  </si>
  <si>
    <t>pd0001884</t>
  </si>
  <si>
    <t>신신파스-RX(소형)</t>
  </si>
  <si>
    <t>42매</t>
  </si>
  <si>
    <t>pd0001886</t>
  </si>
  <si>
    <t>신신파스아렉스(대형)</t>
  </si>
  <si>
    <t>pd0001887</t>
  </si>
  <si>
    <t>신신티눈밴드</t>
  </si>
  <si>
    <t>pd0001888</t>
  </si>
  <si>
    <t>꼬마활명수액</t>
  </si>
  <si>
    <t>10mL*5포</t>
  </si>
  <si>
    <t>pd0001889</t>
  </si>
  <si>
    <t>미보연고</t>
  </si>
  <si>
    <t>pd0001890</t>
  </si>
  <si>
    <t>신신파스아렉스(중)</t>
  </si>
  <si>
    <t>pd0001891</t>
  </si>
  <si>
    <t>신신에어파스에프</t>
  </si>
  <si>
    <t>pd0001892</t>
  </si>
  <si>
    <t>유리아크림</t>
  </si>
  <si>
    <t>pd0001893</t>
  </si>
  <si>
    <t>신신물파스에스</t>
  </si>
  <si>
    <t>90mL</t>
  </si>
  <si>
    <t>pd0001894</t>
  </si>
  <si>
    <t>에스로반연고</t>
  </si>
  <si>
    <t>pd0001895</t>
  </si>
  <si>
    <t>제놀록소파워겔</t>
  </si>
  <si>
    <t>pd0001896</t>
  </si>
  <si>
    <t>케라논연고</t>
  </si>
  <si>
    <t>pd0001897</t>
  </si>
  <si>
    <t>안티푸라민로션에스</t>
  </si>
  <si>
    <t>pd0001898</t>
  </si>
  <si>
    <t>아즈렌에스연고</t>
  </si>
  <si>
    <t>pd0001899</t>
  </si>
  <si>
    <t>아케이 리빙 셀프 렌즈세척기</t>
  </si>
  <si>
    <t>pd0001900</t>
  </si>
  <si>
    <t>상아후시메드연고</t>
  </si>
  <si>
    <t>pd0001901</t>
  </si>
  <si>
    <t>녹십자노바손크림</t>
  </si>
  <si>
    <t>pd0001902</t>
  </si>
  <si>
    <t>로이히츠보코 코인플라스타</t>
  </si>
  <si>
    <t>156매</t>
  </si>
  <si>
    <t>pd0001903</t>
  </si>
  <si>
    <t>바스포연고</t>
  </si>
  <si>
    <t>pd0001904</t>
  </si>
  <si>
    <t>360c</t>
  </si>
  <si>
    <t>글루타치온 경구 의약품 기본 선정품의 대안. 동시 입고보다 가격·제형·공급 차이가 있을 때 교체.</t>
  </si>
  <si>
    <t>pd0001905</t>
  </si>
  <si>
    <t>세라믹 포켓 큐티클 리무버</t>
  </si>
  <si>
    <t>pd0001906</t>
  </si>
  <si>
    <t>네일 에센스 포켓펜</t>
  </si>
  <si>
    <t>2c*90EA</t>
  </si>
  <si>
    <t>pd0001908</t>
  </si>
  <si>
    <t>에스로반연고(티트리오일)</t>
  </si>
  <si>
    <t>pd0001909</t>
  </si>
  <si>
    <t>프로캄 레드엑스크림</t>
  </si>
  <si>
    <t>매입가 0 의미 확인 / 실물 규격 확인 / 세부 사용목적 확인</t>
  </si>
  <si>
    <t>프로캄</t>
  </si>
  <si>
    <t>pd0001910</t>
  </si>
  <si>
    <t>심플리그 마그넷 파우치</t>
  </si>
  <si>
    <t>pd0001911</t>
  </si>
  <si>
    <t>비티엘라캡슐</t>
  </si>
  <si>
    <t>60c*2</t>
  </si>
  <si>
    <t>pd0001912</t>
  </si>
  <si>
    <t>눈썹 관리 3종 세트</t>
  </si>
  <si>
    <t>pd0001913</t>
  </si>
  <si>
    <t>살룸 스탠딩 세면팩</t>
  </si>
  <si>
    <t>7ml*28포</t>
  </si>
  <si>
    <t>pd0001915</t>
  </si>
  <si>
    <t>살룽 샤워 장갑</t>
  </si>
  <si>
    <t>pd0001917</t>
  </si>
  <si>
    <t>센실라정</t>
  </si>
  <si>
    <t>60정*2</t>
  </si>
  <si>
    <t>pd0001918</t>
  </si>
  <si>
    <t>센시아정</t>
  </si>
  <si>
    <t>180T</t>
  </si>
  <si>
    <t>pd0001919</t>
  </si>
  <si>
    <t>프로테이크 데일리 토피넛라떼</t>
  </si>
  <si>
    <t>pd0001920</t>
  </si>
  <si>
    <t>디오맥스(디오스민)정</t>
  </si>
  <si>
    <t>30T*2</t>
  </si>
  <si>
    <t>pd0001921</t>
  </si>
  <si>
    <t>D-판테놀연고</t>
  </si>
  <si>
    <t>pd0001922</t>
  </si>
  <si>
    <t>프로테이크 데일리 딥쇼콜라</t>
  </si>
  <si>
    <t>pd0001923</t>
  </si>
  <si>
    <t>단백질 쉐이크 딸기라떼</t>
  </si>
  <si>
    <t>pd0001924</t>
  </si>
  <si>
    <t>푸레파인마일드좌제</t>
  </si>
  <si>
    <t>치질 상담약 기본 선정품의 대안. 동시 입고보다 가격·제형·공급 차이가 있을 때 교체.</t>
  </si>
  <si>
    <t>pd0001925</t>
  </si>
  <si>
    <t>단백질 쉐이크 초코크런치</t>
  </si>
  <si>
    <t>pd0001926</t>
  </si>
  <si>
    <t>푸레파인마일드연고</t>
  </si>
  <si>
    <t>pd0001927</t>
  </si>
  <si>
    <t>페리톡겔 10g</t>
  </si>
  <si>
    <t>pd0001928</t>
  </si>
  <si>
    <t>단백질 쉐이크 19곡물</t>
  </si>
  <si>
    <t>pd0001929</t>
  </si>
  <si>
    <t>한풍당수롱연조엑스</t>
  </si>
  <si>
    <t>12g*6포</t>
  </si>
  <si>
    <t>pd0001930</t>
  </si>
  <si>
    <t>후시다인 리쥬 피디알엔크림</t>
  </si>
  <si>
    <t>pd0001931</t>
  </si>
  <si>
    <t>브로립신정</t>
  </si>
  <si>
    <t>10정</t>
  </si>
  <si>
    <t>pd0001932</t>
  </si>
  <si>
    <t>레비온알엑스수분선크림(PDRN,EGF)</t>
  </si>
  <si>
    <t>레비온</t>
  </si>
  <si>
    <t>pd0001933</t>
  </si>
  <si>
    <t>탁센아세트아미노펜</t>
  </si>
  <si>
    <t>경구 해열·진통제 기본 선정품의 대안. 동시 입고보다 가격·제형·공급 차이가 있을 때 교체.</t>
  </si>
  <si>
    <t>pd0001934</t>
  </si>
  <si>
    <t>타이레놀정500mg</t>
  </si>
  <si>
    <t>pd0001935</t>
  </si>
  <si>
    <t>pd0001936</t>
  </si>
  <si>
    <t>레비온 RX나이아신마이드 밸런스 클리어 겔크림</t>
  </si>
  <si>
    <t>pd0001937</t>
  </si>
  <si>
    <t>페리덱스연고</t>
  </si>
  <si>
    <t>pd0001938</t>
  </si>
  <si>
    <t>녹십자아시클로버크림</t>
  </si>
  <si>
    <t>립 외용 의약품 기본 선정품의 대안. 동시 입고보다 가격·제형·공급 차이가 있을 때 교체.</t>
  </si>
  <si>
    <t>pd0001939</t>
  </si>
  <si>
    <t>리쥬닉크림(PDRN)</t>
  </si>
  <si>
    <t>pd0001940</t>
  </si>
  <si>
    <t>이지엔6이브</t>
  </si>
  <si>
    <t>10c</t>
  </si>
  <si>
    <t>pd0001941</t>
  </si>
  <si>
    <t>이지엔6애니연질캡슐</t>
  </si>
  <si>
    <t>pd0001942</t>
  </si>
  <si>
    <t>이지엔6프로연질캡슐</t>
  </si>
  <si>
    <t>pd0001943</t>
  </si>
  <si>
    <t>이지엔6이브연질캡슐</t>
  </si>
  <si>
    <t>30캡슐</t>
  </si>
  <si>
    <t>pd0001944</t>
  </si>
  <si>
    <t>pd0001945</t>
  </si>
  <si>
    <t>탁센레이디연질캡슐</t>
  </si>
  <si>
    <t>pd0001947</t>
  </si>
  <si>
    <t>탁센연질캡슐</t>
  </si>
  <si>
    <t>pd0001948</t>
  </si>
  <si>
    <t>레비온알엑스마스크(PDRN,EGF)</t>
  </si>
  <si>
    <t>25ml/4ea</t>
  </si>
  <si>
    <t>pd0001949</t>
  </si>
  <si>
    <t>탁센덱시연질캡슐</t>
  </si>
  <si>
    <t>pd0001950</t>
  </si>
  <si>
    <t>레이디원 연질캡슐</t>
  </si>
  <si>
    <t>pd0001951</t>
  </si>
  <si>
    <t>퓨어 유기농 석류즙</t>
  </si>
  <si>
    <t>10ml*30포</t>
  </si>
  <si>
    <t>pd0001952</t>
  </si>
  <si>
    <t>스카풀라정</t>
  </si>
  <si>
    <t>pd0001953</t>
  </si>
  <si>
    <t>포박신캡슐</t>
  </si>
  <si>
    <t>20c</t>
  </si>
  <si>
    <t>pd0001954</t>
  </si>
  <si>
    <t>제놀담푸러정</t>
  </si>
  <si>
    <t>pd0001955</t>
  </si>
  <si>
    <t>CJ 맛군밤</t>
  </si>
  <si>
    <t>pd0001956</t>
  </si>
  <si>
    <t>CJ 맛밤</t>
  </si>
  <si>
    <t>pd0001957</t>
  </si>
  <si>
    <t>지르텍정</t>
  </si>
  <si>
    <t>pd0001958</t>
  </si>
  <si>
    <t>헤일리온_테라플루 데이타임 (포) 6P</t>
  </si>
  <si>
    <t>6포</t>
  </si>
  <si>
    <t>pd0001959</t>
  </si>
  <si>
    <t>리안점안액</t>
  </si>
  <si>
    <t>0.5ml*30관</t>
  </si>
  <si>
    <t>pd0001960</t>
  </si>
  <si>
    <t>헤일리온_테라플루 데이타임</t>
  </si>
  <si>
    <t>종합감기 상담약 기본 선정품의 대안. 동시 입고보다 가격·제형·공급 차이가 있을 때 교체.</t>
  </si>
  <si>
    <t>pd0001961</t>
  </si>
  <si>
    <t>시크린원점안액</t>
  </si>
  <si>
    <t>14ml</t>
  </si>
  <si>
    <t>pd0001962</t>
  </si>
  <si>
    <t>나조린점안액</t>
  </si>
  <si>
    <t>pd0001963</t>
  </si>
  <si>
    <t>헤일리온_테라플루 콜드앤코프 데이타임</t>
  </si>
  <si>
    <t>pd0001964</t>
  </si>
  <si>
    <t>딸기 토스트 크래커</t>
  </si>
  <si>
    <t>pd0001966</t>
  </si>
  <si>
    <t>헤일리온_테라플루 나이트타임</t>
  </si>
  <si>
    <t>pd0001967</t>
  </si>
  <si>
    <t>블루베리 토스트 크래커</t>
  </si>
  <si>
    <t>pd0001968</t>
  </si>
  <si>
    <t>로토지파이뉴점안액</t>
  </si>
  <si>
    <t>11mL</t>
  </si>
  <si>
    <t>pd0001969</t>
  </si>
  <si>
    <t>아이미루40EX마일드</t>
  </si>
  <si>
    <t>13ml</t>
  </si>
  <si>
    <t>pd0001970</t>
  </si>
  <si>
    <t>pd0001971</t>
  </si>
  <si>
    <t>프렌즈아이드롭점안액(순)</t>
  </si>
  <si>
    <t>pd0001972</t>
  </si>
  <si>
    <t>프렌즈아이드롭점안액(쿨)</t>
  </si>
  <si>
    <t>14mL</t>
  </si>
  <si>
    <t>pd0001973</t>
  </si>
  <si>
    <t>헤일리온_테라플루 콜드앤코프 나이트타임</t>
  </si>
  <si>
    <t>pd0001974</t>
  </si>
  <si>
    <t>아이미루40EX점안액</t>
  </si>
  <si>
    <t>pd0001975</t>
  </si>
  <si>
    <t>지노베타딘질좌제</t>
  </si>
  <si>
    <t>여성 상담약 기본 선정품의 대안. 동시 입고보다 가격·제형·공급 차이가 있을 때 교체.</t>
  </si>
  <si>
    <t>pd0001976</t>
  </si>
  <si>
    <t>아이미루콘택트퓨어점안액(12ml)</t>
  </si>
  <si>
    <t>pd0001977</t>
  </si>
  <si>
    <t>에어프리즈 초콜릿</t>
  </si>
  <si>
    <t>pd0001978</t>
  </si>
  <si>
    <t>디어미순정</t>
  </si>
  <si>
    <t>pd0001979</t>
  </si>
  <si>
    <t>뉴브이로토이엑스점안액</t>
  </si>
  <si>
    <t>12mL</t>
  </si>
  <si>
    <t>pd0001980</t>
  </si>
  <si>
    <t>프렌즈아이드롭점안액(쿨하이)</t>
  </si>
  <si>
    <t>pd0001981</t>
  </si>
  <si>
    <t>디어미정</t>
  </si>
  <si>
    <t>21T</t>
  </si>
  <si>
    <t>pd0001982</t>
  </si>
  <si>
    <t>아이미루40이엑스골드콘택트점안액</t>
  </si>
  <si>
    <t>pd0001983</t>
  </si>
  <si>
    <t>세나트리플연질캡슐</t>
  </si>
  <si>
    <t>12c</t>
  </si>
  <si>
    <t>pd0001984</t>
  </si>
  <si>
    <t>아이미루40골드점안액</t>
  </si>
  <si>
    <t>pd0001985</t>
  </si>
  <si>
    <t>센스리베정</t>
  </si>
  <si>
    <t>pd0001986</t>
  </si>
  <si>
    <t>프렌즈아이드롭점안액(아이스)</t>
  </si>
  <si>
    <t>pd0001987</t>
  </si>
  <si>
    <t>머시론정</t>
  </si>
  <si>
    <t>pd0001988</t>
  </si>
  <si>
    <t>멜리안정</t>
  </si>
  <si>
    <t>pd0001989</t>
  </si>
  <si>
    <t>셀로맥스명풍알티지오메가3</t>
  </si>
  <si>
    <t>60캡슐</t>
  </si>
  <si>
    <t>pd0001990</t>
  </si>
  <si>
    <t>마이보라정</t>
  </si>
  <si>
    <t>pd0001991</t>
  </si>
  <si>
    <t>올인원 루테인지아잔틴아스타잔틴</t>
  </si>
  <si>
    <t>60C</t>
  </si>
  <si>
    <t>pd0001992</t>
  </si>
  <si>
    <t>앱솔루트콜라겐3.5</t>
  </si>
  <si>
    <t>30병*2ea</t>
  </si>
  <si>
    <t>pd0001993</t>
  </si>
  <si>
    <t>600T</t>
  </si>
  <si>
    <t>pd0001994</t>
  </si>
  <si>
    <t>프루트립 리얼 스트로베리</t>
  </si>
  <si>
    <t>pd0001995</t>
  </si>
  <si>
    <t>보스톤 세척액(어드밴스클리너액)</t>
  </si>
  <si>
    <t>300T</t>
  </si>
  <si>
    <t>pd0001997</t>
  </si>
  <si>
    <t>프루트립 리얼 감귤</t>
  </si>
  <si>
    <t>pd0001998</t>
  </si>
  <si>
    <t>비맥스메타비</t>
  </si>
  <si>
    <t>120정*2</t>
  </si>
  <si>
    <t>pd0001999</t>
  </si>
  <si>
    <t>비맥스액티브정</t>
  </si>
  <si>
    <t>60T*2EA</t>
  </si>
  <si>
    <t>비타민B 경구제품 기본 선정품의 대안. 동시 입고보다 가격·제형·공급 차이가 있을 때 교체.</t>
  </si>
  <si>
    <t>pd0002000</t>
  </si>
  <si>
    <t>비맥스제트</t>
  </si>
  <si>
    <t>100정</t>
  </si>
  <si>
    <t>pd0002001</t>
  </si>
  <si>
    <t>비맥스에버프리미엄정</t>
  </si>
  <si>
    <t>pd0002002</t>
  </si>
  <si>
    <t>비맥스메타정</t>
  </si>
  <si>
    <t>pd0002003</t>
  </si>
  <si>
    <t>투엑스비트리플정</t>
  </si>
  <si>
    <t>120정</t>
  </si>
  <si>
    <t>pd0002004</t>
  </si>
  <si>
    <t>액티핏</t>
  </si>
  <si>
    <t>30정*2ea</t>
  </si>
  <si>
    <t>매입가 0 의미 확인 / 세부 사용목적 확인</t>
  </si>
  <si>
    <t>pd0002005</t>
  </si>
  <si>
    <t>프루트립 블루베리 요거트</t>
  </si>
  <si>
    <t>pd0002006</t>
  </si>
  <si>
    <t>리버골드파워연질캡슐</t>
  </si>
  <si>
    <t>120c</t>
  </si>
  <si>
    <t>pd0002007</t>
  </si>
  <si>
    <t>마이드롭점안액</t>
  </si>
  <si>
    <t>30EA</t>
  </si>
  <si>
    <t>pd0002008</t>
  </si>
  <si>
    <t>프루트립 스트로베리 요거트</t>
  </si>
  <si>
    <t>pd0002009</t>
  </si>
  <si>
    <t>프루트립 요거트플레인</t>
  </si>
  <si>
    <t>pd0002010</t>
  </si>
  <si>
    <t>모바렌캡슐</t>
  </si>
  <si>
    <t>180c</t>
  </si>
  <si>
    <t>탈모·두피 상담약 기본 선정품의 대안. 동시 입고보다 가격·제형·공급 차이가 있을 때 교체.</t>
  </si>
  <si>
    <t>pd0002011</t>
  </si>
  <si>
    <t>오큐비스케어</t>
  </si>
  <si>
    <t>0.5ml*10개*3파우치</t>
  </si>
  <si>
    <t>pd0002012</t>
  </si>
  <si>
    <t>오큐시스점안액</t>
  </si>
  <si>
    <t>0.5ml*60EA</t>
  </si>
  <si>
    <t>pd0002013</t>
  </si>
  <si>
    <t>오큐시스리커버리점안액</t>
  </si>
  <si>
    <t>30관</t>
  </si>
  <si>
    <t>pd0002015</t>
  </si>
  <si>
    <t>사뮤르 이너뷰티 홍삼스틱</t>
  </si>
  <si>
    <t>10g*55포</t>
  </si>
  <si>
    <t>pd0002016</t>
  </si>
  <si>
    <t>웰니스효소</t>
  </si>
  <si>
    <t>60p</t>
  </si>
  <si>
    <t>pd0002017</t>
  </si>
  <si>
    <t>케어리브 습윤밴드 방수형 L 9매</t>
  </si>
  <si>
    <t>9매</t>
  </si>
  <si>
    <t>pd0002018</t>
  </si>
  <si>
    <t>겔포스엘현탁액</t>
  </si>
  <si>
    <t>20g*18포</t>
  </si>
  <si>
    <t>pd0002019</t>
  </si>
  <si>
    <t>겔포스엘 현탁액</t>
  </si>
  <si>
    <t>pd0002020</t>
  </si>
  <si>
    <t>베나치오이지</t>
  </si>
  <si>
    <t>pd0002021</t>
  </si>
  <si>
    <t>활명수유액</t>
  </si>
  <si>
    <t>5EA</t>
  </si>
  <si>
    <t>pd0002022</t>
  </si>
  <si>
    <t>위제로알파정</t>
  </si>
  <si>
    <t>30포*3EA</t>
  </si>
  <si>
    <t>pd0002023</t>
  </si>
  <si>
    <t>훼스탈슈퍼자임정</t>
  </si>
  <si>
    <t>12T</t>
  </si>
  <si>
    <t>pd0002024</t>
  </si>
  <si>
    <t>케어리브(소형)</t>
  </si>
  <si>
    <t>pd0002025</t>
  </si>
  <si>
    <t>케어리브(중형)</t>
  </si>
  <si>
    <t>pd0002026</t>
  </si>
  <si>
    <t>일반·방수 밴드 기본 선정품의 대안. 동시 입고보다 가격·제형·공급 차이가 있을 때 교체.</t>
  </si>
  <si>
    <t>pd0002027</t>
  </si>
  <si>
    <t>케어리브(손끝)</t>
  </si>
  <si>
    <t>pd0002028</t>
  </si>
  <si>
    <t>케어리브(발뒤꿈치)</t>
  </si>
  <si>
    <t>pd0002029</t>
  </si>
  <si>
    <t>케어리브(도트)</t>
  </si>
  <si>
    <t>16매</t>
  </si>
  <si>
    <t>pd0002030</t>
  </si>
  <si>
    <t>다제스캡슐</t>
  </si>
  <si>
    <t>pd0002031</t>
  </si>
  <si>
    <t>한풍올가과립</t>
  </si>
  <si>
    <t>6P</t>
  </si>
  <si>
    <t>pd0002032</t>
  </si>
  <si>
    <t>설멈츄정</t>
  </si>
  <si>
    <t>12정</t>
  </si>
  <si>
    <t>설사 상담약 기본 선정품의 대안. 동시 입고보다 가격·제형·공급 차이가 있을 때 교체.</t>
  </si>
  <si>
    <t>pd0002033</t>
  </si>
  <si>
    <t>훼리너프캡슐</t>
  </si>
  <si>
    <t>30캡슐*2개</t>
  </si>
  <si>
    <t>pd0002034</t>
  </si>
  <si>
    <t>백초시럽플러스</t>
  </si>
  <si>
    <t>pd0002035</t>
  </si>
  <si>
    <t>굿모닝에스과립</t>
  </si>
  <si>
    <t>pd0002036</t>
  </si>
  <si>
    <t>비큐원스 연질캡슐</t>
  </si>
  <si>
    <t>12캡슐</t>
  </si>
  <si>
    <t>pd0002037</t>
  </si>
  <si>
    <t>치지래연고</t>
  </si>
  <si>
    <t>pd0002038</t>
  </si>
  <si>
    <t>치지래과립</t>
  </si>
  <si>
    <t>pd0002039</t>
  </si>
  <si>
    <t>챔프콜드펜하이시럽</t>
  </si>
  <si>
    <t>pd0002040</t>
  </si>
  <si>
    <t>챔프이부펜시럽</t>
  </si>
  <si>
    <t>pd0002041</t>
  </si>
  <si>
    <t>케어리브습윤방수(작은상처)</t>
  </si>
  <si>
    <t>pd0002042</t>
  </si>
  <si>
    <t>챔프콜드펜시럽</t>
  </si>
  <si>
    <t>pd0002043</t>
  </si>
  <si>
    <t>챔프코프액(포도향)</t>
  </si>
  <si>
    <t>pd0002044</t>
  </si>
  <si>
    <t>케어리브 습윤밴드 방수형 빅사이즈 5매</t>
  </si>
  <si>
    <t>pd0002045</t>
  </si>
  <si>
    <t>챔프시럽(체리향)</t>
  </si>
  <si>
    <t>pd0002047</t>
  </si>
  <si>
    <t>챔프노즈시럽(복숭아향)</t>
  </si>
  <si>
    <t>pd0002048</t>
  </si>
  <si>
    <t>해피트립액</t>
  </si>
  <si>
    <t>pd0002050</t>
  </si>
  <si>
    <t>보나링츄어블정</t>
  </si>
  <si>
    <t>4T</t>
  </si>
  <si>
    <t>pd0002051</t>
  </si>
  <si>
    <t>멀스토구강용해필름</t>
  </si>
  <si>
    <t>pd0002052</t>
  </si>
  <si>
    <t>한풍 경옥고</t>
  </si>
  <si>
    <t>pd0002053</t>
  </si>
  <si>
    <t>정원삼 6년근 고려홍삼정 로얄젤리스틱</t>
  </si>
  <si>
    <t>10g*30포</t>
  </si>
  <si>
    <t>정원삼</t>
  </si>
  <si>
    <t>pd0002054</t>
  </si>
  <si>
    <t>정원삼 6년근 고려홍정365 젤리스틱</t>
  </si>
  <si>
    <t>15g x 30포</t>
  </si>
  <si>
    <t>pd0002055</t>
  </si>
  <si>
    <t>정원삼 6년근 발효홍삼 농축액스틱</t>
  </si>
  <si>
    <t>pd0002056</t>
  </si>
  <si>
    <t>정원삼 6년근 고려홍삼정 365스틱 100포</t>
  </si>
  <si>
    <t>10g*100포</t>
  </si>
  <si>
    <t>pd0002057</t>
  </si>
  <si>
    <t>10g*50포</t>
  </si>
  <si>
    <t>pd0002058</t>
  </si>
  <si>
    <t>정원삼 정성담은 고려홍삼스틱</t>
  </si>
  <si>
    <t>pd0002060</t>
  </si>
  <si>
    <t>광동우황청심원</t>
  </si>
  <si>
    <t>1환*10EA</t>
  </si>
  <si>
    <t>pd0002061</t>
  </si>
  <si>
    <t>정원삼 6년근 고려홍삼정 365스틱 키즈</t>
  </si>
  <si>
    <t>10g x 100포</t>
  </si>
  <si>
    <t>pd0002062</t>
  </si>
  <si>
    <t>pd0002063</t>
  </si>
  <si>
    <t>10g x 30포</t>
  </si>
  <si>
    <t>pd0002064</t>
  </si>
  <si>
    <t>광동우황청심원원방</t>
  </si>
  <si>
    <t>pd0002065</t>
  </si>
  <si>
    <t>정원삼 6년근 발효홍삼정365(4병)</t>
  </si>
  <si>
    <t>200g*4병</t>
  </si>
  <si>
    <t>pd0002066</t>
  </si>
  <si>
    <t>광동원방우황청심환</t>
  </si>
  <si>
    <t>10환</t>
  </si>
  <si>
    <t>pd0002067</t>
  </si>
  <si>
    <t>정원삼 침향보력단</t>
  </si>
  <si>
    <t>3.75g x 100환</t>
  </si>
  <si>
    <t>침향·전통 건강식품</t>
  </si>
  <si>
    <t>침향·전통 건강식품 기본 선정품의 대안. 동시 입고보다 가격·제형·공급 차이가 있을 때 교체.</t>
  </si>
  <si>
    <t>pd0002068</t>
  </si>
  <si>
    <t>정원삼 침향기력단</t>
  </si>
  <si>
    <t>3.75g x 60환</t>
  </si>
  <si>
    <t>pd0002069</t>
  </si>
  <si>
    <t>도담도담트리플비타액</t>
  </si>
  <si>
    <t>30포*2EA</t>
  </si>
  <si>
    <t>pd0002070</t>
  </si>
  <si>
    <t>용각산쿨과립(복숭아)</t>
  </si>
  <si>
    <t>pd0002071</t>
  </si>
  <si>
    <t>용각산쿨과립(블루베리)</t>
  </si>
  <si>
    <t>기침·인후 상담약 기본 선정품의 대안. 동시 입고보다 가격·제형·공급 차이가 있을 때 교체.</t>
  </si>
  <si>
    <t>pd0002072</t>
  </si>
  <si>
    <t>스노킬스프레이액(잔탄검)</t>
  </si>
  <si>
    <t>pd0002073</t>
  </si>
  <si>
    <t>용각산쿨과립(민트)</t>
  </si>
  <si>
    <t>pd0002074</t>
  </si>
  <si>
    <t>테라브레스 프레시브레스 클린민트</t>
  </si>
  <si>
    <t>473mL</t>
  </si>
  <si>
    <t>의약외품 등 개별 표시 확인</t>
  </si>
  <si>
    <t>테라브레스</t>
  </si>
  <si>
    <t>pd0002077</t>
  </si>
  <si>
    <t>태스트!!!</t>
  </si>
  <si>
    <t>매입가 0 의미 확인 / 실물 규격 확인 / 분류·구성 수동 확인</t>
  </si>
  <si>
    <t>pd0002078</t>
  </si>
  <si>
    <t>프레스샷</t>
  </si>
  <si>
    <t>15mL*10EA</t>
  </si>
  <si>
    <t>pd0002079</t>
  </si>
  <si>
    <t>프레스샷F</t>
  </si>
  <si>
    <t>pd0002080</t>
  </si>
  <si>
    <t>비건 멀티비타 슈퍼베리샷 100mlx10개입</t>
  </si>
  <si>
    <t>1 L</t>
  </si>
  <si>
    <t>pd0002081</t>
  </si>
  <si>
    <t>비건 바이타D 데일리샷 당근감귤 100mlx10개입</t>
  </si>
  <si>
    <t>pd0002082</t>
  </si>
  <si>
    <t>비건 식이섬유 데일리샷 유자민트 100mlx10개입</t>
  </si>
  <si>
    <t>pd0002083</t>
  </si>
  <si>
    <t>비건 프루티 진저샷 100mlx10개입</t>
  </si>
  <si>
    <t>pd0002084</t>
  </si>
  <si>
    <t>올큐타임(ALL Q TIME)</t>
  </si>
  <si>
    <t>pd0002085</t>
  </si>
  <si>
    <t>정원삼 고려홍삼절편 365</t>
  </si>
  <si>
    <t>20g*10개</t>
  </si>
  <si>
    <t>pd0002086</t>
  </si>
  <si>
    <t>정원삼 매일홍삼스틱제로</t>
  </si>
  <si>
    <t>15ml*30포</t>
  </si>
  <si>
    <t>고려은단</t>
  </si>
  <si>
    <t>pd0002088</t>
  </si>
  <si>
    <t>닥터원더 각질제거 악어발팩</t>
  </si>
  <si>
    <t>24g</t>
  </si>
  <si>
    <t>pd0002089</t>
  </si>
  <si>
    <t>닥터원더 악어꿈치팩</t>
  </si>
  <si>
    <t>pd0002090</t>
  </si>
  <si>
    <t>닥터원더 트러블스팟 원더패치 135매</t>
  </si>
  <si>
    <t>135ea</t>
  </si>
  <si>
    <t>pd0002091</t>
  </si>
  <si>
    <t>닥터원더 트러블스팟 원더패치 60매</t>
  </si>
  <si>
    <t>pd0002092</t>
  </si>
  <si>
    <t>닥터원더 피어싱 귀침 베이직 (10매입+증정2매입)</t>
  </si>
  <si>
    <t>12ea</t>
  </si>
  <si>
    <t>pd0002093</t>
  </si>
  <si>
    <t>닥터원더 피어싱 귀침 스페셜 (10매입+증정2매입)</t>
  </si>
  <si>
    <t>pd0002094</t>
  </si>
  <si>
    <t>루트헤어 세라리프 베리어 클리닉 샴푸 295ml</t>
  </si>
  <si>
    <t>295ml</t>
  </si>
  <si>
    <t>pd0002095</t>
  </si>
  <si>
    <t>루트헤어 세라리프 베리어 클리닉 트리트먼트 250ml</t>
  </si>
  <si>
    <t>pd0002096</t>
  </si>
  <si>
    <t>루트헤어 솔트 스칼프 스케일링 샴푸 플러스 300ml</t>
  </si>
  <si>
    <t>pd0002097</t>
  </si>
  <si>
    <t>루트헤어 에이지리스 클리닉 샴푸 플러스 300ml</t>
  </si>
  <si>
    <t>pd0002098</t>
  </si>
  <si>
    <t>루트헤어 에이지리스 클리닉 앰플 100ml</t>
  </si>
  <si>
    <t>pd0002099</t>
  </si>
  <si>
    <t>루트헤어 에이지리스 클리닉 트리트먼트 플러스 210ml</t>
  </si>
  <si>
    <t>pd0002100</t>
  </si>
  <si>
    <t>루티스 데이비타 10정</t>
  </si>
  <si>
    <t>pd0002101</t>
  </si>
  <si>
    <t>루티스 데이비타 30정</t>
  </si>
  <si>
    <t>pd0002102</t>
  </si>
  <si>
    <t>루티스 듀얼비타 7병</t>
  </si>
  <si>
    <t>pd0002103</t>
  </si>
  <si>
    <t>맛군밤 60G(40개입)/상온</t>
  </si>
  <si>
    <t>60G</t>
  </si>
  <si>
    <t>pd0002104</t>
  </si>
  <si>
    <t>맛밤 80G(54개입)/상온</t>
  </si>
  <si>
    <t>pd0002105</t>
  </si>
  <si>
    <t>블루브레스구강스프레이</t>
  </si>
  <si>
    <t>pd0002106</t>
  </si>
  <si>
    <t>블루브레스농축가글액</t>
  </si>
  <si>
    <t>가글·구강 스프레이 기본 선정품의 대안. 동시 입고보다 가격·제형·공급 차이가 있을 때 교체.</t>
  </si>
  <si>
    <t>pd0002107</t>
  </si>
  <si>
    <t>비건 퓨레스퀴즈 비타B플렉스 애플유자</t>
  </si>
  <si>
    <t>pd0002108</t>
  </si>
  <si>
    <t>비건 퓨레스퀴즈 비타C 풋귤레몬</t>
  </si>
  <si>
    <t>pd0002109</t>
  </si>
  <si>
    <t>비건 퓨레스퀴즈 커큐민 한라봉진저</t>
  </si>
  <si>
    <t>pd0002110</t>
  </si>
  <si>
    <t>살룸 3D 암막 수면 안대</t>
  </si>
  <si>
    <t>1개입</t>
  </si>
  <si>
    <t>pd0002111</t>
  </si>
  <si>
    <t>살룸 속옷 보관 파우치</t>
  </si>
  <si>
    <t>여행·생활용품 기본 선정품의 대안. 동시 입고보다 가격·제형·공급 차이가 있을 때 교체.</t>
  </si>
  <si>
    <t>pd0002112</t>
  </si>
  <si>
    <t>살룸 초경량 수면 안대 세트</t>
  </si>
  <si>
    <t>pd0002113</t>
  </si>
  <si>
    <t>섬유향수 고져스 블랙 8ml</t>
  </si>
  <si>
    <t>pd0002114</t>
  </si>
  <si>
    <t>섬유향수 로지로즈 8ml</t>
  </si>
  <si>
    <t>pd0002115</t>
  </si>
  <si>
    <t>섬유향수 센슈얼리티 8ml</t>
  </si>
  <si>
    <t>pd0002116</t>
  </si>
  <si>
    <t>섬유향수 테이크잇이지 8ml</t>
  </si>
  <si>
    <t>pd0002117</t>
  </si>
  <si>
    <t>섬유향수 해피니스 부스터 8ml</t>
  </si>
  <si>
    <t>pd0002118</t>
  </si>
  <si>
    <t>심플리프 발뒤꿈치 보습양말(검정)</t>
  </si>
  <si>
    <t>pd0002119</t>
  </si>
  <si>
    <t>심플리프 아이스 괄사 롤러</t>
  </si>
  <si>
    <t>pd0002120</t>
  </si>
  <si>
    <t>심플리프 안아픈 접이식 머리띠</t>
  </si>
  <si>
    <t>5개입</t>
  </si>
  <si>
    <t>pd0002121</t>
  </si>
  <si>
    <t>아케이 더마 노세범 드라이샴푸</t>
  </si>
  <si>
    <t>222ml</t>
  </si>
  <si>
    <t>pd0002122</t>
  </si>
  <si>
    <t>아케이 더마 노세범 드라이샴푸 파우더</t>
  </si>
  <si>
    <t>4g</t>
  </si>
  <si>
    <t>pd0002123</t>
  </si>
  <si>
    <t>아케이 리빙 코털 정리세트</t>
  </si>
  <si>
    <t>3개입</t>
  </si>
  <si>
    <t>pd0002124</t>
  </si>
  <si>
    <t>아케이 리빙 티파니글라스 풋파일</t>
  </si>
  <si>
    <t>pd0002125</t>
  </si>
  <si>
    <t>아케이 리빙 페이스브러쉬</t>
  </si>
  <si>
    <t>pd0002126</t>
  </si>
  <si>
    <t>아케이 리빙 화장품 진공펌프 용기</t>
  </si>
  <si>
    <t>2개입</t>
  </si>
  <si>
    <t>pd0002127</t>
  </si>
  <si>
    <t>아케이바이 극세사 드라이 헤어타올</t>
  </si>
  <si>
    <t>pd0002128</t>
  </si>
  <si>
    <t>아케이바이 드라이 헤어캡</t>
  </si>
  <si>
    <t>pd0002129</t>
  </si>
  <si>
    <t>아케이바이 앞머리 가발 - 브라운</t>
  </si>
  <si>
    <t>pd0002130</t>
  </si>
  <si>
    <t>아케이바이 앞머리 가발 - 블랙</t>
  </si>
  <si>
    <t>pd0002131</t>
  </si>
  <si>
    <t>아케이바이 오토 디스펜서 치실</t>
  </si>
  <si>
    <t>생활용품 등 개별 확인</t>
  </si>
  <si>
    <t>pd0002132</t>
  </si>
  <si>
    <t>온이브 데이케어 (7개입)</t>
  </si>
  <si>
    <t>pd0002133</t>
  </si>
  <si>
    <t>온이브 데이케어 비오틴 (7개입)</t>
  </si>
  <si>
    <t>pd0002134</t>
  </si>
  <si>
    <t>온이브 데이케어 포 우먼 크랜베리 (7개입)</t>
  </si>
  <si>
    <t>pd0002135</t>
  </si>
  <si>
    <t>유니프 프레시 주스 그린 베지터블</t>
  </si>
  <si>
    <t>pd0002136</t>
  </si>
  <si>
    <t>유니프 프레시 주스 믹스 베리</t>
  </si>
  <si>
    <t>pd0002137</t>
  </si>
  <si>
    <t>유니프 프레시 주스 캐럿 앤 오렌지</t>
  </si>
  <si>
    <t>pd0002138</t>
  </si>
  <si>
    <t>유니프 프레시 주스 퍼플캐럿 앤 아사이 베리</t>
  </si>
  <si>
    <t>pd0002139</t>
  </si>
  <si>
    <t>유이앤루이 에코픽 칫솔 8P</t>
  </si>
  <si>
    <t>8개</t>
  </si>
  <si>
    <t>칫솔·치실·구강용품 기본 선정품의 대안. 동시 입고보다 가격·제형·공급 차이가 있을 때 교체.</t>
  </si>
  <si>
    <t>pd0002140</t>
  </si>
  <si>
    <t>유이앤루이 핀포인트 칫솔</t>
  </si>
  <si>
    <t>1개</t>
  </si>
  <si>
    <t>pd0002141</t>
  </si>
  <si>
    <t>캐리에어 여행용 세탁망 겸용 경량 메쉬백</t>
  </si>
  <si>
    <t>pd0002142</t>
  </si>
  <si>
    <t>캐리에어 여행용 올인원 캐리어 정리백</t>
  </si>
  <si>
    <t>pd0002143</t>
  </si>
  <si>
    <t>캐리에어 여행용 접이식 경량 쇼퍼백</t>
  </si>
  <si>
    <t>pd0002145</t>
  </si>
  <si>
    <t>테일러 딥워터 매실</t>
  </si>
  <si>
    <t>pd0002146</t>
  </si>
  <si>
    <t>테일러 딥워터 자몽</t>
  </si>
  <si>
    <t>pd0002147</t>
  </si>
  <si>
    <t>테일러 딥워터 콤부차</t>
  </si>
  <si>
    <t>pd0002148</t>
  </si>
  <si>
    <t>테일러 딥워터 푸룬</t>
  </si>
  <si>
    <t>pd0002149</t>
  </si>
  <si>
    <t>테일러 말린 무화과</t>
  </si>
  <si>
    <t>170g</t>
  </si>
  <si>
    <t>pd0002150</t>
  </si>
  <si>
    <t>테일러 말린 청포도</t>
  </si>
  <si>
    <t>pd0002151</t>
  </si>
  <si>
    <t>테일러 무쿠무쿠브이</t>
  </si>
  <si>
    <t>pd0002152</t>
  </si>
  <si>
    <t>테일러 블루베리주스</t>
  </si>
  <si>
    <t>pd0002153</t>
  </si>
  <si>
    <t>테일러 유기농 푸룬 프로바이오틱스 100g</t>
  </si>
  <si>
    <t>pd0002154</t>
  </si>
  <si>
    <t>테일러 푸룬구미젤리</t>
  </si>
  <si>
    <t>48g</t>
  </si>
  <si>
    <t>pd0002155</t>
  </si>
  <si>
    <t>테일러푸룬 건자두</t>
  </si>
  <si>
    <t>pd0002156</t>
  </si>
  <si>
    <t>테일러푸룬 딥워터프로바이오틱스</t>
  </si>
  <si>
    <t>pd0002157</t>
  </si>
  <si>
    <t>퍼퓸 바디로션 해피니스 부스터 500ml</t>
  </si>
  <si>
    <t>pd0002158</t>
  </si>
  <si>
    <t>퍼퓸 바디워시 탱지서프라이즈 500ml</t>
  </si>
  <si>
    <t>pd0002159</t>
  </si>
  <si>
    <t>퍼퓸 바디워시 해피니스 부스터 500ml</t>
  </si>
  <si>
    <t>pd0002160</t>
  </si>
  <si>
    <t>퍼퓸 샴푸 루시드 나잇 500ml</t>
  </si>
  <si>
    <t>pd0002161</t>
  </si>
  <si>
    <t>퍼퓸 트리트먼트 루시드 나잇 500ml</t>
  </si>
  <si>
    <t>pd0002162</t>
  </si>
  <si>
    <t>퍼퓸 핸드크림 고져스 블랙 50ml</t>
  </si>
  <si>
    <t>pd0002163</t>
  </si>
  <si>
    <t>퍼퓸 핸드크림 로지 로즈 50ml</t>
  </si>
  <si>
    <t>pd0002164</t>
  </si>
  <si>
    <t>퍼퓸 핸드크림 센슈얼리티 50ml</t>
  </si>
  <si>
    <t>pd0002165</t>
  </si>
  <si>
    <t>퍼퓸 핸드크림 테이크잇이지 50ml</t>
  </si>
  <si>
    <t>pd0002166</t>
  </si>
  <si>
    <t>퍼퓸 핸드크림 해피니스 부스터 50ml</t>
  </si>
  <si>
    <t>pd0002167</t>
  </si>
  <si>
    <t>펀치스 사과</t>
  </si>
  <si>
    <t>pd0002168</t>
  </si>
  <si>
    <t>페이퍼 인센스 시더우드&amp;히노끼</t>
  </si>
  <si>
    <t>pd0002169</t>
  </si>
  <si>
    <t>페이퍼 인센스 젠틀 레인</t>
  </si>
  <si>
    <t>pd0002170</t>
  </si>
  <si>
    <t>페이퍼 인센스 포레스트 드림</t>
  </si>
  <si>
    <t>pd0002171</t>
  </si>
  <si>
    <t>폼글 거품가글 슈퍼민트(알란토인) 150ml</t>
  </si>
  <si>
    <t>pd0002172</t>
  </si>
  <si>
    <t>폼글 거품가글 슈퍼민트(알란토인) 50ml</t>
  </si>
  <si>
    <t>pd0002173</t>
  </si>
  <si>
    <t>폼글 양면 혀클리너 (블루) 1P</t>
  </si>
  <si>
    <t>13</t>
  </si>
  <si>
    <t>pd0002174</t>
  </si>
  <si>
    <t>프렌즈 렌즈 세정액</t>
  </si>
  <si>
    <t>pd0002175</t>
  </si>
  <si>
    <t>하루한포! 상쾌함을 만나는 구강유산균 미소100구강유산균 2g X 10 개</t>
  </si>
  <si>
    <t>pd0002176</t>
  </si>
  <si>
    <t>하루한포! 상쾌함을 만나는 구강유산균 미소100구강유산균 2g X 30 개</t>
  </si>
  <si>
    <t>pd0002177</t>
  </si>
  <si>
    <t>헤어 오일 에센스 디어 셀러브리티 55ml</t>
  </si>
  <si>
    <t>pd0002178</t>
  </si>
  <si>
    <t>달심 ABC주스</t>
  </si>
  <si>
    <t>pd0002179</t>
  </si>
  <si>
    <t>달심 CCA주스</t>
  </si>
  <si>
    <t>pd0002180</t>
  </si>
  <si>
    <t>달심 그린 클렌즈 MIX</t>
  </si>
  <si>
    <t>8g*7</t>
  </si>
  <si>
    <t>pd0002181</t>
  </si>
  <si>
    <t>달심 배도라지주스</t>
  </si>
  <si>
    <t>pd0002182</t>
  </si>
  <si>
    <t>달심 샐러드주스</t>
  </si>
  <si>
    <t>pd0002183</t>
  </si>
  <si>
    <t>달심 오리지널 클렌즈 주스</t>
  </si>
  <si>
    <t>pd0002184</t>
  </si>
  <si>
    <t>달심 푸룬주스</t>
  </si>
  <si>
    <t>pd0002185</t>
  </si>
  <si>
    <t>달심 호박주스</t>
  </si>
  <si>
    <t>pd0002186</t>
  </si>
  <si>
    <t>달심 호박팥차</t>
  </si>
  <si>
    <t>1.5g*20</t>
  </si>
  <si>
    <t>pd0002187</t>
  </si>
  <si>
    <t>달심 효소 후르츠믹스</t>
  </si>
  <si>
    <t>3g*30</t>
  </si>
  <si>
    <t>pd0002188</t>
  </si>
  <si>
    <t>달심X구르미머무는 슬리밍카페</t>
  </si>
  <si>
    <t>pd0002189</t>
  </si>
  <si>
    <t>말린 달심차</t>
  </si>
  <si>
    <t>pd0002193</t>
  </si>
  <si>
    <t>고려은단 루테인 지아잔틴 아스타잔틴</t>
  </si>
  <si>
    <t>pd0002195</t>
  </si>
  <si>
    <t>고려은단 멀티비타민 올인원 맨60+</t>
  </si>
  <si>
    <t>pd0002196</t>
  </si>
  <si>
    <t>고려은단 멀티비타민 올인원 우먼</t>
  </si>
  <si>
    <t>pd0002197</t>
  </si>
  <si>
    <t>고려은단 멀티비타민 올인원 우먼60+</t>
  </si>
  <si>
    <t>pd0002198</t>
  </si>
  <si>
    <t>고려은단 메가도스 이뮨샷</t>
  </si>
  <si>
    <t>(3정+50ml)4병</t>
  </si>
  <si>
    <t>pd0002199</t>
  </si>
  <si>
    <t>고려은단 메가도스B 비타민B군</t>
  </si>
  <si>
    <t>pd0002200</t>
  </si>
  <si>
    <t>고려은단 메가도스B7 활성비오틴</t>
  </si>
  <si>
    <t>pd0002201</t>
  </si>
  <si>
    <t>고려은단 메가도스C 비타민C 3000mg</t>
  </si>
  <si>
    <t>30P</t>
  </si>
  <si>
    <t>pd0002202</t>
  </si>
  <si>
    <t>고려은단 메가도스D 비타민D 4000IU</t>
  </si>
  <si>
    <t>pd0002203</t>
  </si>
  <si>
    <t>고려은단 비타민C1000 이지+비타민D</t>
  </si>
  <si>
    <t>pd0002205</t>
  </si>
  <si>
    <t>고려은단 식물성 알티지 오메가3</t>
  </si>
  <si>
    <t>pd0002206</t>
  </si>
  <si>
    <t>고려은단 퓨어 밀크씨슬</t>
  </si>
  <si>
    <t>pd0002207</t>
  </si>
  <si>
    <t>비건 멀티비타 슈퍼베리샷 1개입(100ml)</t>
  </si>
  <si>
    <t>pd0002208</t>
  </si>
  <si>
    <t>비건 바이타D 데일리샷 당근감귤 1개입(100ml)</t>
  </si>
  <si>
    <t>pd0002209</t>
  </si>
  <si>
    <t>비건 식이섬유 데일리샷 유자민트 1개입(100ml)</t>
  </si>
  <si>
    <t>pd0002210</t>
  </si>
  <si>
    <t>비건 프루티 진저샷 1개입(100ml)</t>
  </si>
  <si>
    <t>pd0002211</t>
  </si>
  <si>
    <t>알유21(RU21) 세트</t>
  </si>
  <si>
    <t>6T*12EA</t>
  </si>
  <si>
    <t>pd0002212</t>
  </si>
  <si>
    <t>큐원상쾌환(음주 전/후)신포장 세트</t>
  </si>
  <si>
    <t>2P*10EA</t>
  </si>
  <si>
    <t>pd0002213</t>
  </si>
  <si>
    <t>한미 엔플 NMN-C 글로우케어 10p</t>
  </si>
  <si>
    <t>10p</t>
  </si>
  <si>
    <t>pd0002214</t>
  </si>
  <si>
    <t>한미 엔플 덴마크 유산균 30C</t>
  </si>
  <si>
    <t>pd0002215</t>
  </si>
  <si>
    <t>한미 엔플 알티지 오메가3 츄어블1000 30C</t>
  </si>
  <si>
    <t>pd0002216</t>
  </si>
  <si>
    <t>한미 엔플 프리미엄 멀티비타민 이뮨삿 7병</t>
  </si>
  <si>
    <t>pd0002217</t>
  </si>
  <si>
    <t>드림굿연질캡슐</t>
  </si>
  <si>
    <t>수면 상담약 기본 선정품의 대안. 동시 입고보다 가격·제형·공급 차이가 있을 때 교체.</t>
  </si>
  <si>
    <t>pd0002218</t>
  </si>
  <si>
    <t>매일매일 식물성 멜라토닌 밤</t>
  </si>
  <si>
    <t>pd0002219</t>
  </si>
  <si>
    <t>자멘쏙정</t>
  </si>
  <si>
    <t>pd0002220</t>
  </si>
  <si>
    <t>필로우 미스트 슬립 뮤즈 100ml</t>
  </si>
  <si>
    <t>pd0002221</t>
  </si>
  <si>
    <t>필로우 미스트 워킹 문 100ml</t>
  </si>
  <si>
    <t>pd0002222</t>
  </si>
  <si>
    <t>필로우 미스트 유니버스 드림 100ml</t>
  </si>
  <si>
    <t>pd0002223</t>
  </si>
  <si>
    <t>그리니 풀림 오일로션 그리니쉬</t>
  </si>
  <si>
    <t>250ML</t>
  </si>
  <si>
    <t>pd0002224</t>
  </si>
  <si>
    <t>닥터 멜락신 리쥬 피디알엔 콜라겐 세럼 50ml</t>
  </si>
  <si>
    <t>pd0002225</t>
  </si>
  <si>
    <t>닥터 멜락신 리쥬 피디알엔 콜라겐 토너 150ml</t>
  </si>
  <si>
    <t>pd0002226</t>
  </si>
  <si>
    <t>닥터 멜락신 리쥬 피디알엔 콜라겐 페이셜 크림 80ml</t>
  </si>
  <si>
    <t>pd0002227</t>
  </si>
  <si>
    <t>닥터 멜락신 엔에이디 옥시 바이탈 부스팅 세럼 50ml</t>
  </si>
  <si>
    <t>pd0002228</t>
  </si>
  <si>
    <t>닥터 멜락신 엔에이디 옥시 바이탈 부스팅 토너 190ml</t>
  </si>
  <si>
    <t>pd0002229</t>
  </si>
  <si>
    <t>닥터멜락신 에스 징크 비니거 세럼 80ml</t>
  </si>
  <si>
    <t>pd0002230</t>
  </si>
  <si>
    <t>닥터멜락신 에스 징크 비니거 토너 150ml</t>
  </si>
  <si>
    <t>pd0002231</t>
  </si>
  <si>
    <t>심플레 타임리커버리 크림</t>
  </si>
  <si>
    <t>pd0002232</t>
  </si>
  <si>
    <t>알라딘 알엑스 진정키트 (클렌저 30ml,마스크팩25ml, 재생크림15ml, 선크림50ml)</t>
  </si>
  <si>
    <t>20.8g(0.8g+5ml+15ml)</t>
  </si>
  <si>
    <t>품목·현행 버전·분류 우선 확인</t>
  </si>
  <si>
    <t>pd0002233</t>
  </si>
  <si>
    <t>엘비비 크리스탈 톤업 마스크 (30ml x 4sheet)</t>
  </si>
  <si>
    <t>30ml x 4sheet</t>
  </si>
  <si>
    <t>pd0002234</t>
  </si>
  <si>
    <t>운호컴퍼니 들깨 식물성 오메가3</t>
  </si>
  <si>
    <t>pd0002235</t>
  </si>
  <si>
    <t>프랭클리 AHA 8.05% 토너 100ml</t>
  </si>
  <si>
    <t>프랭클리</t>
  </si>
  <si>
    <t>pd0002236</t>
  </si>
  <si>
    <t>프랭클리 PDRN 바운스 볼 세럼 30ml</t>
  </si>
  <si>
    <t>pd0002237</t>
  </si>
  <si>
    <t>프랭클리 PDRN 바운스볼 연어크림 50ml</t>
  </si>
  <si>
    <t>pd0002239</t>
  </si>
  <si>
    <t>프랭클리 나이아신아마이드15% 징크 비즈 트러블케어세럼 60ml</t>
  </si>
  <si>
    <t>pd0002240</t>
  </si>
  <si>
    <t>프랭클리 딥 클렌징 오일 200ml</t>
  </si>
  <si>
    <t>pd0002241</t>
  </si>
  <si>
    <t>프랭클리 레티놀 0.1 크림 30ml</t>
  </si>
  <si>
    <t>pd0002242</t>
  </si>
  <si>
    <t>프랭클리 레티놀 0.3 크림 20ml</t>
  </si>
  <si>
    <t>pd0002243</t>
  </si>
  <si>
    <t>프랭클리 선데이글로우 미백세럼 37ml</t>
  </si>
  <si>
    <t>pd0002244</t>
  </si>
  <si>
    <t>프랭클리 선데이글로우마스크팩</t>
  </si>
  <si>
    <t>pd0002245</t>
  </si>
  <si>
    <t>프랭클리 클로저 세럼 60ml</t>
  </si>
  <si>
    <t>pd0002246</t>
  </si>
  <si>
    <t>프랭클리 클로저마스크팩</t>
  </si>
  <si>
    <t>pd0002247</t>
  </si>
  <si>
    <t>프랭클리 패스트 핌플 이레이저 15ml</t>
  </si>
  <si>
    <t>pd0002248</t>
  </si>
  <si>
    <t>오드카리브 실키 밸런스 샴푸 1,000ml</t>
  </si>
  <si>
    <t>pd0002249</t>
  </si>
  <si>
    <t>오드카리브 실키 케어 트리트먼트 1,000ml</t>
  </si>
  <si>
    <t>pd0002250</t>
  </si>
  <si>
    <t>제로시피 나노그래핀 샴푸 500ml</t>
  </si>
  <si>
    <t>pd0002251</t>
  </si>
  <si>
    <t>제로시피 나노그래핀 스칼프 토닉 100ml</t>
  </si>
  <si>
    <t>100ML</t>
  </si>
  <si>
    <t>pd0002252</t>
  </si>
  <si>
    <t>제로시피 나노바이오틴 슬로우 에이징 스칼프 앰플 (25ml)</t>
  </si>
  <si>
    <t>25ML</t>
  </si>
  <si>
    <t>pd0002253</t>
  </si>
  <si>
    <t>까스활명수큐액</t>
  </si>
  <si>
    <t>75mL*10EA</t>
  </si>
  <si>
    <t>pd0002254</t>
  </si>
  <si>
    <t>크리맥액</t>
  </si>
  <si>
    <t>75ml*10EA</t>
  </si>
  <si>
    <t>pd0002255</t>
  </si>
  <si>
    <t>미녹시딜 바이그루트 5%겔</t>
  </si>
  <si>
    <t>pd0002256</t>
  </si>
  <si>
    <t>미녹시딜액3%</t>
  </si>
  <si>
    <t>pd0002257</t>
  </si>
  <si>
    <t>미녹시딜액5%</t>
  </si>
  <si>
    <t>pd0002258</t>
  </si>
  <si>
    <t>두피나액</t>
  </si>
  <si>
    <t>pd0002259</t>
  </si>
  <si>
    <t>두피앤액</t>
  </si>
  <si>
    <t>pd0002260</t>
  </si>
  <si>
    <t>판토모나 비오틴 플러스맥스(남성용)</t>
  </si>
  <si>
    <t>pd0002261</t>
  </si>
  <si>
    <t>판토모나 비오틴 하이퍼포머(온가족용)</t>
  </si>
  <si>
    <t>240T</t>
  </si>
  <si>
    <t>pd0002262</t>
  </si>
  <si>
    <t>판토모나 비오틴 플러스맥스(여성용)</t>
  </si>
  <si>
    <t>270T</t>
  </si>
  <si>
    <t>pd0002268</t>
  </si>
  <si>
    <t>원본명·규격 중복 후보(pd0002219). 바코드·공급조건 대조 후 한 코드 우선.</t>
  </si>
  <si>
    <t>pd0002269</t>
  </si>
  <si>
    <t>비플레인 시카 PDRN 스킨 부스터 세럼</t>
  </si>
  <si>
    <t>비플레인</t>
  </si>
  <si>
    <t>pd0002270</t>
  </si>
  <si>
    <t>프레스샷 마그코어</t>
  </si>
  <si>
    <t>30mL*10EA</t>
  </si>
  <si>
    <t>pd0002271</t>
  </si>
  <si>
    <t>베지핏 튜메릭(강황생강)</t>
  </si>
  <si>
    <t>pd0002272</t>
  </si>
  <si>
    <t>비플레인 시카 PDRN 듀얼 리페어 크림</t>
  </si>
  <si>
    <t>pd0002273</t>
  </si>
  <si>
    <t>베지핏 석류</t>
  </si>
  <si>
    <t>pd0002274</t>
  </si>
  <si>
    <t>비플레인 시카테롤 스팟 패치</t>
  </si>
  <si>
    <t>110매</t>
  </si>
  <si>
    <t>pd0002275</t>
  </si>
  <si>
    <t>비플레인 아쿠아 퓨어 히알루로닉 세럼</t>
  </si>
  <si>
    <t>pd0002277</t>
  </si>
  <si>
    <t>비플레인 B5 수분 앰플 마스크팩</t>
  </si>
  <si>
    <t>pd0002278</t>
  </si>
  <si>
    <t>비플레인 선뮤즈 톤업 앤 코렉팅 선크림 (NEW)</t>
  </si>
  <si>
    <t>pd0002279</t>
  </si>
  <si>
    <t>비플레인 선뮤즈 톤업 앤 코렉팅 선크림 피치 핑크 (NEW)</t>
  </si>
  <si>
    <t>pd0002280</t>
  </si>
  <si>
    <t>비플레인 선뮤즈 모이스처 선크림 (NEW)</t>
  </si>
  <si>
    <t>pd0002281</t>
  </si>
  <si>
    <t>비플레인 밀크 세라마이드 립 에센스 (NEW)</t>
  </si>
  <si>
    <t>10G</t>
  </si>
  <si>
    <t>pd0002282</t>
  </si>
  <si>
    <t>비플레인 밀크 세라마이드 보습 크림 (NEW)</t>
  </si>
  <si>
    <t>pd0002284</t>
  </si>
  <si>
    <t>비플레인 마데카소사이드 진정 앰플 마스크팩 (NEW)</t>
  </si>
  <si>
    <t>pd0002285</t>
  </si>
  <si>
    <t>비플레인 B5 수분 앰플 패드(NEW)</t>
  </si>
  <si>
    <t>pd0002286</t>
  </si>
  <si>
    <t>비플레인 마데카소사이드 진정 앰플 패드(NEW)</t>
  </si>
  <si>
    <t>pd0002287</t>
  </si>
  <si>
    <t>믹순 피디알엔 콜라겐 세럼</t>
  </si>
  <si>
    <t>믹순</t>
  </si>
  <si>
    <t>pd0002288</t>
  </si>
  <si>
    <t>믹순 피디알엔 콜라겐 아이 세럼</t>
  </si>
  <si>
    <t>pd0002289</t>
  </si>
  <si>
    <t>믹순 피디알엔 콜라겐 크림</t>
  </si>
  <si>
    <t>pd0002290</t>
  </si>
  <si>
    <t>믹순 피디알엔 콜라겐 하이드로겔 마스크</t>
  </si>
  <si>
    <t>35g*5매</t>
  </si>
  <si>
    <t>pd0002291</t>
  </si>
  <si>
    <t>믹순 피디알엔 콜라겐 젤 클렌저</t>
  </si>
  <si>
    <t>pd0002292</t>
  </si>
  <si>
    <t>믹순 콩 에센스</t>
  </si>
  <si>
    <t>pd0002293</t>
  </si>
  <si>
    <t>믹순 콩 클렌징 오일</t>
  </si>
  <si>
    <t>pd0002294</t>
  </si>
  <si>
    <t>믹순 콩 크림</t>
  </si>
  <si>
    <t>pd0002295</t>
  </si>
  <si>
    <t>이지에프엑스 포스트레이저</t>
  </si>
  <si>
    <t>EGFx</t>
  </si>
  <si>
    <t>pd0002296</t>
  </si>
  <si>
    <t>믹순 콩 아이크림</t>
  </si>
  <si>
    <t>pd0002297</t>
  </si>
  <si>
    <t>이지에프엑스 포스트엘써마</t>
  </si>
  <si>
    <t>11g</t>
  </si>
  <si>
    <t>pd0002299</t>
  </si>
  <si>
    <t>믹순 콩 토너</t>
  </si>
  <si>
    <t>pd0002300</t>
  </si>
  <si>
    <t>이지에프엑스 포스트스킨부스터</t>
  </si>
  <si>
    <t>pd0002301</t>
  </si>
  <si>
    <t>믹순 콩 밸런싱 앰플 미스트</t>
  </si>
  <si>
    <t>pd0002302</t>
  </si>
  <si>
    <t>믹순 콩 선세럼</t>
  </si>
  <si>
    <t>pd0002303</t>
  </si>
  <si>
    <t>이지듀 3X 이지에프10 리페어크림</t>
  </si>
  <si>
    <t>이지듀</t>
  </si>
  <si>
    <t>pd0002304</t>
  </si>
  <si>
    <t>믹순 두유 세럼</t>
  </si>
  <si>
    <t>pd0002305</t>
  </si>
  <si>
    <t>믹순 두유 패드</t>
  </si>
  <si>
    <t>pd0002306</t>
  </si>
  <si>
    <t>믹순 순디 병풀 에센스</t>
  </si>
  <si>
    <t>pd0002307</t>
  </si>
  <si>
    <t>믹순 병풀 토너</t>
  </si>
  <si>
    <t>pd0002308</t>
  </si>
  <si>
    <t>믹순 병풀 클렌징 폼</t>
  </si>
  <si>
    <t>pd0002309</t>
  </si>
  <si>
    <t>믹순 시카 히알 딥 수딩 크림</t>
  </si>
  <si>
    <t>pd0002310</t>
  </si>
  <si>
    <t>믹순 병풀 선크림</t>
  </si>
  <si>
    <t>pd0002311</t>
  </si>
  <si>
    <t>이지덤밴드뷰티릴리프</t>
  </si>
  <si>
    <t>57매</t>
  </si>
  <si>
    <t>이지덤</t>
  </si>
  <si>
    <t>pd0002312</t>
  </si>
  <si>
    <t>믹순 콩 에센스 스틱파우치</t>
  </si>
  <si>
    <t>1.5ml*6EA</t>
  </si>
  <si>
    <t>pd0002313</t>
  </si>
  <si>
    <t>믹순 순디 병풀 에센스 스틱파우치</t>
  </si>
  <si>
    <t>pd0002314</t>
  </si>
  <si>
    <t>믹순 콩 크림 스틱파우치</t>
  </si>
  <si>
    <t>pd0002315</t>
  </si>
  <si>
    <t>이지덤리얼카밍</t>
  </si>
  <si>
    <t>pd0002316</t>
  </si>
  <si>
    <t>오스템 옥치잇몸치약</t>
  </si>
  <si>
    <t>pd0002317</t>
  </si>
  <si>
    <t>옥치불소1450치약</t>
  </si>
  <si>
    <t>pd0002318</t>
  </si>
  <si>
    <t>옥치미백</t>
  </si>
  <si>
    <t>105g</t>
  </si>
  <si>
    <t>치약 기본 선정품의 대안. 동시 입고보다 가격·제형·공급 차이가 있을 때 교체.</t>
  </si>
  <si>
    <t>pd0002319</t>
  </si>
  <si>
    <t>이지덤뷰티 퀵카밍 6매</t>
  </si>
  <si>
    <t>pd0002321</t>
  </si>
  <si>
    <t>리올가닉 롱팬티라이너 26P</t>
  </si>
  <si>
    <t>26P</t>
  </si>
  <si>
    <t>pd0002322</t>
  </si>
  <si>
    <t>리올가닉 슈퍼롱 오버나이트 7P</t>
  </si>
  <si>
    <t>7P</t>
  </si>
  <si>
    <t>pd0002323</t>
  </si>
  <si>
    <t>리올가닉 입는 오버나이트 대형 4P</t>
  </si>
  <si>
    <t>pd0002324</t>
  </si>
  <si>
    <t>리올가닉 입는 오버나이트 중형 4P</t>
  </si>
  <si>
    <t>pd0002325</t>
  </si>
  <si>
    <t>낫포유 아토리스 이치 멀티밤 기획세트</t>
  </si>
  <si>
    <t>pd0002326</t>
  </si>
  <si>
    <t>닥터리쥬올PDRN시그니처SET</t>
  </si>
  <si>
    <t>닥터리쥬올</t>
  </si>
  <si>
    <t>pd0002327</t>
  </si>
  <si>
    <t>리쥬올 어드밴스드 스킨케어 세트</t>
  </si>
  <si>
    <t>pd0002328</t>
  </si>
  <si>
    <t>리쥬비엠디크림</t>
  </si>
  <si>
    <t>의료기기·제조사 확인</t>
  </si>
  <si>
    <t>pd0002329</t>
  </si>
  <si>
    <t>리쥬올 스킨 브라이트닝 인센티브 세트</t>
  </si>
  <si>
    <t>pd0002330</t>
  </si>
  <si>
    <t>리쥬올 스킨 부스팅 리뉴얼 SET</t>
  </si>
  <si>
    <t>pd0002331</t>
  </si>
  <si>
    <t>리쥬비엔 디엔에이 핏 젤리</t>
  </si>
  <si>
    <t>5g*14p</t>
  </si>
  <si>
    <t>40ml*5ea</t>
  </si>
  <si>
    <t>리쥬란</t>
  </si>
  <si>
    <t>pd0002333</t>
  </si>
  <si>
    <t>리쥬란 턴오버 앰플</t>
  </si>
  <si>
    <t>pd0002334</t>
  </si>
  <si>
    <t>리쥬란 리밸런싱 토너</t>
  </si>
  <si>
    <t>pd0002338</t>
  </si>
  <si>
    <t>WNL 올인원 컬크림</t>
  </si>
  <si>
    <t>pd0002340</t>
  </si>
  <si>
    <t>쿨드림연질캡슐</t>
  </si>
  <si>
    <t>pd0002342</t>
  </si>
  <si>
    <t>닥터 리쥬올 어드밴스드 레티노 멜라 톤 크림</t>
  </si>
  <si>
    <t>pd0002344</t>
  </si>
  <si>
    <t>리쥬란 리프레싱 에멀전</t>
  </si>
  <si>
    <t>pd0002345</t>
  </si>
  <si>
    <t>쿨드림롱</t>
  </si>
  <si>
    <t>pd0002346</t>
  </si>
  <si>
    <t>(리쥬올)어드밴스드 레티노멜라세럼</t>
  </si>
  <si>
    <t>pd0002349</t>
  </si>
  <si>
    <t>풋 필링 페로린 민트</t>
  </si>
  <si>
    <t>pd0002350</t>
  </si>
  <si>
    <t>한미슬리펠정</t>
  </si>
  <si>
    <t>pd0002351</t>
  </si>
  <si>
    <t>풋 필링 페로린 라벤더</t>
  </si>
  <si>
    <t>pd0002352</t>
  </si>
  <si>
    <t>풋 필링 페로린 로즈</t>
  </si>
  <si>
    <t>pd0002353</t>
  </si>
  <si>
    <t>풋 필링 페로린 피치향</t>
  </si>
  <si>
    <t>pd0002354</t>
  </si>
  <si>
    <t>메디큐브 메디큐브_PDRN_피디알엔핑크콜라겐글로우젤리미스트세럼</t>
  </si>
  <si>
    <t>pd0002355</t>
  </si>
  <si>
    <t>메디인랩 듀얼PDRN카밍크림</t>
  </si>
  <si>
    <t>pd0002356</t>
  </si>
  <si>
    <t>테라브레스마일드민트치약</t>
  </si>
  <si>
    <t>pd0002357</t>
  </si>
  <si>
    <t>메디인랩 A1턴오버마스크팩</t>
  </si>
  <si>
    <t>pd0002358</t>
  </si>
  <si>
    <t>메디인랩 A2스킨밸런싱프렙패드</t>
  </si>
  <si>
    <t>300G</t>
  </si>
  <si>
    <t>pd0002359</t>
  </si>
  <si>
    <t>메디인랩 A3앰플</t>
  </si>
  <si>
    <t>pd0002360</t>
  </si>
  <si>
    <t>메디인랩A5메디크림</t>
  </si>
  <si>
    <t>pd0002361</t>
  </si>
  <si>
    <t>아젤리아크림</t>
  </si>
  <si>
    <t>30G</t>
  </si>
  <si>
    <t>pd0002362</t>
  </si>
  <si>
    <t>엘린플러스크림</t>
  </si>
  <si>
    <t>pd0002363</t>
  </si>
  <si>
    <t>물린디쿨액(50ml)</t>
  </si>
  <si>
    <t>매입가 0 의미 확인 / 원본 10g / 제조사 페이지 25g 대조</t>
  </si>
  <si>
    <t>원장 10g과 제조사 현행 규격 대조 필요</t>
  </si>
  <si>
    <t>pd0002365</t>
  </si>
  <si>
    <t>블랙커런트 클래식 110g</t>
  </si>
  <si>
    <t>pd0002366</t>
  </si>
  <si>
    <t>진저레몬 슈가프리 110g</t>
  </si>
  <si>
    <t>pd0002367</t>
  </si>
  <si>
    <t>바세린 오리지날 프로텍팅 젤리(이너캡형)</t>
  </si>
  <si>
    <t>pd0002368</t>
  </si>
  <si>
    <t>블랙커런트 슈가프리 110g</t>
  </si>
  <si>
    <t>pd0002370</t>
  </si>
  <si>
    <t>비플레인 시카테롤 스팟 트리트먼트</t>
  </si>
  <si>
    <t>pd0002373</t>
  </si>
  <si>
    <t>골리 애플사이다 비니거 구미 저당 180g(60정)</t>
  </si>
  <si>
    <t>pd0002374</t>
  </si>
  <si>
    <t>알라딘 알엑스 포스트 케어 포스텝 키트</t>
  </si>
  <si>
    <t>pd0002375</t>
  </si>
  <si>
    <t>프로캄진프로바이오틱플러스30</t>
  </si>
  <si>
    <t>캡슐형 프로바이오틱스. 화장품 분류 오류 수정; 공식 현행 프레쉬 S와 원장 플러스30의 버전·표시 대조 전 대체 후보.</t>
  </si>
  <si>
    <t>pd0002376</t>
  </si>
  <si>
    <t>벤트플라겔</t>
  </si>
  <si>
    <t>상처·피부손상 외용제 기본 선정품의 대안. 동시 입고보다 가격·제형·공급 차이가 있을 때 교체.</t>
  </si>
  <si>
    <t>50포</t>
  </si>
  <si>
    <t>락토핏</t>
  </si>
  <si>
    <t>pd0002378</t>
  </si>
  <si>
    <t>락토핏 슬림(분홍색)</t>
  </si>
  <si>
    <t>60포</t>
  </si>
  <si>
    <t>pd0002379</t>
  </si>
  <si>
    <t>스킨부스터 바이 르디퍼 RX</t>
  </si>
  <si>
    <t>1펜</t>
  </si>
  <si>
    <t>pd0002380</t>
  </si>
  <si>
    <t>프로캄 판테놀 스틱 립밤</t>
  </si>
  <si>
    <t>3.7g</t>
  </si>
  <si>
    <t>pd0002382</t>
  </si>
  <si>
    <t>바세린립테라피로지립밤</t>
  </si>
  <si>
    <t>pd0002383</t>
  </si>
  <si>
    <t>스킨톡스 바이 르디퍼 알엑스</t>
  </si>
  <si>
    <t>pd0002384</t>
  </si>
  <si>
    <t>바세린립테라피오리지날립밤</t>
  </si>
  <si>
    <t>pd0002385</t>
  </si>
  <si>
    <t>아즈렌S크림</t>
  </si>
  <si>
    <t>pd0002386</t>
  </si>
  <si>
    <t>라라올라</t>
  </si>
  <si>
    <t>30vial</t>
  </si>
  <si>
    <t>pd0002387</t>
  </si>
  <si>
    <t>반사신과립(반하사심탕엑스과립)</t>
  </si>
  <si>
    <t>4g*5포</t>
  </si>
  <si>
    <t>pd0002388</t>
  </si>
  <si>
    <t>까스앤프리츄정</t>
  </si>
  <si>
    <t>pd0002389</t>
  </si>
  <si>
    <t>아임비타</t>
  </si>
  <si>
    <t>10병</t>
  </si>
  <si>
    <t>pd0002390</t>
  </si>
  <si>
    <t>스티모린에스크림</t>
  </si>
  <si>
    <t>pd0002391</t>
  </si>
  <si>
    <t>로페시콘츄정</t>
  </si>
  <si>
    <t>pd0002392</t>
  </si>
  <si>
    <t>애니클렌액</t>
  </si>
  <si>
    <t>pd0002393</t>
  </si>
  <si>
    <t>포타겔현탁액</t>
  </si>
  <si>
    <t>20mL*6포</t>
  </si>
  <si>
    <t>pd0002394</t>
  </si>
  <si>
    <t>세네풀에스액</t>
  </si>
  <si>
    <t>pd0002395</t>
  </si>
  <si>
    <t>레모나비타쮸</t>
  </si>
  <si>
    <t>100T</t>
  </si>
  <si>
    <t>1.5ml</t>
  </si>
  <si>
    <t>pd0002398</t>
  </si>
  <si>
    <t>비타블로썸 멀티비타민 이뮨 부스터</t>
  </si>
  <si>
    <t>pd0002399</t>
  </si>
  <si>
    <t>벨더웰초임계알티지오메가3</t>
  </si>
  <si>
    <t>pd0002400</t>
  </si>
  <si>
    <t>트리겔현탁액 10ml*8p</t>
  </si>
  <si>
    <t>10ml*8p</t>
  </si>
  <si>
    <t>pd0002401</t>
  </si>
  <si>
    <t>보스톤 보존액(어드밴스클리너)</t>
  </si>
  <si>
    <t>pd0002402</t>
  </si>
  <si>
    <t>비티테라 테라 듀오 인텐시브 기프트 박스</t>
  </si>
  <si>
    <t>15ml*2EA</t>
  </si>
  <si>
    <t>pd0002403</t>
  </si>
  <si>
    <t>안티푸라민쿨에어파스</t>
  </si>
  <si>
    <t>pd0002404</t>
  </si>
  <si>
    <t>안티푸라민연고</t>
  </si>
  <si>
    <t>pd0002405</t>
  </si>
  <si>
    <t>pd0002406</t>
  </si>
  <si>
    <t>임팩타민 시그니처정</t>
  </si>
  <si>
    <t>pd0002407</t>
  </si>
  <si>
    <t>아시원정</t>
  </si>
  <si>
    <t>180T/2ea</t>
  </si>
  <si>
    <t>변비 상담약 기본 선정품의 대안. 동시 입고보다 가격·제형·공급 차이가 있을 때 교체.</t>
  </si>
  <si>
    <t>pd0002408</t>
  </si>
  <si>
    <t>아시원슬림산</t>
  </si>
  <si>
    <t>90포</t>
  </si>
  <si>
    <t>pd0002409</t>
  </si>
  <si>
    <t>pd0002410</t>
  </si>
  <si>
    <t>마그비스피드더블액션</t>
  </si>
  <si>
    <t>6병*5개</t>
  </si>
  <si>
    <t>pd0002411</t>
  </si>
  <si>
    <t>마그비스피드액</t>
  </si>
  <si>
    <t>20ml*30병</t>
  </si>
  <si>
    <t>pd0002412</t>
  </si>
  <si>
    <t>메가비타민C3000 비타블로썸</t>
  </si>
  <si>
    <t>120포</t>
  </si>
  <si>
    <t>pd0002414</t>
  </si>
  <si>
    <t>하이퍼셀 리포좀 글루타치온C</t>
  </si>
  <si>
    <t>4.5g*30포</t>
  </si>
  <si>
    <t>pd0002416</t>
  </si>
  <si>
    <t>톰 ABC 트리플 시너지 트러블 세럼</t>
  </si>
  <si>
    <t>pd0002417</t>
  </si>
  <si>
    <t>프로캄 클레어진</t>
  </si>
  <si>
    <t>200mL+50mL</t>
  </si>
  <si>
    <t>1T</t>
  </si>
  <si>
    <t>pd0002419</t>
  </si>
  <si>
    <t>한풍은교산엑스과립</t>
  </si>
  <si>
    <t>2.3g*5포</t>
  </si>
  <si>
    <t>pd0002420</t>
  </si>
  <si>
    <t>코앤나잘스프레이</t>
  </si>
  <si>
    <t>pd0002421</t>
  </si>
  <si>
    <t>카네스텐6질정</t>
  </si>
  <si>
    <t>pd0002422</t>
  </si>
  <si>
    <t>한풍드루산(갈근탕)</t>
  </si>
  <si>
    <t>pd0002423</t>
  </si>
  <si>
    <t>코앤쿨나잘스프레이</t>
  </si>
  <si>
    <t>pd0002424</t>
  </si>
  <si>
    <t>트로겐연조엑스(구풍해독탕)</t>
  </si>
  <si>
    <t>pd0002425</t>
  </si>
  <si>
    <t>카네스텐크림</t>
  </si>
  <si>
    <t>pd0002426</t>
  </si>
  <si>
    <t>맥그론과립(맥문동탕)</t>
  </si>
  <si>
    <t>5포</t>
  </si>
  <si>
    <t>pd0002427</t>
  </si>
  <si>
    <t>한풍청폐탕엑스과립</t>
  </si>
  <si>
    <t>pd0002428</t>
  </si>
  <si>
    <t>한풍소청룡탕엑스과립</t>
  </si>
  <si>
    <t>비염·알레르기 상담약 기본 선정품의 대안. 동시 입고보다 가격·제형·공급 차이가 있을 때 교체.</t>
  </si>
  <si>
    <t>pd0002429</t>
  </si>
  <si>
    <t>지민에스정</t>
  </si>
  <si>
    <t>pd0002430</t>
  </si>
  <si>
    <t>목앤스프레이</t>
  </si>
  <si>
    <t>pd0002431</t>
  </si>
  <si>
    <t>콜대원노즈큐에스시럽</t>
  </si>
  <si>
    <t>20mL*5포</t>
  </si>
  <si>
    <t>pd0002432</t>
  </si>
  <si>
    <t>콜대원코프큐시럽</t>
  </si>
  <si>
    <t>pd0002433</t>
  </si>
  <si>
    <t>콜대원 나이트시럽</t>
  </si>
  <si>
    <t>20ml*5포</t>
  </si>
  <si>
    <t>pd0002434</t>
  </si>
  <si>
    <t>알러샷연질캡슐</t>
  </si>
  <si>
    <t>pd0002435</t>
  </si>
  <si>
    <t>콜대원 콜드큐시럽</t>
  </si>
  <si>
    <t>20ml*5</t>
  </si>
  <si>
    <t>pd0002436</t>
  </si>
  <si>
    <t>박카스맛젤리</t>
  </si>
  <si>
    <t>pd0002437</t>
  </si>
  <si>
    <t>예쁜얼굴 썬크림 포르테</t>
  </si>
  <si>
    <t>pd0002438</t>
  </si>
  <si>
    <t>*알디콤A</t>
  </si>
  <si>
    <t>pd0002439</t>
  </si>
  <si>
    <t>예쁜얼굴 비타민C크림</t>
  </si>
  <si>
    <t>pd0002440</t>
  </si>
  <si>
    <t>알디콤 플러스</t>
  </si>
  <si>
    <t>pd0002441</t>
  </si>
  <si>
    <t>웰빙헬스 예쁜얼굴 콜라겐크림 휴대용</t>
  </si>
  <si>
    <t>pd0002442</t>
  </si>
  <si>
    <t>프로캄EGF 액티브 바이탈 크림</t>
  </si>
  <si>
    <t>pd0002443</t>
  </si>
  <si>
    <t>3WB 고운손 핸드크림</t>
  </si>
  <si>
    <t>pd0002444</t>
  </si>
  <si>
    <t>알디콤V/ 15ml</t>
  </si>
  <si>
    <t>pd0002445</t>
  </si>
  <si>
    <t>pore care set</t>
  </si>
  <si>
    <t>1set</t>
  </si>
  <si>
    <t>pd0002446</t>
  </si>
  <si>
    <t>알디콤BOOST 에너지젤 그린제스트 1포</t>
  </si>
  <si>
    <t>pd0002447</t>
  </si>
  <si>
    <t>알디콤BOOST 에너지젤 핑크시트러스 1포</t>
  </si>
  <si>
    <t>pd0002448</t>
  </si>
  <si>
    <t>PDRN Rejuvenating Set</t>
  </si>
  <si>
    <t>pd0002449</t>
  </si>
  <si>
    <t>Dark Spot Set</t>
  </si>
  <si>
    <t>pd0002450</t>
  </si>
  <si>
    <t>박카스O</t>
  </si>
  <si>
    <t>20병</t>
  </si>
  <si>
    <t>pd0002453</t>
  </si>
  <si>
    <t>K-pharmacy Set</t>
  </si>
  <si>
    <t>pd0002455</t>
  </si>
  <si>
    <t>Hair Growth Set</t>
  </si>
  <si>
    <t>pd0002456</t>
  </si>
  <si>
    <t>레스큐라이트액</t>
  </si>
  <si>
    <t>pd0002457</t>
  </si>
  <si>
    <t>Acne Set</t>
  </si>
  <si>
    <t>pd0002458</t>
  </si>
  <si>
    <t>Moisturizer Set</t>
  </si>
  <si>
    <t>pd0002459</t>
  </si>
  <si>
    <t>동아박카스D</t>
  </si>
  <si>
    <t>20EA</t>
  </si>
  <si>
    <t>pd0002460</t>
  </si>
  <si>
    <t>프로캄 멜라 화이트닝 리프팅 세럼</t>
  </si>
  <si>
    <t>pd0002462</t>
  </si>
  <si>
    <t>프로캄 EGF 우레아 케라톤크림</t>
  </si>
  <si>
    <t>pd0002463</t>
  </si>
  <si>
    <t>프로캄 멜라 화이트닝 모이스쳐 세럼</t>
  </si>
  <si>
    <t>80ML</t>
  </si>
  <si>
    <t>27ml*5매</t>
  </si>
  <si>
    <t>pd0002467</t>
  </si>
  <si>
    <t>아크페어 클리어 겔</t>
  </si>
  <si>
    <t>한미사이언스 공식 프로캄 페이지에서 화장품 라인으로 확인. 기타 여드름 외용약 분류 수정.</t>
  </si>
  <si>
    <t>pd0002468</t>
  </si>
  <si>
    <t>프로캄 멜라이트 선 에센스</t>
  </si>
  <si>
    <t>pd0002469</t>
  </si>
  <si>
    <t>프로캄 미백+밀도</t>
  </si>
  <si>
    <t>pd0002470</t>
  </si>
  <si>
    <t>코이터널 인스턴트 글로우 미스트</t>
  </si>
  <si>
    <t>pd0002471</t>
  </si>
  <si>
    <t>컨디션헛개</t>
  </si>
  <si>
    <t>120mL</t>
  </si>
  <si>
    <t>pd0002472</t>
  </si>
  <si>
    <t>테일러블루베리주스</t>
  </si>
  <si>
    <t>원본명·규격 중복 후보(pd0002152). 바코드·공급조건 대조 후 한 코드 우선.</t>
  </si>
  <si>
    <t>pd0002473</t>
  </si>
  <si>
    <t>박카스디카페</t>
  </si>
  <si>
    <t>pd0002475</t>
  </si>
  <si>
    <t>더가볍게늘씬수</t>
  </si>
  <si>
    <t>pd0002476</t>
  </si>
  <si>
    <t>셀시어스 OTG 키위구아바라임맛</t>
  </si>
  <si>
    <t>45g*10포</t>
  </si>
  <si>
    <t>pd0002477</t>
  </si>
  <si>
    <t>경옥고</t>
  </si>
  <si>
    <t>30p*2EA</t>
  </si>
  <si>
    <t>pd0002488</t>
  </si>
  <si>
    <t>헤파토스시럽</t>
  </si>
  <si>
    <t>pd0002489</t>
  </si>
  <si>
    <t>우루사정100mg</t>
  </si>
  <si>
    <t>pd0002490</t>
  </si>
  <si>
    <t>리버쿨환</t>
  </si>
  <si>
    <t>1p</t>
  </si>
  <si>
    <t>pd0002492</t>
  </si>
  <si>
    <t>앨리스랩 하이퍼셀 식물성 멜라토닌 구미</t>
  </si>
  <si>
    <t>30구미</t>
  </si>
  <si>
    <t>pd0002493</t>
  </si>
  <si>
    <t>광동쌍화탕</t>
  </si>
  <si>
    <t>100ml*10EA</t>
  </si>
  <si>
    <t>pd0002494</t>
  </si>
  <si>
    <t>(논현)광동원탕</t>
  </si>
  <si>
    <t>pd0002495</t>
  </si>
  <si>
    <t>메달리스트 에너지젤 커피앤벌꿀</t>
  </si>
  <si>
    <t>1P</t>
  </si>
  <si>
    <t>pd0002496</t>
  </si>
  <si>
    <t>메달리스트 에너지젤 사과앤벌꿀</t>
  </si>
  <si>
    <t>pd0002497</t>
  </si>
  <si>
    <t>메달리스트 에너지젤 자몽앤벌꿀</t>
  </si>
  <si>
    <t>pd0002498</t>
  </si>
  <si>
    <t>메달리스트 에너지젤 포도앤벌꿀</t>
  </si>
  <si>
    <t>pd0002500</t>
  </si>
  <si>
    <t>아르기닌 화이트 3X</t>
  </si>
  <si>
    <t>pd0002501</t>
  </si>
  <si>
    <t>마리나비 비타민씨25 펄 브라이트닝 세럼</t>
  </si>
  <si>
    <t>pd0002502</t>
  </si>
  <si>
    <t>필로우 미스트 3종 선물세트 유니버스 드림</t>
  </si>
  <si>
    <t>마리나비 트루 마일드 선스크린</t>
  </si>
  <si>
    <t>pd0002504</t>
  </si>
  <si>
    <t>하이퍼셀 리포좀 비타민C</t>
  </si>
  <si>
    <t>pd0002505</t>
  </si>
  <si>
    <t>메이레브 스칼프 리프팅 앤 딥 클렌징 솔트샴푸</t>
  </si>
  <si>
    <t>pd0002506</t>
  </si>
  <si>
    <t>루브큐텐플러스 헤어토닉 100ML</t>
  </si>
  <si>
    <t>pd0002507</t>
  </si>
  <si>
    <t>쿠브큐텐플러스샴푸500ML</t>
  </si>
  <si>
    <t>pd0002508</t>
  </si>
  <si>
    <t>루브큐텐플러스케어팩500ML</t>
  </si>
  <si>
    <t>pd0002509</t>
  </si>
  <si>
    <t>메이레브 너리싱 앤 두피 케어 샴푸 400ML</t>
  </si>
  <si>
    <t>400ML</t>
  </si>
  <si>
    <t>pd0002510</t>
  </si>
  <si>
    <t>센스데이 얼리체크</t>
  </si>
  <si>
    <t>1test</t>
  </si>
  <si>
    <t>pd0002511</t>
  </si>
  <si>
    <t>테라브레스 헬시스마일 오랄린스 스파클민트향</t>
  </si>
  <si>
    <t>473ML</t>
  </si>
  <si>
    <t>pd0002512</t>
  </si>
  <si>
    <t>테라브레스 프레시브레스 오랄린스 레인포레스트민트향</t>
  </si>
  <si>
    <t>pd0002514</t>
  </si>
  <si>
    <t>베지핏 레드비트</t>
  </si>
  <si>
    <t>pd0002515</t>
  </si>
  <si>
    <t>베지핏 콜리플라워</t>
  </si>
  <si>
    <t>pd0002516</t>
  </si>
  <si>
    <t>피더린 리쥬부스터 그로스 부스터</t>
  </si>
  <si>
    <t>22g*5ea</t>
  </si>
  <si>
    <t>pd0002518</t>
  </si>
  <si>
    <t>태초수 하이드로겐 미네랄 워터</t>
  </si>
  <si>
    <t>pd0002519</t>
  </si>
  <si>
    <t>레모나구미(레몬맛)</t>
  </si>
  <si>
    <t>43g</t>
  </si>
  <si>
    <t>pd0002520</t>
  </si>
  <si>
    <t>레모나구미(복숭아맛)</t>
  </si>
  <si>
    <t>pd0002521</t>
  </si>
  <si>
    <t>레모나키즈</t>
  </si>
  <si>
    <t>pd0002522</t>
  </si>
  <si>
    <t>자하생력</t>
  </si>
  <si>
    <t>pd0002523</t>
  </si>
  <si>
    <t>pd0002524</t>
  </si>
  <si>
    <t>비타메드 레모나산</t>
  </si>
  <si>
    <t>pd0002526</t>
  </si>
  <si>
    <t>원본명·규격 중복 후보(pd0000611). 바코드·공급조건 대조 후 한 코드 우선.</t>
  </si>
  <si>
    <t>pd0002527</t>
  </si>
  <si>
    <t>스킨토닝 바이 르디퍼 알엑스</t>
  </si>
  <si>
    <t>4.3ml</t>
  </si>
  <si>
    <t>pd0002528</t>
  </si>
  <si>
    <t>르디퍼 알엑스 부스터 시너지 크림</t>
  </si>
  <si>
    <t>pd0002529</t>
  </si>
  <si>
    <t>아토신 민트크림</t>
  </si>
  <si>
    <t>200mL</t>
  </si>
  <si>
    <t>pd0002530</t>
  </si>
  <si>
    <t>아토맥스크림</t>
  </si>
  <si>
    <t>pd0002531</t>
  </si>
  <si>
    <t>아토신 패치</t>
  </si>
  <si>
    <t>30장</t>
  </si>
  <si>
    <t>pd0002532</t>
  </si>
  <si>
    <t>아니모마그네슘오일 스프레이 스포츠+마일드</t>
  </si>
  <si>
    <t>pd0002534</t>
  </si>
  <si>
    <t>아이봉W</t>
  </si>
  <si>
    <t>480mL</t>
  </si>
  <si>
    <t>pd0002535</t>
  </si>
  <si>
    <t>모드코프에스연질캡슐</t>
  </si>
  <si>
    <t>pd0002536</t>
  </si>
  <si>
    <t>모드콜에스연질캡슐</t>
  </si>
  <si>
    <t>pd0002537</t>
  </si>
  <si>
    <t>모드코에스연질캡슐</t>
  </si>
  <si>
    <t>pd0002538</t>
  </si>
  <si>
    <t>아이봉C</t>
  </si>
  <si>
    <t>pd0002539</t>
  </si>
  <si>
    <t>일양정로환에프정</t>
  </si>
  <si>
    <t>36정</t>
  </si>
  <si>
    <t>pd0002540</t>
  </si>
  <si>
    <t>아이오쿨 프로점안액</t>
  </si>
  <si>
    <t>0.5mL*60개</t>
  </si>
  <si>
    <t>pd0002541</t>
  </si>
  <si>
    <t>안티푸라민 더블파워 중형</t>
  </si>
  <si>
    <t>7매*4개입</t>
  </si>
  <si>
    <t>pd0002542</t>
  </si>
  <si>
    <t>안티푸라민 더블파워 대형</t>
  </si>
  <si>
    <t>6매*5개입</t>
  </si>
  <si>
    <t>pd0002543</t>
  </si>
  <si>
    <t>엔에이디펩타이드리버스크림</t>
  </si>
  <si>
    <t>pd0002544</t>
  </si>
  <si>
    <t>엔에이디펩타이드리버스로션</t>
  </si>
  <si>
    <t>pd0002545</t>
  </si>
  <si>
    <t>엔에이디펩타이드리버스토너</t>
  </si>
  <si>
    <t>pd0002546</t>
  </si>
  <si>
    <t>엔에이디펩타이드리버스아이크림</t>
  </si>
  <si>
    <t>마데카파마시아</t>
  </si>
  <si>
    <t>pd0002548</t>
  </si>
  <si>
    <t>테카플러스포뮬러 컴포트선크림</t>
  </si>
  <si>
    <t>pd0002549</t>
  </si>
  <si>
    <t>테카 핸드 우레아 크림</t>
  </si>
  <si>
    <t>pd0002550</t>
  </si>
  <si>
    <t>테카 플러스 포뮬러 페이셜 리페어 크림 라이트</t>
  </si>
  <si>
    <t>pd0002551</t>
  </si>
  <si>
    <t>멜라텐션크림4%</t>
  </si>
  <si>
    <t>20g*2</t>
  </si>
  <si>
    <t>pd0002552</t>
  </si>
  <si>
    <t>멜라텐션크림2%</t>
  </si>
  <si>
    <t>pd0002553</t>
  </si>
  <si>
    <t>센스카나겔</t>
  </si>
  <si>
    <t>pd0002554</t>
  </si>
  <si>
    <t>센스힐겔</t>
  </si>
  <si>
    <t>pd0002555</t>
  </si>
  <si>
    <t>마데카밴드트러블케어매직패치</t>
  </si>
  <si>
    <t>pd0002556</t>
  </si>
  <si>
    <t>수면엔릴잠</t>
  </si>
  <si>
    <t>14정</t>
  </si>
  <si>
    <t>브랜드 검토 · 실제 선정 원장과 연결</t>
  </si>
  <si>
    <t>기존 36개 검토 행을 보존. 사진의 거래가능 브랜드가 모두 약국 전용이라는 뜻은 아님. 원장에 없는 브랜드는 코드·공급규격 확인 후 대체 검토.</t>
  </si>
  <si>
    <t>브랜드·라인</t>
  </si>
  <si>
    <t>도입 역할</t>
  </si>
  <si>
    <t>검토 라인업</t>
  </si>
  <si>
    <t>권장·후보 위치</t>
  </si>
  <si>
    <t>거래 전 확인사항</t>
  </si>
  <si>
    <t>근거 수준</t>
  </si>
  <si>
    <t>사진 확인</t>
  </si>
  <si>
    <t>취급 결정</t>
  </si>
  <si>
    <t>참고 URL</t>
  </si>
  <si>
    <t>이번 선정 SKU</t>
  </si>
  <si>
    <t>도입 판단</t>
  </si>
  <si>
    <t>원장 확인 메모</t>
  </si>
  <si>
    <t>기본 후보</t>
  </si>
  <si>
    <t>PDRN·세라마이드·립·레티노멜라</t>
  </si>
  <si>
    <t>G5-D-1 중심</t>
  </si>
  <si>
    <t>립은 G6, 레티노멜라는 G3. 미국 공식몰과 국내 판매규격 별도</t>
  </si>
  <si>
    <t>제공 사진 + 기존 또는 공식 제품 자료</t>
  </si>
  <si>
    <t>미검토</t>
  </si>
  <si>
    <t>https://drrejuall.com/collections/all</t>
  </si>
  <si>
    <t>원장 선정품 도입 제안</t>
  </si>
  <si>
    <t>pd0002335, pd0002336, pd0002337, pd0002339</t>
  </si>
  <si>
    <t>기본 구색</t>
  </si>
  <si>
    <t>EGF / 후시메디 / 멜라화이트 / 아크페어 / 판테놀</t>
  </si>
  <si>
    <t>G3-D-2 / W2 / G5-U-2 / G6</t>
  </si>
  <si>
    <t>온라인팜 거래·현행 S 규격 확인; 2026 유통정책 재확인</t>
  </si>
  <si>
    <t>공식 제품 + 2026 보도</t>
  </si>
  <si>
    <t>https://hanmiscience.co.kr/science/handler/Business-Procalm</t>
  </si>
  <si>
    <t>pd0002372, pd0002380, pd0002381, pd0002417</t>
  </si>
  <si>
    <t>테카플러스포뮬러 / 페이셜 리페어 / 컴포트 선 / 핸드 우레아 / PDRN 앰플</t>
  </si>
  <si>
    <t>G5-U-2 / G3-D-3 / G2-U-2</t>
  </si>
  <si>
    <t>동국 거래 및 신규·라이트 규격 대조; 센텔리안24와 별도</t>
  </si>
  <si>
    <t>제조사 공식</t>
  </si>
  <si>
    <t>https://www.dkpharm.co.kr/boards/view.php?btype=news&amp;idx=1060&amp;stype=news</t>
  </si>
  <si>
    <t>pd0002547, pd0002548, pd0002550</t>
  </si>
  <si>
    <t>리쥬비-에스</t>
  </si>
  <si>
    <t>리쥬비-에스 앰플</t>
  </si>
  <si>
    <t>화장품 앰플 규격 확인; 리쥬비넥스·리쥬비MD 별도</t>
  </si>
  <si>
    <t>브랜드 공식</t>
  </si>
  <si>
    <t>https://www.rejuve-s.com/</t>
  </si>
  <si>
    <t>pd0001847, pd0002328, pd0002364</t>
  </si>
  <si>
    <t>피더린 리쥬부스터</t>
  </si>
  <si>
    <t>리쥬부스터 크림 / 안티옥스 유스 세럼 / 크림 마스크 / 리퀴드 쉴드 / 속눈썹</t>
  </si>
  <si>
    <t>G5-D-3의 대체 후보</t>
  </si>
  <si>
    <t>리쥬부스터만 우선; 병의원 라인 혼합 발주 금지</t>
  </si>
  <si>
    <t>https://pyderin.com/product</t>
  </si>
  <si>
    <t>대체·신규 공급 확인</t>
  </si>
  <si>
    <t>공급코드·국내 규격을 매칭한 뒤 진열 선택</t>
  </si>
  <si>
    <t>대웅 EGFx 다운타임</t>
  </si>
  <si>
    <t>포스트 레이저 / 포스트 스킨부스터 / 포스트 엘써마</t>
  </si>
  <si>
    <t>W2-S2</t>
  </si>
  <si>
    <t>이지듀 일반 EGFx 라인과 공급·바코드 구분</t>
  </si>
  <si>
    <t>제조사 발표 인용 보도</t>
  </si>
  <si>
    <t>https://www.newspim.com/news/view/20260519000176</t>
  </si>
  <si>
    <t>pd0002295, pd0002297, pd0002300</t>
  </si>
  <si>
    <t>더마픽스 리쥬콜 CoDRN</t>
  </si>
  <si>
    <t>시험 운영</t>
  </si>
  <si>
    <t>리뉴 앰플 / 리바이브 크림 / 리셋 하이드로겔 마스크</t>
  </si>
  <si>
    <t>G5-D-2-S4 조건부</t>
  </si>
  <si>
    <t>약국 전용 3종만 대상; 공식몰 품절과 도매 공급 별도 확인</t>
  </si>
  <si>
    <t>https://dermafix.co.kr/category/pharmacy-exclusive/170/</t>
  </si>
  <si>
    <t>시험 후보</t>
  </si>
  <si>
    <t>PPM 크림·NMN 크림</t>
  </si>
  <si>
    <t>두 품목 모두 의무 입점 아님. 한 테마부터 시험</t>
  </si>
  <si>
    <t>https://thome.kr/</t>
  </si>
  <si>
    <t>pd0001730, pd0001733, pd0001734, pd0001735</t>
  </si>
  <si>
    <t>테카테카 Rx</t>
  </si>
  <si>
    <t>징크 PCA 클리어 / D판테놀 리페어 / 리쥬톡스 PDRN</t>
  </si>
  <si>
    <t>G1-D-3·G5-U</t>
  </si>
  <si>
    <t>Rx 3종 거래 조건 확인; 일반 카밍 라인과 구분</t>
  </si>
  <si>
    <t>원본 목록 + 입점 홍보</t>
  </si>
  <si>
    <t>https://www.mdspick.co.kr/brand/100007</t>
  </si>
  <si>
    <t>알엑스미 RXme</t>
  </si>
  <si>
    <t>PDRN·PDLLA 크림 후보</t>
  </si>
  <si>
    <t>B8, 이후 고민별 편입</t>
  </si>
  <si>
    <t>거래창구 사진 확인. 시술과 같은 함량·효과로 설명하지 않음</t>
  </si>
  <si>
    <t>https://rxmecosmetics.com/</t>
  </si>
  <si>
    <t>일동 리쥬닉</t>
  </si>
  <si>
    <t>PDRN 리쥬비네이팅 앤 리페어 크림</t>
  </si>
  <si>
    <t>G5-D-3 후보</t>
  </si>
  <si>
    <t>약국 독점 범위 미확인; 공급가·회전 비교</t>
  </si>
  <si>
    <t>2025-11 출시 보도</t>
  </si>
  <si>
    <t>https://www.hankyung.com/article/202511278889i</t>
  </si>
  <si>
    <t>리쥬엑셀</t>
  </si>
  <si>
    <t>공급 확인</t>
  </si>
  <si>
    <t>리바이탈 어드밴스드 / 비타비쓰리 / 카밍 클리어</t>
  </si>
  <si>
    <t>G5·G3·G1 후보</t>
  </si>
  <si>
    <t>공식몰 검색 색인 확인; 본문 재조회 제한; 유통권 확인</t>
  </si>
  <si>
    <t>공식 검색 색인; 추가 확인</t>
  </si>
  <si>
    <t>https://rejuexcel.com/collections/all</t>
  </si>
  <si>
    <t>알엑스미 RX:me</t>
  </si>
  <si>
    <t>리쥬영 PDRN / 쥬베클 PDLLA</t>
  </si>
  <si>
    <t>B8 후보</t>
  </si>
  <si>
    <t>공식 제품 존재 확인; 국내 약국 전용 계약·도매 공급 확인</t>
  </si>
  <si>
    <t>리쥬셀릭</t>
  </si>
  <si>
    <t>PDRN 듀얼 리페어 앰플 / 크림</t>
  </si>
  <si>
    <t>Pharmacy Exclusive 메뉴·약국 회원제 확인; 계약 범위 확인</t>
  </si>
  <si>
    <t>https://rejucelique.com/product/list.html?cate_no=54</t>
  </si>
  <si>
    <t>트루폼</t>
  </si>
  <si>
    <t>나드플러스 볼륨 앤 덴시티 크림</t>
  </si>
  <si>
    <t>8월28일 출시 예정 보도; 실제 출고·표시 자료 미확인</t>
  </si>
  <si>
    <t>2026-08 신제품 보도</t>
  </si>
  <si>
    <t>https://www.cmn.co.kr/sub/news/news_view.asp?news_idx=50709</t>
  </si>
  <si>
    <t>메디인랩</t>
  </si>
  <si>
    <t>듀얼 PDRN / A1·A2·A3·A5</t>
  </si>
  <si>
    <t>G5-U 후보</t>
  </si>
  <si>
    <t>공식몰 공개판매; 약국용 별도 규격·가격정책 확인</t>
  </si>
  <si>
    <t>브랜드 공식 + 원본</t>
  </si>
  <si>
    <t>https://mediinlab.co.kr/</t>
  </si>
  <si>
    <t>비티테라 BT THERA</t>
  </si>
  <si>
    <t>테라베리어 / 퓨어폼 / UV / 리페어 / 비타케이</t>
  </si>
  <si>
    <t>G5-U·W2 후보</t>
  </si>
  <si>
    <t>MD 크림은 의료기기로 분리; 온누리 공급 조건 확인</t>
  </si>
  <si>
    <t>제조사 공식 + 원본</t>
  </si>
  <si>
    <t>https://btbio.kr/main/sub3_2.php</t>
  </si>
  <si>
    <t>닥터리쥬진</t>
  </si>
  <si>
    <t>확인 보류</t>
  </si>
  <si>
    <t>하이퍼인퓨전 3S / 4D / 20.2K / 멜라4X / NAD·NMN / V1</t>
  </si>
  <si>
    <t>첨부 목록의 상품명은 확인; 최신 공식 라인·유통 확인 필요</t>
  </si>
  <si>
    <t>첨부 목록만 확인</t>
  </si>
  <si>
    <t>디어클레어스 블루 EGF 후보</t>
  </si>
  <si>
    <t>인텐시브 프로 크림 / 리페어 립 / 카밍 겔 마스크 / 미스트</t>
  </si>
  <si>
    <t>일반 EGF 블루 라인과 혼동 주의; 공급사 품목표 대조</t>
  </si>
  <si>
    <t>리쥬란 화장품</t>
  </si>
  <si>
    <t>비교군</t>
  </si>
  <si>
    <t>턴오버 마스크·앰플·인핸스드 크림 / 토너 / 에멀전</t>
  </si>
  <si>
    <t>G5-D-3 대표 제형 비교</t>
  </si>
  <si>
    <t>공식몰 일반 판매; 약국 전용 간판 사용 근거 없음</t>
  </si>
  <si>
    <t>https://rejuran.co.kr/</t>
  </si>
  <si>
    <t>pd0002332, pd0002333, pd0002341</t>
  </si>
  <si>
    <t>제로이드</t>
  </si>
  <si>
    <t>수딩 / 인텐시브 보습 라인</t>
  </si>
  <si>
    <t>G5-U 비교</t>
  </si>
  <si>
    <t>약국 전용 아님; 병의원 채널 및 화장품·MD 구분 확인</t>
  </si>
  <si>
    <t>https://www.zeroid.co.kr/en/products.html</t>
  </si>
  <si>
    <t>엑소코바이오 ASCEplus</t>
  </si>
  <si>
    <t>프리미엄 성분 화장품</t>
  </si>
  <si>
    <t>사진에서 브랜드 확인. 정확한 화장품 SKU·분류·국내 공급 확인</t>
  </si>
  <si>
    <t>제공 거래사이트 사진, 개별 SKU 미확인</t>
  </si>
  <si>
    <t>제나벨</t>
  </si>
  <si>
    <t>대체 비교</t>
  </si>
  <si>
    <t>PDRN 크림·밤·토너</t>
  </si>
  <si>
    <t>G5-D-3 / G5-U-1</t>
  </si>
  <si>
    <t>제나랩 표기와 브랜드 제나벨 연결. 약국용 개별 라인·규격 구분</t>
  </si>
  <si>
    <t>https://genabelle.co.kr/category/pdrn/158/</t>
  </si>
  <si>
    <t>상세 확인</t>
  </si>
  <si>
    <t>톤 관련 후보, 정확한 제품명 대조</t>
  </si>
  <si>
    <t>G3-D-2 후보</t>
  </si>
  <si>
    <t>사진의 홍보 문구만으로 성분·효능을 확정하지 않음</t>
  </si>
  <si>
    <t>pd0001188, pd0001190, pd0001191, pd0001192</t>
  </si>
  <si>
    <t>파파레서피</t>
  </si>
  <si>
    <t>제형 보완</t>
  </si>
  <si>
    <t>효소 파우더 클렌저 후보</t>
  </si>
  <si>
    <t>제품명·사용표시 확인 후 기존 세안제와 대체 비교</t>
  </si>
  <si>
    <t>사진상 EGF·PDRN 크림 후보</t>
  </si>
  <si>
    <t>W2-S3 후보</t>
  </si>
  <si>
    <t>정확한 전성분·기능성 표시·유통 조건 확인</t>
  </si>
  <si>
    <t>pd0001946, pd0001948</t>
  </si>
  <si>
    <t>쥬베룩 스킨케어</t>
  </si>
  <si>
    <t>사진상 PDLLA 크림 후보</t>
  </si>
  <si>
    <t>B8, 이후 G5-D-2 검토</t>
  </si>
  <si>
    <t>주입형 쥬베룩과 화장품을 구분. SKU 확인 전 상설 배정 없음</t>
  </si>
  <si>
    <t>라니쥬</t>
  </si>
  <si>
    <t>크림 후보, 표시 용도 확인</t>
  </si>
  <si>
    <t>판매액·임상 1위 등 사진의 홍보 문구 미검증</t>
  </si>
  <si>
    <t>아이소이</t>
  </si>
  <si>
    <t>지명 수요 확인</t>
  </si>
  <si>
    <t>톤 관리 라인 후보</t>
  </si>
  <si>
    <t>G3-D-2 대체</t>
  </si>
  <si>
    <t>무신사뷰티의 동일 바코드·가격과 중복 검토</t>
  </si>
  <si>
    <t>브이티 VT</t>
  </si>
  <si>
    <t>리들샷 등 제품별 검토</t>
  </si>
  <si>
    <t>민감·시술 후 고객에게 자동 추천 금지. 별도 약국용 SKU 확인</t>
  </si>
  <si>
    <t>디퍼앤디퍼</t>
  </si>
  <si>
    <t>멜라티놀·씨토닝·비볼륨</t>
  </si>
  <si>
    <t>G3-D-2 / G5-D-2</t>
  </si>
  <si>
    <t>공식 제품명 확인. 개별 기능성 표시·공급코드 대조</t>
  </si>
  <si>
    <t>https://differndeeper.com/</t>
  </si>
  <si>
    <t>닥터멜락신</t>
  </si>
  <si>
    <t>톤·탄력 관련 SKU 검토</t>
  </si>
  <si>
    <t>브랜드 전체 효능으로 분류하지 않음. 정확한 SKU 필요</t>
  </si>
  <si>
    <t>온슬로</t>
  </si>
  <si>
    <t>부분 케어 보완</t>
  </si>
  <si>
    <t>사진상 부위별 패치 후보</t>
  </si>
  <si>
    <t>G1-D-2 또는 G5-D-2 후보</t>
  </si>
  <si>
    <t>패치별 분류·소재·표시 용도 확인 후 위치 결정</t>
  </si>
  <si>
    <t>에포드</t>
  </si>
  <si>
    <t>프리미엄 스킨케어 후보</t>
  </si>
  <si>
    <t>정확한 제품명·전성분·공급조건 확인</t>
  </si>
  <si>
    <t>르니브 RENIV</t>
  </si>
  <si>
    <t>사진상 NAD·엑소좀 세럼 후보</t>
  </si>
  <si>
    <t>성분 함유가 임상 효과·시술 대체를 뜻하지 않음</t>
  </si>
  <si>
    <t>셀트리온스킨큐어</t>
  </si>
  <si>
    <t>지피덤 EGF·보습·톤 라인</t>
  </si>
  <si>
    <t>W2 / G5-U / G3-D-2 후보</t>
  </si>
  <si>
    <t>기존 조사 공식 라인 확인. 현재 SKU·약국용 규격 재확인</t>
  </si>
  <si>
    <t>https://www.celltrionmall.com/main/category/350</t>
  </si>
  <si>
    <t>자료 구분</t>
  </si>
  <si>
    <t>자료명</t>
  </si>
  <si>
    <t>출처</t>
  </si>
  <si>
    <t>적용 범위</t>
  </si>
  <si>
    <t>위치</t>
  </si>
  <si>
    <t>첨부 평면도 파란 진열대</t>
  </si>
  <si>
    <t>EC5CDBD6-2E39-4194-BC1D-DF0D4E166169.png</t>
  </si>
  <si>
    <t>상대 위치 유지. 집기 유효폭·높이·깊이 미실측</t>
  </si>
  <si>
    <t>상품</t>
  </si>
  <si>
    <t>무신사뷰티 초기 취급검토 품목 전체 리스트.xls</t>
  </si>
  <si>
    <t>원본 2,526행을 기존 분류 데이터와 대조</t>
  </si>
  <si>
    <t>현재 재고·판매규격·허가 분류·공급가 확정 아님</t>
  </si>
  <si>
    <t>후보</t>
  </si>
  <si>
    <t>IMG_7213.jpeg / IMG_7214.jpeg</t>
  </si>
  <si>
    <t>거래사이트 화면, 18개 브랜드</t>
  </si>
  <si>
    <t>1위·최초·최대 함량 등 홍보 문구를 순위 근거로 사용하지 않음</t>
  </si>
  <si>
    <t>PDRN</t>
  </si>
  <si>
    <t>파마리서치 제품 구분</t>
  </si>
  <si>
    <t>https://pharmaresearch.com/sub/press/view.html?curpage=7&amp;idx=379</t>
  </si>
  <si>
    <t>리쥬비넥스 의약품, 리쥬비-에스 화장품, MD 별도</t>
  </si>
  <si>
    <t>제품</t>
  </si>
  <si>
    <t>닥터리쥬올 공식 제품</t>
  </si>
  <si>
    <t>해외 공식몰과 국내 공급규격은 별도 확인</t>
  </si>
  <si>
    <t>제나벨 PDRN 공식 라인</t>
  </si>
  <si>
    <t>약국용 라인·SKU는 별도 구분</t>
  </si>
  <si>
    <t>디퍼앤디퍼 공식 제품</t>
  </si>
  <si>
    <t>제품명 확인. 기능성 표시와 공급코드 추가 확인</t>
  </si>
  <si>
    <t>상담</t>
  </si>
  <si>
    <t>미국피부과학회 레티노이드 안내</t>
  </si>
  <si>
    <t>https://www.aad.org/public/everyday-care/skin-care-secrets/anti-aging/retinoid-retinol</t>
  </si>
  <si>
    <t>자극·임신 관련 안전 확인 참고. 국내 허가 안내는 제품별</t>
  </si>
  <si>
    <t>미국피부과학회 색소 관리 안내</t>
  </si>
  <si>
    <t>https://www.aad.org/public/everyday-care/skin-care-secrets/routine/fade-dark-spots</t>
  </si>
  <si>
    <t>자극 원인 확인 및 자외선 관리 참고</t>
  </si>
  <si>
    <t>상품별 배치 367행 · 왼쪽부터의 순서와 페이싱</t>
  </si>
  <si>
    <t>K열 권장 F는 편집 가능 | 포장 치수는 03 V~X에 한 번 입력 | 0F는 미진열 | 사용폭 = 포장 가로×F, 최종 합계는 02에서 확인</t>
  </si>
  <si>
    <t>배치 ID</t>
  </si>
  <si>
    <t>공급코드</t>
  </si>
  <si>
    <t>상품명</t>
  </si>
  <si>
    <t>좌→우 순번</t>
  </si>
  <si>
    <t>권장 F</t>
  </si>
  <si>
    <t>포장 가로</t>
  </si>
  <si>
    <t>포장 높이</t>
  </si>
  <si>
    <t>포장 깊이</t>
  </si>
  <si>
    <t>유효폭 기준</t>
  </si>
  <si>
    <t>깊이 기준</t>
  </si>
  <si>
    <t>점유폭 mm</t>
  </si>
  <si>
    <t>개별 치수검토</t>
  </si>
  <si>
    <t>진열 방향</t>
  </si>
  <si>
    <t>진열 방식</t>
  </si>
  <si>
    <t>근거</t>
  </si>
  <si>
    <t>W1/S2/pd0002364</t>
  </si>
  <si>
    <t>본진</t>
  </si>
  <si>
    <t>정면·원포장</t>
  </si>
  <si>
    <t>W1/S3/pd0000002</t>
  </si>
  <si>
    <t>W1/S3/pd0001901</t>
  </si>
  <si>
    <t>W1/S5/pd0002328</t>
  </si>
  <si>
    <t>W1/S5/pd0000602</t>
  </si>
  <si>
    <t>W2/S2/pd0002295</t>
  </si>
  <si>
    <t>W2/S2/pd0002297</t>
  </si>
  <si>
    <t>W2/S2/pd0002300</t>
  </si>
  <si>
    <t>W2/S3/pd0002442</t>
  </si>
  <si>
    <t>W2/S3/pd0002303</t>
  </si>
  <si>
    <t>W2/S4/pd0002372</t>
  </si>
  <si>
    <t>W3/S2/pd0002461</t>
  </si>
  <si>
    <t>추가 진열</t>
  </si>
  <si>
    <t>W3/S3/pd0002415</t>
  </si>
  <si>
    <t>W3/S4/pd0002336</t>
  </si>
  <si>
    <t>W4/S2/pd0001998</t>
  </si>
  <si>
    <t>W4/S2/pd0002406</t>
  </si>
  <si>
    <t>W4/S2/pd0002002</t>
  </si>
  <si>
    <t>W4/S3/pd0002410</t>
  </si>
  <si>
    <t>W4/S3/pd0000052</t>
  </si>
  <si>
    <t>W4/S4/pd0001907</t>
  </si>
  <si>
    <t>W4/S5/pd0000013</t>
  </si>
  <si>
    <t>W4/S5/pd0002052</t>
  </si>
  <si>
    <t>W4/S5/pd0002489</t>
  </si>
  <si>
    <t>W4/S5/pd0002488</t>
  </si>
  <si>
    <t>W5/S2/pd0002216</t>
  </si>
  <si>
    <t>W5/S2/pd0002398</t>
  </si>
  <si>
    <t>W5/S3/pd0002059</t>
  </si>
  <si>
    <t>W5/S3/pd0002055</t>
  </si>
  <si>
    <t>W5/S4/pd0000061</t>
  </si>
  <si>
    <t>W5/S4/pd0002053</t>
  </si>
  <si>
    <t>W5/S5/pd0002057</t>
  </si>
  <si>
    <t>W5/S5/pd0002085</t>
  </si>
  <si>
    <t>L1/S1/pd0001957</t>
  </si>
  <si>
    <t>낮은 포장·허용 시 눕힘</t>
  </si>
  <si>
    <t>L1/S1/pd0002434</t>
  </si>
  <si>
    <t>L1/S2/pd0001958</t>
  </si>
  <si>
    <t>L1/S2/pd0002435</t>
  </si>
  <si>
    <t>L1/S2/pd0001966</t>
  </si>
  <si>
    <t>L1/S2/pd0002536</t>
  </si>
  <si>
    <t>L1/S3/pd0002070</t>
  </si>
  <si>
    <t>L1/S3/pd0002430</t>
  </si>
  <si>
    <t>L1/S3/pd0002432</t>
  </si>
  <si>
    <t>L1/S4/pd0002420</t>
  </si>
  <si>
    <t>L1/S4/pd0002423</t>
  </si>
  <si>
    <t>L1/S5/pd0002042</t>
  </si>
  <si>
    <t>L1/S5/pd0002043</t>
  </si>
  <si>
    <t>L1/S5/pd0002047</t>
  </si>
  <si>
    <t>L2/S1/pd0002023</t>
  </si>
  <si>
    <t>L2/S1/pd0002030</t>
  </si>
  <si>
    <t>L2/S1/pd0002388</t>
  </si>
  <si>
    <t>L2/S2/pd0002019</t>
  </si>
  <si>
    <t>L2/S2/pd0002020</t>
  </si>
  <si>
    <t>L2/S2/pd0002400</t>
  </si>
  <si>
    <t>L2/S3/pd0002393</t>
  </si>
  <si>
    <t>L2/S3/pd0002391</t>
  </si>
  <si>
    <t>L2/S3/pd0002539</t>
  </si>
  <si>
    <t>L2/S4/pd0002035</t>
  </si>
  <si>
    <t>L2/S4/pd0002031</t>
  </si>
  <si>
    <t>L2/S5/pd0002050</t>
  </si>
  <si>
    <t>L2/S5/pd0002051</t>
  </si>
  <si>
    <t>L2/S5/pd0002048</t>
  </si>
  <si>
    <t>L3/S1/pd0001934</t>
  </si>
  <si>
    <t>L3/S1/pd0001940</t>
  </si>
  <si>
    <t>L3/S1/pd0001947</t>
  </si>
  <si>
    <t>L3/S1/pd0001949</t>
  </si>
  <si>
    <t>L3/S2/pd0001890</t>
  </si>
  <si>
    <t>L3/S2/pd0001875</t>
  </si>
  <si>
    <t>L3/S2/pd0001883</t>
  </si>
  <si>
    <t>L3/S3/pd0001902</t>
  </si>
  <si>
    <t>L3/S3/pd0001867</t>
  </si>
  <si>
    <t>L3/S4/pd0002405</t>
  </si>
  <si>
    <t>L3/S4/pd0001897</t>
  </si>
  <si>
    <t>L3/S4/pd0001895</t>
  </si>
  <si>
    <t>L3/S5/pd0001891</t>
  </si>
  <si>
    <t>L3/S5/pd0002403</t>
  </si>
  <si>
    <t>L4/S1/pd0001927</t>
  </si>
  <si>
    <t>L4/S1/pd0001937</t>
  </si>
  <si>
    <t>L4/S2/pd0002316</t>
  </si>
  <si>
    <t>L4/S2/pd0002317</t>
  </si>
  <si>
    <t>L4/S3/pd0002172</t>
  </si>
  <si>
    <t>L4/S3/pd0002105</t>
  </si>
  <si>
    <t>L4/S4/pd0002140</t>
  </si>
  <si>
    <t>L4/S4/pd0002131</t>
  </si>
  <si>
    <t>L4/S4/pd0002173</t>
  </si>
  <si>
    <t>L4/S5/pd0002074</t>
  </si>
  <si>
    <t>L4/S5/pd0002511</t>
  </si>
  <si>
    <t>B1/S2/pd0001835</t>
  </si>
  <si>
    <t>B1/S2/pd0001856</t>
  </si>
  <si>
    <t>B1/S3/pd0002320</t>
  </si>
  <si>
    <t>B1/S4/pd0000903</t>
  </si>
  <si>
    <t>B2/S2/pd0001833</t>
  </si>
  <si>
    <t>B2/S3/pd0001841</t>
  </si>
  <si>
    <t>B2/S4/pd0002474</t>
  </si>
  <si>
    <t>B3/S2/pd0000106</t>
  </si>
  <si>
    <t>B3/S2/pd0000089</t>
  </si>
  <si>
    <t>B3/S3/pd0002110</t>
  </si>
  <si>
    <t>B3/S3/pd0002112</t>
  </si>
  <si>
    <t>B3/S4/pd0002144</t>
  </si>
  <si>
    <t>B3/S5/pd0001868</t>
  </si>
  <si>
    <t>B5/S2/pd0002204</t>
  </si>
  <si>
    <t>B5/S3/pd0000001</t>
  </si>
  <si>
    <t>B5/S4/pd0002059</t>
  </si>
  <si>
    <t>B6/S2/pd0002347</t>
  </si>
  <si>
    <t>B6/S3/pd0001847</t>
  </si>
  <si>
    <t>B6/S4/pd0002332</t>
  </si>
  <si>
    <t>B7/S2/pd0002339</t>
  </si>
  <si>
    <t>B7/S3/pd0002547</t>
  </si>
  <si>
    <t>B7/S4/pd0002276</t>
  </si>
  <si>
    <t>B8/S2/pd0001730</t>
  </si>
  <si>
    <t>B8/S3/pd0001733</t>
  </si>
  <si>
    <t>B8/S4/pd0001734</t>
  </si>
  <si>
    <t>G1-D-1/S2/pd0001835</t>
  </si>
  <si>
    <t>G1-D-1/S2/pd0001853</t>
  </si>
  <si>
    <t>G1-D-1/S3/pd0001856</t>
  </si>
  <si>
    <t>G1-D-1/S3/pd0001821</t>
  </si>
  <si>
    <t>G1-D-1/S4/pd0001854</t>
  </si>
  <si>
    <t>G1-D-1/S4/pd0002361</t>
  </si>
  <si>
    <t>G1-D-1/S5/pd0001857</t>
  </si>
  <si>
    <t>G1-D-1/S5/pd0002554</t>
  </si>
  <si>
    <t>G1-D-2/S2/pd0002320</t>
  </si>
  <si>
    <t>G1-D-2/S2/pd0002311</t>
  </si>
  <si>
    <t>G1-D-2/S2/pd0002091</t>
  </si>
  <si>
    <t>G1-D-2/S3/pd0002319</t>
  </si>
  <si>
    <t>G1-D-2/S3/pd0000905</t>
  </si>
  <si>
    <t>G1-D-2/S4/pd0000903</t>
  </si>
  <si>
    <t>G1-D-2/S4/pd0000904</t>
  </si>
  <si>
    <t>G1-D-2/S5/pd0002090</t>
  </si>
  <si>
    <t>G1-D-2/S5/pd0002555</t>
  </si>
  <si>
    <t>G1-D-3/S2/pd0001055</t>
  </si>
  <si>
    <t>G1-D-3/S2/pd0002467</t>
  </si>
  <si>
    <t>G1-D-3/S3/pd0002238</t>
  </si>
  <si>
    <t>G1-D-3/S3/pd0002416</t>
  </si>
  <si>
    <t>G1-D-3/S4/pd0002247</t>
  </si>
  <si>
    <t>G1-D-3/S4/pd0002370</t>
  </si>
  <si>
    <t>G1-D-3/S5/pd0000551</t>
  </si>
  <si>
    <t>G1-U-1/S2/pd0001043</t>
  </si>
  <si>
    <t>G1-U-1/S2/pd0000547</t>
  </si>
  <si>
    <t>G1-U-1/S3/pd0002293</t>
  </si>
  <si>
    <t>G1-U-1/S3/pd0002240</t>
  </si>
  <si>
    <t>G1-U-1/S3/pd0001044</t>
  </si>
  <si>
    <t>G1-U-1/S4/pd0000596</t>
  </si>
  <si>
    <t>G1-U-1/S5/pd0000539</t>
  </si>
  <si>
    <t>G1-U-2/S2/pd0000588</t>
  </si>
  <si>
    <t>G1-U-2/S3/pd0001119</t>
  </si>
  <si>
    <t>G1-U-2/S4/pd0001212</t>
  </si>
  <si>
    <t>G1-U-2/S5/pd0001534</t>
  </si>
  <si>
    <t>G1-U-3/S2/pd0000531</t>
  </si>
  <si>
    <t>G1-U-3/S2/pd0001053</t>
  </si>
  <si>
    <t>G1-U-3/S3/pd0000500</t>
  </si>
  <si>
    <t>G1-U-3/S4/pd0000544</t>
  </si>
  <si>
    <t>G1-U-3/S5/pd0001860</t>
  </si>
  <si>
    <t>G2-D-1/S2/pd0001833</t>
  </si>
  <si>
    <t>G2-D-1/S2/pd0001834</t>
  </si>
  <si>
    <t>G2-D-1/S3/pd0001841</t>
  </si>
  <si>
    <t>G2-D-1/S3/pd0001832</t>
  </si>
  <si>
    <t>G2-D-1/S4/pd0001858</t>
  </si>
  <si>
    <t>G2-D-2/S2/pd0002024</t>
  </si>
  <si>
    <t>G2-D-2/S2/pd0002025</t>
  </si>
  <si>
    <t>G2-D-2/S2/pd0002474</t>
  </si>
  <si>
    <t>G2-D-2/S3/pd0001861</t>
  </si>
  <si>
    <t>G2-D-2/S3/pd0001864</t>
  </si>
  <si>
    <t>G2-D-2/S3/pd0001863</t>
  </si>
  <si>
    <t>G2-D-2/S4/pd0002027</t>
  </si>
  <si>
    <t>G2-D-2/S4/pd0001862</t>
  </si>
  <si>
    <t>G2-D-2/S5/pd0002028</t>
  </si>
  <si>
    <t>G2-D-2/S5/pd0002029</t>
  </si>
  <si>
    <t>G2-D-3/S2/pd0002041</t>
  </si>
  <si>
    <t>G2-D-3/S2/pd0002046</t>
  </si>
  <si>
    <t>G2-D-3/S3/pd0002017</t>
  </si>
  <si>
    <t>G2-D-3/S3/pd0002044</t>
  </si>
  <si>
    <t>G2-D-3/S4/pd0002049</t>
  </si>
  <si>
    <t>G2-U-1/S2/pd0001822</t>
  </si>
  <si>
    <t>G2-U-1/S2/pd0001894</t>
  </si>
  <si>
    <t>G2-U-1/S3/pd0001889</t>
  </si>
  <si>
    <t>G2-U-1/S3/pd0002390</t>
  </si>
  <si>
    <t>G2-U-1/S3/pd0001898</t>
  </si>
  <si>
    <t>G2-U-1/S4/pd0002392</t>
  </si>
  <si>
    <t>G2-U-1/S4/pd0002394</t>
  </si>
  <si>
    <t>G2-U-1/S5/pd0002397</t>
  </si>
  <si>
    <t>G2-U-2/S2/pd0001921</t>
  </si>
  <si>
    <t>G2-U-2/S2/pd0001842</t>
  </si>
  <si>
    <t>G2-U-2/S3/pd0001892</t>
  </si>
  <si>
    <t>G2-U-2/S3/pd0001896</t>
  </si>
  <si>
    <t>G2-U-2/S4/pd0001840</t>
  </si>
  <si>
    <t>G2-U-3/S2/pd0002549</t>
  </si>
  <si>
    <t>G2-U-3/S2/pd0002443</t>
  </si>
  <si>
    <t>G2-U-3/S3/pd0002367</t>
  </si>
  <si>
    <t>G2-U-3/S3/pd0002325</t>
  </si>
  <si>
    <t>G2-U-3/S4/pd0002466</t>
  </si>
  <si>
    <t>G2-U-3/S5/pd0000501</t>
  </si>
  <si>
    <t>G3-D-1/S2/pd0002265</t>
  </si>
  <si>
    <t>G3-D-1/S2/pd0001848</t>
  </si>
  <si>
    <t>G3-D-1/S3/pd0001843</t>
  </si>
  <si>
    <t>G3-D-1/S3/pd0001849</t>
  </si>
  <si>
    <t>G3-D-1/S4/pd0001852</t>
  </si>
  <si>
    <t>G3-D-2/S2/pd0001188</t>
  </si>
  <si>
    <t>G3-D-2/S2/pd0002463</t>
  </si>
  <si>
    <t>G3-D-2/S2/pd0002460</t>
  </si>
  <si>
    <t>G3-D-2/S3/pd0002346</t>
  </si>
  <si>
    <t>G3-D-2/S3/pd0002342</t>
  </si>
  <si>
    <t>G3-D-2/S4/pd0001190</t>
  </si>
  <si>
    <t>G3-D-2/S4/pd0002501</t>
  </si>
  <si>
    <t>G3-D-2/S5/pd0001191</t>
  </si>
  <si>
    <t>G3-D-3/S2/pd0002343</t>
  </si>
  <si>
    <t>G3-D-3/S2/pd0002468</t>
  </si>
  <si>
    <t>G3-D-3/S3/pd0002548</t>
  </si>
  <si>
    <t>G3-D-3/S3/pd0002503</t>
  </si>
  <si>
    <t>G3-D-3/S4/pd0002278</t>
  </si>
  <si>
    <t>G3-D-3/S4/pd0002280</t>
  </si>
  <si>
    <t>G3-D-3/S5/pd0001513</t>
  </si>
  <si>
    <t>G3-U-1/S2/pd0002255</t>
  </si>
  <si>
    <t>G3-U-1/S2/pd0002257</t>
  </si>
  <si>
    <t>G3-U-1/S3/pd0002513</t>
  </si>
  <si>
    <t>G3-U-1/S4/pd0002335</t>
  </si>
  <si>
    <t>G3-U-1/S4/pd0002506</t>
  </si>
  <si>
    <t>G3-U-1/S5/pd0002094</t>
  </si>
  <si>
    <t>G3-U-1/S5/pd0002509</t>
  </si>
  <si>
    <t>G3-U-2/S1/pd0001987</t>
  </si>
  <si>
    <t>G3-U-2/S1/pd0001988</t>
  </si>
  <si>
    <t>G3-U-2/S2/pd0002418</t>
  </si>
  <si>
    <t>G3-U-2/S3/pd0002417</t>
  </si>
  <si>
    <t>G3-U-2/S3/pd0000108</t>
  </si>
  <si>
    <t>G3-U-2/S4/pd0001830</t>
  </si>
  <si>
    <t>G3-U-2/S4/pd0002321</t>
  </si>
  <si>
    <t>G3-U-2/S5/pd0000014</t>
  </si>
  <si>
    <t>G3-U-2/S5/pd0002510</t>
  </si>
  <si>
    <t>G3-U-3/S2/pd0002219</t>
  </si>
  <si>
    <t>G3-U-3/S2/pd0002350</t>
  </si>
  <si>
    <t>G3-U-3/S3/pd0002492</t>
  </si>
  <si>
    <t>G3-U-3/S3/pd0002556</t>
  </si>
  <si>
    <t>G3-U-3/S4/pd0000128</t>
  </si>
  <si>
    <t>G3-U-3/S5/pd0001926</t>
  </si>
  <si>
    <t>G3-U-3/S5/pd0002037</t>
  </si>
  <si>
    <t>G4-D-1/S2/pd0001996</t>
  </si>
  <si>
    <t>G4-D-1/S3/pd0002204</t>
  </si>
  <si>
    <t>G4-D-1/S3/pd0002201</t>
  </si>
  <si>
    <t>G4-D-1/S3/pd0002413</t>
  </si>
  <si>
    <t>G4-D-1/S4/pd0002414</t>
  </si>
  <si>
    <t>G4-D-1/S4/pd0000267</t>
  </si>
  <si>
    <t>G4-D-1/S5/pd0002087</t>
  </si>
  <si>
    <t>G4-D-2/S2/pd0002377</t>
  </si>
  <si>
    <t>G4-D-2/S2/pd0002214</t>
  </si>
  <si>
    <t>G4-D-2/S3/pd0002533</t>
  </si>
  <si>
    <t>G4-D-2/S4/pd0002148</t>
  </si>
  <si>
    <t>G4-D-2/S4/pd0000157</t>
  </si>
  <si>
    <t>G4-D-2/S5/pd0002016</t>
  </si>
  <si>
    <t>G4-D-2/S5/pd0002187</t>
  </si>
  <si>
    <t>G4-U-1/S2/pd0000001</t>
  </si>
  <si>
    <t>G4-U-1/S2/pd0000054</t>
  </si>
  <si>
    <t>G4-U-1/S3/pd0002014</t>
  </si>
  <si>
    <t>G4-U-1/S4/pd0000344</t>
  </si>
  <si>
    <t>G4-U-1/S4/pd0000345</t>
  </si>
  <si>
    <t>G4-U-1/S5/pd0002500</t>
  </si>
  <si>
    <t>G4-U-1/S5/pd0000464</t>
  </si>
  <si>
    <t>G4-U-2/S2/pd0002194</t>
  </si>
  <si>
    <t>G4-U-2/S2/pd0002196</t>
  </si>
  <si>
    <t>G4-U-2/S3/pd0002193</t>
  </si>
  <si>
    <t>G4-U-2/S3/pd0001991</t>
  </si>
  <si>
    <t>G4-U-2/S4/pd0002205</t>
  </si>
  <si>
    <t>G4-U-2/S4/pd0002215</t>
  </si>
  <si>
    <t>G4-U-2/S5/pd0000186</t>
  </si>
  <si>
    <t>G4-U-2/S5/pd0000190</t>
  </si>
  <si>
    <t>G4-U-2/S5/pd0002206</t>
  </si>
  <si>
    <t>G5-D-1/S2/pd0002347</t>
  </si>
  <si>
    <t>G5-D-1/S3/pd0002339</t>
  </si>
  <si>
    <t>G5-D-1/S4/pd0002337</t>
  </si>
  <si>
    <t>G5-D-1/S5/pd0002348</t>
  </si>
  <si>
    <t>G5-D-2/S2/pd0000554</t>
  </si>
  <si>
    <t>선반 (후크 방식 확인 대기)</t>
  </si>
  <si>
    <t>G5-D-2/S2/pd0000555</t>
  </si>
  <si>
    <t>G5-D-2/S3/pd0001735</t>
  </si>
  <si>
    <t>G5-D-2/S3/pd0001192</t>
  </si>
  <si>
    <t>G5-D-2/S4/pd0001448</t>
  </si>
  <si>
    <t>G5-D-2/S5/pd0001193</t>
  </si>
  <si>
    <t>G5-D-3/S2/pd0001847</t>
  </si>
  <si>
    <t>G5-D-3/S2/pd0002333</t>
  </si>
  <si>
    <t>G5-D-3/S3/pd0002341</t>
  </si>
  <si>
    <t>G5-D-3/S3/pd0001946</t>
  </si>
  <si>
    <t>G5-D-3/S4/pd0002332</t>
  </si>
  <si>
    <t>G5-D-3/S4/pd0001948</t>
  </si>
  <si>
    <t>G5-D-3/S5/pd0002517</t>
  </si>
  <si>
    <t>G5-U-1/S2/pd0001054</t>
  </si>
  <si>
    <t>G5-U-1/S2/pd0002464</t>
  </si>
  <si>
    <t>G5-U-1/S2/pd0000583</t>
  </si>
  <si>
    <t>G5-U-1/S3/pd0002415</t>
  </si>
  <si>
    <t>G5-U-1/S4/pd0002283</t>
  </si>
  <si>
    <t>G5-U-2/S2/pd0002547</t>
  </si>
  <si>
    <t>G5-U-2/S2/pd0002461</t>
  </si>
  <si>
    <t>G5-U-2/S3/pd0002550</t>
  </si>
  <si>
    <t>G5-U-2/S3/pd0001047</t>
  </si>
  <si>
    <t>G5-U-2/S3/pd0001049</t>
  </si>
  <si>
    <t>G5-U-2/S4/pd0002465</t>
  </si>
  <si>
    <t>G5-U-2/S4/pd0001052</t>
  </si>
  <si>
    <t>G5-U-2/S5/pd0002286</t>
  </si>
  <si>
    <t>G5-U-2/S5/pd0001045</t>
  </si>
  <si>
    <t>G5-U-3/S2/pd0002275</t>
  </si>
  <si>
    <t>G5-U-3/S2/pd0001736</t>
  </si>
  <si>
    <t>G5-U-3/S3/pd0002276</t>
  </si>
  <si>
    <t>G5-U-3/S4/pd0002277</t>
  </si>
  <si>
    <t>G5-U-3/S4/pd0002285</t>
  </si>
  <si>
    <t>G6-D-1/S1/pd0001818</t>
  </si>
  <si>
    <t>G6-D-1/S1/pd0001819</t>
  </si>
  <si>
    <t>G6-D-1/S2/pd0002380</t>
  </si>
  <si>
    <t>G6-D-1/S2/pd0002384</t>
  </si>
  <si>
    <t>G6-D-1/S3/pd0002381</t>
  </si>
  <si>
    <t>G6-D-1/S3/pd0002281</t>
  </si>
  <si>
    <t>G6-D-1/S4/pd0002336</t>
  </si>
  <si>
    <t>G6-D-1/S5/pd0002298</t>
  </si>
  <si>
    <t>G6-D-2/S1/pd0001971</t>
  </si>
  <si>
    <t>G6-D-2/S1/pd0001976</t>
  </si>
  <si>
    <t>G6-D-2/S2/pd0001959</t>
  </si>
  <si>
    <t>G6-D-2/S2/pd0002540</t>
  </si>
  <si>
    <t>G6-D-2/S3/pd0001965</t>
  </si>
  <si>
    <t>G6-D-2/S4/pd0000085</t>
  </si>
  <si>
    <t>G6-D-2/S4/pd0001995</t>
  </si>
  <si>
    <t>G6-D-2/S4/pd0002401</t>
  </si>
  <si>
    <t>G6-D-2/S5/pd0002288</t>
  </si>
  <si>
    <t>G6-D-2/S5/pd0002296</t>
  </si>
  <si>
    <t>G6-D-3/S2/pd0001914</t>
  </si>
  <si>
    <t>G6-D-3/S3/pd0001918</t>
  </si>
  <si>
    <t>G6-D-3/S3/pd0001920</t>
  </si>
  <si>
    <t>G6-D-3/S4/pd0001916</t>
  </si>
  <si>
    <t>G6-U-1/S1/pd0001887</t>
  </si>
  <si>
    <t>G6-U-1/S1/pd0001881</t>
  </si>
  <si>
    <t>G6-U-1/S2/pd0001876</t>
  </si>
  <si>
    <t>G6-U-1/S2/pd0001879</t>
  </si>
  <si>
    <t>G6-U-1/S3/pd0001873</t>
  </si>
  <si>
    <t>G6-U-1/S3/pd0001874</t>
  </si>
  <si>
    <t>G6-U-1/S4/pd0001869</t>
  </si>
  <si>
    <t>G6-U-1/S4/pd0001871</t>
  </si>
  <si>
    <t>G6-U-1/S5/pd0001885</t>
  </si>
  <si>
    <t>G6-U-2/S2/pd0002462</t>
  </si>
  <si>
    <t>G6-U-2/S2/pd0000543</t>
  </si>
  <si>
    <t>G6-U-2/S3/pd0002088</t>
  </si>
  <si>
    <t>G6-U-2/S3/pd0002349</t>
  </si>
  <si>
    <t>G6-U-2/S4/pd0000483</t>
  </si>
  <si>
    <t>G6-U-2/S4/pd0000508</t>
  </si>
  <si>
    <t>G6-U-2/S5/pd0002124</t>
  </si>
  <si>
    <t>G6-U-2/S5/pd0002118</t>
  </si>
  <si>
    <t>G6-U-3/S1/pd0000046</t>
  </si>
  <si>
    <t>G6-U-3/S2/pd0000036</t>
  </si>
  <si>
    <t>G6-U-3/S2/pd0000039</t>
  </si>
  <si>
    <t>G6-U-3/S3/pd0000074</t>
  </si>
  <si>
    <t>G6-U-3/S4/pd0002396</t>
  </si>
  <si>
    <t>G6-U-3/S4/pd0002446</t>
  </si>
  <si>
    <t>G6-U-3/S5/pd0001877</t>
  </si>
  <si>
    <t>G6-U-3/S5/pd0002363</t>
  </si>
  <si>
    <t>G1-ER/S2/pd0002238</t>
  </si>
  <si>
    <t>G1-ER/S3/pd0000531</t>
  </si>
  <si>
    <t>G2-EL/S2/pd0001858</t>
  </si>
  <si>
    <t>G2-EL/S3/pd0001832</t>
  </si>
  <si>
    <t>G2-ER/S2/pd0001861</t>
  </si>
  <si>
    <t>G2-ER/S3/pd0002046</t>
  </si>
  <si>
    <t>G3-EL/S2/pd0002265</t>
  </si>
  <si>
    <t>G3-EL/S3/pd0002343</t>
  </si>
  <si>
    <t>G3-ER/S2/pd0002335</t>
  </si>
  <si>
    <t>G3-ER/S3/pd0002513</t>
  </si>
  <si>
    <t>G4-EL/S2/pd0002413</t>
  </si>
  <si>
    <t>G4-EL/S3/pd0002014</t>
  </si>
  <si>
    <t>G4-ER/S2/pd0002377</t>
  </si>
  <si>
    <t>G4-ER/S3/pd0002194</t>
  </si>
  <si>
    <t>G5-EL/S2/pd0002464</t>
  </si>
  <si>
    <t>G5-EL/S3/pd0002465</t>
  </si>
  <si>
    <t>G5-ER/S2/pd0002341</t>
  </si>
  <si>
    <t>G5-ER/S3/pd0001946</t>
  </si>
  <si>
    <t>G6-EL/S2/pd0002381</t>
  </si>
  <si>
    <t>G6-EL/S3/pd0001965</t>
  </si>
  <si>
    <t>G6-ER/S2/pd0000543</t>
  </si>
  <si>
    <t>G6-ER/S3/pd0002396</t>
  </si>
  <si>
    <t>집기 유형별 치수 기준과 공통 실측</t>
  </si>
  <si>
    <t>W=벽장 / S=L·B 단면 / G=중앙 본체 / E=엔드 | K~M 실측은 같은 유형·같은 단에 공통 적용 | 개별 선반 차이는 02 Z~AB에서 우선 적용</t>
  </si>
  <si>
    <t>치수키</t>
  </si>
  <si>
    <t>유형</t>
  </si>
  <si>
    <t>도면 집기코드</t>
  </si>
  <si>
    <t>선반판 폭 mm</t>
  </si>
  <si>
    <t>계획 유효폭 mm</t>
  </si>
  <si>
    <t>진열 깊이 mm</t>
  </si>
  <si>
    <t>개구 높이 mm</t>
  </si>
  <si>
    <t>높이 여유 mm</t>
  </si>
  <si>
    <t>실측 유효폭</t>
  </si>
  <si>
    <t>실측 깊이</t>
  </si>
  <si>
    <t>실측 개구높이</t>
  </si>
  <si>
    <t>적용 상품높이</t>
  </si>
  <si>
    <t>해석·조건</t>
  </si>
  <si>
    <t>치수 상태</t>
  </si>
  <si>
    <t>W-S1</t>
  </si>
  <si>
    <t>W</t>
  </si>
  <si>
    <t>폭885·진열깊이330. 좌우 각10, 높이20 여유는 계획값. 최상단은 고위치: 안내·샘플 중심.</t>
  </si>
  <si>
    <t>W-S2</t>
  </si>
  <si>
    <t>W-S3</t>
  </si>
  <si>
    <t>W-S4</t>
  </si>
  <si>
    <t>W-S5</t>
  </si>
  <si>
    <t>S-S1</t>
  </si>
  <si>
    <t>외형940×349. 선반885. 단면깊이272 중270 적용. 상단100·나머지220; 경사1.5도.</t>
  </si>
  <si>
    <t>S-S2</t>
  </si>
  <si>
    <t>S-S3</t>
  </si>
  <si>
    <t>S-S4</t>
  </si>
  <si>
    <t>S-S5</t>
  </si>
  <si>
    <t>G-S1</t>
  </si>
  <si>
    <t>G</t>
  </si>
  <si>
    <t>본체 깊이705. 900내부 베이/25프레임. 선반폭885·진열깊이270. 서랍 제외 5단.</t>
  </si>
  <si>
    <t>G-S2</t>
  </si>
  <si>
    <t>G-S3</t>
  </si>
  <si>
    <t>G-S4</t>
  </si>
  <si>
    <t>G-S5</t>
  </si>
  <si>
    <t>E-S1</t>
  </si>
  <si>
    <t>E</t>
  </si>
  <si>
    <t>끝판 외형705×295. 679판/645내부 폭 중645를 보수 계획폭으로 사용; 현장 유효폭 확인.</t>
  </si>
  <si>
    <t>E-S2</t>
  </si>
  <si>
    <t>E-S3</t>
  </si>
  <si>
    <t>E-S4</t>
  </si>
  <si>
    <t>E-S5</t>
  </si>
  <si>
    <t>실행 기준·분류 수정·검토 근거</t>
  </si>
  <si>
    <t>추천은 판매 현장 가설 | A/B/T = 도입 제안, C/H/N = 이번 초도 진열 0F | 집계는 배치표 변경에 따라 갱신</t>
  </si>
  <si>
    <t>구분</t>
  </si>
  <si>
    <t>항목</t>
  </si>
  <si>
    <t>값·내용</t>
  </si>
  <si>
    <t>기준·링크</t>
  </si>
  <si>
    <t>실무 해석</t>
  </si>
  <si>
    <t>집계</t>
  </si>
  <si>
    <t>기존 핵심 수요·기본 상담 구색. 매입 확정 아님.</t>
  </si>
  <si>
    <t>제형·부위·규격 차이로 보완.</t>
  </si>
  <si>
    <t>신성분·필링·수면 식품 등. 기간·판매·반품 점검.</t>
  </si>
  <si>
    <t>우선 진열 SKU</t>
  </si>
  <si>
    <t>A+B+T</t>
  </si>
  <si>
    <t>공급코드 기준 중복 없는 품목 수.</t>
  </si>
  <si>
    <t>전체 계획 F</t>
  </si>
  <si>
    <t>본진+추가</t>
  </si>
  <si>
    <t>F는 정면에 보이는 열 수. 깊이 재고·입고 수량이 아님.</t>
  </si>
  <si>
    <t>추가 진열 SKU</t>
  </si>
  <si>
    <t>1곳·1F</t>
  </si>
  <si>
    <t>본진 외 중복 노출은 1곳 이하.</t>
  </si>
  <si>
    <t>동일 역할 대안. 초도 진열 F=0, 채택 시 1F부터.</t>
  </si>
  <si>
    <t>세부 목적·품목 분류·포장 확인 전 보류.</t>
  </si>
  <si>
    <t>매장 포지셔닝·인접 뷰티 중복·재고 분산 고려.</t>
  </si>
  <si>
    <t>증정·테스트·운영용. 운영 구매는 별개.</t>
  </si>
  <si>
    <t>치수</t>
  </si>
  <si>
    <t>원본 내용량</t>
  </si>
  <si>
    <t>g/ml/정수</t>
  </si>
  <si>
    <t>실물치수 아님</t>
  </si>
  <si>
    <t>상품 가로·높이·깊이는 전 품목 미제공. 추정값을 넣지 않았음.</t>
  </si>
  <si>
    <t>벽장 / 곤도라 높이</t>
  </si>
  <si>
    <t>2400 / 1700</t>
  </si>
  <si>
    <t>mm</t>
  </si>
  <si>
    <t>사이니지 포함 제작도면 높이. 천장2600은 기존 시각화 가정.</t>
  </si>
  <si>
    <t>곤도라 최상단 / 중하단</t>
  </si>
  <si>
    <t>100 / 220</t>
  </si>
  <si>
    <t>개구 mm</t>
  </si>
  <si>
    <t>상품높이 계획 상한80 / 200mm. 경사·레일·집기 실측 후 확정.</t>
  </si>
  <si>
    <t>후크 설치존</t>
  </si>
  <si>
    <t>G5-D-2·3</t>
  </si>
  <si>
    <t>제작 방식 대조</t>
  </si>
  <si>
    <t>선반 5단 계획을 유지. 후크가 선반을 대체하면 선반 수용량을 중복 계산하지 않음.</t>
  </si>
  <si>
    <t>05 상품 → 02 선반</t>
  </si>
  <si>
    <t>자동계산</t>
  </si>
  <si>
    <t>03 상품치수 + 06 집기 실측 + 05 F가 02 폭/높이/깊이 판정에 연결.</t>
  </si>
  <si>
    <t>운영</t>
  </si>
  <si>
    <t>상품군 원칙</t>
  </si>
  <si>
    <t>의약품 / 화장품 / MD / 식품</t>
  </si>
  <si>
    <t>선반 표시</t>
  </si>
  <si>
    <t>PDRN 성분명만으로 동일 효능·필수 사용순서로 안내하지 않음.</t>
  </si>
  <si>
    <t>선정 근거 수준</t>
  </si>
  <si>
    <t>기존 원장·사용자 핵심품·조닝</t>
  </si>
  <si>
    <t>기획 판단</t>
  </si>
  <si>
    <t>매출·공급가·마진·품절·현재 거래가능성 미확인. 순위 점수 부여 안함.</t>
  </si>
  <si>
    <t>초도 조정</t>
  </si>
  <si>
    <t>2주 후 1F 단위</t>
  </si>
  <si>
    <t>운영 제안</t>
  </si>
  <si>
    <t>회전·지명 문의·품절·유통기한을 보고 확장/축소. 공란을 같은 SKU 반복으로 채우지 않음.</t>
  </si>
  <si>
    <t>실물 포장</t>
  </si>
  <si>
    <t>판매 단위 기준</t>
  </si>
  <si>
    <t>복수EA·병 대조</t>
  </si>
  <si>
    <t>운송박스/세트/낱개 구분. 포장 뜯기·의약품 분할 판매 지시 아님.</t>
  </si>
  <si>
    <t>확정 절차</t>
  </si>
  <si>
    <t>원장 선정 → 공급 대조 → 치수 → 실측</t>
  </si>
  <si>
    <t>권장과 확정은 별개. 노란 최종 취급결정·바코드·확정 위치에 기록.</t>
  </si>
  <si>
    <t>조닝</t>
  </si>
  <si>
    <t>좌·우 진입</t>
  </si>
  <si>
    <t>좌 피부OTC / 우 더마</t>
  </si>
  <si>
    <t>국적존 아님</t>
  </si>
  <si>
    <t>약국은 전체층 우상단 P-2F 집기 범위. 이웃 D/F 뷰티 진열 제외.</t>
  </si>
  <si>
    <t>제약</t>
  </si>
  <si>
    <t>엑셀·JSON</t>
  </si>
  <si>
    <t>파일 간 자동 동기화 없음</t>
  </si>
  <si>
    <t>운영 기록</t>
  </si>
  <si>
    <t>변경 이후 내보내기 전 상품코드·F·선반을 함께 갱신.</t>
  </si>
  <si>
    <t>기존 v7 시뮬레이터</t>
  </si>
  <si>
    <t>상품 타일은 개념도</t>
  </si>
  <si>
    <t>실물 수량 아님</t>
  </si>
  <si>
    <t>비고와 zoning에 SKU별 F를 보존. 고정 단간격·후크·정확한 F 시각화는 앱 기능 밖.</t>
  </si>
  <si>
    <t>0813 약국집기 수정도면 (무신사 성수점)</t>
  </si>
  <si>
    <t>2026-08-11 (p7 08-07; p1 07-05)</t>
  </si>
  <si>
    <t>첨부 PDF p1 전체층/p2 약국/p3~7 제작상세</t>
  </si>
  <si>
    <t>제작치수 우선; 초기 투시도는 외관 참고</t>
  </si>
  <si>
    <t>동아제약 애크린 제품정보</t>
  </si>
  <si>
    <t>2026-09-17 확인</t>
  </si>
  <si>
    <t>https://www.dapharm.com/ko/brand/product/ACL</t>
  </si>
  <si>
    <t>겔 및 몸 여드름용 외용액 구분. 페이싱 근거는 아님.</t>
  </si>
  <si>
    <t>한미사이언스 프로캄 공식 라인</t>
  </si>
  <si>
    <t>아크페어 클리어 겔 화장품 분류 수정; 프로바이오틱스는 버전 대조</t>
  </si>
  <si>
    <t>파마리서치 리쥬비-에스 출시자료</t>
  </si>
  <si>
    <t>2025-12-19 / 2026-09-17 확인</t>
  </si>
  <si>
    <t>리쥬비넥스 의약품과 리쥬비-에스 화장품의 분리</t>
  </si>
  <si>
    <t>분류 수정</t>
  </si>
  <si>
    <t>pd0002467 아크페어 클리어 겔</t>
  </si>
  <si>
    <t>pd0002375 프로캄진프로바이오틱플러스30</t>
  </si>
  <si>
    <t>pd0001100 시오레 마시는 PDRN200 어드밴스드</t>
  </si>
  <si>
    <t>pd0000197 네츄럴메이드 후레쉬한 구강유산균</t>
  </si>
  <si>
    <t>pd0001564 코르테 코르테 알엑스 쉴드 크림 MD 50g</t>
  </si>
  <si>
    <t>pd0001565 코르테 코르테 알엑스 로션 MD 300g</t>
  </si>
  <si>
    <t>pd0001566 코르테 코르테 알엑스 크림 MD 200g</t>
  </si>
  <si>
    <t>pd0001441 닥터리쥬진 하이퍼인퓨전 마그네틱 인퓨저</t>
  </si>
  <si>
    <t>pd0001739 톰 더 부스터_베이지</t>
  </si>
  <si>
    <t>pd0001740 톰 더 글로우 시그니처_베이지</t>
  </si>
  <si>
    <t>pd0001860 애크린외용액</t>
  </si>
  <si>
    <t>j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</si>
</sst>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1">
    <font>
      <sz val="11"/>
      <name val="Carlito"/>
    </font>
    <font>
      <sz val="11"/>
      <color rgb="FF233C56"/>
      <name val="Noto Sans CJK KR"/>
    </font>
    <font>
      <sz val="11"/>
      <color rgb="FF586E7B"/>
      <name val="Noto Sans CJK KR"/>
    </font>
    <font>
      <b/>
      <sz val="10"/>
      <color rgb="FF183147"/>
      <name val="NanumGothic"/>
    </font>
    <font>
      <sz val="10"/>
      <color rgb="FF183147"/>
      <name val="NanumGothic"/>
    </font>
    <font>
      <b/>
      <sz val="10"/>
      <color rgb="FFFFFFFF"/>
      <name val="NanumGothic"/>
    </font>
    <font>
      <b/>
      <sz val="16"/>
      <color rgb="FF183147"/>
      <name val="NanumGothic"/>
    </font>
    <font>
      <sz val="10"/>
      <color rgb="FF62768A"/>
      <name val="NanumGothic"/>
    </font>
    <font>
      <sz val="10"/>
      <color rgb="FF2455A6"/>
      <name val="NanumGothic"/>
    </font>
    <font>
      <sz val="11"/>
      <name val="Carlito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72D49"/>
      </patternFill>
    </fill>
    <fill>
      <patternFill patternType="solid">
        <fgColor rgb="FFF3F6F8"/>
      </patternFill>
    </fill>
    <fill>
      <patternFill patternType="solid">
        <fgColor rgb="FFFFF3D5"/>
      </patternFill>
    </fill>
    <fill>
      <patternFill patternType="solid">
        <fgColor rgb="FF18314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/>
  </cellStyleXfs>
  <cellXfs count="27">
    <xf numFmtId="0" fontId="0" fillId="0" borderId="0" xfId="0"/>
    <xf numFmtId="0" fontId="1" fillId="0" borderId="0" xfId="1" applyFont="1" applyAlignment="1">
      <alignment vertical="top" wrapText="1"/>
    </xf>
    <xf numFmtId="0" fontId="2" fillId="0" borderId="0" xfId="1" applyFont="1" applyAlignment="1">
      <alignment vertical="top" wrapText="1"/>
    </xf>
    <xf numFmtId="0" fontId="4" fillId="0" borderId="0" xfId="1" applyFont="1"/>
    <xf numFmtId="0" fontId="4" fillId="0" borderId="0" xfId="1" applyFont="1" applyAlignment="1">
      <alignment vertical="top" wrapText="1"/>
    </xf>
    <xf numFmtId="0" fontId="4" fillId="3" borderId="0" xfId="1" applyFont="1" applyFill="1" applyAlignment="1">
      <alignment vertical="top" wrapText="1"/>
    </xf>
    <xf numFmtId="0" fontId="4" fillId="0" borderId="0" xfId="1" applyFont="1" applyAlignment="1">
      <alignment vertical="center" wrapText="1"/>
    </xf>
    <xf numFmtId="1" fontId="4" fillId="0" borderId="0" xfId="1" applyNumberFormat="1" applyFont="1" applyAlignment="1">
      <alignment vertical="center" wrapText="1"/>
    </xf>
    <xf numFmtId="0" fontId="4" fillId="3" borderId="0" xfId="1" applyFont="1" applyFill="1" applyAlignment="1">
      <alignment vertical="center" wrapText="1"/>
    </xf>
    <xf numFmtId="1" fontId="4" fillId="3" borderId="0" xfId="1" applyNumberFormat="1" applyFont="1" applyFill="1" applyAlignment="1">
      <alignment vertical="center" wrapText="1"/>
    </xf>
    <xf numFmtId="0" fontId="5" fillId="5" borderId="0" xfId="1" applyFont="1" applyFill="1" applyAlignment="1">
      <alignment horizontal="center" vertical="center" wrapText="1"/>
    </xf>
    <xf numFmtId="0" fontId="5" fillId="5" borderId="0" xfId="1" applyFont="1" applyFill="1" applyAlignment="1">
      <alignment wrapText="1"/>
    </xf>
    <xf numFmtId="0" fontId="7" fillId="0" borderId="0" xfId="1" applyFont="1" applyAlignment="1">
      <alignment vertical="top" wrapText="1"/>
    </xf>
    <xf numFmtId="0" fontId="4" fillId="4" borderId="0" xfId="1" applyFont="1" applyFill="1" applyAlignment="1">
      <alignment vertical="top" wrapText="1"/>
    </xf>
    <xf numFmtId="0" fontId="4" fillId="4" borderId="0" xfId="1" applyFont="1" applyFill="1" applyAlignment="1">
      <alignment vertical="center" wrapText="1"/>
    </xf>
    <xf numFmtId="0" fontId="8" fillId="6" borderId="0" xfId="1" applyFont="1" applyFill="1" applyAlignment="1">
      <alignment vertical="center" wrapText="1"/>
    </xf>
    <xf numFmtId="176" fontId="8" fillId="6" borderId="0" xfId="1" applyNumberFormat="1" applyFont="1" applyFill="1" applyAlignment="1">
      <alignment vertical="center" wrapText="1"/>
    </xf>
    <xf numFmtId="0" fontId="6" fillId="0" borderId="0" xfId="1" applyFont="1"/>
    <xf numFmtId="0" fontId="7" fillId="0" borderId="0" xfId="1" applyFont="1"/>
    <xf numFmtId="0" fontId="3" fillId="2" borderId="0" xfId="1" applyFont="1" applyFill="1" applyAlignment="1">
      <alignment vertical="top" wrapText="1"/>
    </xf>
    <xf numFmtId="0" fontId="4" fillId="0" borderId="0" xfId="1" applyFont="1" applyAlignment="1">
      <alignment wrapText="1"/>
    </xf>
    <xf numFmtId="0" fontId="6" fillId="0" borderId="0" xfId="1" applyFont="1" applyAlignment="1">
      <alignment vertical="top" wrapText="1"/>
    </xf>
    <xf numFmtId="0" fontId="1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2" fillId="0" borderId="0" xfId="1" applyFont="1" applyAlignment="1">
      <alignment vertical="top" wrapText="1"/>
    </xf>
    <xf numFmtId="0" fontId="7" fillId="0" borderId="0" xfId="1" applyFont="1" applyAlignment="1">
      <alignment vertical="top" wrapText="1"/>
    </xf>
    <xf numFmtId="0" fontId="4" fillId="0" borderId="0" xfId="1" applyFont="1" applyAlignment="1">
      <alignment vertical="top" wrapText="1"/>
    </xf>
  </cellXfs>
  <cellStyles count="2">
    <cellStyle name="Normal" xfId="1" xr:uid="{00000000-0005-0000-0000-000000000000}"/>
    <cellStyle name="표준" xfId="0" builtinId="0"/>
  </cellStyles>
  <dxfs count="9">
    <dxf>
      <font>
        <b/>
        <color rgb="FFB52823"/>
      </font>
      <fill>
        <patternFill>
          <bgColor rgb="FFFCE4DD"/>
        </patternFill>
      </fill>
    </dxf>
    <dxf>
      <fill>
        <patternFill>
          <bgColor rgb="FFEFF1F4"/>
        </patternFill>
      </fill>
    </dxf>
    <dxf>
      <fill>
        <patternFill>
          <bgColor rgb="FFFCE9E5"/>
        </patternFill>
      </fill>
    </dxf>
    <dxf>
      <fill>
        <patternFill>
          <bgColor rgb="FFFFF0DA"/>
        </patternFill>
      </fill>
    </dxf>
    <dxf>
      <fill>
        <patternFill>
          <bgColor rgb="FFEAF2FA"/>
        </patternFill>
      </fill>
    </dxf>
    <dxf>
      <fill>
        <patternFill>
          <bgColor rgb="FFDFF1E7"/>
        </patternFill>
      </fill>
    </dxf>
    <dxf>
      <fill>
        <patternFill>
          <bgColor rgb="FFFFF5DE"/>
        </patternFill>
      </fill>
    </dxf>
    <dxf>
      <font>
        <b/>
        <color rgb="FFB52823"/>
      </font>
      <fill>
        <patternFill>
          <bgColor rgb="FFFCE4DD"/>
        </patternFill>
      </fill>
    </dxf>
    <dxf>
      <font>
        <color rgb="FF8A652D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Seongsu01" displayName="Seongsu01" ref="A6:V69" totalsRowShown="0">
  <autoFilter ref="A6:V69" xr:uid="{00000000-0009-0000-0100-000005000000}"/>
  <tableColumns count="22">
    <tableColumn id="1" xr3:uid="{00000000-0010-0000-0000-000001000000}" name="모듈"/>
    <tableColumn id="2" xr3:uid="{00000000-0010-0000-0000-000002000000}" name="방향"/>
    <tableColumn id="3" xr3:uid="{00000000-0010-0000-0000-000003000000}" name="주테마"/>
    <tableColumn id="4" xr3:uid="{00000000-0010-0000-0000-000004000000}" name="매대명"/>
    <tableColumn id="5" xr3:uid="{00000000-0010-0000-0000-000005000000}" name="역할"/>
    <tableColumn id="6" xr3:uid="{00000000-0010-0000-0000-000006000000}" name="브랜드 운영"/>
    <tableColumn id="7" xr3:uid="{00000000-0010-0000-0000-000007000000}" name="S1 최상단"/>
    <tableColumn id="8" xr3:uid="{00000000-0010-0000-0000-000008000000}" name="S2"/>
    <tableColumn id="9" xr3:uid="{00000000-0010-0000-0000-000009000000}" name="S3"/>
    <tableColumn id="10" xr3:uid="{00000000-0010-0000-0000-00000A000000}" name="S4"/>
    <tableColumn id="11" xr3:uid="{00000000-0010-0000-0000-00000B000000}" name="S5 최하단"/>
    <tableColumn id="12" xr3:uid="{00000000-0010-0000-0000-00000C000000}" name="선반 수"/>
    <tableColumn id="13" xr3:uid="{00000000-0010-0000-0000-00000D000000}" name="오픈 진열단"/>
    <tableColumn id="14" xr3:uid="{00000000-0010-0000-0000-00000E000000}" name="테마 진열단"/>
    <tableColumn id="15" xr3:uid="{00000000-0010-0000-0000-00000F000000}" name="시험·여유단"/>
    <tableColumn id="16" xr3:uid="{00000000-0010-0000-0000-000010000000}" name="안내단"/>
    <tableColumn id="17" xr3:uid="{00000000-0010-0000-0000-000011000000}" name="운영 메모"/>
    <tableColumn id="18" xr3:uid="{00000000-0010-0000-0000-000012000000}" name="제작도면 집기"/>
    <tableColumn id="19" xr3:uid="{00000000-0010-0000-0000-000013000000}" name="총높이 mm"/>
    <tableColumn id="20" xr3:uid="{00000000-0010-0000-0000-000014000000}" name="진열 SKU행"/>
    <tableColumn id="21" xr3:uid="{00000000-0010-0000-0000-000015000000}" name="계획 총F"/>
    <tableColumn id="22" xr3:uid="{00000000-0010-0000-0000-000016000000}" name="치수 근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Seongsu02" displayName="Seongsu02" ref="A6:AB321" totalsRowShown="0">
  <autoFilter ref="A6:AB321" xr:uid="{00000000-0009-0000-0100-000008000000}"/>
  <tableColumns count="28">
    <tableColumn id="1" xr3:uid="{00000000-0010-0000-0100-000001000000}" name="선반 ID"/>
    <tableColumn id="2" xr3:uid="{00000000-0010-0000-0100-000002000000}" name="모듈"/>
    <tableColumn id="3" xr3:uid="{00000000-0010-0000-0100-000003000000}" name="방향"/>
    <tableColumn id="4" xr3:uid="{00000000-0010-0000-0100-000004000000}" name="단"/>
    <tableColumn id="5" xr3:uid="{00000000-0010-0000-0100-000005000000}" name="주테마"/>
    <tableColumn id="6" xr3:uid="{00000000-0010-0000-0100-000006000000}" name="고민·증상"/>
    <tableColumn id="7" xr3:uid="{00000000-0010-0000-0100-000007000000}" name="운영 상품군"/>
    <tableColumn id="8" xr3:uid="{00000000-0010-0000-0100-000008000000}" name="권장 취급제품"/>
    <tableColumn id="9" xr3:uid="{00000000-0010-0000-0100-000009000000}" name="원본 공급코드"/>
    <tableColumn id="10" xr3:uid="{00000000-0010-0000-0100-00000A000000}" name="대체 선택 방법"/>
    <tableColumn id="11" xr3:uid="{00000000-0010-0000-0100-00000B000000}" name="운영 상태"/>
    <tableColumn id="12" xr3:uid="{00000000-0010-0000-0100-00000C000000}" name="확정 상품명"/>
    <tableColumn id="13" xr3:uid="{00000000-0010-0000-0100-00000D000000}" name="확정 공급코드"/>
    <tableColumn id="14" xr3:uid="{00000000-0010-0000-0100-00000E000000}" name="진열·상담 기준"/>
    <tableColumn id="15" xr3:uid="{00000000-0010-0000-0100-00000F000000}" name="자료 수준"/>
    <tableColumn id="16" xr3:uid="{00000000-0010-0000-0100-000010000000}" name="활성 SKU행"/>
    <tableColumn id="17" xr3:uid="{00000000-0010-0000-0100-000011000000}" name="계획 F 합계"/>
    <tableColumn id="18" xr3:uid="{00000000-0010-0000-0100-000012000000}" name="적용 유효폭"/>
    <tableColumn id="19" xr3:uid="{00000000-0010-0000-0100-000013000000}" name="적용 깊이"/>
    <tableColumn id="20" xr3:uid="{00000000-0010-0000-0100-000014000000}" name="도면 개구높이"/>
    <tableColumn id="21" xr3:uid="{00000000-0010-0000-0100-000015000000}" name="상품높이 상한"/>
    <tableColumn id="22" xr3:uid="{00000000-0010-0000-0100-000016000000}" name="사용폭 합계"/>
    <tableColumn id="23" xr3:uid="{00000000-0010-0000-0100-000017000000}" name="수용 검토"/>
    <tableColumn id="24" xr3:uid="{00000000-0010-0000-0100-000018000000}" name="초기 SKU별 F"/>
    <tableColumn id="25" xr3:uid="{00000000-0010-0000-0100-000019000000}" name="후크 확인"/>
    <tableColumn id="26" xr3:uid="{00000000-0010-0000-0100-00001A000000}" name="개별 실측폭"/>
    <tableColumn id="27" xr3:uid="{00000000-0010-0000-0100-00001B000000}" name="개별 실측깊이"/>
    <tableColumn id="28" xr3:uid="{00000000-0010-0000-0100-00001C000000}" name="개별 실측개구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Seongsu03" displayName="Seongsu03" ref="A6:AA2532" totalsRowShown="0">
  <autoFilter ref="A6:AA2532" xr:uid="{00000000-0009-0000-0100-000006000000}"/>
  <sortState xmlns:xlrd2="http://schemas.microsoft.com/office/spreadsheetml/2017/richdata2" ref="A7:AA2532">
    <sortCondition ref="C6:C2532"/>
  </sortState>
  <tableColumns count="27">
    <tableColumn id="1" xr3:uid="{00000000-0010-0000-0200-000001000000}" name="원본 공급코드"/>
    <tableColumn id="2" xr3:uid="{00000000-0010-0000-0200-000002000000}" name="원본 행"/>
    <tableColumn id="3" xr3:uid="{00000000-0010-0000-0200-000003000000}" name="원본 상품명"/>
    <tableColumn id="4" xr3:uid="{00000000-0010-0000-0200-000004000000}" name="원본 규격"/>
    <tableColumn id="5" xr3:uid="{00000000-0010-0000-0200-000005000000}" name="대분류"/>
    <tableColumn id="6" xr3:uid="{00000000-0010-0000-0200-000006000000}" name="운영 상품군"/>
    <tableColumn id="7" xr3:uid="{00000000-0010-0000-0200-000007000000}" name="권장 주 진열"/>
    <tableColumn id="8" xr3:uid="{00000000-0010-0000-0200-000008000000}" name="구체 선반"/>
    <tableColumn id="9" xr3:uid="{00000000-0010-0000-0200-000009000000}" name="취급 권장"/>
    <tableColumn id="10" xr3:uid="{00000000-0010-0000-0200-00000A000000}" name="확정 위치"/>
    <tableColumn id="11" xr3:uid="{00000000-0010-0000-0200-00000B000000}" name="분류·표시 대조"/>
    <tableColumn id="12" xr3:uid="{00000000-0010-0000-0200-00000C000000}" name="분류·원본 이슈"/>
    <tableColumn id="13" xr3:uid="{00000000-0010-0000-0200-00000D000000}" name="중요도"/>
    <tableColumn id="14" xr3:uid="{00000000-0010-0000-0200-00000E000000}" name="오픈 선정"/>
    <tableColumn id="15" xr3:uid="{00000000-0010-0000-0200-00000F000000}" name="본진 F"/>
    <tableColumn id="16" xr3:uid="{00000000-0010-0000-0200-000010000000}" name="추가 F"/>
    <tableColumn id="17" xr3:uid="{00000000-0010-0000-0200-000011000000}" name="총 F"/>
    <tableColumn id="18" xr3:uid="{00000000-0010-0000-0200-000012000000}" name="채택시 시작F"/>
    <tableColumn id="19" xr3:uid="{00000000-0010-0000-0200-000013000000}" name="선정·보류 사유"/>
    <tableColumn id="20" xr3:uid="{00000000-0010-0000-0200-000014000000}" name="브랜드 검토"/>
    <tableColumn id="21" xr3:uid="{00000000-0010-0000-0200-000015000000}" name="중복 대조코드"/>
    <tableColumn id="22" xr3:uid="{00000000-0010-0000-0200-000016000000}" name="포장 가로 mm"/>
    <tableColumn id="23" xr3:uid="{00000000-0010-0000-0200-000017000000}" name="포장 높이 mm"/>
    <tableColumn id="24" xr3:uid="{00000000-0010-0000-0200-000018000000}" name="포장 깊이 mm"/>
    <tableColumn id="25" xr3:uid="{00000000-0010-0000-0200-000019000000}" name="소매단위 확인"/>
    <tableColumn id="26" xr3:uid="{00000000-0010-0000-0200-00001A000000}" name="확정 바코드"/>
    <tableColumn id="27" xr3:uid="{00000000-0010-0000-0200-00001B000000}" name="최종 취급결정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3000000}" name="Seongsu04" displayName="Seongsu04" ref="A6:L42" totalsRowShown="0">
  <tableColumns count="12">
    <tableColumn id="1" xr3:uid="{00000000-0010-0000-0300-000001000000}" name="브랜드·라인"/>
    <tableColumn id="2" xr3:uid="{00000000-0010-0000-0300-000002000000}" name="도입 역할"/>
    <tableColumn id="3" xr3:uid="{00000000-0010-0000-0300-000003000000}" name="검토 라인업"/>
    <tableColumn id="4" xr3:uid="{00000000-0010-0000-0300-000004000000}" name="권장·후보 위치"/>
    <tableColumn id="5" xr3:uid="{00000000-0010-0000-0300-000005000000}" name="거래 전 확인사항"/>
    <tableColumn id="6" xr3:uid="{00000000-0010-0000-0300-000006000000}" name="근거 수준"/>
    <tableColumn id="7" xr3:uid="{00000000-0010-0000-0300-000007000000}" name="사진 확인"/>
    <tableColumn id="8" xr3:uid="{00000000-0010-0000-0300-000008000000}" name="취급 결정"/>
    <tableColumn id="9" xr3:uid="{00000000-0010-0000-0300-000009000000}" name="참고 URL"/>
    <tableColumn id="10" xr3:uid="{00000000-0010-0000-0300-00000A000000}" name="이번 선정 SKU"/>
    <tableColumn id="11" xr3:uid="{00000000-0010-0000-0300-00000B000000}" name="도입 판단"/>
    <tableColumn id="12" xr3:uid="{00000000-0010-0000-0300-00000C000000}" name="원장 확인 메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4000000}" name="Seongsu05" displayName="Seongsu05" ref="A6:W373" totalsRowShown="0">
  <autoFilter ref="A6:W373" xr:uid="{00000000-0009-0000-0100-000009000000}"/>
  <tableColumns count="23">
    <tableColumn id="1" xr3:uid="{00000000-0010-0000-0400-000001000000}" name="배치 ID"/>
    <tableColumn id="2" xr3:uid="{00000000-0010-0000-0400-000002000000}" name="선반 ID"/>
    <tableColumn id="3" xr3:uid="{00000000-0010-0000-0400-000003000000}" name="모듈"/>
    <tableColumn id="4" xr3:uid="{00000000-0010-0000-0400-000004000000}" name="단"/>
    <tableColumn id="5" xr3:uid="{00000000-0010-0000-0400-000005000000}" name="공급코드"/>
    <tableColumn id="6" xr3:uid="{00000000-0010-0000-0400-000006000000}" name="상품명"/>
    <tableColumn id="7" xr3:uid="{00000000-0010-0000-0400-000007000000}" name="원본 규격"/>
    <tableColumn id="8" xr3:uid="{00000000-0010-0000-0400-000008000000}" name="역할"/>
    <tableColumn id="9" xr3:uid="{00000000-0010-0000-0400-000009000000}" name="중요도"/>
    <tableColumn id="10" xr3:uid="{00000000-0010-0000-0400-00000A000000}" name="좌→우 순번"/>
    <tableColumn id="11" xr3:uid="{00000000-0010-0000-0400-00000B000000}" name="권장 F"/>
    <tableColumn id="12" xr3:uid="{00000000-0010-0000-0400-00000C000000}" name="포장 가로"/>
    <tableColumn id="13" xr3:uid="{00000000-0010-0000-0400-00000D000000}" name="포장 높이"/>
    <tableColumn id="14" xr3:uid="{00000000-0010-0000-0400-00000E000000}" name="포장 깊이"/>
    <tableColumn id="15" xr3:uid="{00000000-0010-0000-0400-00000F000000}" name="유효폭 기준"/>
    <tableColumn id="16" xr3:uid="{00000000-0010-0000-0400-000010000000}" name="도면 개구높이"/>
    <tableColumn id="17" xr3:uid="{00000000-0010-0000-0400-000011000000}" name="상품높이 상한"/>
    <tableColumn id="18" xr3:uid="{00000000-0010-0000-0400-000012000000}" name="깊이 기준"/>
    <tableColumn id="19" xr3:uid="{00000000-0010-0000-0400-000013000000}" name="점유폭 mm"/>
    <tableColumn id="20" xr3:uid="{00000000-0010-0000-0400-000014000000}" name="개별 치수검토"/>
    <tableColumn id="21" xr3:uid="{00000000-0010-0000-0400-000015000000}" name="진열 방향"/>
    <tableColumn id="22" xr3:uid="{00000000-0010-0000-0400-000016000000}" name="진열 방식"/>
    <tableColumn id="23" xr3:uid="{00000000-0010-0000-0400-000017000000}" name="근거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Seongsu06" displayName="Seongsu06" ref="A6:S26" totalsRowShown="0">
  <autoFilter ref="A6:S26" xr:uid="{00000000-0009-0000-0100-000007000000}"/>
  <tableColumns count="19">
    <tableColumn id="1" xr3:uid="{00000000-0010-0000-0500-000001000000}" name="치수키"/>
    <tableColumn id="2" xr3:uid="{00000000-0010-0000-0500-000002000000}" name="유형"/>
    <tableColumn id="3" xr3:uid="{00000000-0010-0000-0500-000003000000}" name="도면 집기코드"/>
    <tableColumn id="4" xr3:uid="{00000000-0010-0000-0500-000004000000}" name="단"/>
    <tableColumn id="5" xr3:uid="{00000000-0010-0000-0500-000005000000}" name="선반판 폭 mm"/>
    <tableColumn id="6" xr3:uid="{00000000-0010-0000-0500-000006000000}" name="계획 유효폭 mm"/>
    <tableColumn id="7" xr3:uid="{00000000-0010-0000-0500-000007000000}" name="진열 깊이 mm"/>
    <tableColumn id="8" xr3:uid="{00000000-0010-0000-0500-000008000000}" name="개구 높이 mm"/>
    <tableColumn id="9" xr3:uid="{00000000-0010-0000-0500-000009000000}" name="높이 여유 mm"/>
    <tableColumn id="10" xr3:uid="{00000000-0010-0000-0500-00000A000000}" name="상품높이 상한"/>
    <tableColumn id="11" xr3:uid="{00000000-0010-0000-0500-00000B000000}" name="실측 유효폭"/>
    <tableColumn id="12" xr3:uid="{00000000-0010-0000-0500-00000C000000}" name="실측 깊이"/>
    <tableColumn id="13" xr3:uid="{00000000-0010-0000-0500-00000D000000}" name="실측 개구높이"/>
    <tableColumn id="14" xr3:uid="{00000000-0010-0000-0500-00000E000000}" name="적용 유효폭"/>
    <tableColumn id="15" xr3:uid="{00000000-0010-0000-0500-00000F000000}" name="적용 깊이"/>
    <tableColumn id="16" xr3:uid="{00000000-0010-0000-0500-000010000000}" name="적용 상품높이"/>
    <tableColumn id="17" xr3:uid="{00000000-0010-0000-0500-000011000000}" name="출처"/>
    <tableColumn id="18" xr3:uid="{00000000-0010-0000-0500-000012000000}" name="해석·조건"/>
    <tableColumn id="19" xr3:uid="{00000000-0010-0000-0500-000013000000}" name="치수 상태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6000000}" name="Seongsu07" displayName="Seongsu07" ref="A6:E44" totalsRowShown="0">
  <autoFilter ref="A6:E44" xr:uid="{00000000-0009-0000-0100-00000B000000}"/>
  <tableColumns count="5">
    <tableColumn id="1" xr3:uid="{00000000-0010-0000-0600-000001000000}" name="구분"/>
    <tableColumn id="2" xr3:uid="{00000000-0010-0000-0600-000002000000}" name="항목"/>
    <tableColumn id="3" xr3:uid="{00000000-0010-0000-0600-000003000000}" name="값·내용"/>
    <tableColumn id="4" xr3:uid="{00000000-0010-0000-0600-000004000000}" name="기준·링크"/>
    <tableColumn id="5" xr3:uid="{00000000-0010-0000-0600-000005000000}" name="실무 해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83147"/>
  </sheetPr>
  <dimension ref="A1:V82"/>
  <sheetViews>
    <sheetView showGridLines="0" workbookViewId="0">
      <pane xSplit="2" ySplit="6" topLeftCell="C61" activePane="bottomRight" state="frozen"/>
      <selection pane="topRight"/>
      <selection pane="bottomLeft"/>
      <selection pane="bottomRight" activeCell="C7" sqref="C7"/>
    </sheetView>
  </sheetViews>
  <sheetFormatPr defaultRowHeight="14"/>
  <cols>
    <col min="1" max="1" width="16" customWidth="1"/>
    <col min="2" max="2" width="20" customWidth="1"/>
    <col min="3" max="3" width="25" customWidth="1"/>
    <col min="4" max="4" width="28" customWidth="1"/>
    <col min="5" max="5" width="25" customWidth="1"/>
    <col min="6" max="6" width="40" customWidth="1"/>
    <col min="7" max="11" width="33" customWidth="1"/>
    <col min="12" max="12" width="10" customWidth="1"/>
    <col min="13" max="15" width="12" customWidth="1"/>
    <col min="16" max="16" width="10" customWidth="1"/>
    <col min="17" max="17" width="60" customWidth="1"/>
    <col min="18" max="18" width="23" customWidth="1"/>
    <col min="19" max="19" width="13" customWidth="1"/>
    <col min="20" max="20" width="14" customWidth="1"/>
    <col min="21" max="21" width="12" customWidth="1"/>
    <col min="22" max="22" width="38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22" ht="30" customHeight="1">
      <c r="A2" s="21" t="s">
        <v>0</v>
      </c>
      <c r="B2" s="22"/>
      <c r="C2" s="22"/>
      <c r="D2" s="22"/>
      <c r="E2" s="2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2" ht="43" customHeight="1">
      <c r="A3" s="23" t="s">
        <v>1</v>
      </c>
      <c r="B3" s="24"/>
      <c r="C3" s="24"/>
      <c r="D3" s="24"/>
      <c r="E3" s="24"/>
      <c r="F3" s="24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2" ht="39" customHeight="1">
      <c r="A4" s="25" t="s">
        <v>2</v>
      </c>
      <c r="B4" s="22"/>
      <c r="C4" s="22"/>
      <c r="D4" s="22"/>
      <c r="E4" s="22"/>
      <c r="F4" s="22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2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22" ht="33" customHeight="1">
      <c r="A6" s="10" t="s">
        <v>3</v>
      </c>
      <c r="B6" s="10" t="s">
        <v>4</v>
      </c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  <c r="H6" s="10" t="s">
        <v>10</v>
      </c>
      <c r="I6" s="10" t="s">
        <v>11</v>
      </c>
      <c r="J6" s="10" t="s">
        <v>12</v>
      </c>
      <c r="K6" s="10" t="s">
        <v>13</v>
      </c>
      <c r="L6" s="10" t="s">
        <v>14</v>
      </c>
      <c r="M6" s="10" t="s">
        <v>15</v>
      </c>
      <c r="N6" s="10" t="s">
        <v>16</v>
      </c>
      <c r="O6" s="10" t="s">
        <v>17</v>
      </c>
      <c r="P6" s="10" t="s">
        <v>18</v>
      </c>
      <c r="Q6" s="10" t="s">
        <v>19</v>
      </c>
      <c r="R6" s="10" t="s">
        <v>20</v>
      </c>
      <c r="S6" s="10" t="s">
        <v>21</v>
      </c>
      <c r="T6" s="10" t="s">
        <v>22</v>
      </c>
      <c r="U6" s="10" t="s">
        <v>23</v>
      </c>
      <c r="V6" s="10" t="s">
        <v>24</v>
      </c>
    </row>
    <row r="7" spans="1:22" ht="33" customHeight="1">
      <c r="A7" s="6" t="s">
        <v>25</v>
      </c>
      <c r="B7" s="6" t="s">
        <v>26</v>
      </c>
      <c r="C7" s="6" t="s">
        <v>27</v>
      </c>
      <c r="D7" s="6" t="s">
        <v>28</v>
      </c>
      <c r="E7" s="6" t="s">
        <v>29</v>
      </c>
      <c r="F7" s="6"/>
      <c r="G7" s="6" t="s">
        <v>30</v>
      </c>
      <c r="H7" s="6" t="s">
        <v>31</v>
      </c>
      <c r="I7" s="6" t="s">
        <v>32</v>
      </c>
      <c r="J7" s="6" t="s">
        <v>33</v>
      </c>
      <c r="K7" s="6" t="s">
        <v>34</v>
      </c>
      <c r="L7" s="7">
        <v>5</v>
      </c>
      <c r="M7" s="7">
        <v>3</v>
      </c>
      <c r="N7" s="7">
        <v>0</v>
      </c>
      <c r="O7" s="7">
        <v>1</v>
      </c>
      <c r="P7" s="7">
        <v>1</v>
      </c>
      <c r="Q7" s="6" t="s">
        <v>35</v>
      </c>
      <c r="R7" s="6" t="s">
        <v>36</v>
      </c>
      <c r="S7" s="6">
        <v>2400</v>
      </c>
      <c r="T7" s="6">
        <f>SUMIFS('02_선반315'!$P$7:$P$321,'02_선반315'!$B$7:$B$321,A7)</f>
        <v>5</v>
      </c>
      <c r="U7" s="6">
        <f>SUMIFS('02_선반315'!$Q$7:$Q$321,'02_선반315'!$B$7:$B$321,A7)</f>
        <v>6</v>
      </c>
      <c r="V7" s="6" t="s">
        <v>37</v>
      </c>
    </row>
    <row r="8" spans="1:22" ht="33" customHeight="1">
      <c r="A8" s="8" t="s">
        <v>38</v>
      </c>
      <c r="B8" s="8" t="s">
        <v>26</v>
      </c>
      <c r="C8" s="8" t="s">
        <v>39</v>
      </c>
      <c r="D8" s="8" t="s">
        <v>40</v>
      </c>
      <c r="E8" s="8" t="s">
        <v>41</v>
      </c>
      <c r="F8" s="8" t="s">
        <v>42</v>
      </c>
      <c r="G8" s="8" t="s">
        <v>43</v>
      </c>
      <c r="H8" s="8" t="s">
        <v>44</v>
      </c>
      <c r="I8" s="8" t="s">
        <v>45</v>
      </c>
      <c r="J8" s="8" t="s">
        <v>46</v>
      </c>
      <c r="K8" s="8" t="s">
        <v>47</v>
      </c>
      <c r="L8" s="9">
        <v>5</v>
      </c>
      <c r="M8" s="9">
        <v>3</v>
      </c>
      <c r="N8" s="9">
        <v>0</v>
      </c>
      <c r="O8" s="9">
        <v>1</v>
      </c>
      <c r="P8" s="9">
        <v>1</v>
      </c>
      <c r="Q8" s="8" t="s">
        <v>48</v>
      </c>
      <c r="R8" s="6" t="s">
        <v>36</v>
      </c>
      <c r="S8" s="6">
        <v>2400</v>
      </c>
      <c r="T8" s="6">
        <f>SUMIFS('02_선반315'!$P$7:$P$321,'02_선반315'!$B$7:$B$321,A8)</f>
        <v>6</v>
      </c>
      <c r="U8" s="6">
        <f>SUMIFS('02_선반315'!$Q$7:$Q$321,'02_선반315'!$B$7:$B$321,A8)</f>
        <v>7</v>
      </c>
      <c r="V8" s="6" t="s">
        <v>37</v>
      </c>
    </row>
    <row r="9" spans="1:22" ht="33" customHeight="1">
      <c r="A9" s="6" t="s">
        <v>49</v>
      </c>
      <c r="B9" s="6" t="s">
        <v>26</v>
      </c>
      <c r="C9" s="6" t="s">
        <v>50</v>
      </c>
      <c r="D9" s="6" t="s">
        <v>51</v>
      </c>
      <c r="E9" s="6" t="s">
        <v>52</v>
      </c>
      <c r="F9" s="6"/>
      <c r="G9" s="6" t="s">
        <v>53</v>
      </c>
      <c r="H9" s="6" t="s">
        <v>54</v>
      </c>
      <c r="I9" s="6" t="s">
        <v>55</v>
      </c>
      <c r="J9" s="6" t="s">
        <v>56</v>
      </c>
      <c r="K9" s="6" t="s">
        <v>57</v>
      </c>
      <c r="L9" s="7">
        <v>5</v>
      </c>
      <c r="M9" s="7">
        <v>0</v>
      </c>
      <c r="N9" s="7">
        <v>3</v>
      </c>
      <c r="O9" s="7">
        <v>1</v>
      </c>
      <c r="P9" s="7">
        <v>1</v>
      </c>
      <c r="Q9" s="6" t="s">
        <v>58</v>
      </c>
      <c r="R9" s="6" t="s">
        <v>36</v>
      </c>
      <c r="S9" s="6">
        <v>2400</v>
      </c>
      <c r="T9" s="6">
        <f>SUMIFS('02_선반315'!$P$7:$P$321,'02_선반315'!$B$7:$B$321,A9)</f>
        <v>3</v>
      </c>
      <c r="U9" s="6">
        <f>SUMIFS('02_선반315'!$Q$7:$Q$321,'02_선반315'!$B$7:$B$321,A9)</f>
        <v>3</v>
      </c>
      <c r="V9" s="6" t="s">
        <v>37</v>
      </c>
    </row>
    <row r="10" spans="1:22" ht="33" customHeight="1">
      <c r="A10" s="8" t="s">
        <v>59</v>
      </c>
      <c r="B10" s="8" t="s">
        <v>26</v>
      </c>
      <c r="C10" s="8" t="s">
        <v>60</v>
      </c>
      <c r="D10" s="8" t="s">
        <v>61</v>
      </c>
      <c r="E10" s="8" t="s">
        <v>62</v>
      </c>
      <c r="F10" s="8"/>
      <c r="G10" s="8" t="s">
        <v>63</v>
      </c>
      <c r="H10" s="8" t="s">
        <v>64</v>
      </c>
      <c r="I10" s="8" t="s">
        <v>65</v>
      </c>
      <c r="J10" s="8" t="s">
        <v>66</v>
      </c>
      <c r="K10" s="8" t="s">
        <v>67</v>
      </c>
      <c r="L10" s="9">
        <v>5</v>
      </c>
      <c r="M10" s="9">
        <v>4</v>
      </c>
      <c r="N10" s="9">
        <v>0</v>
      </c>
      <c r="O10" s="9">
        <v>0</v>
      </c>
      <c r="P10" s="9">
        <v>1</v>
      </c>
      <c r="Q10" s="8" t="s">
        <v>68</v>
      </c>
      <c r="R10" s="6" t="s">
        <v>36</v>
      </c>
      <c r="S10" s="6">
        <v>2400</v>
      </c>
      <c r="T10" s="6">
        <f>SUMIFS('02_선반315'!$P$7:$P$321,'02_선반315'!$B$7:$B$321,A10)</f>
        <v>10</v>
      </c>
      <c r="U10" s="6">
        <f>SUMIFS('02_선반315'!$Q$7:$Q$321,'02_선반315'!$B$7:$B$321,A10)</f>
        <v>10</v>
      </c>
      <c r="V10" s="6" t="s">
        <v>37</v>
      </c>
    </row>
    <row r="11" spans="1:22" ht="33" customHeight="1">
      <c r="A11" s="6" t="s">
        <v>69</v>
      </c>
      <c r="B11" s="6" t="s">
        <v>26</v>
      </c>
      <c r="C11" s="6" t="s">
        <v>60</v>
      </c>
      <c r="D11" s="6" t="s">
        <v>70</v>
      </c>
      <c r="E11" s="6" t="s">
        <v>71</v>
      </c>
      <c r="F11" s="6" t="s">
        <v>72</v>
      </c>
      <c r="G11" s="6" t="s">
        <v>73</v>
      </c>
      <c r="H11" s="6" t="s">
        <v>74</v>
      </c>
      <c r="I11" s="6" t="s">
        <v>75</v>
      </c>
      <c r="J11" s="6" t="s">
        <v>76</v>
      </c>
      <c r="K11" s="6" t="s">
        <v>77</v>
      </c>
      <c r="L11" s="7">
        <v>5</v>
      </c>
      <c r="M11" s="7">
        <v>4</v>
      </c>
      <c r="N11" s="7">
        <v>0</v>
      </c>
      <c r="O11" s="7">
        <v>0</v>
      </c>
      <c r="P11" s="7">
        <v>1</v>
      </c>
      <c r="Q11" s="6" t="s">
        <v>78</v>
      </c>
      <c r="R11" s="6" t="s">
        <v>36</v>
      </c>
      <c r="S11" s="6">
        <v>2400</v>
      </c>
      <c r="T11" s="6">
        <f>SUMIFS('02_선반315'!$P$7:$P$321,'02_선반315'!$B$7:$B$321,A11)</f>
        <v>8</v>
      </c>
      <c r="U11" s="6">
        <f>SUMIFS('02_선반315'!$Q$7:$Q$321,'02_선반315'!$B$7:$B$321,A11)</f>
        <v>8</v>
      </c>
      <c r="V11" s="6" t="s">
        <v>37</v>
      </c>
    </row>
    <row r="12" spans="1:22" ht="33" customHeight="1">
      <c r="A12" s="8" t="s">
        <v>79</v>
      </c>
      <c r="B12" s="8" t="s">
        <v>80</v>
      </c>
      <c r="C12" s="8" t="s">
        <v>81</v>
      </c>
      <c r="D12" s="8" t="s">
        <v>82</v>
      </c>
      <c r="E12" s="8" t="s">
        <v>83</v>
      </c>
      <c r="F12" s="8"/>
      <c r="G12" s="8" t="s">
        <v>84</v>
      </c>
      <c r="H12" s="8" t="s">
        <v>85</v>
      </c>
      <c r="I12" s="8" t="s">
        <v>86</v>
      </c>
      <c r="J12" s="8" t="s">
        <v>87</v>
      </c>
      <c r="K12" s="8" t="s">
        <v>88</v>
      </c>
      <c r="L12" s="9">
        <v>5</v>
      </c>
      <c r="M12" s="9">
        <v>5</v>
      </c>
      <c r="N12" s="9">
        <v>0</v>
      </c>
      <c r="O12" s="9">
        <v>0</v>
      </c>
      <c r="P12" s="9">
        <v>0</v>
      </c>
      <c r="Q12" s="8"/>
      <c r="R12" s="6" t="s">
        <v>89</v>
      </c>
      <c r="S12" s="6">
        <v>1700</v>
      </c>
      <c r="T12" s="6">
        <f>SUMIFS('02_선반315'!$P$7:$P$321,'02_선반315'!$B$7:$B$321,A12)</f>
        <v>14</v>
      </c>
      <c r="U12" s="6">
        <f>SUMIFS('02_선반315'!$Q$7:$Q$321,'02_선반315'!$B$7:$B$321,A12)</f>
        <v>14</v>
      </c>
      <c r="V12" s="6" t="s">
        <v>90</v>
      </c>
    </row>
    <row r="13" spans="1:22" ht="33" customHeight="1">
      <c r="A13" s="6" t="s">
        <v>91</v>
      </c>
      <c r="B13" s="6" t="s">
        <v>80</v>
      </c>
      <c r="C13" s="6" t="s">
        <v>81</v>
      </c>
      <c r="D13" s="6" t="s">
        <v>92</v>
      </c>
      <c r="E13" s="6" t="s">
        <v>93</v>
      </c>
      <c r="F13" s="6"/>
      <c r="G13" s="6" t="s">
        <v>94</v>
      </c>
      <c r="H13" s="6" t="s">
        <v>95</v>
      </c>
      <c r="I13" s="6" t="s">
        <v>96</v>
      </c>
      <c r="J13" s="6" t="s">
        <v>97</v>
      </c>
      <c r="K13" s="6" t="s">
        <v>98</v>
      </c>
      <c r="L13" s="7">
        <v>5</v>
      </c>
      <c r="M13" s="7">
        <v>5</v>
      </c>
      <c r="N13" s="7">
        <v>0</v>
      </c>
      <c r="O13" s="7">
        <v>0</v>
      </c>
      <c r="P13" s="7">
        <v>0</v>
      </c>
      <c r="Q13" s="6"/>
      <c r="R13" s="6" t="s">
        <v>89</v>
      </c>
      <c r="S13" s="6">
        <v>1700</v>
      </c>
      <c r="T13" s="6">
        <f>SUMIFS('02_선반315'!$P$7:$P$321,'02_선반315'!$B$7:$B$321,A13)</f>
        <v>14</v>
      </c>
      <c r="U13" s="6">
        <f>SUMIFS('02_선반315'!$Q$7:$Q$321,'02_선반315'!$B$7:$B$321,A13)</f>
        <v>14</v>
      </c>
      <c r="V13" s="6" t="s">
        <v>90</v>
      </c>
    </row>
    <row r="14" spans="1:22" ht="33" customHeight="1">
      <c r="A14" s="8" t="s">
        <v>99</v>
      </c>
      <c r="B14" s="8" t="s">
        <v>80</v>
      </c>
      <c r="C14" s="8" t="s">
        <v>81</v>
      </c>
      <c r="D14" s="8" t="s">
        <v>100</v>
      </c>
      <c r="E14" s="8" t="s">
        <v>101</v>
      </c>
      <c r="F14" s="8"/>
      <c r="G14" s="8" t="s">
        <v>102</v>
      </c>
      <c r="H14" s="8" t="s">
        <v>103</v>
      </c>
      <c r="I14" s="8" t="s">
        <v>104</v>
      </c>
      <c r="J14" s="8" t="s">
        <v>105</v>
      </c>
      <c r="K14" s="8" t="s">
        <v>106</v>
      </c>
      <c r="L14" s="9">
        <v>5</v>
      </c>
      <c r="M14" s="9">
        <v>5</v>
      </c>
      <c r="N14" s="9">
        <v>0</v>
      </c>
      <c r="O14" s="9">
        <v>0</v>
      </c>
      <c r="P14" s="9">
        <v>0</v>
      </c>
      <c r="Q14" s="8"/>
      <c r="R14" s="6" t="s">
        <v>89</v>
      </c>
      <c r="S14" s="6">
        <v>1700</v>
      </c>
      <c r="T14" s="6">
        <f>SUMIFS('02_선반315'!$P$7:$P$321,'02_선반315'!$B$7:$B$321,A14)</f>
        <v>14</v>
      </c>
      <c r="U14" s="6">
        <f>SUMIFS('02_선반315'!$Q$7:$Q$321,'02_선반315'!$B$7:$B$321,A14)</f>
        <v>16</v>
      </c>
      <c r="V14" s="6" t="s">
        <v>90</v>
      </c>
    </row>
    <row r="15" spans="1:22" ht="33" customHeight="1">
      <c r="A15" s="6" t="s">
        <v>107</v>
      </c>
      <c r="B15" s="6" t="s">
        <v>80</v>
      </c>
      <c r="C15" s="6" t="s">
        <v>108</v>
      </c>
      <c r="D15" s="6" t="s">
        <v>109</v>
      </c>
      <c r="E15" s="6" t="s">
        <v>110</v>
      </c>
      <c r="F15" s="6"/>
      <c r="G15" s="6" t="s">
        <v>111</v>
      </c>
      <c r="H15" s="6" t="s">
        <v>112</v>
      </c>
      <c r="I15" s="6" t="s">
        <v>113</v>
      </c>
      <c r="J15" s="6" t="s">
        <v>114</v>
      </c>
      <c r="K15" s="6" t="s">
        <v>115</v>
      </c>
      <c r="L15" s="7">
        <v>5</v>
      </c>
      <c r="M15" s="7">
        <v>5</v>
      </c>
      <c r="N15" s="7">
        <v>0</v>
      </c>
      <c r="O15" s="7">
        <v>0</v>
      </c>
      <c r="P15" s="7">
        <v>0</v>
      </c>
      <c r="Q15" s="6"/>
      <c r="R15" s="6" t="s">
        <v>89</v>
      </c>
      <c r="S15" s="6">
        <v>1700</v>
      </c>
      <c r="T15" s="6">
        <f>SUMIFS('02_선반315'!$P$7:$P$321,'02_선반315'!$B$7:$B$321,A15)</f>
        <v>11</v>
      </c>
      <c r="U15" s="6">
        <f>SUMIFS('02_선반315'!$Q$7:$Q$321,'02_선반315'!$B$7:$B$321,A15)</f>
        <v>11</v>
      </c>
      <c r="V15" s="6" t="s">
        <v>90</v>
      </c>
    </row>
    <row r="16" spans="1:22" ht="33" customHeight="1">
      <c r="A16" s="8" t="s">
        <v>116</v>
      </c>
      <c r="B16" s="8" t="s">
        <v>117</v>
      </c>
      <c r="C16" s="8" t="s">
        <v>27</v>
      </c>
      <c r="D16" s="8" t="s">
        <v>118</v>
      </c>
      <c r="E16" s="8" t="s">
        <v>119</v>
      </c>
      <c r="F16" s="8"/>
      <c r="G16" s="8" t="s">
        <v>120</v>
      </c>
      <c r="H16" s="8" t="s">
        <v>121</v>
      </c>
      <c r="I16" s="8" t="s">
        <v>122</v>
      </c>
      <c r="J16" s="8" t="s">
        <v>122</v>
      </c>
      <c r="K16" s="8" t="s">
        <v>123</v>
      </c>
      <c r="L16" s="9">
        <v>5</v>
      </c>
      <c r="M16" s="9">
        <v>0</v>
      </c>
      <c r="N16" s="9">
        <v>3</v>
      </c>
      <c r="O16" s="9">
        <v>1</v>
      </c>
      <c r="P16" s="9">
        <v>1</v>
      </c>
      <c r="Q16" s="8" t="s">
        <v>124</v>
      </c>
      <c r="R16" s="6" t="s">
        <v>89</v>
      </c>
      <c r="S16" s="6">
        <v>1700</v>
      </c>
      <c r="T16" s="6">
        <f>SUMIFS('02_선반315'!$P$7:$P$321,'02_선반315'!$B$7:$B$321,A16)</f>
        <v>4</v>
      </c>
      <c r="U16" s="6">
        <f>SUMIFS('02_선반315'!$Q$7:$Q$321,'02_선반315'!$B$7:$B$321,A16)</f>
        <v>4</v>
      </c>
      <c r="V16" s="6" t="s">
        <v>90</v>
      </c>
    </row>
    <row r="17" spans="1:22" ht="33" customHeight="1">
      <c r="A17" s="6" t="s">
        <v>125</v>
      </c>
      <c r="B17" s="6" t="s">
        <v>117</v>
      </c>
      <c r="C17" s="6" t="s">
        <v>27</v>
      </c>
      <c r="D17" s="6" t="s">
        <v>126</v>
      </c>
      <c r="E17" s="6" t="s">
        <v>127</v>
      </c>
      <c r="F17" s="6"/>
      <c r="G17" s="6" t="s">
        <v>120</v>
      </c>
      <c r="H17" s="6" t="s">
        <v>128</v>
      </c>
      <c r="I17" s="6" t="s">
        <v>129</v>
      </c>
      <c r="J17" s="6" t="s">
        <v>130</v>
      </c>
      <c r="K17" s="6" t="s">
        <v>123</v>
      </c>
      <c r="L17" s="7">
        <v>5</v>
      </c>
      <c r="M17" s="7">
        <v>0</v>
      </c>
      <c r="N17" s="7">
        <v>3</v>
      </c>
      <c r="O17" s="7">
        <v>1</v>
      </c>
      <c r="P17" s="7">
        <v>1</v>
      </c>
      <c r="Q17" s="6"/>
      <c r="R17" s="6" t="s">
        <v>89</v>
      </c>
      <c r="S17" s="6">
        <v>1700</v>
      </c>
      <c r="T17" s="6">
        <f>SUMIFS('02_선반315'!$P$7:$P$321,'02_선반315'!$B$7:$B$321,A17)</f>
        <v>3</v>
      </c>
      <c r="U17" s="6">
        <f>SUMIFS('02_선반315'!$Q$7:$Q$321,'02_선반315'!$B$7:$B$321,A17)</f>
        <v>3</v>
      </c>
      <c r="V17" s="6" t="s">
        <v>90</v>
      </c>
    </row>
    <row r="18" spans="1:22" ht="33" customHeight="1">
      <c r="A18" s="8" t="s">
        <v>131</v>
      </c>
      <c r="B18" s="8" t="s">
        <v>117</v>
      </c>
      <c r="C18" s="8" t="s">
        <v>81</v>
      </c>
      <c r="D18" s="8" t="s">
        <v>132</v>
      </c>
      <c r="E18" s="8" t="s">
        <v>133</v>
      </c>
      <c r="F18" s="8"/>
      <c r="G18" s="8" t="s">
        <v>134</v>
      </c>
      <c r="H18" s="8" t="s">
        <v>135</v>
      </c>
      <c r="I18" s="8" t="s">
        <v>136</v>
      </c>
      <c r="J18" s="8" t="s">
        <v>137</v>
      </c>
      <c r="K18" s="8" t="s">
        <v>138</v>
      </c>
      <c r="L18" s="9">
        <v>5</v>
      </c>
      <c r="M18" s="9">
        <v>4</v>
      </c>
      <c r="N18" s="9">
        <v>0</v>
      </c>
      <c r="O18" s="9">
        <v>0</v>
      </c>
      <c r="P18" s="9">
        <v>1</v>
      </c>
      <c r="Q18" s="8"/>
      <c r="R18" s="6" t="s">
        <v>89</v>
      </c>
      <c r="S18" s="6">
        <v>1700</v>
      </c>
      <c r="T18" s="6">
        <f>SUMIFS('02_선반315'!$P$7:$P$321,'02_선반315'!$B$7:$B$321,A18)</f>
        <v>6</v>
      </c>
      <c r="U18" s="6">
        <f>SUMIFS('02_선반315'!$Q$7:$Q$321,'02_선반315'!$B$7:$B$321,A18)</f>
        <v>6</v>
      </c>
      <c r="V18" s="6" t="s">
        <v>90</v>
      </c>
    </row>
    <row r="19" spans="1:22" ht="33" customHeight="1">
      <c r="A19" s="6" t="s">
        <v>139</v>
      </c>
      <c r="B19" s="6" t="s">
        <v>117</v>
      </c>
      <c r="C19" s="6" t="s">
        <v>50</v>
      </c>
      <c r="D19" s="6" t="s">
        <v>140</v>
      </c>
      <c r="E19" s="6" t="s">
        <v>141</v>
      </c>
      <c r="F19" s="6"/>
      <c r="G19" s="6" t="s">
        <v>142</v>
      </c>
      <c r="H19" s="6" t="s">
        <v>143</v>
      </c>
      <c r="I19" s="6" t="s">
        <v>144</v>
      </c>
      <c r="J19" s="6" t="s">
        <v>145</v>
      </c>
      <c r="K19" s="6" t="s">
        <v>146</v>
      </c>
      <c r="L19" s="7">
        <v>5</v>
      </c>
      <c r="M19" s="7">
        <v>0</v>
      </c>
      <c r="N19" s="7">
        <v>0</v>
      </c>
      <c r="O19" s="7">
        <v>0</v>
      </c>
      <c r="P19" s="7">
        <v>5</v>
      </c>
      <c r="Q19" s="6"/>
      <c r="R19" s="6" t="s">
        <v>89</v>
      </c>
      <c r="S19" s="6">
        <v>1700</v>
      </c>
      <c r="T19" s="6">
        <f>SUMIFS('02_선반315'!$P$7:$P$321,'02_선반315'!$B$7:$B$321,A19)</f>
        <v>0</v>
      </c>
      <c r="U19" s="6">
        <f>SUMIFS('02_선반315'!$Q$7:$Q$321,'02_선반315'!$B$7:$B$321,A19)</f>
        <v>0</v>
      </c>
      <c r="V19" s="6" t="s">
        <v>90</v>
      </c>
    </row>
    <row r="20" spans="1:22" ht="33" customHeight="1">
      <c r="A20" s="8" t="s">
        <v>147</v>
      </c>
      <c r="B20" s="8" t="s">
        <v>117</v>
      </c>
      <c r="C20" s="8" t="s">
        <v>60</v>
      </c>
      <c r="D20" s="8" t="s">
        <v>148</v>
      </c>
      <c r="E20" s="8" t="s">
        <v>149</v>
      </c>
      <c r="F20" s="8"/>
      <c r="G20" s="8" t="s">
        <v>120</v>
      </c>
      <c r="H20" s="8" t="s">
        <v>150</v>
      </c>
      <c r="I20" s="8" t="s">
        <v>151</v>
      </c>
      <c r="J20" s="8" t="s">
        <v>152</v>
      </c>
      <c r="K20" s="8" t="s">
        <v>123</v>
      </c>
      <c r="L20" s="9">
        <v>5</v>
      </c>
      <c r="M20" s="9">
        <v>0</v>
      </c>
      <c r="N20" s="9">
        <v>3</v>
      </c>
      <c r="O20" s="9">
        <v>1</v>
      </c>
      <c r="P20" s="9">
        <v>1</v>
      </c>
      <c r="Q20" s="8"/>
      <c r="R20" s="6" t="s">
        <v>89</v>
      </c>
      <c r="S20" s="6">
        <v>1700</v>
      </c>
      <c r="T20" s="6">
        <f>SUMIFS('02_선반315'!$P$7:$P$321,'02_선반315'!$B$7:$B$321,A20)</f>
        <v>3</v>
      </c>
      <c r="U20" s="6">
        <f>SUMIFS('02_선반315'!$Q$7:$Q$321,'02_선반315'!$B$7:$B$321,A20)</f>
        <v>3</v>
      </c>
      <c r="V20" s="6" t="s">
        <v>90</v>
      </c>
    </row>
    <row r="21" spans="1:22" ht="33" customHeight="1">
      <c r="A21" s="6" t="s">
        <v>153</v>
      </c>
      <c r="B21" s="6" t="s">
        <v>117</v>
      </c>
      <c r="C21" s="6" t="s">
        <v>39</v>
      </c>
      <c r="D21" s="6" t="s">
        <v>154</v>
      </c>
      <c r="E21" s="6" t="s">
        <v>155</v>
      </c>
      <c r="F21" s="6"/>
      <c r="G21" s="6" t="s">
        <v>120</v>
      </c>
      <c r="H21" s="6" t="s">
        <v>156</v>
      </c>
      <c r="I21" s="6" t="s">
        <v>156</v>
      </c>
      <c r="J21" s="6" t="s">
        <v>156</v>
      </c>
      <c r="K21" s="6" t="s">
        <v>123</v>
      </c>
      <c r="L21" s="7">
        <v>5</v>
      </c>
      <c r="M21" s="7">
        <v>0</v>
      </c>
      <c r="N21" s="7">
        <v>3</v>
      </c>
      <c r="O21" s="7">
        <v>1</v>
      </c>
      <c r="P21" s="7">
        <v>1</v>
      </c>
      <c r="Q21" s="6" t="s">
        <v>157</v>
      </c>
      <c r="R21" s="6" t="s">
        <v>89</v>
      </c>
      <c r="S21" s="6">
        <v>1700</v>
      </c>
      <c r="T21" s="6">
        <f>SUMIFS('02_선반315'!$P$7:$P$321,'02_선반315'!$B$7:$B$321,A21)</f>
        <v>3</v>
      </c>
      <c r="U21" s="6">
        <f>SUMIFS('02_선반315'!$Q$7:$Q$321,'02_선반315'!$B$7:$B$321,A21)</f>
        <v>3</v>
      </c>
      <c r="V21" s="6" t="s">
        <v>90</v>
      </c>
    </row>
    <row r="22" spans="1:22" ht="33" customHeight="1">
      <c r="A22" s="8" t="s">
        <v>158</v>
      </c>
      <c r="B22" s="8" t="s">
        <v>117</v>
      </c>
      <c r="C22" s="8" t="s">
        <v>39</v>
      </c>
      <c r="D22" s="8" t="s">
        <v>159</v>
      </c>
      <c r="E22" s="8" t="s">
        <v>160</v>
      </c>
      <c r="F22" s="8"/>
      <c r="G22" s="8" t="s">
        <v>120</v>
      </c>
      <c r="H22" s="8" t="s">
        <v>161</v>
      </c>
      <c r="I22" s="8" t="s">
        <v>162</v>
      </c>
      <c r="J22" s="8" t="s">
        <v>163</v>
      </c>
      <c r="K22" s="8" t="s">
        <v>123</v>
      </c>
      <c r="L22" s="9">
        <v>5</v>
      </c>
      <c r="M22" s="9">
        <v>0</v>
      </c>
      <c r="N22" s="9">
        <v>3</v>
      </c>
      <c r="O22" s="9">
        <v>1</v>
      </c>
      <c r="P22" s="9">
        <v>1</v>
      </c>
      <c r="Q22" s="8"/>
      <c r="R22" s="6" t="s">
        <v>89</v>
      </c>
      <c r="S22" s="6">
        <v>1700</v>
      </c>
      <c r="T22" s="6">
        <f>SUMIFS('02_선반315'!$P$7:$P$321,'02_선반315'!$B$7:$B$321,A22)</f>
        <v>3</v>
      </c>
      <c r="U22" s="6">
        <f>SUMIFS('02_선반315'!$Q$7:$Q$321,'02_선반315'!$B$7:$B$321,A22)</f>
        <v>3</v>
      </c>
      <c r="V22" s="6" t="s">
        <v>90</v>
      </c>
    </row>
    <row r="23" spans="1:22" ht="33" customHeight="1">
      <c r="A23" s="6" t="s">
        <v>164</v>
      </c>
      <c r="B23" s="6" t="s">
        <v>117</v>
      </c>
      <c r="C23" s="6" t="s">
        <v>50</v>
      </c>
      <c r="D23" s="6" t="s">
        <v>165</v>
      </c>
      <c r="E23" s="6" t="s">
        <v>166</v>
      </c>
      <c r="F23" s="6"/>
      <c r="G23" s="6" t="s">
        <v>167</v>
      </c>
      <c r="H23" s="6" t="s">
        <v>168</v>
      </c>
      <c r="I23" s="6" t="s">
        <v>169</v>
      </c>
      <c r="J23" s="6" t="s">
        <v>170</v>
      </c>
      <c r="K23" s="6" t="s">
        <v>171</v>
      </c>
      <c r="L23" s="7">
        <v>5</v>
      </c>
      <c r="M23" s="7">
        <v>0</v>
      </c>
      <c r="N23" s="7">
        <v>0</v>
      </c>
      <c r="O23" s="7">
        <v>4</v>
      </c>
      <c r="P23" s="7">
        <v>1</v>
      </c>
      <c r="Q23" s="6" t="s">
        <v>172</v>
      </c>
      <c r="R23" s="6" t="s">
        <v>89</v>
      </c>
      <c r="S23" s="6">
        <v>1700</v>
      </c>
      <c r="T23" s="6">
        <f>SUMIFS('02_선반315'!$P$7:$P$321,'02_선반315'!$B$7:$B$321,A23)</f>
        <v>3</v>
      </c>
      <c r="U23" s="6">
        <f>SUMIFS('02_선반315'!$Q$7:$Q$321,'02_선반315'!$B$7:$B$321,A23)</f>
        <v>3</v>
      </c>
      <c r="V23" s="6" t="s">
        <v>90</v>
      </c>
    </row>
    <row r="24" spans="1:22" ht="33" customHeight="1">
      <c r="A24" s="8" t="s">
        <v>173</v>
      </c>
      <c r="B24" s="8" t="s">
        <v>174</v>
      </c>
      <c r="C24" s="8" t="s">
        <v>27</v>
      </c>
      <c r="D24" s="8" t="s">
        <v>175</v>
      </c>
      <c r="E24" s="8" t="s">
        <v>176</v>
      </c>
      <c r="F24" s="8"/>
      <c r="G24" s="8" t="s">
        <v>177</v>
      </c>
      <c r="H24" s="8" t="s">
        <v>178</v>
      </c>
      <c r="I24" s="8" t="s">
        <v>179</v>
      </c>
      <c r="J24" s="8" t="s">
        <v>180</v>
      </c>
      <c r="K24" s="8" t="s">
        <v>181</v>
      </c>
      <c r="L24" s="9">
        <v>5</v>
      </c>
      <c r="M24" s="9">
        <v>4</v>
      </c>
      <c r="N24" s="9">
        <v>0</v>
      </c>
      <c r="O24" s="9">
        <v>0</v>
      </c>
      <c r="P24" s="9">
        <v>1</v>
      </c>
      <c r="Q24" s="8" t="s">
        <v>182</v>
      </c>
      <c r="R24" s="6" t="s">
        <v>183</v>
      </c>
      <c r="S24" s="6">
        <v>1700</v>
      </c>
      <c r="T24" s="6">
        <f>SUMIFS('02_선반315'!$P$7:$P$321,'02_선반315'!$B$7:$B$321,A24)</f>
        <v>8</v>
      </c>
      <c r="U24" s="6">
        <f>SUMIFS('02_선반315'!$Q$7:$Q$321,'02_선반315'!$B$7:$B$321,A24)</f>
        <v>10</v>
      </c>
      <c r="V24" s="6" t="s">
        <v>184</v>
      </c>
    </row>
    <row r="25" spans="1:22" ht="33" customHeight="1">
      <c r="A25" s="6" t="s">
        <v>185</v>
      </c>
      <c r="B25" s="6" t="s">
        <v>174</v>
      </c>
      <c r="C25" s="6" t="s">
        <v>27</v>
      </c>
      <c r="D25" s="6" t="s">
        <v>122</v>
      </c>
      <c r="E25" s="6" t="s">
        <v>186</v>
      </c>
      <c r="F25" s="6" t="s">
        <v>187</v>
      </c>
      <c r="G25" s="6" t="s">
        <v>188</v>
      </c>
      <c r="H25" s="6" t="s">
        <v>189</v>
      </c>
      <c r="I25" s="6" t="s">
        <v>190</v>
      </c>
      <c r="J25" s="6" t="s">
        <v>191</v>
      </c>
      <c r="K25" s="6" t="s">
        <v>192</v>
      </c>
      <c r="L25" s="7">
        <v>5</v>
      </c>
      <c r="M25" s="7">
        <v>4</v>
      </c>
      <c r="N25" s="7">
        <v>0</v>
      </c>
      <c r="O25" s="7">
        <v>0</v>
      </c>
      <c r="P25" s="7">
        <v>1</v>
      </c>
      <c r="Q25" s="6"/>
      <c r="R25" s="6" t="s">
        <v>183</v>
      </c>
      <c r="S25" s="6">
        <v>1700</v>
      </c>
      <c r="T25" s="6">
        <f>SUMIFS('02_선반315'!$P$7:$P$321,'02_선반315'!$B$7:$B$321,A25)</f>
        <v>9</v>
      </c>
      <c r="U25" s="6">
        <f>SUMIFS('02_선반315'!$Q$7:$Q$321,'02_선반315'!$B$7:$B$321,A25)</f>
        <v>10</v>
      </c>
      <c r="V25" s="6" t="s">
        <v>184</v>
      </c>
    </row>
    <row r="26" spans="1:22" ht="33" customHeight="1">
      <c r="A26" s="8" t="s">
        <v>193</v>
      </c>
      <c r="B26" s="8" t="s">
        <v>174</v>
      </c>
      <c r="C26" s="8" t="s">
        <v>39</v>
      </c>
      <c r="D26" s="8" t="s">
        <v>194</v>
      </c>
      <c r="E26" s="8" t="s">
        <v>195</v>
      </c>
      <c r="F26" s="8"/>
      <c r="G26" s="8" t="s">
        <v>196</v>
      </c>
      <c r="H26" s="8" t="s">
        <v>197</v>
      </c>
      <c r="I26" s="8" t="s">
        <v>198</v>
      </c>
      <c r="J26" s="8" t="s">
        <v>199</v>
      </c>
      <c r="K26" s="8" t="s">
        <v>200</v>
      </c>
      <c r="L26" s="9">
        <v>5</v>
      </c>
      <c r="M26" s="9">
        <v>4</v>
      </c>
      <c r="N26" s="9">
        <v>0</v>
      </c>
      <c r="O26" s="9">
        <v>0</v>
      </c>
      <c r="P26" s="9">
        <v>1</v>
      </c>
      <c r="Q26" s="8"/>
      <c r="R26" s="6" t="s">
        <v>183</v>
      </c>
      <c r="S26" s="6">
        <v>1700</v>
      </c>
      <c r="T26" s="6">
        <f>SUMIFS('02_선반315'!$P$7:$P$321,'02_선반315'!$B$7:$B$321,A26)</f>
        <v>7</v>
      </c>
      <c r="U26" s="6">
        <f>SUMIFS('02_선반315'!$Q$7:$Q$321,'02_선반315'!$B$7:$B$321,A26)</f>
        <v>7</v>
      </c>
      <c r="V26" s="6" t="s">
        <v>184</v>
      </c>
    </row>
    <row r="27" spans="1:22" ht="33" customHeight="1">
      <c r="A27" s="6" t="s">
        <v>201</v>
      </c>
      <c r="B27" s="6" t="s">
        <v>202</v>
      </c>
      <c r="C27" s="6" t="s">
        <v>39</v>
      </c>
      <c r="D27" s="6" t="s">
        <v>203</v>
      </c>
      <c r="E27" s="6" t="s">
        <v>204</v>
      </c>
      <c r="F27" s="6" t="s">
        <v>205</v>
      </c>
      <c r="G27" s="6" t="s">
        <v>206</v>
      </c>
      <c r="H27" s="6" t="s">
        <v>207</v>
      </c>
      <c r="I27" s="6" t="s">
        <v>208</v>
      </c>
      <c r="J27" s="6" t="s">
        <v>209</v>
      </c>
      <c r="K27" s="6" t="s">
        <v>210</v>
      </c>
      <c r="L27" s="7">
        <v>5</v>
      </c>
      <c r="M27" s="7">
        <v>4</v>
      </c>
      <c r="N27" s="7">
        <v>0</v>
      </c>
      <c r="O27" s="7">
        <v>0</v>
      </c>
      <c r="P27" s="7">
        <v>1</v>
      </c>
      <c r="Q27" s="6"/>
      <c r="R27" s="6" t="s">
        <v>183</v>
      </c>
      <c r="S27" s="6">
        <v>1700</v>
      </c>
      <c r="T27" s="6">
        <f>SUMIFS('02_선반315'!$P$7:$P$321,'02_선반315'!$B$7:$B$321,A27)</f>
        <v>7</v>
      </c>
      <c r="U27" s="6">
        <f>SUMIFS('02_선반315'!$Q$7:$Q$321,'02_선반315'!$B$7:$B$321,A27)</f>
        <v>7</v>
      </c>
      <c r="V27" s="6" t="s">
        <v>184</v>
      </c>
    </row>
    <row r="28" spans="1:22" ht="33" customHeight="1">
      <c r="A28" s="8" t="s">
        <v>211</v>
      </c>
      <c r="B28" s="8" t="s">
        <v>202</v>
      </c>
      <c r="C28" s="8" t="s">
        <v>39</v>
      </c>
      <c r="D28" s="8" t="s">
        <v>212</v>
      </c>
      <c r="E28" s="8" t="s">
        <v>213</v>
      </c>
      <c r="F28" s="8"/>
      <c r="G28" s="8" t="s">
        <v>214</v>
      </c>
      <c r="H28" s="8" t="s">
        <v>215</v>
      </c>
      <c r="I28" s="8" t="s">
        <v>216</v>
      </c>
      <c r="J28" s="8" t="s">
        <v>217</v>
      </c>
      <c r="K28" s="8" t="s">
        <v>218</v>
      </c>
      <c r="L28" s="9">
        <v>5</v>
      </c>
      <c r="M28" s="9">
        <v>1</v>
      </c>
      <c r="N28" s="9">
        <v>0</v>
      </c>
      <c r="O28" s="9">
        <v>3</v>
      </c>
      <c r="P28" s="9">
        <v>1</v>
      </c>
      <c r="Q28" s="8"/>
      <c r="R28" s="6" t="s">
        <v>183</v>
      </c>
      <c r="S28" s="6">
        <v>1700</v>
      </c>
      <c r="T28" s="6">
        <f>SUMIFS('02_선반315'!$P$7:$P$321,'02_선반315'!$B$7:$B$321,A28)</f>
        <v>4</v>
      </c>
      <c r="U28" s="6">
        <f>SUMIFS('02_선반315'!$Q$7:$Q$321,'02_선반315'!$B$7:$B$321,A28)</f>
        <v>4</v>
      </c>
      <c r="V28" s="6" t="s">
        <v>184</v>
      </c>
    </row>
    <row r="29" spans="1:22" ht="33" customHeight="1">
      <c r="A29" s="6" t="s">
        <v>219</v>
      </c>
      <c r="B29" s="6" t="s">
        <v>202</v>
      </c>
      <c r="C29" s="6" t="s">
        <v>39</v>
      </c>
      <c r="D29" s="6" t="s">
        <v>220</v>
      </c>
      <c r="E29" s="6" t="s">
        <v>221</v>
      </c>
      <c r="F29" s="6"/>
      <c r="G29" s="6" t="s">
        <v>222</v>
      </c>
      <c r="H29" s="6" t="s">
        <v>223</v>
      </c>
      <c r="I29" s="6" t="s">
        <v>224</v>
      </c>
      <c r="J29" s="6" t="s">
        <v>225</v>
      </c>
      <c r="K29" s="6" t="s">
        <v>226</v>
      </c>
      <c r="L29" s="7">
        <v>5</v>
      </c>
      <c r="M29" s="7">
        <v>4</v>
      </c>
      <c r="N29" s="7">
        <v>0</v>
      </c>
      <c r="O29" s="7">
        <v>0</v>
      </c>
      <c r="P29" s="7">
        <v>1</v>
      </c>
      <c r="Q29" s="6" t="s">
        <v>227</v>
      </c>
      <c r="R29" s="6" t="s">
        <v>183</v>
      </c>
      <c r="S29" s="6">
        <v>1700</v>
      </c>
      <c r="T29" s="6">
        <f>SUMIFS('02_선반315'!$P$7:$P$321,'02_선반315'!$B$7:$B$321,A29)</f>
        <v>5</v>
      </c>
      <c r="U29" s="6">
        <f>SUMIFS('02_선반315'!$Q$7:$Q$321,'02_선반315'!$B$7:$B$321,A29)</f>
        <v>5</v>
      </c>
      <c r="V29" s="6" t="s">
        <v>184</v>
      </c>
    </row>
    <row r="30" spans="1:22" ht="33" customHeight="1">
      <c r="A30" s="8" t="s">
        <v>228</v>
      </c>
      <c r="B30" s="8" t="s">
        <v>174</v>
      </c>
      <c r="C30" s="8" t="s">
        <v>27</v>
      </c>
      <c r="D30" s="8" t="s">
        <v>229</v>
      </c>
      <c r="E30" s="8" t="s">
        <v>230</v>
      </c>
      <c r="F30" s="8"/>
      <c r="G30" s="8" t="s">
        <v>231</v>
      </c>
      <c r="H30" s="8" t="s">
        <v>232</v>
      </c>
      <c r="I30" s="8" t="s">
        <v>129</v>
      </c>
      <c r="J30" s="8" t="s">
        <v>233</v>
      </c>
      <c r="K30" s="8" t="s">
        <v>234</v>
      </c>
      <c r="L30" s="9">
        <v>5</v>
      </c>
      <c r="M30" s="9">
        <v>3</v>
      </c>
      <c r="N30" s="9">
        <v>0</v>
      </c>
      <c r="O30" s="9">
        <v>1</v>
      </c>
      <c r="P30" s="9">
        <v>1</v>
      </c>
      <c r="Q30" s="8" t="s">
        <v>235</v>
      </c>
      <c r="R30" s="6" t="s">
        <v>183</v>
      </c>
      <c r="S30" s="6">
        <v>1700</v>
      </c>
      <c r="T30" s="6">
        <f>SUMIFS('02_선반315'!$P$7:$P$321,'02_선반315'!$B$7:$B$321,A30)</f>
        <v>5</v>
      </c>
      <c r="U30" s="6">
        <f>SUMIFS('02_선반315'!$Q$7:$Q$321,'02_선반315'!$B$7:$B$321,A30)</f>
        <v>6</v>
      </c>
      <c r="V30" s="6" t="s">
        <v>184</v>
      </c>
    </row>
    <row r="31" spans="1:22" ht="33" customHeight="1">
      <c r="A31" s="6" t="s">
        <v>236</v>
      </c>
      <c r="B31" s="6" t="s">
        <v>174</v>
      </c>
      <c r="C31" s="6" t="s">
        <v>27</v>
      </c>
      <c r="D31" s="6" t="s">
        <v>130</v>
      </c>
      <c r="E31" s="6" t="s">
        <v>237</v>
      </c>
      <c r="F31" s="6"/>
      <c r="G31" s="6" t="s">
        <v>238</v>
      </c>
      <c r="H31" s="6" t="s">
        <v>239</v>
      </c>
      <c r="I31" s="6" t="s">
        <v>240</v>
      </c>
      <c r="J31" s="6" t="s">
        <v>241</v>
      </c>
      <c r="K31" s="6" t="s">
        <v>242</v>
      </c>
      <c r="L31" s="7">
        <v>5</v>
      </c>
      <c r="M31" s="7">
        <v>4</v>
      </c>
      <c r="N31" s="7">
        <v>0</v>
      </c>
      <c r="O31" s="7">
        <v>0</v>
      </c>
      <c r="P31" s="7">
        <v>1</v>
      </c>
      <c r="Q31" s="6" t="s">
        <v>243</v>
      </c>
      <c r="R31" s="6" t="s">
        <v>183</v>
      </c>
      <c r="S31" s="6">
        <v>1700</v>
      </c>
      <c r="T31" s="6">
        <f>SUMIFS('02_선반315'!$P$7:$P$321,'02_선반315'!$B$7:$B$321,A31)</f>
        <v>10</v>
      </c>
      <c r="U31" s="6">
        <f>SUMIFS('02_선반315'!$Q$7:$Q$321,'02_선반315'!$B$7:$B$321,A31)</f>
        <v>10</v>
      </c>
      <c r="V31" s="6" t="s">
        <v>184</v>
      </c>
    </row>
    <row r="32" spans="1:22" ht="33" customHeight="1">
      <c r="A32" s="8" t="s">
        <v>244</v>
      </c>
      <c r="B32" s="8" t="s">
        <v>174</v>
      </c>
      <c r="C32" s="8" t="s">
        <v>27</v>
      </c>
      <c r="D32" s="8" t="s">
        <v>245</v>
      </c>
      <c r="E32" s="8" t="s">
        <v>246</v>
      </c>
      <c r="F32" s="8" t="s">
        <v>247</v>
      </c>
      <c r="G32" s="8" t="s">
        <v>248</v>
      </c>
      <c r="H32" s="8" t="s">
        <v>249</v>
      </c>
      <c r="I32" s="8" t="s">
        <v>250</v>
      </c>
      <c r="J32" s="8" t="s">
        <v>251</v>
      </c>
      <c r="K32" s="8" t="s">
        <v>252</v>
      </c>
      <c r="L32" s="9">
        <v>5</v>
      </c>
      <c r="M32" s="9">
        <v>3</v>
      </c>
      <c r="N32" s="9">
        <v>0</v>
      </c>
      <c r="O32" s="9">
        <v>1</v>
      </c>
      <c r="P32" s="9">
        <v>1</v>
      </c>
      <c r="Q32" s="8" t="s">
        <v>253</v>
      </c>
      <c r="R32" s="6" t="s">
        <v>183</v>
      </c>
      <c r="S32" s="6">
        <v>1700</v>
      </c>
      <c r="T32" s="6">
        <f>SUMIFS('02_선반315'!$P$7:$P$321,'02_선반315'!$B$7:$B$321,A32)</f>
        <v>5</v>
      </c>
      <c r="U32" s="6">
        <f>SUMIFS('02_선반315'!$Q$7:$Q$321,'02_선반315'!$B$7:$B$321,A32)</f>
        <v>5</v>
      </c>
      <c r="V32" s="6" t="s">
        <v>184</v>
      </c>
    </row>
    <row r="33" spans="1:22" ht="33" customHeight="1">
      <c r="A33" s="6" t="s">
        <v>254</v>
      </c>
      <c r="B33" s="6" t="s">
        <v>202</v>
      </c>
      <c r="C33" s="6" t="s">
        <v>27</v>
      </c>
      <c r="D33" s="6" t="s">
        <v>255</v>
      </c>
      <c r="E33" s="6" t="s">
        <v>256</v>
      </c>
      <c r="F33" s="6"/>
      <c r="G33" s="6" t="s">
        <v>257</v>
      </c>
      <c r="H33" s="6" t="s">
        <v>258</v>
      </c>
      <c r="I33" s="6" t="s">
        <v>259</v>
      </c>
      <c r="J33" s="6" t="s">
        <v>260</v>
      </c>
      <c r="K33" s="6" t="s">
        <v>261</v>
      </c>
      <c r="L33" s="7">
        <v>5</v>
      </c>
      <c r="M33" s="7">
        <v>4</v>
      </c>
      <c r="N33" s="7">
        <v>0</v>
      </c>
      <c r="O33" s="7">
        <v>0</v>
      </c>
      <c r="P33" s="7">
        <v>1</v>
      </c>
      <c r="Q33" s="6" t="s">
        <v>262</v>
      </c>
      <c r="R33" s="6" t="s">
        <v>183</v>
      </c>
      <c r="S33" s="6">
        <v>1700</v>
      </c>
      <c r="T33" s="6">
        <f>SUMIFS('02_선반315'!$P$7:$P$321,'02_선반315'!$B$7:$B$321,A33)</f>
        <v>8</v>
      </c>
      <c r="U33" s="6">
        <f>SUMIFS('02_선반315'!$Q$7:$Q$321,'02_선반315'!$B$7:$B$321,A33)</f>
        <v>8</v>
      </c>
      <c r="V33" s="6" t="s">
        <v>184</v>
      </c>
    </row>
    <row r="34" spans="1:22" ht="33" customHeight="1">
      <c r="A34" s="8" t="s">
        <v>263</v>
      </c>
      <c r="B34" s="8" t="s">
        <v>202</v>
      </c>
      <c r="C34" s="8" t="s">
        <v>27</v>
      </c>
      <c r="D34" s="8" t="s">
        <v>264</v>
      </c>
      <c r="E34" s="8" t="s">
        <v>265</v>
      </c>
      <c r="F34" s="8"/>
      <c r="G34" s="8" t="s">
        <v>266</v>
      </c>
      <c r="H34" s="8" t="s">
        <v>267</v>
      </c>
      <c r="I34" s="8" t="s">
        <v>268</v>
      </c>
      <c r="J34" s="8" t="s">
        <v>269</v>
      </c>
      <c r="K34" s="8" t="s">
        <v>270</v>
      </c>
      <c r="L34" s="9">
        <v>5</v>
      </c>
      <c r="M34" s="9">
        <v>3</v>
      </c>
      <c r="N34" s="9">
        <v>0</v>
      </c>
      <c r="O34" s="9">
        <v>1</v>
      </c>
      <c r="P34" s="9">
        <v>1</v>
      </c>
      <c r="Q34" s="8" t="s">
        <v>271</v>
      </c>
      <c r="R34" s="6" t="s">
        <v>183</v>
      </c>
      <c r="S34" s="6">
        <v>1700</v>
      </c>
      <c r="T34" s="6">
        <f>SUMIFS('02_선반315'!$P$7:$P$321,'02_선반315'!$B$7:$B$321,A34)</f>
        <v>5</v>
      </c>
      <c r="U34" s="6">
        <f>SUMIFS('02_선반315'!$Q$7:$Q$321,'02_선반315'!$B$7:$B$321,A34)</f>
        <v>6</v>
      </c>
      <c r="V34" s="6" t="s">
        <v>184</v>
      </c>
    </row>
    <row r="35" spans="1:22" ht="33" customHeight="1">
      <c r="A35" s="6" t="s">
        <v>272</v>
      </c>
      <c r="B35" s="6" t="s">
        <v>202</v>
      </c>
      <c r="C35" s="6" t="s">
        <v>39</v>
      </c>
      <c r="D35" s="6" t="s">
        <v>273</v>
      </c>
      <c r="E35" s="6" t="s">
        <v>274</v>
      </c>
      <c r="F35" s="6" t="s">
        <v>275</v>
      </c>
      <c r="G35" s="6" t="s">
        <v>276</v>
      </c>
      <c r="H35" s="6" t="s">
        <v>277</v>
      </c>
      <c r="I35" s="6" t="s">
        <v>278</v>
      </c>
      <c r="J35" s="6" t="s">
        <v>279</v>
      </c>
      <c r="K35" s="6" t="s">
        <v>280</v>
      </c>
      <c r="L35" s="7">
        <v>5</v>
      </c>
      <c r="M35" s="7">
        <v>4</v>
      </c>
      <c r="N35" s="7">
        <v>0</v>
      </c>
      <c r="O35" s="7">
        <v>0</v>
      </c>
      <c r="P35" s="7">
        <v>1</v>
      </c>
      <c r="Q35" s="6" t="s">
        <v>281</v>
      </c>
      <c r="R35" s="6" t="s">
        <v>183</v>
      </c>
      <c r="S35" s="6">
        <v>1700</v>
      </c>
      <c r="T35" s="6">
        <f>SUMIFS('02_선반315'!$P$7:$P$321,'02_선반315'!$B$7:$B$321,A35)</f>
        <v>6</v>
      </c>
      <c r="U35" s="6">
        <f>SUMIFS('02_선반315'!$Q$7:$Q$321,'02_선반315'!$B$7:$B$321,A35)</f>
        <v>6</v>
      </c>
      <c r="V35" s="6" t="s">
        <v>184</v>
      </c>
    </row>
    <row r="36" spans="1:22" ht="33" customHeight="1">
      <c r="A36" s="8" t="s">
        <v>282</v>
      </c>
      <c r="B36" s="8" t="s">
        <v>174</v>
      </c>
      <c r="C36" s="8" t="s">
        <v>27</v>
      </c>
      <c r="D36" s="8" t="s">
        <v>283</v>
      </c>
      <c r="E36" s="8" t="s">
        <v>284</v>
      </c>
      <c r="F36" s="8"/>
      <c r="G36" s="8" t="s">
        <v>285</v>
      </c>
      <c r="H36" s="8" t="s">
        <v>286</v>
      </c>
      <c r="I36" s="8" t="s">
        <v>287</v>
      </c>
      <c r="J36" s="8" t="s">
        <v>288</v>
      </c>
      <c r="K36" s="8" t="s">
        <v>289</v>
      </c>
      <c r="L36" s="9">
        <v>5</v>
      </c>
      <c r="M36" s="9">
        <v>3</v>
      </c>
      <c r="N36" s="9">
        <v>0</v>
      </c>
      <c r="O36" s="9">
        <v>1</v>
      </c>
      <c r="P36" s="9">
        <v>1</v>
      </c>
      <c r="Q36" s="8"/>
      <c r="R36" s="6" t="s">
        <v>183</v>
      </c>
      <c r="S36" s="6">
        <v>1700</v>
      </c>
      <c r="T36" s="6">
        <f>SUMIFS('02_선반315'!$P$7:$P$321,'02_선반315'!$B$7:$B$321,A36)</f>
        <v>5</v>
      </c>
      <c r="U36" s="6">
        <f>SUMIFS('02_선반315'!$Q$7:$Q$321,'02_선반315'!$B$7:$B$321,A36)</f>
        <v>7</v>
      </c>
      <c r="V36" s="6" t="s">
        <v>184</v>
      </c>
    </row>
    <row r="37" spans="1:22" ht="33" customHeight="1">
      <c r="A37" s="6" t="s">
        <v>290</v>
      </c>
      <c r="B37" s="6" t="s">
        <v>174</v>
      </c>
      <c r="C37" s="6" t="s">
        <v>39</v>
      </c>
      <c r="D37" s="6" t="s">
        <v>291</v>
      </c>
      <c r="E37" s="6" t="s">
        <v>292</v>
      </c>
      <c r="F37" s="6" t="s">
        <v>293</v>
      </c>
      <c r="G37" s="6" t="s">
        <v>294</v>
      </c>
      <c r="H37" s="6" t="s">
        <v>295</v>
      </c>
      <c r="I37" s="6" t="s">
        <v>296</v>
      </c>
      <c r="J37" s="6" t="s">
        <v>297</v>
      </c>
      <c r="K37" s="6" t="s">
        <v>298</v>
      </c>
      <c r="L37" s="7">
        <v>5</v>
      </c>
      <c r="M37" s="7">
        <v>4</v>
      </c>
      <c r="N37" s="7">
        <v>0</v>
      </c>
      <c r="O37" s="7">
        <v>0</v>
      </c>
      <c r="P37" s="7">
        <v>1</v>
      </c>
      <c r="Q37" s="6"/>
      <c r="R37" s="6" t="s">
        <v>183</v>
      </c>
      <c r="S37" s="6">
        <v>1700</v>
      </c>
      <c r="T37" s="6">
        <f>SUMIFS('02_선반315'!$P$7:$P$321,'02_선반315'!$B$7:$B$321,A37)</f>
        <v>8</v>
      </c>
      <c r="U37" s="6">
        <f>SUMIFS('02_선반315'!$Q$7:$Q$321,'02_선반315'!$B$7:$B$321,A37)</f>
        <v>8</v>
      </c>
      <c r="V37" s="6" t="s">
        <v>184</v>
      </c>
    </row>
    <row r="38" spans="1:22" ht="33" customHeight="1">
      <c r="A38" s="8" t="s">
        <v>299</v>
      </c>
      <c r="B38" s="8" t="s">
        <v>174</v>
      </c>
      <c r="C38" s="8" t="s">
        <v>39</v>
      </c>
      <c r="D38" s="8" t="s">
        <v>300</v>
      </c>
      <c r="E38" s="8" t="s">
        <v>301</v>
      </c>
      <c r="F38" s="8"/>
      <c r="G38" s="8" t="s">
        <v>302</v>
      </c>
      <c r="H38" s="8" t="s">
        <v>303</v>
      </c>
      <c r="I38" s="8" t="s">
        <v>304</v>
      </c>
      <c r="J38" s="8" t="s">
        <v>305</v>
      </c>
      <c r="K38" s="8" t="s">
        <v>306</v>
      </c>
      <c r="L38" s="9">
        <v>5</v>
      </c>
      <c r="M38" s="9">
        <v>4</v>
      </c>
      <c r="N38" s="9">
        <v>0</v>
      </c>
      <c r="O38" s="9">
        <v>0</v>
      </c>
      <c r="P38" s="9">
        <v>1</v>
      </c>
      <c r="Q38" s="8"/>
      <c r="R38" s="6" t="s">
        <v>183</v>
      </c>
      <c r="S38" s="6">
        <v>1700</v>
      </c>
      <c r="T38" s="6">
        <f>SUMIFS('02_선반315'!$P$7:$P$321,'02_선반315'!$B$7:$B$321,A38)</f>
        <v>7</v>
      </c>
      <c r="U38" s="6">
        <f>SUMIFS('02_선반315'!$Q$7:$Q$321,'02_선반315'!$B$7:$B$321,A38)</f>
        <v>7</v>
      </c>
      <c r="V38" s="6" t="s">
        <v>184</v>
      </c>
    </row>
    <row r="39" spans="1:22" ht="33" customHeight="1">
      <c r="A39" s="6" t="s">
        <v>307</v>
      </c>
      <c r="B39" s="6" t="s">
        <v>202</v>
      </c>
      <c r="C39" s="6" t="s">
        <v>81</v>
      </c>
      <c r="D39" s="6" t="s">
        <v>308</v>
      </c>
      <c r="E39" s="6" t="s">
        <v>309</v>
      </c>
      <c r="F39" s="6"/>
      <c r="G39" s="6" t="s">
        <v>310</v>
      </c>
      <c r="H39" s="6" t="s">
        <v>311</v>
      </c>
      <c r="I39" s="6" t="s">
        <v>312</v>
      </c>
      <c r="J39" s="6" t="s">
        <v>313</v>
      </c>
      <c r="K39" s="6" t="s">
        <v>314</v>
      </c>
      <c r="L39" s="7">
        <v>5</v>
      </c>
      <c r="M39" s="7">
        <v>4</v>
      </c>
      <c r="N39" s="7">
        <v>0</v>
      </c>
      <c r="O39" s="7">
        <v>0</v>
      </c>
      <c r="P39" s="7">
        <v>1</v>
      </c>
      <c r="Q39" s="6"/>
      <c r="R39" s="6" t="s">
        <v>183</v>
      </c>
      <c r="S39" s="6">
        <v>1700</v>
      </c>
      <c r="T39" s="6">
        <f>SUMIFS('02_선반315'!$P$7:$P$321,'02_선반315'!$B$7:$B$321,A39)</f>
        <v>7</v>
      </c>
      <c r="U39" s="6">
        <f>SUMIFS('02_선반315'!$Q$7:$Q$321,'02_선반315'!$B$7:$B$321,A39)</f>
        <v>7</v>
      </c>
      <c r="V39" s="6" t="s">
        <v>184</v>
      </c>
    </row>
    <row r="40" spans="1:22" ht="33" customHeight="1">
      <c r="A40" s="8" t="s">
        <v>315</v>
      </c>
      <c r="B40" s="8" t="s">
        <v>202</v>
      </c>
      <c r="C40" s="8" t="s">
        <v>81</v>
      </c>
      <c r="D40" s="8" t="s">
        <v>316</v>
      </c>
      <c r="E40" s="8" t="s">
        <v>317</v>
      </c>
      <c r="F40" s="8"/>
      <c r="G40" s="8" t="s">
        <v>318</v>
      </c>
      <c r="H40" s="8" t="s">
        <v>319</v>
      </c>
      <c r="I40" s="8" t="s">
        <v>320</v>
      </c>
      <c r="J40" s="8" t="s">
        <v>321</v>
      </c>
      <c r="K40" s="8" t="s">
        <v>322</v>
      </c>
      <c r="L40" s="9">
        <v>5</v>
      </c>
      <c r="M40" s="9">
        <v>5</v>
      </c>
      <c r="N40" s="9">
        <v>0</v>
      </c>
      <c r="O40" s="9">
        <v>0</v>
      </c>
      <c r="P40" s="9">
        <v>0</v>
      </c>
      <c r="Q40" s="8"/>
      <c r="R40" s="6" t="s">
        <v>183</v>
      </c>
      <c r="S40" s="6">
        <v>1700</v>
      </c>
      <c r="T40" s="6">
        <f>SUMIFS('02_선반315'!$P$7:$P$321,'02_선반315'!$B$7:$B$321,A40)</f>
        <v>9</v>
      </c>
      <c r="U40" s="6">
        <f>SUMIFS('02_선반315'!$Q$7:$Q$321,'02_선반315'!$B$7:$B$321,A40)</f>
        <v>9</v>
      </c>
      <c r="V40" s="6" t="s">
        <v>184</v>
      </c>
    </row>
    <row r="41" spans="1:22" ht="33" customHeight="1">
      <c r="A41" s="6" t="s">
        <v>323</v>
      </c>
      <c r="B41" s="6" t="s">
        <v>202</v>
      </c>
      <c r="C41" s="6" t="s">
        <v>81</v>
      </c>
      <c r="D41" s="6" t="s">
        <v>324</v>
      </c>
      <c r="E41" s="6" t="s">
        <v>325</v>
      </c>
      <c r="F41" s="6"/>
      <c r="G41" s="6" t="s">
        <v>326</v>
      </c>
      <c r="H41" s="6" t="s">
        <v>327</v>
      </c>
      <c r="I41" s="6" t="s">
        <v>328</v>
      </c>
      <c r="J41" s="6" t="s">
        <v>329</v>
      </c>
      <c r="K41" s="6" t="s">
        <v>330</v>
      </c>
      <c r="L41" s="7">
        <v>5</v>
      </c>
      <c r="M41" s="7">
        <v>2</v>
      </c>
      <c r="N41" s="7">
        <v>0</v>
      </c>
      <c r="O41" s="7">
        <v>2</v>
      </c>
      <c r="P41" s="7">
        <v>1</v>
      </c>
      <c r="Q41" s="6" t="s">
        <v>331</v>
      </c>
      <c r="R41" s="6" t="s">
        <v>183</v>
      </c>
      <c r="S41" s="6">
        <v>1700</v>
      </c>
      <c r="T41" s="6">
        <f>SUMIFS('02_선반315'!$P$7:$P$321,'02_선반315'!$B$7:$B$321,A41)</f>
        <v>7</v>
      </c>
      <c r="U41" s="6">
        <f>SUMIFS('02_선반315'!$Q$7:$Q$321,'02_선반315'!$B$7:$B$321,A41)</f>
        <v>7</v>
      </c>
      <c r="V41" s="6" t="s">
        <v>184</v>
      </c>
    </row>
    <row r="42" spans="1:22" ht="33" customHeight="1">
      <c r="A42" s="8" t="s">
        <v>332</v>
      </c>
      <c r="B42" s="8" t="s">
        <v>174</v>
      </c>
      <c r="C42" s="8" t="s">
        <v>60</v>
      </c>
      <c r="D42" s="8" t="s">
        <v>333</v>
      </c>
      <c r="E42" s="8" t="s">
        <v>334</v>
      </c>
      <c r="F42" s="8" t="s">
        <v>335</v>
      </c>
      <c r="G42" s="8" t="s">
        <v>336</v>
      </c>
      <c r="H42" s="8" t="s">
        <v>337</v>
      </c>
      <c r="I42" s="8" t="s">
        <v>338</v>
      </c>
      <c r="J42" s="8" t="s">
        <v>339</v>
      </c>
      <c r="K42" s="8" t="s">
        <v>340</v>
      </c>
      <c r="L42" s="9">
        <v>5</v>
      </c>
      <c r="M42" s="9">
        <v>4</v>
      </c>
      <c r="N42" s="9">
        <v>0</v>
      </c>
      <c r="O42" s="9">
        <v>0</v>
      </c>
      <c r="P42" s="9">
        <v>1</v>
      </c>
      <c r="Q42" s="8"/>
      <c r="R42" s="6" t="s">
        <v>183</v>
      </c>
      <c r="S42" s="6">
        <v>1700</v>
      </c>
      <c r="T42" s="6">
        <f>SUMIFS('02_선반315'!$P$7:$P$321,'02_선반315'!$B$7:$B$321,A42)</f>
        <v>7</v>
      </c>
      <c r="U42" s="6">
        <f>SUMIFS('02_선반315'!$Q$7:$Q$321,'02_선반315'!$B$7:$B$321,A42)</f>
        <v>8</v>
      </c>
      <c r="V42" s="6" t="s">
        <v>184</v>
      </c>
    </row>
    <row r="43" spans="1:22" ht="33" customHeight="1">
      <c r="A43" s="6" t="s">
        <v>341</v>
      </c>
      <c r="B43" s="6" t="s">
        <v>174</v>
      </c>
      <c r="C43" s="6" t="s">
        <v>60</v>
      </c>
      <c r="D43" s="6" t="s">
        <v>342</v>
      </c>
      <c r="E43" s="6" t="s">
        <v>343</v>
      </c>
      <c r="F43" s="6"/>
      <c r="G43" s="6" t="s">
        <v>344</v>
      </c>
      <c r="H43" s="6" t="s">
        <v>345</v>
      </c>
      <c r="I43" s="6" t="s">
        <v>346</v>
      </c>
      <c r="J43" s="6" t="s">
        <v>347</v>
      </c>
      <c r="K43" s="6" t="s">
        <v>348</v>
      </c>
      <c r="L43" s="7">
        <v>5</v>
      </c>
      <c r="M43" s="7">
        <v>4</v>
      </c>
      <c r="N43" s="7">
        <v>0</v>
      </c>
      <c r="O43" s="7">
        <v>0</v>
      </c>
      <c r="P43" s="7">
        <v>1</v>
      </c>
      <c r="Q43" s="6"/>
      <c r="R43" s="6" t="s">
        <v>183</v>
      </c>
      <c r="S43" s="6">
        <v>1700</v>
      </c>
      <c r="T43" s="6">
        <f>SUMIFS('02_선반315'!$P$7:$P$321,'02_선반315'!$B$7:$B$321,A43)</f>
        <v>7</v>
      </c>
      <c r="U43" s="6">
        <f>SUMIFS('02_선반315'!$Q$7:$Q$321,'02_선반315'!$B$7:$B$321,A43)</f>
        <v>8</v>
      </c>
      <c r="V43" s="6" t="s">
        <v>184</v>
      </c>
    </row>
    <row r="44" spans="1:22" ht="33" customHeight="1">
      <c r="A44" s="8" t="s">
        <v>349</v>
      </c>
      <c r="B44" s="8" t="s">
        <v>202</v>
      </c>
      <c r="C44" s="8" t="s">
        <v>60</v>
      </c>
      <c r="D44" s="8" t="s">
        <v>350</v>
      </c>
      <c r="E44" s="8" t="s">
        <v>351</v>
      </c>
      <c r="F44" s="8" t="s">
        <v>352</v>
      </c>
      <c r="G44" s="8" t="s">
        <v>353</v>
      </c>
      <c r="H44" s="8" t="s">
        <v>354</v>
      </c>
      <c r="I44" s="8" t="s">
        <v>355</v>
      </c>
      <c r="J44" s="8" t="s">
        <v>356</v>
      </c>
      <c r="K44" s="8" t="s">
        <v>357</v>
      </c>
      <c r="L44" s="9">
        <v>5</v>
      </c>
      <c r="M44" s="9">
        <v>4</v>
      </c>
      <c r="N44" s="9">
        <v>0</v>
      </c>
      <c r="O44" s="9">
        <v>0</v>
      </c>
      <c r="P44" s="9">
        <v>1</v>
      </c>
      <c r="Q44" s="8"/>
      <c r="R44" s="6" t="s">
        <v>183</v>
      </c>
      <c r="S44" s="6">
        <v>1700</v>
      </c>
      <c r="T44" s="6">
        <f>SUMIFS('02_선반315'!$P$7:$P$321,'02_선반315'!$B$7:$B$321,A44)</f>
        <v>7</v>
      </c>
      <c r="U44" s="6">
        <f>SUMIFS('02_선반315'!$Q$7:$Q$321,'02_선반315'!$B$7:$B$321,A44)</f>
        <v>8</v>
      </c>
      <c r="V44" s="6" t="s">
        <v>184</v>
      </c>
    </row>
    <row r="45" spans="1:22" ht="33" customHeight="1">
      <c r="A45" s="6" t="s">
        <v>358</v>
      </c>
      <c r="B45" s="6" t="s">
        <v>202</v>
      </c>
      <c r="C45" s="6" t="s">
        <v>60</v>
      </c>
      <c r="D45" s="6" t="s">
        <v>359</v>
      </c>
      <c r="E45" s="6" t="s">
        <v>360</v>
      </c>
      <c r="F45" s="6"/>
      <c r="G45" s="6" t="s">
        <v>361</v>
      </c>
      <c r="H45" s="6" t="s">
        <v>362</v>
      </c>
      <c r="I45" s="6" t="s">
        <v>363</v>
      </c>
      <c r="J45" s="6" t="s">
        <v>364</v>
      </c>
      <c r="K45" s="6" t="s">
        <v>365</v>
      </c>
      <c r="L45" s="7">
        <v>5</v>
      </c>
      <c r="M45" s="7">
        <v>4</v>
      </c>
      <c r="N45" s="7">
        <v>0</v>
      </c>
      <c r="O45" s="7">
        <v>0</v>
      </c>
      <c r="P45" s="7">
        <v>1</v>
      </c>
      <c r="Q45" s="6"/>
      <c r="R45" s="6" t="s">
        <v>183</v>
      </c>
      <c r="S45" s="6">
        <v>1700</v>
      </c>
      <c r="T45" s="6">
        <f>SUMIFS('02_선반315'!$P$7:$P$321,'02_선반315'!$B$7:$B$321,A45)</f>
        <v>9</v>
      </c>
      <c r="U45" s="6">
        <f>SUMIFS('02_선반315'!$Q$7:$Q$321,'02_선반315'!$B$7:$B$321,A45)</f>
        <v>9</v>
      </c>
      <c r="V45" s="6" t="s">
        <v>184</v>
      </c>
    </row>
    <row r="46" spans="1:22" ht="46" customHeight="1">
      <c r="A46" s="8" t="s">
        <v>366</v>
      </c>
      <c r="B46" s="8" t="s">
        <v>174</v>
      </c>
      <c r="C46" s="8" t="s">
        <v>39</v>
      </c>
      <c r="D46" s="8" t="s">
        <v>367</v>
      </c>
      <c r="E46" s="8" t="s">
        <v>368</v>
      </c>
      <c r="F46" s="8" t="s">
        <v>369</v>
      </c>
      <c r="G46" s="8" t="s">
        <v>370</v>
      </c>
      <c r="H46" s="8" t="s">
        <v>371</v>
      </c>
      <c r="I46" s="8" t="s">
        <v>372</v>
      </c>
      <c r="J46" s="8" t="s">
        <v>373</v>
      </c>
      <c r="K46" s="8" t="s">
        <v>374</v>
      </c>
      <c r="L46" s="9">
        <v>5</v>
      </c>
      <c r="M46" s="9">
        <v>3</v>
      </c>
      <c r="N46" s="9">
        <v>0</v>
      </c>
      <c r="O46" s="9">
        <v>1</v>
      </c>
      <c r="P46" s="9">
        <v>1</v>
      </c>
      <c r="Q46" s="8" t="s">
        <v>375</v>
      </c>
      <c r="R46" s="6" t="s">
        <v>183</v>
      </c>
      <c r="S46" s="6">
        <v>1700</v>
      </c>
      <c r="T46" s="6">
        <f>SUMIFS('02_선반315'!$P$7:$P$321,'02_선반315'!$B$7:$B$321,A46)</f>
        <v>4</v>
      </c>
      <c r="U46" s="6">
        <f>SUMIFS('02_선반315'!$Q$7:$Q$321,'02_선반315'!$B$7:$B$321,A46)</f>
        <v>6</v>
      </c>
      <c r="V46" s="6" t="s">
        <v>184</v>
      </c>
    </row>
    <row r="47" spans="1:22" ht="33" customHeight="1">
      <c r="A47" s="6" t="s">
        <v>376</v>
      </c>
      <c r="B47" s="6" t="s">
        <v>174</v>
      </c>
      <c r="C47" s="6" t="s">
        <v>39</v>
      </c>
      <c r="D47" s="6" t="s">
        <v>377</v>
      </c>
      <c r="E47" s="6" t="s">
        <v>378</v>
      </c>
      <c r="F47" s="6" t="s">
        <v>379</v>
      </c>
      <c r="G47" s="6" t="s">
        <v>380</v>
      </c>
      <c r="H47" s="6" t="s">
        <v>381</v>
      </c>
      <c r="I47" s="6" t="s">
        <v>382</v>
      </c>
      <c r="J47" s="6" t="s">
        <v>383</v>
      </c>
      <c r="K47" s="6" t="s">
        <v>384</v>
      </c>
      <c r="L47" s="7">
        <v>5</v>
      </c>
      <c r="M47" s="7">
        <v>3</v>
      </c>
      <c r="N47" s="7">
        <v>0</v>
      </c>
      <c r="O47" s="7">
        <v>1</v>
      </c>
      <c r="P47" s="7">
        <v>1</v>
      </c>
      <c r="Q47" s="6" t="s">
        <v>385</v>
      </c>
      <c r="R47" s="6" t="s">
        <v>183</v>
      </c>
      <c r="S47" s="6">
        <v>1700</v>
      </c>
      <c r="T47" s="6">
        <f>SUMIFS('02_선반315'!$P$7:$P$321,'02_선반315'!$B$7:$B$321,A47)</f>
        <v>6</v>
      </c>
      <c r="U47" s="6">
        <f>SUMIFS('02_선반315'!$Q$7:$Q$321,'02_선반315'!$B$7:$B$321,A47)</f>
        <v>6</v>
      </c>
      <c r="V47" s="6" t="s">
        <v>184</v>
      </c>
    </row>
    <row r="48" spans="1:22" ht="33" customHeight="1">
      <c r="A48" s="8" t="s">
        <v>386</v>
      </c>
      <c r="B48" s="8" t="s">
        <v>174</v>
      </c>
      <c r="C48" s="8" t="s">
        <v>39</v>
      </c>
      <c r="D48" s="8" t="s">
        <v>387</v>
      </c>
      <c r="E48" s="8" t="s">
        <v>388</v>
      </c>
      <c r="F48" s="8" t="s">
        <v>389</v>
      </c>
      <c r="G48" s="8" t="s">
        <v>390</v>
      </c>
      <c r="H48" s="8" t="s">
        <v>391</v>
      </c>
      <c r="I48" s="8" t="s">
        <v>304</v>
      </c>
      <c r="J48" s="8" t="s">
        <v>392</v>
      </c>
      <c r="K48" s="8" t="s">
        <v>393</v>
      </c>
      <c r="L48" s="9">
        <v>5</v>
      </c>
      <c r="M48" s="9">
        <v>4</v>
      </c>
      <c r="N48" s="9">
        <v>0</v>
      </c>
      <c r="O48" s="9">
        <v>0</v>
      </c>
      <c r="P48" s="9">
        <v>1</v>
      </c>
      <c r="Q48" s="8" t="s">
        <v>394</v>
      </c>
      <c r="R48" s="6" t="s">
        <v>183</v>
      </c>
      <c r="S48" s="6">
        <v>1700</v>
      </c>
      <c r="T48" s="6">
        <f>SUMIFS('02_선반315'!$P$7:$P$321,'02_선반315'!$B$7:$B$321,A48)</f>
        <v>7</v>
      </c>
      <c r="U48" s="6">
        <f>SUMIFS('02_선반315'!$Q$7:$Q$321,'02_선반315'!$B$7:$B$321,A48)</f>
        <v>9</v>
      </c>
      <c r="V48" s="6" t="s">
        <v>184</v>
      </c>
    </row>
    <row r="49" spans="1:22" ht="33" customHeight="1">
      <c r="A49" s="6" t="s">
        <v>395</v>
      </c>
      <c r="B49" s="6" t="s">
        <v>202</v>
      </c>
      <c r="C49" s="6" t="s">
        <v>39</v>
      </c>
      <c r="D49" s="6" t="s">
        <v>396</v>
      </c>
      <c r="E49" s="6" t="s">
        <v>397</v>
      </c>
      <c r="F49" s="6" t="s">
        <v>398</v>
      </c>
      <c r="G49" s="6" t="s">
        <v>399</v>
      </c>
      <c r="H49" s="6" t="s">
        <v>400</v>
      </c>
      <c r="I49" s="6" t="s">
        <v>401</v>
      </c>
      <c r="J49" s="6" t="s">
        <v>402</v>
      </c>
      <c r="K49" s="6" t="s">
        <v>403</v>
      </c>
      <c r="L49" s="7">
        <v>5</v>
      </c>
      <c r="M49" s="7">
        <v>3</v>
      </c>
      <c r="N49" s="7">
        <v>0</v>
      </c>
      <c r="O49" s="7">
        <v>1</v>
      </c>
      <c r="P49" s="7">
        <v>1</v>
      </c>
      <c r="Q49" s="6"/>
      <c r="R49" s="6" t="s">
        <v>183</v>
      </c>
      <c r="S49" s="6">
        <v>1700</v>
      </c>
      <c r="T49" s="6">
        <f>SUMIFS('02_선반315'!$P$7:$P$321,'02_선반315'!$B$7:$B$321,A49)</f>
        <v>5</v>
      </c>
      <c r="U49" s="6">
        <f>SUMIFS('02_선반315'!$Q$7:$Q$321,'02_선반315'!$B$7:$B$321,A49)</f>
        <v>5</v>
      </c>
      <c r="V49" s="6" t="s">
        <v>184</v>
      </c>
    </row>
    <row r="50" spans="1:22" ht="33" customHeight="1">
      <c r="A50" s="8" t="s">
        <v>404</v>
      </c>
      <c r="B50" s="8" t="s">
        <v>202</v>
      </c>
      <c r="C50" s="8" t="s">
        <v>39</v>
      </c>
      <c r="D50" s="8" t="s">
        <v>405</v>
      </c>
      <c r="E50" s="8" t="s">
        <v>406</v>
      </c>
      <c r="F50" s="8" t="s">
        <v>407</v>
      </c>
      <c r="G50" s="8" t="s">
        <v>408</v>
      </c>
      <c r="H50" s="8" t="s">
        <v>409</v>
      </c>
      <c r="I50" s="8" t="s">
        <v>410</v>
      </c>
      <c r="J50" s="8" t="s">
        <v>411</v>
      </c>
      <c r="K50" s="8" t="s">
        <v>412</v>
      </c>
      <c r="L50" s="9">
        <v>5</v>
      </c>
      <c r="M50" s="9">
        <v>4</v>
      </c>
      <c r="N50" s="9">
        <v>0</v>
      </c>
      <c r="O50" s="9">
        <v>0</v>
      </c>
      <c r="P50" s="9">
        <v>1</v>
      </c>
      <c r="Q50" s="8" t="s">
        <v>413</v>
      </c>
      <c r="R50" s="6" t="s">
        <v>183</v>
      </c>
      <c r="S50" s="6">
        <v>1700</v>
      </c>
      <c r="T50" s="6">
        <f>SUMIFS('02_선반315'!$P$7:$P$321,'02_선반315'!$B$7:$B$321,A50)</f>
        <v>9</v>
      </c>
      <c r="U50" s="6">
        <f>SUMIFS('02_선반315'!$Q$7:$Q$321,'02_선반315'!$B$7:$B$321,A50)</f>
        <v>11</v>
      </c>
      <c r="V50" s="6" t="s">
        <v>184</v>
      </c>
    </row>
    <row r="51" spans="1:22" ht="33" customHeight="1">
      <c r="A51" s="6" t="s">
        <v>414</v>
      </c>
      <c r="B51" s="6" t="s">
        <v>202</v>
      </c>
      <c r="C51" s="6" t="s">
        <v>39</v>
      </c>
      <c r="D51" s="6" t="s">
        <v>415</v>
      </c>
      <c r="E51" s="6" t="s">
        <v>416</v>
      </c>
      <c r="F51" s="6"/>
      <c r="G51" s="6" t="s">
        <v>417</v>
      </c>
      <c r="H51" s="6" t="s">
        <v>418</v>
      </c>
      <c r="I51" s="6" t="s">
        <v>419</v>
      </c>
      <c r="J51" s="6" t="s">
        <v>420</v>
      </c>
      <c r="K51" s="6" t="s">
        <v>421</v>
      </c>
      <c r="L51" s="7">
        <v>5</v>
      </c>
      <c r="M51" s="7">
        <v>3</v>
      </c>
      <c r="N51" s="7">
        <v>0</v>
      </c>
      <c r="O51" s="7">
        <v>1</v>
      </c>
      <c r="P51" s="7">
        <v>1</v>
      </c>
      <c r="Q51" s="6" t="s">
        <v>422</v>
      </c>
      <c r="R51" s="6" t="s">
        <v>183</v>
      </c>
      <c r="S51" s="6">
        <v>1700</v>
      </c>
      <c r="T51" s="6">
        <f>SUMIFS('02_선반315'!$P$7:$P$321,'02_선반315'!$B$7:$B$321,A51)</f>
        <v>5</v>
      </c>
      <c r="U51" s="6">
        <f>SUMIFS('02_선반315'!$Q$7:$Q$321,'02_선반315'!$B$7:$B$321,A51)</f>
        <v>5</v>
      </c>
      <c r="V51" s="6" t="s">
        <v>184</v>
      </c>
    </row>
    <row r="52" spans="1:22" ht="33" customHeight="1">
      <c r="A52" s="8" t="s">
        <v>423</v>
      </c>
      <c r="B52" s="8" t="s">
        <v>174</v>
      </c>
      <c r="C52" s="8" t="s">
        <v>108</v>
      </c>
      <c r="D52" s="8" t="s">
        <v>424</v>
      </c>
      <c r="E52" s="8" t="s">
        <v>425</v>
      </c>
      <c r="F52" s="8"/>
      <c r="G52" s="8" t="s">
        <v>426</v>
      </c>
      <c r="H52" s="8" t="s">
        <v>427</v>
      </c>
      <c r="I52" s="8" t="s">
        <v>428</v>
      </c>
      <c r="J52" s="8" t="s">
        <v>429</v>
      </c>
      <c r="K52" s="8" t="s">
        <v>430</v>
      </c>
      <c r="L52" s="9">
        <v>5</v>
      </c>
      <c r="M52" s="9">
        <v>5</v>
      </c>
      <c r="N52" s="9">
        <v>0</v>
      </c>
      <c r="O52" s="9">
        <v>0</v>
      </c>
      <c r="P52" s="9">
        <v>0</v>
      </c>
      <c r="Q52" s="8"/>
      <c r="R52" s="6" t="s">
        <v>183</v>
      </c>
      <c r="S52" s="6">
        <v>1700</v>
      </c>
      <c r="T52" s="6">
        <f>SUMIFS('02_선반315'!$P$7:$P$321,'02_선반315'!$B$7:$B$321,A52)</f>
        <v>8</v>
      </c>
      <c r="U52" s="6">
        <f>SUMIFS('02_선반315'!$Q$7:$Q$321,'02_선반315'!$B$7:$B$321,A52)</f>
        <v>9</v>
      </c>
      <c r="V52" s="6" t="s">
        <v>184</v>
      </c>
    </row>
    <row r="53" spans="1:22" ht="33" customHeight="1">
      <c r="A53" s="6" t="s">
        <v>431</v>
      </c>
      <c r="B53" s="6" t="s">
        <v>174</v>
      </c>
      <c r="C53" s="6" t="s">
        <v>108</v>
      </c>
      <c r="D53" s="6" t="s">
        <v>432</v>
      </c>
      <c r="E53" s="6" t="s">
        <v>433</v>
      </c>
      <c r="F53" s="6"/>
      <c r="G53" s="6" t="s">
        <v>434</v>
      </c>
      <c r="H53" s="6" t="s">
        <v>435</v>
      </c>
      <c r="I53" s="6" t="s">
        <v>436</v>
      </c>
      <c r="J53" s="6" t="s">
        <v>437</v>
      </c>
      <c r="K53" s="6" t="s">
        <v>438</v>
      </c>
      <c r="L53" s="7">
        <v>5</v>
      </c>
      <c r="M53" s="7">
        <v>5</v>
      </c>
      <c r="N53" s="7">
        <v>0</v>
      </c>
      <c r="O53" s="7">
        <v>0</v>
      </c>
      <c r="P53" s="7">
        <v>0</v>
      </c>
      <c r="Q53" s="6"/>
      <c r="R53" s="6" t="s">
        <v>183</v>
      </c>
      <c r="S53" s="6">
        <v>1700</v>
      </c>
      <c r="T53" s="6">
        <f>SUMIFS('02_선반315'!$P$7:$P$321,'02_선반315'!$B$7:$B$321,A53)</f>
        <v>10</v>
      </c>
      <c r="U53" s="6">
        <f>SUMIFS('02_선반315'!$Q$7:$Q$321,'02_선반315'!$B$7:$B$321,A53)</f>
        <v>11</v>
      </c>
      <c r="V53" s="6" t="s">
        <v>184</v>
      </c>
    </row>
    <row r="54" spans="1:22" ht="33" customHeight="1">
      <c r="A54" s="8" t="s">
        <v>439</v>
      </c>
      <c r="B54" s="8" t="s">
        <v>174</v>
      </c>
      <c r="C54" s="8" t="s">
        <v>108</v>
      </c>
      <c r="D54" s="8" t="s">
        <v>440</v>
      </c>
      <c r="E54" s="8" t="s">
        <v>441</v>
      </c>
      <c r="F54" s="8"/>
      <c r="G54" s="8" t="s">
        <v>442</v>
      </c>
      <c r="H54" s="8" t="s">
        <v>443</v>
      </c>
      <c r="I54" s="8" t="s">
        <v>444</v>
      </c>
      <c r="J54" s="8" t="s">
        <v>445</v>
      </c>
      <c r="K54" s="8" t="s">
        <v>446</v>
      </c>
      <c r="L54" s="9">
        <v>5</v>
      </c>
      <c r="M54" s="9">
        <v>3</v>
      </c>
      <c r="N54" s="9">
        <v>0</v>
      </c>
      <c r="O54" s="9">
        <v>1</v>
      </c>
      <c r="P54" s="9">
        <v>1</v>
      </c>
      <c r="Q54" s="8"/>
      <c r="R54" s="6" t="s">
        <v>183</v>
      </c>
      <c r="S54" s="6">
        <v>1700</v>
      </c>
      <c r="T54" s="6">
        <f>SUMIFS('02_선반315'!$P$7:$P$321,'02_선반315'!$B$7:$B$321,A54)</f>
        <v>4</v>
      </c>
      <c r="U54" s="6">
        <f>SUMIFS('02_선반315'!$Q$7:$Q$321,'02_선반315'!$B$7:$B$321,A54)</f>
        <v>5</v>
      </c>
      <c r="V54" s="6" t="s">
        <v>184</v>
      </c>
    </row>
    <row r="55" spans="1:22" ht="33" customHeight="1">
      <c r="A55" s="6" t="s">
        <v>447</v>
      </c>
      <c r="B55" s="6" t="s">
        <v>202</v>
      </c>
      <c r="C55" s="6" t="s">
        <v>27</v>
      </c>
      <c r="D55" s="6" t="s">
        <v>448</v>
      </c>
      <c r="E55" s="6" t="s">
        <v>449</v>
      </c>
      <c r="F55" s="6"/>
      <c r="G55" s="6" t="s">
        <v>450</v>
      </c>
      <c r="H55" s="6" t="s">
        <v>451</v>
      </c>
      <c r="I55" s="6" t="s">
        <v>452</v>
      </c>
      <c r="J55" s="6" t="s">
        <v>453</v>
      </c>
      <c r="K55" s="6" t="s">
        <v>454</v>
      </c>
      <c r="L55" s="7">
        <v>5</v>
      </c>
      <c r="M55" s="7">
        <v>5</v>
      </c>
      <c r="N55" s="7">
        <v>0</v>
      </c>
      <c r="O55" s="7">
        <v>0</v>
      </c>
      <c r="P55" s="7">
        <v>0</v>
      </c>
      <c r="Q55" s="6"/>
      <c r="R55" s="6" t="s">
        <v>183</v>
      </c>
      <c r="S55" s="6">
        <v>1700</v>
      </c>
      <c r="T55" s="6">
        <f>SUMIFS('02_선반315'!$P$7:$P$321,'02_선반315'!$B$7:$B$321,A55)</f>
        <v>9</v>
      </c>
      <c r="U55" s="6">
        <f>SUMIFS('02_선반315'!$Q$7:$Q$321,'02_선반315'!$B$7:$B$321,A55)</f>
        <v>10</v>
      </c>
      <c r="V55" s="6" t="s">
        <v>184</v>
      </c>
    </row>
    <row r="56" spans="1:22" ht="33" customHeight="1">
      <c r="A56" s="8" t="s">
        <v>455</v>
      </c>
      <c r="B56" s="8" t="s">
        <v>202</v>
      </c>
      <c r="C56" s="8" t="s">
        <v>108</v>
      </c>
      <c r="D56" s="8" t="s">
        <v>456</v>
      </c>
      <c r="E56" s="8" t="s">
        <v>457</v>
      </c>
      <c r="F56" s="8"/>
      <c r="G56" s="8" t="s">
        <v>458</v>
      </c>
      <c r="H56" s="8" t="s">
        <v>459</v>
      </c>
      <c r="I56" s="8" t="s">
        <v>460</v>
      </c>
      <c r="J56" s="8" t="s">
        <v>461</v>
      </c>
      <c r="K56" s="8" t="s">
        <v>462</v>
      </c>
      <c r="L56" s="9">
        <v>5</v>
      </c>
      <c r="M56" s="9">
        <v>4</v>
      </c>
      <c r="N56" s="9">
        <v>0</v>
      </c>
      <c r="O56" s="9">
        <v>0</v>
      </c>
      <c r="P56" s="9">
        <v>1</v>
      </c>
      <c r="Q56" s="8"/>
      <c r="R56" s="6" t="s">
        <v>183</v>
      </c>
      <c r="S56" s="6">
        <v>1700</v>
      </c>
      <c r="T56" s="6">
        <f>SUMIFS('02_선반315'!$P$7:$P$321,'02_선반315'!$B$7:$B$321,A56)</f>
        <v>8</v>
      </c>
      <c r="U56" s="6">
        <f>SUMIFS('02_선반315'!$Q$7:$Q$321,'02_선반315'!$B$7:$B$321,A56)</f>
        <v>8</v>
      </c>
      <c r="V56" s="6" t="s">
        <v>184</v>
      </c>
    </row>
    <row r="57" spans="1:22" ht="33" customHeight="1">
      <c r="A57" s="6" t="s">
        <v>463</v>
      </c>
      <c r="B57" s="6" t="s">
        <v>202</v>
      </c>
      <c r="C57" s="6" t="s">
        <v>81</v>
      </c>
      <c r="D57" s="6" t="s">
        <v>464</v>
      </c>
      <c r="E57" s="6" t="s">
        <v>465</v>
      </c>
      <c r="F57" s="6"/>
      <c r="G57" s="6" t="s">
        <v>466</v>
      </c>
      <c r="H57" s="6" t="s">
        <v>467</v>
      </c>
      <c r="I57" s="6" t="s">
        <v>468</v>
      </c>
      <c r="J57" s="6" t="s">
        <v>469</v>
      </c>
      <c r="K57" s="6" t="s">
        <v>470</v>
      </c>
      <c r="L57" s="7">
        <v>5</v>
      </c>
      <c r="M57" s="7">
        <v>5</v>
      </c>
      <c r="N57" s="7">
        <v>0</v>
      </c>
      <c r="O57" s="7">
        <v>0</v>
      </c>
      <c r="P57" s="7">
        <v>0</v>
      </c>
      <c r="Q57" s="6"/>
      <c r="R57" s="6" t="s">
        <v>183</v>
      </c>
      <c r="S57" s="6">
        <v>1700</v>
      </c>
      <c r="T57" s="6">
        <f>SUMIFS('02_선반315'!$P$7:$P$321,'02_선반315'!$B$7:$B$321,A57)</f>
        <v>8</v>
      </c>
      <c r="U57" s="6">
        <f>SUMIFS('02_선반315'!$Q$7:$Q$321,'02_선반315'!$B$7:$B$321,A57)</f>
        <v>8</v>
      </c>
      <c r="V57" s="6" t="s">
        <v>184</v>
      </c>
    </row>
    <row r="58" spans="1:22" ht="33" customHeight="1">
      <c r="A58" s="8" t="s">
        <v>471</v>
      </c>
      <c r="B58" s="8" t="s">
        <v>472</v>
      </c>
      <c r="C58" s="8" t="s">
        <v>27</v>
      </c>
      <c r="D58" s="8" t="s">
        <v>473</v>
      </c>
      <c r="E58" s="8" t="s">
        <v>474</v>
      </c>
      <c r="F58" s="8"/>
      <c r="G58" s="8" t="s">
        <v>120</v>
      </c>
      <c r="H58" s="8" t="s">
        <v>123</v>
      </c>
      <c r="I58" s="8" t="s">
        <v>123</v>
      </c>
      <c r="J58" s="8" t="s">
        <v>123</v>
      </c>
      <c r="K58" s="8" t="s">
        <v>123</v>
      </c>
      <c r="L58" s="9">
        <v>5</v>
      </c>
      <c r="M58" s="9">
        <v>0</v>
      </c>
      <c r="N58" s="9">
        <v>0</v>
      </c>
      <c r="O58" s="9">
        <v>2</v>
      </c>
      <c r="P58" s="9">
        <v>3</v>
      </c>
      <c r="Q58" s="8"/>
      <c r="R58" s="6" t="s">
        <v>475</v>
      </c>
      <c r="S58" s="6">
        <v>1700</v>
      </c>
      <c r="T58" s="6">
        <f>SUMIFS('02_선반315'!$P$7:$P$321,'02_선반315'!$B$7:$B$321,A58)</f>
        <v>0</v>
      </c>
      <c r="U58" s="6">
        <f>SUMIFS('02_선반315'!$Q$7:$Q$321,'02_선반315'!$B$7:$B$321,A58)</f>
        <v>0</v>
      </c>
      <c r="V58" s="6" t="s">
        <v>476</v>
      </c>
    </row>
    <row r="59" spans="1:22" ht="33" customHeight="1">
      <c r="A59" s="6" t="s">
        <v>477</v>
      </c>
      <c r="B59" s="6" t="s">
        <v>478</v>
      </c>
      <c r="C59" s="6" t="s">
        <v>39</v>
      </c>
      <c r="D59" s="6" t="s">
        <v>479</v>
      </c>
      <c r="E59" s="6" t="s">
        <v>480</v>
      </c>
      <c r="F59" s="6"/>
      <c r="G59" s="6" t="s">
        <v>120</v>
      </c>
      <c r="H59" s="6" t="s">
        <v>481</v>
      </c>
      <c r="I59" s="6" t="s">
        <v>482</v>
      </c>
      <c r="J59" s="6" t="s">
        <v>123</v>
      </c>
      <c r="K59" s="6" t="s">
        <v>123</v>
      </c>
      <c r="L59" s="7">
        <v>5</v>
      </c>
      <c r="M59" s="7">
        <v>0</v>
      </c>
      <c r="N59" s="7">
        <v>2</v>
      </c>
      <c r="O59" s="7">
        <v>2</v>
      </c>
      <c r="P59" s="7">
        <v>1</v>
      </c>
      <c r="Q59" s="6"/>
      <c r="R59" s="6" t="s">
        <v>475</v>
      </c>
      <c r="S59" s="6">
        <v>1700</v>
      </c>
      <c r="T59" s="6">
        <f>SUMIFS('02_선반315'!$P$7:$P$321,'02_선반315'!$B$7:$B$321,A59)</f>
        <v>2</v>
      </c>
      <c r="U59" s="6">
        <f>SUMIFS('02_선반315'!$Q$7:$Q$321,'02_선반315'!$B$7:$B$321,A59)</f>
        <v>2</v>
      </c>
      <c r="V59" s="6" t="s">
        <v>476</v>
      </c>
    </row>
    <row r="60" spans="1:22" ht="33" customHeight="1">
      <c r="A60" s="8" t="s">
        <v>483</v>
      </c>
      <c r="B60" s="8" t="s">
        <v>472</v>
      </c>
      <c r="C60" s="8" t="s">
        <v>27</v>
      </c>
      <c r="D60" s="8" t="s">
        <v>484</v>
      </c>
      <c r="E60" s="8" t="s">
        <v>485</v>
      </c>
      <c r="F60" s="8"/>
      <c r="G60" s="8" t="s">
        <v>120</v>
      </c>
      <c r="H60" s="8" t="s">
        <v>128</v>
      </c>
      <c r="I60" s="8" t="s">
        <v>129</v>
      </c>
      <c r="J60" s="8" t="s">
        <v>123</v>
      </c>
      <c r="K60" s="8" t="s">
        <v>123</v>
      </c>
      <c r="L60" s="9">
        <v>5</v>
      </c>
      <c r="M60" s="9">
        <v>0</v>
      </c>
      <c r="N60" s="9">
        <v>2</v>
      </c>
      <c r="O60" s="9">
        <v>2</v>
      </c>
      <c r="P60" s="9">
        <v>1</v>
      </c>
      <c r="Q60" s="8"/>
      <c r="R60" s="6" t="s">
        <v>475</v>
      </c>
      <c r="S60" s="6">
        <v>1700</v>
      </c>
      <c r="T60" s="6">
        <f>SUMIFS('02_선반315'!$P$7:$P$321,'02_선반315'!$B$7:$B$321,A60)</f>
        <v>2</v>
      </c>
      <c r="U60" s="6">
        <f>SUMIFS('02_선반315'!$Q$7:$Q$321,'02_선반315'!$B$7:$B$321,A60)</f>
        <v>2</v>
      </c>
      <c r="V60" s="6" t="s">
        <v>476</v>
      </c>
    </row>
    <row r="61" spans="1:22" ht="33" customHeight="1">
      <c r="A61" s="6" t="s">
        <v>486</v>
      </c>
      <c r="B61" s="6" t="s">
        <v>478</v>
      </c>
      <c r="C61" s="6" t="s">
        <v>27</v>
      </c>
      <c r="D61" s="6" t="s">
        <v>487</v>
      </c>
      <c r="E61" s="6" t="s">
        <v>488</v>
      </c>
      <c r="F61" s="6"/>
      <c r="G61" s="6" t="s">
        <v>120</v>
      </c>
      <c r="H61" s="6" t="s">
        <v>130</v>
      </c>
      <c r="I61" s="6" t="s">
        <v>245</v>
      </c>
      <c r="J61" s="6" t="s">
        <v>123</v>
      </c>
      <c r="K61" s="6" t="s">
        <v>123</v>
      </c>
      <c r="L61" s="7">
        <v>5</v>
      </c>
      <c r="M61" s="7">
        <v>0</v>
      </c>
      <c r="N61" s="7">
        <v>2</v>
      </c>
      <c r="O61" s="7">
        <v>2</v>
      </c>
      <c r="P61" s="7">
        <v>1</v>
      </c>
      <c r="Q61" s="6"/>
      <c r="R61" s="6" t="s">
        <v>475</v>
      </c>
      <c r="S61" s="6">
        <v>1700</v>
      </c>
      <c r="T61" s="6">
        <f>SUMIFS('02_선반315'!$P$7:$P$321,'02_선반315'!$B$7:$B$321,A61)</f>
        <v>2</v>
      </c>
      <c r="U61" s="6">
        <f>SUMIFS('02_선반315'!$Q$7:$Q$321,'02_선반315'!$B$7:$B$321,A61)</f>
        <v>2</v>
      </c>
      <c r="V61" s="6" t="s">
        <v>476</v>
      </c>
    </row>
    <row r="62" spans="1:22" ht="33" customHeight="1">
      <c r="A62" s="8" t="s">
        <v>489</v>
      </c>
      <c r="B62" s="8" t="s">
        <v>472</v>
      </c>
      <c r="C62" s="8" t="s">
        <v>39</v>
      </c>
      <c r="D62" s="8" t="s">
        <v>490</v>
      </c>
      <c r="E62" s="8" t="s">
        <v>491</v>
      </c>
      <c r="F62" s="8"/>
      <c r="G62" s="8" t="s">
        <v>120</v>
      </c>
      <c r="H62" s="8" t="s">
        <v>492</v>
      </c>
      <c r="I62" s="8" t="s">
        <v>493</v>
      </c>
      <c r="J62" s="8" t="s">
        <v>123</v>
      </c>
      <c r="K62" s="8" t="s">
        <v>123</v>
      </c>
      <c r="L62" s="9">
        <v>5</v>
      </c>
      <c r="M62" s="9">
        <v>0</v>
      </c>
      <c r="N62" s="9">
        <v>2</v>
      </c>
      <c r="O62" s="9">
        <v>2</v>
      </c>
      <c r="P62" s="9">
        <v>1</v>
      </c>
      <c r="Q62" s="8"/>
      <c r="R62" s="6" t="s">
        <v>475</v>
      </c>
      <c r="S62" s="6">
        <v>1700</v>
      </c>
      <c r="T62" s="6">
        <f>SUMIFS('02_선반315'!$P$7:$P$321,'02_선반315'!$B$7:$B$321,A62)</f>
        <v>2</v>
      </c>
      <c r="U62" s="6">
        <f>SUMIFS('02_선반315'!$Q$7:$Q$321,'02_선반315'!$B$7:$B$321,A62)</f>
        <v>2</v>
      </c>
      <c r="V62" s="6" t="s">
        <v>476</v>
      </c>
    </row>
    <row r="63" spans="1:22" ht="33" customHeight="1">
      <c r="A63" s="6" t="s">
        <v>494</v>
      </c>
      <c r="B63" s="6" t="s">
        <v>478</v>
      </c>
      <c r="C63" s="6" t="s">
        <v>81</v>
      </c>
      <c r="D63" s="6" t="s">
        <v>495</v>
      </c>
      <c r="E63" s="6" t="s">
        <v>496</v>
      </c>
      <c r="F63" s="6"/>
      <c r="G63" s="6" t="s">
        <v>120</v>
      </c>
      <c r="H63" s="6" t="s">
        <v>497</v>
      </c>
      <c r="I63" s="6" t="s">
        <v>498</v>
      </c>
      <c r="J63" s="6" t="s">
        <v>123</v>
      </c>
      <c r="K63" s="6" t="s">
        <v>123</v>
      </c>
      <c r="L63" s="7">
        <v>5</v>
      </c>
      <c r="M63" s="7">
        <v>0</v>
      </c>
      <c r="N63" s="7">
        <v>2</v>
      </c>
      <c r="O63" s="7">
        <v>2</v>
      </c>
      <c r="P63" s="7">
        <v>1</v>
      </c>
      <c r="Q63" s="6"/>
      <c r="R63" s="6" t="s">
        <v>475</v>
      </c>
      <c r="S63" s="6">
        <v>1700</v>
      </c>
      <c r="T63" s="6">
        <f>SUMIFS('02_선반315'!$P$7:$P$321,'02_선반315'!$B$7:$B$321,A63)</f>
        <v>2</v>
      </c>
      <c r="U63" s="6">
        <f>SUMIFS('02_선반315'!$Q$7:$Q$321,'02_선반315'!$B$7:$B$321,A63)</f>
        <v>2</v>
      </c>
      <c r="V63" s="6" t="s">
        <v>476</v>
      </c>
    </row>
    <row r="64" spans="1:22" ht="33" customHeight="1">
      <c r="A64" s="8" t="s">
        <v>499</v>
      </c>
      <c r="B64" s="8" t="s">
        <v>472</v>
      </c>
      <c r="C64" s="8" t="s">
        <v>60</v>
      </c>
      <c r="D64" s="8" t="s">
        <v>500</v>
      </c>
      <c r="E64" s="8" t="s">
        <v>501</v>
      </c>
      <c r="F64" s="8"/>
      <c r="G64" s="8" t="s">
        <v>120</v>
      </c>
      <c r="H64" s="8" t="s">
        <v>150</v>
      </c>
      <c r="I64" s="8" t="s">
        <v>151</v>
      </c>
      <c r="J64" s="8" t="s">
        <v>123</v>
      </c>
      <c r="K64" s="8" t="s">
        <v>123</v>
      </c>
      <c r="L64" s="9">
        <v>5</v>
      </c>
      <c r="M64" s="9">
        <v>0</v>
      </c>
      <c r="N64" s="9">
        <v>2</v>
      </c>
      <c r="O64" s="9">
        <v>2</v>
      </c>
      <c r="P64" s="9">
        <v>1</v>
      </c>
      <c r="Q64" s="8"/>
      <c r="R64" s="6" t="s">
        <v>475</v>
      </c>
      <c r="S64" s="6">
        <v>1700</v>
      </c>
      <c r="T64" s="6">
        <f>SUMIFS('02_선반315'!$P$7:$P$321,'02_선반315'!$B$7:$B$321,A64)</f>
        <v>2</v>
      </c>
      <c r="U64" s="6">
        <f>SUMIFS('02_선반315'!$Q$7:$Q$321,'02_선반315'!$B$7:$B$321,A64)</f>
        <v>2</v>
      </c>
      <c r="V64" s="6" t="s">
        <v>476</v>
      </c>
    </row>
    <row r="65" spans="1:22" ht="33" customHeight="1">
      <c r="A65" s="6" t="s">
        <v>502</v>
      </c>
      <c r="B65" s="6" t="s">
        <v>478</v>
      </c>
      <c r="C65" s="6" t="s">
        <v>60</v>
      </c>
      <c r="D65" s="6" t="s">
        <v>359</v>
      </c>
      <c r="E65" s="6" t="s">
        <v>503</v>
      </c>
      <c r="F65" s="6"/>
      <c r="G65" s="6" t="s">
        <v>120</v>
      </c>
      <c r="H65" s="6" t="s">
        <v>504</v>
      </c>
      <c r="I65" s="6" t="s">
        <v>505</v>
      </c>
      <c r="J65" s="6" t="s">
        <v>123</v>
      </c>
      <c r="K65" s="6" t="s">
        <v>123</v>
      </c>
      <c r="L65" s="7">
        <v>5</v>
      </c>
      <c r="M65" s="7">
        <v>0</v>
      </c>
      <c r="N65" s="7">
        <v>2</v>
      </c>
      <c r="O65" s="7">
        <v>2</v>
      </c>
      <c r="P65" s="7">
        <v>1</v>
      </c>
      <c r="Q65" s="6"/>
      <c r="R65" s="6" t="s">
        <v>475</v>
      </c>
      <c r="S65" s="6">
        <v>1700</v>
      </c>
      <c r="T65" s="6">
        <f>SUMIFS('02_선반315'!$P$7:$P$321,'02_선반315'!$B$7:$B$321,A65)</f>
        <v>2</v>
      </c>
      <c r="U65" s="6">
        <f>SUMIFS('02_선반315'!$Q$7:$Q$321,'02_선반315'!$B$7:$B$321,A65)</f>
        <v>2</v>
      </c>
      <c r="V65" s="6" t="s">
        <v>476</v>
      </c>
    </row>
    <row r="66" spans="1:22" ht="33" customHeight="1">
      <c r="A66" s="8" t="s">
        <v>506</v>
      </c>
      <c r="B66" s="8" t="s">
        <v>472</v>
      </c>
      <c r="C66" s="8" t="s">
        <v>39</v>
      </c>
      <c r="D66" s="8" t="s">
        <v>140</v>
      </c>
      <c r="E66" s="8" t="s">
        <v>507</v>
      </c>
      <c r="F66" s="8"/>
      <c r="G66" s="8" t="s">
        <v>120</v>
      </c>
      <c r="H66" s="8" t="s">
        <v>161</v>
      </c>
      <c r="I66" s="8" t="s">
        <v>162</v>
      </c>
      <c r="J66" s="8" t="s">
        <v>123</v>
      </c>
      <c r="K66" s="8" t="s">
        <v>123</v>
      </c>
      <c r="L66" s="9">
        <v>5</v>
      </c>
      <c r="M66" s="9">
        <v>0</v>
      </c>
      <c r="N66" s="9">
        <v>2</v>
      </c>
      <c r="O66" s="9">
        <v>2</v>
      </c>
      <c r="P66" s="9">
        <v>1</v>
      </c>
      <c r="Q66" s="8"/>
      <c r="R66" s="6" t="s">
        <v>475</v>
      </c>
      <c r="S66" s="6">
        <v>1700</v>
      </c>
      <c r="T66" s="6">
        <f>SUMIFS('02_선반315'!$P$7:$P$321,'02_선반315'!$B$7:$B$321,A66)</f>
        <v>2</v>
      </c>
      <c r="U66" s="6">
        <f>SUMIFS('02_선반315'!$Q$7:$Q$321,'02_선반315'!$B$7:$B$321,A66)</f>
        <v>2</v>
      </c>
      <c r="V66" s="6" t="s">
        <v>476</v>
      </c>
    </row>
    <row r="67" spans="1:22" ht="33" customHeight="1">
      <c r="A67" s="6" t="s">
        <v>508</v>
      </c>
      <c r="B67" s="6" t="s">
        <v>478</v>
      </c>
      <c r="C67" s="6" t="s">
        <v>39</v>
      </c>
      <c r="D67" s="6" t="s">
        <v>509</v>
      </c>
      <c r="E67" s="6" t="s">
        <v>510</v>
      </c>
      <c r="F67" s="6"/>
      <c r="G67" s="6" t="s">
        <v>120</v>
      </c>
      <c r="H67" s="6" t="s">
        <v>156</v>
      </c>
      <c r="I67" s="6" t="s">
        <v>156</v>
      </c>
      <c r="J67" s="6" t="s">
        <v>123</v>
      </c>
      <c r="K67" s="6" t="s">
        <v>123</v>
      </c>
      <c r="L67" s="7">
        <v>5</v>
      </c>
      <c r="M67" s="7">
        <v>0</v>
      </c>
      <c r="N67" s="7">
        <v>2</v>
      </c>
      <c r="O67" s="7">
        <v>2</v>
      </c>
      <c r="P67" s="7">
        <v>1</v>
      </c>
      <c r="Q67" s="6"/>
      <c r="R67" s="6" t="s">
        <v>475</v>
      </c>
      <c r="S67" s="6">
        <v>1700</v>
      </c>
      <c r="T67" s="6">
        <f>SUMIFS('02_선반315'!$P$7:$P$321,'02_선반315'!$B$7:$B$321,A67)</f>
        <v>2</v>
      </c>
      <c r="U67" s="6">
        <f>SUMIFS('02_선반315'!$Q$7:$Q$321,'02_선반315'!$B$7:$B$321,A67)</f>
        <v>2</v>
      </c>
      <c r="V67" s="6" t="s">
        <v>476</v>
      </c>
    </row>
    <row r="68" spans="1:22" ht="33" customHeight="1">
      <c r="A68" s="8" t="s">
        <v>511</v>
      </c>
      <c r="B68" s="8" t="s">
        <v>472</v>
      </c>
      <c r="C68" s="8" t="s">
        <v>108</v>
      </c>
      <c r="D68" s="8" t="s">
        <v>512</v>
      </c>
      <c r="E68" s="8" t="s">
        <v>513</v>
      </c>
      <c r="F68" s="8"/>
      <c r="G68" s="8" t="s">
        <v>120</v>
      </c>
      <c r="H68" s="8" t="s">
        <v>514</v>
      </c>
      <c r="I68" s="8" t="s">
        <v>515</v>
      </c>
      <c r="J68" s="8" t="s">
        <v>123</v>
      </c>
      <c r="K68" s="8" t="s">
        <v>123</v>
      </c>
      <c r="L68" s="9">
        <v>5</v>
      </c>
      <c r="M68" s="9">
        <v>0</v>
      </c>
      <c r="N68" s="9">
        <v>2</v>
      </c>
      <c r="O68" s="9">
        <v>2</v>
      </c>
      <c r="P68" s="9">
        <v>1</v>
      </c>
      <c r="Q68" s="8"/>
      <c r="R68" s="6" t="s">
        <v>475</v>
      </c>
      <c r="S68" s="6">
        <v>1700</v>
      </c>
      <c r="T68" s="6">
        <f>SUMIFS('02_선반315'!$P$7:$P$321,'02_선반315'!$B$7:$B$321,A68)</f>
        <v>2</v>
      </c>
      <c r="U68" s="6">
        <f>SUMIFS('02_선반315'!$Q$7:$Q$321,'02_선반315'!$B$7:$B$321,A68)</f>
        <v>2</v>
      </c>
      <c r="V68" s="6" t="s">
        <v>476</v>
      </c>
    </row>
    <row r="69" spans="1:22" ht="33" customHeight="1">
      <c r="A69" s="6" t="s">
        <v>516</v>
      </c>
      <c r="B69" s="6" t="s">
        <v>478</v>
      </c>
      <c r="C69" s="6" t="s">
        <v>81</v>
      </c>
      <c r="D69" s="6" t="s">
        <v>517</v>
      </c>
      <c r="E69" s="6" t="s">
        <v>518</v>
      </c>
      <c r="F69" s="6"/>
      <c r="G69" s="6" t="s">
        <v>120</v>
      </c>
      <c r="H69" s="6" t="s">
        <v>519</v>
      </c>
      <c r="I69" s="6" t="s">
        <v>520</v>
      </c>
      <c r="J69" s="6" t="s">
        <v>123</v>
      </c>
      <c r="K69" s="6" t="s">
        <v>123</v>
      </c>
      <c r="L69" s="7">
        <v>5</v>
      </c>
      <c r="M69" s="7">
        <v>0</v>
      </c>
      <c r="N69" s="7">
        <v>2</v>
      </c>
      <c r="O69" s="7">
        <v>2</v>
      </c>
      <c r="P69" s="7">
        <v>1</v>
      </c>
      <c r="Q69" s="6"/>
      <c r="R69" s="6" t="s">
        <v>475</v>
      </c>
      <c r="S69" s="6">
        <v>1700</v>
      </c>
      <c r="T69" s="6">
        <f>SUMIFS('02_선반315'!$P$7:$P$321,'02_선반315'!$B$7:$B$321,A69)</f>
        <v>2</v>
      </c>
      <c r="U69" s="6">
        <f>SUMIFS('02_선반315'!$Q$7:$Q$321,'02_선반315'!$B$7:$B$321,A69)</f>
        <v>2</v>
      </c>
      <c r="V69" s="6" t="s">
        <v>476</v>
      </c>
    </row>
    <row r="70" spans="1:2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22">
      <c r="A71" s="1" t="s">
        <v>521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>
        <f>SUM(L7:L69)</f>
        <v>315</v>
      </c>
      <c r="M71" s="1">
        <f>SUM(M7:M69)</f>
        <v>165</v>
      </c>
      <c r="N71" s="1">
        <f>SUM(N7:N69)</f>
        <v>40</v>
      </c>
      <c r="O71" s="1">
        <f>SUM(O7:O69)</f>
        <v>50</v>
      </c>
      <c r="P71" s="1">
        <f>SUM(P7:P69)</f>
        <v>60</v>
      </c>
      <c r="Q71" s="1"/>
    </row>
    <row r="72" spans="1:2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2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2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2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2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2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2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2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2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</sheetData>
  <mergeCells count="3">
    <mergeCell ref="A2:E2"/>
    <mergeCell ref="A3:F3"/>
    <mergeCell ref="A4:F4"/>
  </mergeCells>
  <phoneticPr fontId="10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2D49"/>
  </sheetPr>
  <dimension ref="A1:AB322"/>
  <sheetViews>
    <sheetView showGridLines="0" workbookViewId="0">
      <pane xSplit="2" ySplit="6" topLeftCell="C313" activePane="bottomRight" state="frozen"/>
      <selection pane="topRight"/>
      <selection pane="bottomLeft"/>
      <selection pane="bottomRight" activeCell="C7" sqref="C7"/>
    </sheetView>
  </sheetViews>
  <sheetFormatPr defaultRowHeight="14"/>
  <cols>
    <col min="1" max="1" width="22" customWidth="1"/>
    <col min="2" max="2" width="16" customWidth="1"/>
    <col min="3" max="3" width="22" customWidth="1"/>
    <col min="4" max="4" width="8" customWidth="1"/>
    <col min="5" max="5" width="24" customWidth="1"/>
    <col min="6" max="6" width="39" customWidth="1"/>
    <col min="7" max="7" width="45" customWidth="1"/>
    <col min="8" max="8" width="65" customWidth="1"/>
    <col min="9" max="9" width="26" customWidth="1"/>
    <col min="10" max="10" width="55" customWidth="1"/>
    <col min="11" max="11" width="17" customWidth="1"/>
    <col min="12" max="12" width="50" customWidth="1"/>
    <col min="13" max="13" width="25" customWidth="1"/>
    <col min="14" max="14" width="95" customWidth="1"/>
    <col min="15" max="15" width="60" customWidth="1"/>
    <col min="16" max="17" width="14" customWidth="1"/>
    <col min="18" max="18" width="16" customWidth="1"/>
    <col min="19" max="19" width="15" customWidth="1"/>
    <col min="20" max="21" width="17" customWidth="1"/>
    <col min="22" max="22" width="16" customWidth="1"/>
    <col min="23" max="23" width="33" customWidth="1"/>
    <col min="24" max="24" width="32" customWidth="1"/>
    <col min="25" max="25" width="31" customWidth="1"/>
    <col min="26" max="26" width="17" customWidth="1"/>
    <col min="27" max="27" width="18" customWidth="1"/>
    <col min="28" max="28" width="19" customWidth="1"/>
  </cols>
  <sheetData>
    <row r="1" spans="1:2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8" ht="30" customHeight="1">
      <c r="A2" s="21" t="s">
        <v>522</v>
      </c>
      <c r="B2" s="22"/>
      <c r="C2" s="22"/>
      <c r="D2" s="22"/>
      <c r="E2" s="22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8" ht="43" customHeight="1">
      <c r="A3" s="23" t="s">
        <v>523</v>
      </c>
      <c r="B3" s="24"/>
      <c r="C3" s="24"/>
      <c r="D3" s="24"/>
      <c r="E3" s="24"/>
      <c r="F3" s="24"/>
      <c r="G3" s="2"/>
      <c r="H3" s="2"/>
      <c r="I3" s="2"/>
      <c r="J3" s="2"/>
      <c r="K3" s="2"/>
      <c r="L3" s="2"/>
      <c r="M3" s="2"/>
      <c r="N3" s="2"/>
      <c r="O3" s="2"/>
    </row>
    <row r="4" spans="1:28">
      <c r="A4" s="1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28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28" ht="33" customHeight="1">
      <c r="A6" s="10" t="s">
        <v>524</v>
      </c>
      <c r="B6" s="10" t="s">
        <v>3</v>
      </c>
      <c r="C6" s="10" t="s">
        <v>4</v>
      </c>
      <c r="D6" s="10" t="s">
        <v>525</v>
      </c>
      <c r="E6" s="10" t="s">
        <v>5</v>
      </c>
      <c r="F6" s="10" t="s">
        <v>526</v>
      </c>
      <c r="G6" s="10" t="s">
        <v>527</v>
      </c>
      <c r="H6" s="10" t="s">
        <v>528</v>
      </c>
      <c r="I6" s="10" t="s">
        <v>529</v>
      </c>
      <c r="J6" s="10" t="s">
        <v>530</v>
      </c>
      <c r="K6" s="10" t="s">
        <v>531</v>
      </c>
      <c r="L6" s="10" t="s">
        <v>532</v>
      </c>
      <c r="M6" s="10" t="s">
        <v>533</v>
      </c>
      <c r="N6" s="10" t="s">
        <v>534</v>
      </c>
      <c r="O6" s="10" t="s">
        <v>535</v>
      </c>
      <c r="P6" s="10" t="s">
        <v>536</v>
      </c>
      <c r="Q6" s="10" t="s">
        <v>537</v>
      </c>
      <c r="R6" s="10" t="s">
        <v>538</v>
      </c>
      <c r="S6" s="10" t="s">
        <v>539</v>
      </c>
      <c r="T6" s="10" t="s">
        <v>540</v>
      </c>
      <c r="U6" s="10" t="s">
        <v>541</v>
      </c>
      <c r="V6" s="10" t="s">
        <v>542</v>
      </c>
      <c r="W6" s="10" t="s">
        <v>543</v>
      </c>
      <c r="X6" s="10" t="s">
        <v>544</v>
      </c>
      <c r="Y6" s="10" t="s">
        <v>545</v>
      </c>
      <c r="Z6" s="10" t="s">
        <v>546</v>
      </c>
      <c r="AA6" s="10" t="s">
        <v>547</v>
      </c>
      <c r="AB6" s="10" t="s">
        <v>548</v>
      </c>
    </row>
    <row r="7" spans="1:28" ht="33" customHeight="1">
      <c r="A7" s="6" t="s">
        <v>549</v>
      </c>
      <c r="B7" s="6" t="s">
        <v>25</v>
      </c>
      <c r="C7" s="6" t="s">
        <v>26</v>
      </c>
      <c r="D7" s="7">
        <v>1</v>
      </c>
      <c r="E7" s="6" t="s">
        <v>27</v>
      </c>
      <c r="F7" s="6" t="s">
        <v>30</v>
      </c>
      <c r="G7" s="6" t="s">
        <v>550</v>
      </c>
      <c r="H7" s="6"/>
      <c r="I7" s="6"/>
      <c r="J7" s="6" t="s">
        <v>551</v>
      </c>
      <c r="K7" s="14" t="s">
        <v>552</v>
      </c>
      <c r="L7" s="15"/>
      <c r="M7" s="15"/>
      <c r="N7" s="6" t="s">
        <v>553</v>
      </c>
      <c r="O7" s="6" t="s">
        <v>554</v>
      </c>
      <c r="P7" s="6">
        <f>COUNTIFS('05_상품별배치367'!$B$7:$B$373,A7,'05_상품별배치367'!$K$7:$K$373,"&gt;0")</f>
        <v>0</v>
      </c>
      <c r="Q7" s="6">
        <f>SUMIFS('05_상품별배치367'!$K$7:$K$373,'05_상품별배치367'!$B$7:$B$373,A7)</f>
        <v>0</v>
      </c>
      <c r="R7" s="6">
        <f>IF(Z7="",'06_집기치수20'!N7,Z7)</f>
        <v>865</v>
      </c>
      <c r="S7" s="6">
        <f>IF(AA7="",'06_집기치수20'!O7,AA7)</f>
        <v>330</v>
      </c>
      <c r="T7" s="6">
        <v>460</v>
      </c>
      <c r="U7" s="6">
        <f>IF(AB7="",'06_집기치수20'!P7,AB7-'06_집기치수20'!I7)</f>
        <v>440</v>
      </c>
      <c r="V7" s="6" t="str">
        <f>IF(Q7=0,"",IF(COUNTIFS('05_상품별배치367'!$B$7:$B$373,A7,'05_상품별배치367'!$T$7:$T$373,"입력 대기")&gt;0,"",SUMIFS('05_상품별배치367'!$S$7:$S$373,'05_상품별배치367'!$B$7:$B$373,A7)))</f>
        <v/>
      </c>
      <c r="W7" s="6" t="str">
        <f>IF(Q7=0,"미진열",IF(COUNTIFS('05_상품별배치367'!$B$7:$B$373,A7,'05_상품별배치367'!$T$7:$T$373,"치수 초과")&gt;0,"치수 초과",IF(COUNTIFS('05_상품별배치367'!$B$7:$B$373,A7,'05_상품별배치367'!$T$7:$T$373,"입력 대기")&gt;0,"치수 입력 대기",IF(V7&gt;R7,"폭 합계 초과","도면/실측 범위 내·현장확인"))))</f>
        <v>미진열</v>
      </c>
      <c r="X7" s="6"/>
      <c r="Y7" s="6" t="s">
        <v>555</v>
      </c>
      <c r="Z7" s="15"/>
      <c r="AA7" s="15"/>
      <c r="AB7" s="15"/>
    </row>
    <row r="8" spans="1:28" ht="33" customHeight="1">
      <c r="A8" s="8" t="s">
        <v>556</v>
      </c>
      <c r="B8" s="8" t="s">
        <v>25</v>
      </c>
      <c r="C8" s="8" t="s">
        <v>26</v>
      </c>
      <c r="D8" s="9">
        <v>2</v>
      </c>
      <c r="E8" s="8" t="s">
        <v>27</v>
      </c>
      <c r="F8" s="8" t="s">
        <v>31</v>
      </c>
      <c r="G8" s="8" t="s">
        <v>31</v>
      </c>
      <c r="H8" s="8" t="s">
        <v>557</v>
      </c>
      <c r="I8" s="8" t="s">
        <v>558</v>
      </c>
      <c r="J8" s="8" t="s">
        <v>551</v>
      </c>
      <c r="K8" s="14" t="s">
        <v>559</v>
      </c>
      <c r="L8" s="15"/>
      <c r="M8" s="15"/>
      <c r="N8" s="8" t="s">
        <v>560</v>
      </c>
      <c r="O8" s="8" t="s">
        <v>554</v>
      </c>
      <c r="P8" s="6">
        <f>COUNTIFS('05_상품별배치367'!$B$7:$B$373,A8,'05_상품별배치367'!$K$7:$K$373,"&gt;0")</f>
        <v>1</v>
      </c>
      <c r="Q8" s="6">
        <f>SUMIFS('05_상품별배치367'!$K$7:$K$373,'05_상품별배치367'!$B$7:$B$373,A8)</f>
        <v>2</v>
      </c>
      <c r="R8" s="6">
        <f>IF(Z8="",'06_집기치수20'!N8,Z8)</f>
        <v>865</v>
      </c>
      <c r="S8" s="6">
        <f>IF(AA8="",'06_집기치수20'!O8,AA8)</f>
        <v>330</v>
      </c>
      <c r="T8" s="6">
        <v>290</v>
      </c>
      <c r="U8" s="6">
        <f>IF(AB8="",'06_집기치수20'!P8,AB8-'06_집기치수20'!I8)</f>
        <v>270</v>
      </c>
      <c r="V8" s="6" t="str">
        <f>IF(Q8=0,"",IF(COUNTIFS('05_상품별배치367'!$B$7:$B$373,A8,'05_상품별배치367'!$T$7:$T$373,"입력 대기")&gt;0,"",SUMIFS('05_상품별배치367'!$S$7:$S$373,'05_상품별배치367'!$B$7:$B$373,A8)))</f>
        <v/>
      </c>
      <c r="W8" s="6" t="str">
        <f>IF(Q8=0,"미진열",IF(COUNTIFS('05_상품별배치367'!$B$7:$B$373,A8,'05_상품별배치367'!$T$7:$T$373,"치수 초과")&gt;0,"치수 초과",IF(COUNTIFS('05_상품별배치367'!$B$7:$B$373,A8,'05_상품별배치367'!$T$7:$T$373,"입력 대기")&gt;0,"치수 입력 대기",IF(V8&gt;R8,"폭 합계 초과","도면/실측 범위 내·현장확인"))))</f>
        <v>치수 입력 대기</v>
      </c>
      <c r="X8" s="6" t="s">
        <v>561</v>
      </c>
      <c r="Y8" s="6" t="s">
        <v>555</v>
      </c>
      <c r="Z8" s="15"/>
      <c r="AA8" s="15"/>
      <c r="AB8" s="15"/>
    </row>
    <row r="9" spans="1:28" ht="33" customHeight="1">
      <c r="A9" s="6" t="s">
        <v>562</v>
      </c>
      <c r="B9" s="6" t="s">
        <v>25</v>
      </c>
      <c r="C9" s="6" t="s">
        <v>26</v>
      </c>
      <c r="D9" s="7">
        <v>3</v>
      </c>
      <c r="E9" s="6" t="s">
        <v>27</v>
      </c>
      <c r="F9" s="6" t="s">
        <v>32</v>
      </c>
      <c r="G9" s="6" t="s">
        <v>563</v>
      </c>
      <c r="H9" s="6" t="s">
        <v>564</v>
      </c>
      <c r="I9" s="6" t="s">
        <v>565</v>
      </c>
      <c r="J9" s="6" t="s">
        <v>551</v>
      </c>
      <c r="K9" s="14" t="s">
        <v>559</v>
      </c>
      <c r="L9" s="15"/>
      <c r="M9" s="15"/>
      <c r="N9" s="6" t="s">
        <v>560</v>
      </c>
      <c r="O9" s="6" t="s">
        <v>554</v>
      </c>
      <c r="P9" s="6">
        <f>COUNTIFS('05_상품별배치367'!$B$7:$B$373,A9,'05_상품별배치367'!$K$7:$K$373,"&gt;0")</f>
        <v>2</v>
      </c>
      <c r="Q9" s="6">
        <f>SUMIFS('05_상품별배치367'!$K$7:$K$373,'05_상품별배치367'!$B$7:$B$373,A9)</f>
        <v>2</v>
      </c>
      <c r="R9" s="6">
        <f>IF(Z9="",'06_집기치수20'!N9,Z9)</f>
        <v>865</v>
      </c>
      <c r="S9" s="6">
        <f>IF(AA9="",'06_집기치수20'!O9,AA9)</f>
        <v>330</v>
      </c>
      <c r="T9" s="6">
        <v>290</v>
      </c>
      <c r="U9" s="6">
        <f>IF(AB9="",'06_집기치수20'!P9,AB9-'06_집기치수20'!I9)</f>
        <v>270</v>
      </c>
      <c r="V9" s="6" t="str">
        <f>IF(Q9=0,"",IF(COUNTIFS('05_상품별배치367'!$B$7:$B$373,A9,'05_상품별배치367'!$T$7:$T$373,"입력 대기")&gt;0,"",SUMIFS('05_상품별배치367'!$S$7:$S$373,'05_상품별배치367'!$B$7:$B$373,A9)))</f>
        <v/>
      </c>
      <c r="W9" s="6" t="str">
        <f>IF(Q9=0,"미진열",IF(COUNTIFS('05_상품별배치367'!$B$7:$B$373,A9,'05_상품별배치367'!$T$7:$T$373,"치수 초과")&gt;0,"치수 초과",IF(COUNTIFS('05_상품별배치367'!$B$7:$B$373,A9,'05_상품별배치367'!$T$7:$T$373,"입력 대기")&gt;0,"치수 입력 대기",IF(V9&gt;R9,"폭 합계 초과","도면/실측 범위 내·현장확인"))))</f>
        <v>치수 입력 대기</v>
      </c>
      <c r="X9" s="6" t="s">
        <v>566</v>
      </c>
      <c r="Y9" s="6" t="s">
        <v>555</v>
      </c>
      <c r="Z9" s="15"/>
      <c r="AA9" s="15"/>
      <c r="AB9" s="15"/>
    </row>
    <row r="10" spans="1:28" ht="33" customHeight="1">
      <c r="A10" s="8" t="s">
        <v>567</v>
      </c>
      <c r="B10" s="8" t="s">
        <v>25</v>
      </c>
      <c r="C10" s="8" t="s">
        <v>26</v>
      </c>
      <c r="D10" s="9">
        <v>4</v>
      </c>
      <c r="E10" s="8" t="s">
        <v>27</v>
      </c>
      <c r="F10" s="8" t="s">
        <v>33</v>
      </c>
      <c r="G10" s="8" t="s">
        <v>563</v>
      </c>
      <c r="H10" s="8"/>
      <c r="I10" s="8"/>
      <c r="J10" s="8" t="s">
        <v>551</v>
      </c>
      <c r="K10" s="14" t="s">
        <v>568</v>
      </c>
      <c r="L10" s="15"/>
      <c r="M10" s="15"/>
      <c r="N10" s="8" t="s">
        <v>560</v>
      </c>
      <c r="O10" s="8" t="s">
        <v>554</v>
      </c>
      <c r="P10" s="6">
        <f>COUNTIFS('05_상품별배치367'!$B$7:$B$373,A10,'05_상품별배치367'!$K$7:$K$373,"&gt;0")</f>
        <v>0</v>
      </c>
      <c r="Q10" s="6">
        <f>SUMIFS('05_상품별배치367'!$K$7:$K$373,'05_상품별배치367'!$B$7:$B$373,A10)</f>
        <v>0</v>
      </c>
      <c r="R10" s="6">
        <f>IF(Z10="",'06_집기치수20'!N10,Z10)</f>
        <v>865</v>
      </c>
      <c r="S10" s="6">
        <f>IF(AA10="",'06_집기치수20'!O10,AA10)</f>
        <v>330</v>
      </c>
      <c r="T10" s="6">
        <v>290</v>
      </c>
      <c r="U10" s="6">
        <f>IF(AB10="",'06_집기치수20'!P10,AB10-'06_집기치수20'!I10)</f>
        <v>270</v>
      </c>
      <c r="V10" s="6" t="str">
        <f>IF(Q10=0,"",IF(COUNTIFS('05_상품별배치367'!$B$7:$B$373,A10,'05_상품별배치367'!$T$7:$T$373,"입력 대기")&gt;0,"",SUMIFS('05_상품별배치367'!$S$7:$S$373,'05_상품별배치367'!$B$7:$B$373,A10)))</f>
        <v/>
      </c>
      <c r="W10" s="6" t="str">
        <f>IF(Q10=0,"미진열",IF(COUNTIFS('05_상품별배치367'!$B$7:$B$373,A10,'05_상품별배치367'!$T$7:$T$373,"치수 초과")&gt;0,"치수 초과",IF(COUNTIFS('05_상품별배치367'!$B$7:$B$373,A10,'05_상품별배치367'!$T$7:$T$373,"입력 대기")&gt;0,"치수 입력 대기",IF(V10&gt;R10,"폭 합계 초과","도면/실측 범위 내·현장확인"))))</f>
        <v>미진열</v>
      </c>
      <c r="X10" s="6"/>
      <c r="Y10" s="6" t="s">
        <v>555</v>
      </c>
      <c r="Z10" s="15"/>
      <c r="AA10" s="15"/>
      <c r="AB10" s="15"/>
    </row>
    <row r="11" spans="1:28" ht="33" customHeight="1">
      <c r="A11" s="6" t="s">
        <v>569</v>
      </c>
      <c r="B11" s="6" t="s">
        <v>25</v>
      </c>
      <c r="C11" s="6" t="s">
        <v>26</v>
      </c>
      <c r="D11" s="7">
        <v>5</v>
      </c>
      <c r="E11" s="6" t="s">
        <v>27</v>
      </c>
      <c r="F11" s="6" t="s">
        <v>34</v>
      </c>
      <c r="G11" s="6" t="s">
        <v>570</v>
      </c>
      <c r="H11" s="6" t="s">
        <v>571</v>
      </c>
      <c r="I11" s="6" t="s">
        <v>572</v>
      </c>
      <c r="J11" s="6" t="s">
        <v>551</v>
      </c>
      <c r="K11" s="14" t="s">
        <v>559</v>
      </c>
      <c r="L11" s="15"/>
      <c r="M11" s="15"/>
      <c r="N11" s="6" t="s">
        <v>560</v>
      </c>
      <c r="O11" s="6" t="s">
        <v>554</v>
      </c>
      <c r="P11" s="6">
        <f>COUNTIFS('05_상품별배치367'!$B$7:$B$373,A11,'05_상품별배치367'!$K$7:$K$373,"&gt;0")</f>
        <v>2</v>
      </c>
      <c r="Q11" s="6">
        <f>SUMIFS('05_상품별배치367'!$K$7:$K$373,'05_상품별배치367'!$B$7:$B$373,A11)</f>
        <v>2</v>
      </c>
      <c r="R11" s="6">
        <f>IF(Z11="",'06_집기치수20'!N11,Z11)</f>
        <v>865</v>
      </c>
      <c r="S11" s="6">
        <f>IF(AA11="",'06_집기치수20'!O11,AA11)</f>
        <v>330</v>
      </c>
      <c r="T11" s="6">
        <v>330</v>
      </c>
      <c r="U11" s="6">
        <f>IF(AB11="",'06_집기치수20'!P11,AB11-'06_집기치수20'!I11)</f>
        <v>310</v>
      </c>
      <c r="V11" s="6" t="str">
        <f>IF(Q11=0,"",IF(COUNTIFS('05_상품별배치367'!$B$7:$B$373,A11,'05_상품별배치367'!$T$7:$T$373,"입력 대기")&gt;0,"",SUMIFS('05_상품별배치367'!$S$7:$S$373,'05_상품별배치367'!$B$7:$B$373,A11)))</f>
        <v/>
      </c>
      <c r="W11" s="6" t="str">
        <f>IF(Q11=0,"미진열",IF(COUNTIFS('05_상품별배치367'!$B$7:$B$373,A11,'05_상품별배치367'!$T$7:$T$373,"치수 초과")&gt;0,"치수 초과",IF(COUNTIFS('05_상품별배치367'!$B$7:$B$373,A11,'05_상품별배치367'!$T$7:$T$373,"입력 대기")&gt;0,"치수 입력 대기",IF(V11&gt;R11,"폭 합계 초과","도면/실측 범위 내·현장확인"))))</f>
        <v>치수 입력 대기</v>
      </c>
      <c r="X11" s="6" t="s">
        <v>573</v>
      </c>
      <c r="Y11" s="6" t="s">
        <v>555</v>
      </c>
      <c r="Z11" s="15"/>
      <c r="AA11" s="15"/>
      <c r="AB11" s="15"/>
    </row>
    <row r="12" spans="1:28" ht="33" customHeight="1">
      <c r="A12" s="8" t="s">
        <v>574</v>
      </c>
      <c r="B12" s="8" t="s">
        <v>38</v>
      </c>
      <c r="C12" s="8" t="s">
        <v>26</v>
      </c>
      <c r="D12" s="9">
        <v>1</v>
      </c>
      <c r="E12" s="8" t="s">
        <v>39</v>
      </c>
      <c r="F12" s="8" t="s">
        <v>43</v>
      </c>
      <c r="G12" s="8" t="s">
        <v>575</v>
      </c>
      <c r="H12" s="8"/>
      <c r="I12" s="8"/>
      <c r="J12" s="8" t="s">
        <v>551</v>
      </c>
      <c r="K12" s="14" t="s">
        <v>552</v>
      </c>
      <c r="L12" s="15"/>
      <c r="M12" s="15"/>
      <c r="N12" s="8" t="s">
        <v>553</v>
      </c>
      <c r="O12" s="8" t="s">
        <v>554</v>
      </c>
      <c r="P12" s="6">
        <f>COUNTIFS('05_상품별배치367'!$B$7:$B$373,A12,'05_상품별배치367'!$K$7:$K$373,"&gt;0")</f>
        <v>0</v>
      </c>
      <c r="Q12" s="6">
        <f>SUMIFS('05_상품별배치367'!$K$7:$K$373,'05_상품별배치367'!$B$7:$B$373,A12)</f>
        <v>0</v>
      </c>
      <c r="R12" s="6">
        <f>IF(Z12="",'06_집기치수20'!N7,Z12)</f>
        <v>865</v>
      </c>
      <c r="S12" s="6">
        <f>IF(AA12="",'06_집기치수20'!O7,AA12)</f>
        <v>330</v>
      </c>
      <c r="T12" s="6">
        <v>460</v>
      </c>
      <c r="U12" s="6">
        <f>IF(AB12="",'06_집기치수20'!P7,AB12-'06_집기치수20'!I7)</f>
        <v>440</v>
      </c>
      <c r="V12" s="6" t="str">
        <f>IF(Q12=0,"",IF(COUNTIFS('05_상품별배치367'!$B$7:$B$373,A12,'05_상품별배치367'!$T$7:$T$373,"입력 대기")&gt;0,"",SUMIFS('05_상품별배치367'!$S$7:$S$373,'05_상품별배치367'!$B$7:$B$373,A12)))</f>
        <v/>
      </c>
      <c r="W12" s="6" t="str">
        <f>IF(Q12=0,"미진열",IF(COUNTIFS('05_상품별배치367'!$B$7:$B$373,A12,'05_상품별배치367'!$T$7:$T$373,"치수 초과")&gt;0,"치수 초과",IF(COUNTIFS('05_상품별배치367'!$B$7:$B$373,A12,'05_상품별배치367'!$T$7:$T$373,"입력 대기")&gt;0,"치수 입력 대기",IF(V12&gt;R12,"폭 합계 초과","도면/실측 범위 내·현장확인"))))</f>
        <v>미진열</v>
      </c>
      <c r="X12" s="6"/>
      <c r="Y12" s="6" t="s">
        <v>555</v>
      </c>
      <c r="Z12" s="15"/>
      <c r="AA12" s="15"/>
      <c r="AB12" s="15"/>
    </row>
    <row r="13" spans="1:28" ht="46" customHeight="1">
      <c r="A13" s="6" t="s">
        <v>576</v>
      </c>
      <c r="B13" s="6" t="s">
        <v>38</v>
      </c>
      <c r="C13" s="6" t="s">
        <v>26</v>
      </c>
      <c r="D13" s="7">
        <v>2</v>
      </c>
      <c r="E13" s="6" t="s">
        <v>39</v>
      </c>
      <c r="F13" s="6" t="s">
        <v>44</v>
      </c>
      <c r="G13" s="6" t="s">
        <v>575</v>
      </c>
      <c r="H13" s="6" t="s">
        <v>577</v>
      </c>
      <c r="I13" s="6" t="s">
        <v>578</v>
      </c>
      <c r="J13" s="6" t="s">
        <v>551</v>
      </c>
      <c r="K13" s="14" t="s">
        <v>559</v>
      </c>
      <c r="L13" s="15"/>
      <c r="M13" s="15"/>
      <c r="N13" s="6" t="s">
        <v>560</v>
      </c>
      <c r="O13" s="6" t="s">
        <v>554</v>
      </c>
      <c r="P13" s="6">
        <f>COUNTIFS('05_상품별배치367'!$B$7:$B$373,A13,'05_상품별배치367'!$K$7:$K$373,"&gt;0")</f>
        <v>3</v>
      </c>
      <c r="Q13" s="6">
        <f>SUMIFS('05_상품별배치367'!$K$7:$K$373,'05_상품별배치367'!$B$7:$B$373,A13)</f>
        <v>3</v>
      </c>
      <c r="R13" s="6">
        <f>IF(Z13="",'06_집기치수20'!N8,Z13)</f>
        <v>865</v>
      </c>
      <c r="S13" s="6">
        <f>IF(AA13="",'06_집기치수20'!O8,AA13)</f>
        <v>330</v>
      </c>
      <c r="T13" s="6">
        <v>290</v>
      </c>
      <c r="U13" s="6">
        <f>IF(AB13="",'06_집기치수20'!P8,AB13-'06_집기치수20'!I8)</f>
        <v>270</v>
      </c>
      <c r="V13" s="6" t="str">
        <f>IF(Q13=0,"",IF(COUNTIFS('05_상품별배치367'!$B$7:$B$373,A13,'05_상품별배치367'!$T$7:$T$373,"입력 대기")&gt;0,"",SUMIFS('05_상품별배치367'!$S$7:$S$373,'05_상품별배치367'!$B$7:$B$373,A13)))</f>
        <v/>
      </c>
      <c r="W13" s="6" t="str">
        <f>IF(Q13=0,"미진열",IF(COUNTIFS('05_상품별배치367'!$B$7:$B$373,A13,'05_상품별배치367'!$T$7:$T$373,"치수 초과")&gt;0,"치수 초과",IF(COUNTIFS('05_상품별배치367'!$B$7:$B$373,A13,'05_상품별배치367'!$T$7:$T$373,"입력 대기")&gt;0,"치수 입력 대기",IF(V13&gt;R13,"폭 합계 초과","도면/실측 범위 내·현장확인"))))</f>
        <v>치수 입력 대기</v>
      </c>
      <c r="X13" s="6" t="s">
        <v>579</v>
      </c>
      <c r="Y13" s="6" t="s">
        <v>555</v>
      </c>
      <c r="Z13" s="15"/>
      <c r="AA13" s="15"/>
      <c r="AB13" s="15"/>
    </row>
    <row r="14" spans="1:28" ht="33" customHeight="1">
      <c r="A14" s="8" t="s">
        <v>580</v>
      </c>
      <c r="B14" s="8" t="s">
        <v>38</v>
      </c>
      <c r="C14" s="8" t="s">
        <v>26</v>
      </c>
      <c r="D14" s="9">
        <v>3</v>
      </c>
      <c r="E14" s="8" t="s">
        <v>39</v>
      </c>
      <c r="F14" s="8" t="s">
        <v>45</v>
      </c>
      <c r="G14" s="8" t="s">
        <v>575</v>
      </c>
      <c r="H14" s="8" t="s">
        <v>581</v>
      </c>
      <c r="I14" s="8" t="s">
        <v>582</v>
      </c>
      <c r="J14" s="8" t="s">
        <v>551</v>
      </c>
      <c r="K14" s="14" t="s">
        <v>559</v>
      </c>
      <c r="L14" s="15"/>
      <c r="M14" s="15"/>
      <c r="N14" s="8" t="s">
        <v>560</v>
      </c>
      <c r="O14" s="8" t="s">
        <v>554</v>
      </c>
      <c r="P14" s="6">
        <f>COUNTIFS('05_상품별배치367'!$B$7:$B$373,A14,'05_상품별배치367'!$K$7:$K$373,"&gt;0")</f>
        <v>2</v>
      </c>
      <c r="Q14" s="6">
        <f>SUMIFS('05_상품별배치367'!$K$7:$K$373,'05_상품별배치367'!$B$7:$B$373,A14)</f>
        <v>3</v>
      </c>
      <c r="R14" s="6">
        <f>IF(Z14="",'06_집기치수20'!N9,Z14)</f>
        <v>865</v>
      </c>
      <c r="S14" s="6">
        <f>IF(AA14="",'06_집기치수20'!O9,AA14)</f>
        <v>330</v>
      </c>
      <c r="T14" s="6">
        <v>290</v>
      </c>
      <c r="U14" s="6">
        <f>IF(AB14="",'06_집기치수20'!P9,AB14-'06_집기치수20'!I9)</f>
        <v>270</v>
      </c>
      <c r="V14" s="6" t="str">
        <f>IF(Q14=0,"",IF(COUNTIFS('05_상품별배치367'!$B$7:$B$373,A14,'05_상품별배치367'!$T$7:$T$373,"입력 대기")&gt;0,"",SUMIFS('05_상품별배치367'!$S$7:$S$373,'05_상품별배치367'!$B$7:$B$373,A14)))</f>
        <v/>
      </c>
      <c r="W14" s="6" t="str">
        <f>IF(Q14=0,"미진열",IF(COUNTIFS('05_상품별배치367'!$B$7:$B$373,A14,'05_상품별배치367'!$T$7:$T$373,"치수 초과")&gt;0,"치수 초과",IF(COUNTIFS('05_상품별배치367'!$B$7:$B$373,A14,'05_상품별배치367'!$T$7:$T$373,"입력 대기")&gt;0,"치수 입력 대기",IF(V14&gt;R14,"폭 합계 초과","도면/실측 범위 내·현장확인"))))</f>
        <v>치수 입력 대기</v>
      </c>
      <c r="X14" s="6" t="s">
        <v>583</v>
      </c>
      <c r="Y14" s="6" t="s">
        <v>555</v>
      </c>
      <c r="Z14" s="15"/>
      <c r="AA14" s="15"/>
      <c r="AB14" s="15"/>
    </row>
    <row r="15" spans="1:28" ht="33" customHeight="1">
      <c r="A15" s="6" t="s">
        <v>584</v>
      </c>
      <c r="B15" s="6" t="s">
        <v>38</v>
      </c>
      <c r="C15" s="6" t="s">
        <v>26</v>
      </c>
      <c r="D15" s="7">
        <v>4</v>
      </c>
      <c r="E15" s="6" t="s">
        <v>39</v>
      </c>
      <c r="F15" s="6" t="s">
        <v>46</v>
      </c>
      <c r="G15" s="6" t="s">
        <v>156</v>
      </c>
      <c r="H15" s="6" t="s">
        <v>585</v>
      </c>
      <c r="I15" s="6" t="s">
        <v>586</v>
      </c>
      <c r="J15" s="6" t="s">
        <v>551</v>
      </c>
      <c r="K15" s="14" t="s">
        <v>559</v>
      </c>
      <c r="L15" s="15"/>
      <c r="M15" s="15"/>
      <c r="N15" s="6" t="s">
        <v>560</v>
      </c>
      <c r="O15" s="6" t="s">
        <v>554</v>
      </c>
      <c r="P15" s="6">
        <f>COUNTIFS('05_상품별배치367'!$B$7:$B$373,A15,'05_상품별배치367'!$K$7:$K$373,"&gt;0")</f>
        <v>1</v>
      </c>
      <c r="Q15" s="6">
        <f>SUMIFS('05_상품별배치367'!$K$7:$K$373,'05_상품별배치367'!$B$7:$B$373,A15)</f>
        <v>1</v>
      </c>
      <c r="R15" s="6">
        <f>IF(Z15="",'06_집기치수20'!N10,Z15)</f>
        <v>865</v>
      </c>
      <c r="S15" s="6">
        <f>IF(AA15="",'06_집기치수20'!O10,AA15)</f>
        <v>330</v>
      </c>
      <c r="T15" s="6">
        <v>290</v>
      </c>
      <c r="U15" s="6">
        <f>IF(AB15="",'06_집기치수20'!P10,AB15-'06_집기치수20'!I10)</f>
        <v>270</v>
      </c>
      <c r="V15" s="6" t="str">
        <f>IF(Q15=0,"",IF(COUNTIFS('05_상품별배치367'!$B$7:$B$373,A15,'05_상품별배치367'!$T$7:$T$373,"입력 대기")&gt;0,"",SUMIFS('05_상품별배치367'!$S$7:$S$373,'05_상품별배치367'!$B$7:$B$373,A15)))</f>
        <v/>
      </c>
      <c r="W15" s="6" t="str">
        <f>IF(Q15=0,"미진열",IF(COUNTIFS('05_상품별배치367'!$B$7:$B$373,A15,'05_상품별배치367'!$T$7:$T$373,"치수 초과")&gt;0,"치수 초과",IF(COUNTIFS('05_상품별배치367'!$B$7:$B$373,A15,'05_상품별배치367'!$T$7:$T$373,"입력 대기")&gt;0,"치수 입력 대기",IF(V15&gt;R15,"폭 합계 초과","도면/실측 범위 내·현장확인"))))</f>
        <v>치수 입력 대기</v>
      </c>
      <c r="X15" s="6" t="s">
        <v>587</v>
      </c>
      <c r="Y15" s="6" t="s">
        <v>555</v>
      </c>
      <c r="Z15" s="15"/>
      <c r="AA15" s="15"/>
      <c r="AB15" s="15"/>
    </row>
    <row r="16" spans="1:28" ht="33" customHeight="1">
      <c r="A16" s="8" t="s">
        <v>588</v>
      </c>
      <c r="B16" s="8" t="s">
        <v>38</v>
      </c>
      <c r="C16" s="8" t="s">
        <v>26</v>
      </c>
      <c r="D16" s="9">
        <v>5</v>
      </c>
      <c r="E16" s="8" t="s">
        <v>39</v>
      </c>
      <c r="F16" s="8" t="s">
        <v>47</v>
      </c>
      <c r="G16" s="8" t="s">
        <v>575</v>
      </c>
      <c r="H16" s="8"/>
      <c r="I16" s="8"/>
      <c r="J16" s="8" t="s">
        <v>551</v>
      </c>
      <c r="K16" s="14" t="s">
        <v>568</v>
      </c>
      <c r="L16" s="15"/>
      <c r="M16" s="15"/>
      <c r="N16" s="8" t="s">
        <v>560</v>
      </c>
      <c r="O16" s="8" t="s">
        <v>554</v>
      </c>
      <c r="P16" s="6">
        <f>COUNTIFS('05_상품별배치367'!$B$7:$B$373,A16,'05_상품별배치367'!$K$7:$K$373,"&gt;0")</f>
        <v>0</v>
      </c>
      <c r="Q16" s="6">
        <f>SUMIFS('05_상품별배치367'!$K$7:$K$373,'05_상품별배치367'!$B$7:$B$373,A16)</f>
        <v>0</v>
      </c>
      <c r="R16" s="6">
        <f>IF(Z16="",'06_집기치수20'!N11,Z16)</f>
        <v>865</v>
      </c>
      <c r="S16" s="6">
        <f>IF(AA16="",'06_집기치수20'!O11,AA16)</f>
        <v>330</v>
      </c>
      <c r="T16" s="6">
        <v>330</v>
      </c>
      <c r="U16" s="6">
        <f>IF(AB16="",'06_집기치수20'!P11,AB16-'06_집기치수20'!I11)</f>
        <v>310</v>
      </c>
      <c r="V16" s="6" t="str">
        <f>IF(Q16=0,"",IF(COUNTIFS('05_상품별배치367'!$B$7:$B$373,A16,'05_상품별배치367'!$T$7:$T$373,"입력 대기")&gt;0,"",SUMIFS('05_상품별배치367'!$S$7:$S$373,'05_상품별배치367'!$B$7:$B$373,A16)))</f>
        <v/>
      </c>
      <c r="W16" s="6" t="str">
        <f>IF(Q16=0,"미진열",IF(COUNTIFS('05_상품별배치367'!$B$7:$B$373,A16,'05_상품별배치367'!$T$7:$T$373,"치수 초과")&gt;0,"치수 초과",IF(COUNTIFS('05_상품별배치367'!$B$7:$B$373,A16,'05_상품별배치367'!$T$7:$T$373,"입력 대기")&gt;0,"치수 입력 대기",IF(V16&gt;R16,"폭 합계 초과","도면/실측 범위 내·현장확인"))))</f>
        <v>미진열</v>
      </c>
      <c r="X16" s="6"/>
      <c r="Y16" s="6" t="s">
        <v>555</v>
      </c>
      <c r="Z16" s="15"/>
      <c r="AA16" s="15"/>
      <c r="AB16" s="15"/>
    </row>
    <row r="17" spans="1:28" ht="33" customHeight="1">
      <c r="A17" s="6" t="s">
        <v>589</v>
      </c>
      <c r="B17" s="6" t="s">
        <v>49</v>
      </c>
      <c r="C17" s="6" t="s">
        <v>26</v>
      </c>
      <c r="D17" s="7">
        <v>1</v>
      </c>
      <c r="E17" s="6" t="s">
        <v>50</v>
      </c>
      <c r="F17" s="6" t="s">
        <v>53</v>
      </c>
      <c r="G17" s="6" t="s">
        <v>590</v>
      </c>
      <c r="H17" s="6"/>
      <c r="I17" s="6"/>
      <c r="J17" s="6" t="s">
        <v>551</v>
      </c>
      <c r="K17" s="14" t="s">
        <v>552</v>
      </c>
      <c r="L17" s="15"/>
      <c r="M17" s="15"/>
      <c r="N17" s="6" t="s">
        <v>553</v>
      </c>
      <c r="O17" s="6" t="s">
        <v>554</v>
      </c>
      <c r="P17" s="6">
        <f>COUNTIFS('05_상품별배치367'!$B$7:$B$373,A17,'05_상품별배치367'!$K$7:$K$373,"&gt;0")</f>
        <v>0</v>
      </c>
      <c r="Q17" s="6">
        <f>SUMIFS('05_상품별배치367'!$K$7:$K$373,'05_상품별배치367'!$B$7:$B$373,A17)</f>
        <v>0</v>
      </c>
      <c r="R17" s="6">
        <f>IF(Z17="",'06_집기치수20'!N7,Z17)</f>
        <v>865</v>
      </c>
      <c r="S17" s="6">
        <f>IF(AA17="",'06_집기치수20'!O7,AA17)</f>
        <v>330</v>
      </c>
      <c r="T17" s="6">
        <v>460</v>
      </c>
      <c r="U17" s="6">
        <f>IF(AB17="",'06_집기치수20'!P7,AB17-'06_집기치수20'!I7)</f>
        <v>440</v>
      </c>
      <c r="V17" s="6" t="str">
        <f>IF(Q17=0,"",IF(COUNTIFS('05_상품별배치367'!$B$7:$B$373,A17,'05_상품별배치367'!$T$7:$T$373,"입력 대기")&gt;0,"",SUMIFS('05_상품별배치367'!$S$7:$S$373,'05_상품별배치367'!$B$7:$B$373,A17)))</f>
        <v/>
      </c>
      <c r="W17" s="6" t="str">
        <f>IF(Q17=0,"미진열",IF(COUNTIFS('05_상품별배치367'!$B$7:$B$373,A17,'05_상품별배치367'!$T$7:$T$373,"치수 초과")&gt;0,"치수 초과",IF(COUNTIFS('05_상품별배치367'!$B$7:$B$373,A17,'05_상품별배치367'!$T$7:$T$373,"입력 대기")&gt;0,"치수 입력 대기",IF(V17&gt;R17,"폭 합계 초과","도면/실측 범위 내·현장확인"))))</f>
        <v>미진열</v>
      </c>
      <c r="X17" s="6"/>
      <c r="Y17" s="6" t="s">
        <v>555</v>
      </c>
      <c r="Z17" s="15"/>
      <c r="AA17" s="15"/>
      <c r="AB17" s="15"/>
    </row>
    <row r="18" spans="1:28" ht="33" customHeight="1">
      <c r="A18" s="8" t="s">
        <v>591</v>
      </c>
      <c r="B18" s="8" t="s">
        <v>49</v>
      </c>
      <c r="C18" s="8" t="s">
        <v>26</v>
      </c>
      <c r="D18" s="9">
        <v>2</v>
      </c>
      <c r="E18" s="8" t="s">
        <v>50</v>
      </c>
      <c r="F18" s="8" t="s">
        <v>54</v>
      </c>
      <c r="G18" s="8" t="s">
        <v>162</v>
      </c>
      <c r="H18" s="8" t="s">
        <v>592</v>
      </c>
      <c r="I18" s="8" t="s">
        <v>593</v>
      </c>
      <c r="J18" s="8" t="s">
        <v>551</v>
      </c>
      <c r="K18" s="14" t="s">
        <v>594</v>
      </c>
      <c r="L18" s="15"/>
      <c r="M18" s="15"/>
      <c r="N18" s="8" t="s">
        <v>560</v>
      </c>
      <c r="O18" s="8" t="s">
        <v>554</v>
      </c>
      <c r="P18" s="6">
        <f>COUNTIFS('05_상품별배치367'!$B$7:$B$373,A18,'05_상품별배치367'!$K$7:$K$373,"&gt;0")</f>
        <v>1</v>
      </c>
      <c r="Q18" s="6">
        <f>SUMIFS('05_상품별배치367'!$K$7:$K$373,'05_상품별배치367'!$B$7:$B$373,A18)</f>
        <v>1</v>
      </c>
      <c r="R18" s="6">
        <f>IF(Z18="",'06_집기치수20'!N8,Z18)</f>
        <v>865</v>
      </c>
      <c r="S18" s="6">
        <f>IF(AA18="",'06_집기치수20'!O8,AA18)</f>
        <v>330</v>
      </c>
      <c r="T18" s="6">
        <v>290</v>
      </c>
      <c r="U18" s="6">
        <f>IF(AB18="",'06_집기치수20'!P8,AB18-'06_집기치수20'!I8)</f>
        <v>270</v>
      </c>
      <c r="V18" s="6" t="str">
        <f>IF(Q18=0,"",IF(COUNTIFS('05_상품별배치367'!$B$7:$B$373,A18,'05_상품별배치367'!$T$7:$T$373,"입력 대기")&gt;0,"",SUMIFS('05_상품별배치367'!$S$7:$S$373,'05_상품별배치367'!$B$7:$B$373,A18)))</f>
        <v/>
      </c>
      <c r="W18" s="6" t="str">
        <f>IF(Q18=0,"미진열",IF(COUNTIFS('05_상품별배치367'!$B$7:$B$373,A18,'05_상품별배치367'!$T$7:$T$373,"치수 초과")&gt;0,"치수 초과",IF(COUNTIFS('05_상품별배치367'!$B$7:$B$373,A18,'05_상품별배치367'!$T$7:$T$373,"입력 대기")&gt;0,"치수 입력 대기",IF(V18&gt;R18,"폭 합계 초과","도면/실측 범위 내·현장확인"))))</f>
        <v>치수 입력 대기</v>
      </c>
      <c r="X18" s="6" t="s">
        <v>595</v>
      </c>
      <c r="Y18" s="6" t="s">
        <v>555</v>
      </c>
      <c r="Z18" s="15"/>
      <c r="AA18" s="15"/>
      <c r="AB18" s="15"/>
    </row>
    <row r="19" spans="1:28" ht="33" customHeight="1">
      <c r="A19" s="6" t="s">
        <v>596</v>
      </c>
      <c r="B19" s="6" t="s">
        <v>49</v>
      </c>
      <c r="C19" s="6" t="s">
        <v>26</v>
      </c>
      <c r="D19" s="7">
        <v>3</v>
      </c>
      <c r="E19" s="6" t="s">
        <v>50</v>
      </c>
      <c r="F19" s="6" t="s">
        <v>55</v>
      </c>
      <c r="G19" s="6" t="s">
        <v>161</v>
      </c>
      <c r="H19" s="6" t="s">
        <v>597</v>
      </c>
      <c r="I19" s="6" t="s">
        <v>598</v>
      </c>
      <c r="J19" s="6" t="s">
        <v>551</v>
      </c>
      <c r="K19" s="14" t="s">
        <v>594</v>
      </c>
      <c r="L19" s="15"/>
      <c r="M19" s="15"/>
      <c r="N19" s="6" t="s">
        <v>560</v>
      </c>
      <c r="O19" s="6" t="s">
        <v>554</v>
      </c>
      <c r="P19" s="6">
        <f>COUNTIFS('05_상품별배치367'!$B$7:$B$373,A19,'05_상품별배치367'!$K$7:$K$373,"&gt;0")</f>
        <v>1</v>
      </c>
      <c r="Q19" s="6">
        <f>SUMIFS('05_상품별배치367'!$K$7:$K$373,'05_상품별배치367'!$B$7:$B$373,A19)</f>
        <v>1</v>
      </c>
      <c r="R19" s="6">
        <f>IF(Z19="",'06_집기치수20'!N9,Z19)</f>
        <v>865</v>
      </c>
      <c r="S19" s="6">
        <f>IF(AA19="",'06_집기치수20'!O9,AA19)</f>
        <v>330</v>
      </c>
      <c r="T19" s="6">
        <v>290</v>
      </c>
      <c r="U19" s="6">
        <f>IF(AB19="",'06_집기치수20'!P9,AB19-'06_집기치수20'!I9)</f>
        <v>270</v>
      </c>
      <c r="V19" s="6" t="str">
        <f>IF(Q19=0,"",IF(COUNTIFS('05_상품별배치367'!$B$7:$B$373,A19,'05_상품별배치367'!$T$7:$T$373,"입력 대기")&gt;0,"",SUMIFS('05_상품별배치367'!$S$7:$S$373,'05_상품별배치367'!$B$7:$B$373,A19)))</f>
        <v/>
      </c>
      <c r="W19" s="6" t="str">
        <f>IF(Q19=0,"미진열",IF(COUNTIFS('05_상품별배치367'!$B$7:$B$373,A19,'05_상품별배치367'!$T$7:$T$373,"치수 초과")&gt;0,"치수 초과",IF(COUNTIFS('05_상품별배치367'!$B$7:$B$373,A19,'05_상품별배치367'!$T$7:$T$373,"입력 대기")&gt;0,"치수 입력 대기",IF(V19&gt;R19,"폭 합계 초과","도면/실측 범위 내·현장확인"))))</f>
        <v>치수 입력 대기</v>
      </c>
      <c r="X19" s="6" t="s">
        <v>599</v>
      </c>
      <c r="Y19" s="6" t="s">
        <v>555</v>
      </c>
      <c r="Z19" s="15"/>
      <c r="AA19" s="15"/>
      <c r="AB19" s="15"/>
    </row>
    <row r="20" spans="1:28" ht="33" customHeight="1">
      <c r="A20" s="8" t="s">
        <v>600</v>
      </c>
      <c r="B20" s="8" t="s">
        <v>49</v>
      </c>
      <c r="C20" s="8" t="s">
        <v>26</v>
      </c>
      <c r="D20" s="9">
        <v>4</v>
      </c>
      <c r="E20" s="8" t="s">
        <v>50</v>
      </c>
      <c r="F20" s="8" t="s">
        <v>56</v>
      </c>
      <c r="G20" s="8" t="s">
        <v>514</v>
      </c>
      <c r="H20" s="8" t="s">
        <v>601</v>
      </c>
      <c r="I20" s="8" t="s">
        <v>602</v>
      </c>
      <c r="J20" s="8" t="s">
        <v>551</v>
      </c>
      <c r="K20" s="14" t="s">
        <v>594</v>
      </c>
      <c r="L20" s="15"/>
      <c r="M20" s="15"/>
      <c r="N20" s="8" t="s">
        <v>560</v>
      </c>
      <c r="O20" s="8" t="s">
        <v>554</v>
      </c>
      <c r="P20" s="6">
        <f>COUNTIFS('05_상품별배치367'!$B$7:$B$373,A20,'05_상품별배치367'!$K$7:$K$373,"&gt;0")</f>
        <v>1</v>
      </c>
      <c r="Q20" s="6">
        <f>SUMIFS('05_상품별배치367'!$K$7:$K$373,'05_상품별배치367'!$B$7:$B$373,A20)</f>
        <v>1</v>
      </c>
      <c r="R20" s="6">
        <f>IF(Z20="",'06_집기치수20'!N10,Z20)</f>
        <v>865</v>
      </c>
      <c r="S20" s="6">
        <f>IF(AA20="",'06_집기치수20'!O10,AA20)</f>
        <v>330</v>
      </c>
      <c r="T20" s="6">
        <v>290</v>
      </c>
      <c r="U20" s="6">
        <f>IF(AB20="",'06_집기치수20'!P10,AB20-'06_집기치수20'!I10)</f>
        <v>270</v>
      </c>
      <c r="V20" s="6" t="str">
        <f>IF(Q20=0,"",IF(COUNTIFS('05_상품별배치367'!$B$7:$B$373,A20,'05_상품별배치367'!$T$7:$T$373,"입력 대기")&gt;0,"",SUMIFS('05_상품별배치367'!$S$7:$S$373,'05_상품별배치367'!$B$7:$B$373,A20)))</f>
        <v/>
      </c>
      <c r="W20" s="6" t="str">
        <f>IF(Q20=0,"미진열",IF(COUNTIFS('05_상품별배치367'!$B$7:$B$373,A20,'05_상품별배치367'!$T$7:$T$373,"치수 초과")&gt;0,"치수 초과",IF(COUNTIFS('05_상품별배치367'!$B$7:$B$373,A20,'05_상품별배치367'!$T$7:$T$373,"입력 대기")&gt;0,"치수 입력 대기",IF(V20&gt;R20,"폭 합계 초과","도면/실측 범위 내·현장확인"))))</f>
        <v>치수 입력 대기</v>
      </c>
      <c r="X20" s="6" t="s">
        <v>603</v>
      </c>
      <c r="Y20" s="6" t="s">
        <v>555</v>
      </c>
      <c r="Z20" s="15"/>
      <c r="AA20" s="15"/>
      <c r="AB20" s="15"/>
    </row>
    <row r="21" spans="1:28" ht="33" customHeight="1">
      <c r="A21" s="6" t="s">
        <v>604</v>
      </c>
      <c r="B21" s="6" t="s">
        <v>49</v>
      </c>
      <c r="C21" s="6" t="s">
        <v>26</v>
      </c>
      <c r="D21" s="7">
        <v>5</v>
      </c>
      <c r="E21" s="6" t="s">
        <v>50</v>
      </c>
      <c r="F21" s="6" t="s">
        <v>57</v>
      </c>
      <c r="G21" s="6" t="s">
        <v>590</v>
      </c>
      <c r="H21" s="6"/>
      <c r="I21" s="6"/>
      <c r="J21" s="6" t="s">
        <v>551</v>
      </c>
      <c r="K21" s="14" t="s">
        <v>568</v>
      </c>
      <c r="L21" s="15"/>
      <c r="M21" s="15"/>
      <c r="N21" s="6" t="s">
        <v>560</v>
      </c>
      <c r="O21" s="6" t="s">
        <v>554</v>
      </c>
      <c r="P21" s="6">
        <f>COUNTIFS('05_상품별배치367'!$B$7:$B$373,A21,'05_상품별배치367'!$K$7:$K$373,"&gt;0")</f>
        <v>0</v>
      </c>
      <c r="Q21" s="6">
        <f>SUMIFS('05_상품별배치367'!$K$7:$K$373,'05_상품별배치367'!$B$7:$B$373,A21)</f>
        <v>0</v>
      </c>
      <c r="R21" s="6">
        <f>IF(Z21="",'06_집기치수20'!N11,Z21)</f>
        <v>865</v>
      </c>
      <c r="S21" s="6">
        <f>IF(AA21="",'06_집기치수20'!O11,AA21)</f>
        <v>330</v>
      </c>
      <c r="T21" s="6">
        <v>330</v>
      </c>
      <c r="U21" s="6">
        <f>IF(AB21="",'06_집기치수20'!P11,AB21-'06_집기치수20'!I11)</f>
        <v>310</v>
      </c>
      <c r="V21" s="6" t="str">
        <f>IF(Q21=0,"",IF(COUNTIFS('05_상품별배치367'!$B$7:$B$373,A21,'05_상품별배치367'!$T$7:$T$373,"입력 대기")&gt;0,"",SUMIFS('05_상품별배치367'!$S$7:$S$373,'05_상품별배치367'!$B$7:$B$373,A21)))</f>
        <v/>
      </c>
      <c r="W21" s="6" t="str">
        <f>IF(Q21=0,"미진열",IF(COUNTIFS('05_상품별배치367'!$B$7:$B$373,A21,'05_상품별배치367'!$T$7:$T$373,"치수 초과")&gt;0,"치수 초과",IF(COUNTIFS('05_상품별배치367'!$B$7:$B$373,A21,'05_상품별배치367'!$T$7:$T$373,"입력 대기")&gt;0,"치수 입력 대기",IF(V21&gt;R21,"폭 합계 초과","도면/실측 범위 내·현장확인"))))</f>
        <v>미진열</v>
      </c>
      <c r="X21" s="6"/>
      <c r="Y21" s="6" t="s">
        <v>555</v>
      </c>
      <c r="Z21" s="15"/>
      <c r="AA21" s="15"/>
      <c r="AB21" s="15"/>
    </row>
    <row r="22" spans="1:28" ht="33" customHeight="1">
      <c r="A22" s="8" t="s">
        <v>605</v>
      </c>
      <c r="B22" s="8" t="s">
        <v>59</v>
      </c>
      <c r="C22" s="8" t="s">
        <v>26</v>
      </c>
      <c r="D22" s="9">
        <v>1</v>
      </c>
      <c r="E22" s="8" t="s">
        <v>60</v>
      </c>
      <c r="F22" s="8" t="s">
        <v>63</v>
      </c>
      <c r="G22" s="8" t="s">
        <v>606</v>
      </c>
      <c r="H22" s="8"/>
      <c r="I22" s="8"/>
      <c r="J22" s="8" t="s">
        <v>551</v>
      </c>
      <c r="K22" s="14" t="s">
        <v>552</v>
      </c>
      <c r="L22" s="15"/>
      <c r="M22" s="15"/>
      <c r="N22" s="8" t="s">
        <v>553</v>
      </c>
      <c r="O22" s="8" t="s">
        <v>554</v>
      </c>
      <c r="P22" s="6">
        <f>COUNTIFS('05_상품별배치367'!$B$7:$B$373,A22,'05_상품별배치367'!$K$7:$K$373,"&gt;0")</f>
        <v>0</v>
      </c>
      <c r="Q22" s="6">
        <f>SUMIFS('05_상품별배치367'!$K$7:$K$373,'05_상품별배치367'!$B$7:$B$373,A22)</f>
        <v>0</v>
      </c>
      <c r="R22" s="6">
        <f>IF(Z22="",'06_집기치수20'!N7,Z22)</f>
        <v>865</v>
      </c>
      <c r="S22" s="6">
        <f>IF(AA22="",'06_집기치수20'!O7,AA22)</f>
        <v>330</v>
      </c>
      <c r="T22" s="6">
        <v>460</v>
      </c>
      <c r="U22" s="6">
        <f>IF(AB22="",'06_집기치수20'!P7,AB22-'06_집기치수20'!I7)</f>
        <v>440</v>
      </c>
      <c r="V22" s="6" t="str">
        <f>IF(Q22=0,"",IF(COUNTIFS('05_상품별배치367'!$B$7:$B$373,A22,'05_상품별배치367'!$T$7:$T$373,"입력 대기")&gt;0,"",SUMIFS('05_상품별배치367'!$S$7:$S$373,'05_상품별배치367'!$B$7:$B$373,A22)))</f>
        <v/>
      </c>
      <c r="W22" s="6" t="str">
        <f>IF(Q22=0,"미진열",IF(COUNTIFS('05_상품별배치367'!$B$7:$B$373,A22,'05_상품별배치367'!$T$7:$T$373,"치수 초과")&gt;0,"치수 초과",IF(COUNTIFS('05_상품별배치367'!$B$7:$B$373,A22,'05_상품별배치367'!$T$7:$T$373,"입력 대기")&gt;0,"치수 입력 대기",IF(V22&gt;R22,"폭 합계 초과","도면/실측 범위 내·현장확인"))))</f>
        <v>미진열</v>
      </c>
      <c r="X22" s="6"/>
      <c r="Y22" s="6" t="s">
        <v>555</v>
      </c>
      <c r="Z22" s="15"/>
      <c r="AA22" s="15"/>
      <c r="AB22" s="15"/>
    </row>
    <row r="23" spans="1:28" ht="46" customHeight="1">
      <c r="A23" s="6" t="s">
        <v>607</v>
      </c>
      <c r="B23" s="6" t="s">
        <v>59</v>
      </c>
      <c r="C23" s="6" t="s">
        <v>26</v>
      </c>
      <c r="D23" s="7">
        <v>2</v>
      </c>
      <c r="E23" s="6" t="s">
        <v>60</v>
      </c>
      <c r="F23" s="6" t="s">
        <v>64</v>
      </c>
      <c r="G23" s="6" t="s">
        <v>606</v>
      </c>
      <c r="H23" s="6" t="s">
        <v>608</v>
      </c>
      <c r="I23" s="6" t="s">
        <v>609</v>
      </c>
      <c r="J23" s="6" t="s">
        <v>551</v>
      </c>
      <c r="K23" s="14" t="s">
        <v>559</v>
      </c>
      <c r="L23" s="15"/>
      <c r="M23" s="15"/>
      <c r="N23" s="6" t="s">
        <v>560</v>
      </c>
      <c r="O23" s="6" t="s">
        <v>554</v>
      </c>
      <c r="P23" s="6">
        <f>COUNTIFS('05_상품별배치367'!$B$7:$B$373,A23,'05_상품별배치367'!$K$7:$K$373,"&gt;0")</f>
        <v>3</v>
      </c>
      <c r="Q23" s="6">
        <f>SUMIFS('05_상품별배치367'!$K$7:$K$373,'05_상품별배치367'!$B$7:$B$373,A23)</f>
        <v>3</v>
      </c>
      <c r="R23" s="6">
        <f>IF(Z23="",'06_집기치수20'!N8,Z23)</f>
        <v>865</v>
      </c>
      <c r="S23" s="6">
        <f>IF(AA23="",'06_집기치수20'!O8,AA23)</f>
        <v>330</v>
      </c>
      <c r="T23" s="6">
        <v>290</v>
      </c>
      <c r="U23" s="6">
        <f>IF(AB23="",'06_집기치수20'!P8,AB23-'06_집기치수20'!I8)</f>
        <v>270</v>
      </c>
      <c r="V23" s="6" t="str">
        <f>IF(Q23=0,"",IF(COUNTIFS('05_상품별배치367'!$B$7:$B$373,A23,'05_상품별배치367'!$T$7:$T$373,"입력 대기")&gt;0,"",SUMIFS('05_상품별배치367'!$S$7:$S$373,'05_상품별배치367'!$B$7:$B$373,A23)))</f>
        <v/>
      </c>
      <c r="W23" s="6" t="str">
        <f>IF(Q23=0,"미진열",IF(COUNTIFS('05_상품별배치367'!$B$7:$B$373,A23,'05_상품별배치367'!$T$7:$T$373,"치수 초과")&gt;0,"치수 초과",IF(COUNTIFS('05_상품별배치367'!$B$7:$B$373,A23,'05_상품별배치367'!$T$7:$T$373,"입력 대기")&gt;0,"치수 입력 대기",IF(V23&gt;R23,"폭 합계 초과","도면/실측 범위 내·현장확인"))))</f>
        <v>치수 입력 대기</v>
      </c>
      <c r="X23" s="6" t="s">
        <v>610</v>
      </c>
      <c r="Y23" s="6" t="s">
        <v>555</v>
      </c>
      <c r="Z23" s="15"/>
      <c r="AA23" s="15"/>
      <c r="AB23" s="15"/>
    </row>
    <row r="24" spans="1:28" ht="33" customHeight="1">
      <c r="A24" s="8" t="s">
        <v>611</v>
      </c>
      <c r="B24" s="8" t="s">
        <v>59</v>
      </c>
      <c r="C24" s="8" t="s">
        <v>26</v>
      </c>
      <c r="D24" s="9">
        <v>3</v>
      </c>
      <c r="E24" s="8" t="s">
        <v>60</v>
      </c>
      <c r="F24" s="8" t="s">
        <v>65</v>
      </c>
      <c r="G24" s="8" t="s">
        <v>65</v>
      </c>
      <c r="H24" s="8" t="s">
        <v>612</v>
      </c>
      <c r="I24" s="8" t="s">
        <v>613</v>
      </c>
      <c r="J24" s="8" t="s">
        <v>551</v>
      </c>
      <c r="K24" s="14" t="s">
        <v>559</v>
      </c>
      <c r="L24" s="15"/>
      <c r="M24" s="15"/>
      <c r="N24" s="8" t="s">
        <v>560</v>
      </c>
      <c r="O24" s="8" t="s">
        <v>554</v>
      </c>
      <c r="P24" s="6">
        <f>COUNTIFS('05_상품별배치367'!$B$7:$B$373,A24,'05_상품별배치367'!$K$7:$K$373,"&gt;0")</f>
        <v>2</v>
      </c>
      <c r="Q24" s="6">
        <f>SUMIFS('05_상품별배치367'!$K$7:$K$373,'05_상품별배치367'!$B$7:$B$373,A24)</f>
        <v>2</v>
      </c>
      <c r="R24" s="6">
        <f>IF(Z24="",'06_집기치수20'!N9,Z24)</f>
        <v>865</v>
      </c>
      <c r="S24" s="6">
        <f>IF(AA24="",'06_집기치수20'!O9,AA24)</f>
        <v>330</v>
      </c>
      <c r="T24" s="6">
        <v>290</v>
      </c>
      <c r="U24" s="6">
        <f>IF(AB24="",'06_집기치수20'!P9,AB24-'06_집기치수20'!I9)</f>
        <v>270</v>
      </c>
      <c r="V24" s="6" t="str">
        <f>IF(Q24=0,"",IF(COUNTIFS('05_상품별배치367'!$B$7:$B$373,A24,'05_상품별배치367'!$T$7:$T$373,"입력 대기")&gt;0,"",SUMIFS('05_상품별배치367'!$S$7:$S$373,'05_상품별배치367'!$B$7:$B$373,A24)))</f>
        <v/>
      </c>
      <c r="W24" s="6" t="str">
        <f>IF(Q24=0,"미진열",IF(COUNTIFS('05_상품별배치367'!$B$7:$B$373,A24,'05_상품별배치367'!$T$7:$T$373,"치수 초과")&gt;0,"치수 초과",IF(COUNTIFS('05_상품별배치367'!$B$7:$B$373,A24,'05_상품별배치367'!$T$7:$T$373,"입력 대기")&gt;0,"치수 입력 대기",IF(V24&gt;R24,"폭 합계 초과","도면/실측 범위 내·현장확인"))))</f>
        <v>치수 입력 대기</v>
      </c>
      <c r="X24" s="6" t="s">
        <v>614</v>
      </c>
      <c r="Y24" s="6" t="s">
        <v>555</v>
      </c>
      <c r="Z24" s="15"/>
      <c r="AA24" s="15"/>
      <c r="AB24" s="15"/>
    </row>
    <row r="25" spans="1:28" ht="33" customHeight="1">
      <c r="A25" s="6" t="s">
        <v>615</v>
      </c>
      <c r="B25" s="6" t="s">
        <v>59</v>
      </c>
      <c r="C25" s="6" t="s">
        <v>26</v>
      </c>
      <c r="D25" s="7">
        <v>4</v>
      </c>
      <c r="E25" s="6" t="s">
        <v>60</v>
      </c>
      <c r="F25" s="6" t="s">
        <v>66</v>
      </c>
      <c r="G25" s="6" t="s">
        <v>616</v>
      </c>
      <c r="H25" s="6" t="s">
        <v>617</v>
      </c>
      <c r="I25" s="6" t="s">
        <v>618</v>
      </c>
      <c r="J25" s="6" t="s">
        <v>551</v>
      </c>
      <c r="K25" s="14" t="s">
        <v>559</v>
      </c>
      <c r="L25" s="15"/>
      <c r="M25" s="15"/>
      <c r="N25" s="6" t="s">
        <v>560</v>
      </c>
      <c r="O25" s="6" t="s">
        <v>554</v>
      </c>
      <c r="P25" s="6">
        <f>COUNTIFS('05_상품별배치367'!$B$7:$B$373,A25,'05_상품별배치367'!$K$7:$K$373,"&gt;0")</f>
        <v>1</v>
      </c>
      <c r="Q25" s="6">
        <f>SUMIFS('05_상품별배치367'!$K$7:$K$373,'05_상품별배치367'!$B$7:$B$373,A25)</f>
        <v>1</v>
      </c>
      <c r="R25" s="6">
        <f>IF(Z25="",'06_집기치수20'!N10,Z25)</f>
        <v>865</v>
      </c>
      <c r="S25" s="6">
        <f>IF(AA25="",'06_집기치수20'!O10,AA25)</f>
        <v>330</v>
      </c>
      <c r="T25" s="6">
        <v>290</v>
      </c>
      <c r="U25" s="6">
        <f>IF(AB25="",'06_집기치수20'!P10,AB25-'06_집기치수20'!I10)</f>
        <v>270</v>
      </c>
      <c r="V25" s="6" t="str">
        <f>IF(Q25=0,"",IF(COUNTIFS('05_상품별배치367'!$B$7:$B$373,A25,'05_상품별배치367'!$T$7:$T$373,"입력 대기")&gt;0,"",SUMIFS('05_상품별배치367'!$S$7:$S$373,'05_상품별배치367'!$B$7:$B$373,A25)))</f>
        <v/>
      </c>
      <c r="W25" s="6" t="str">
        <f>IF(Q25=0,"미진열",IF(COUNTIFS('05_상품별배치367'!$B$7:$B$373,A25,'05_상품별배치367'!$T$7:$T$373,"치수 초과")&gt;0,"치수 초과",IF(COUNTIFS('05_상품별배치367'!$B$7:$B$373,A25,'05_상품별배치367'!$T$7:$T$373,"입력 대기")&gt;0,"치수 입력 대기",IF(V25&gt;R25,"폭 합계 초과","도면/실측 범위 내·현장확인"))))</f>
        <v>치수 입력 대기</v>
      </c>
      <c r="X25" s="6" t="s">
        <v>619</v>
      </c>
      <c r="Y25" s="6" t="s">
        <v>555</v>
      </c>
      <c r="Z25" s="15"/>
      <c r="AA25" s="15"/>
      <c r="AB25" s="15"/>
    </row>
    <row r="26" spans="1:28" ht="59" customHeight="1">
      <c r="A26" s="8" t="s">
        <v>620</v>
      </c>
      <c r="B26" s="8" t="s">
        <v>59</v>
      </c>
      <c r="C26" s="8" t="s">
        <v>26</v>
      </c>
      <c r="D26" s="9">
        <v>5</v>
      </c>
      <c r="E26" s="8" t="s">
        <v>60</v>
      </c>
      <c r="F26" s="8" t="s">
        <v>67</v>
      </c>
      <c r="G26" s="8" t="s">
        <v>621</v>
      </c>
      <c r="H26" s="8" t="s">
        <v>622</v>
      </c>
      <c r="I26" s="8" t="s">
        <v>623</v>
      </c>
      <c r="J26" s="8" t="s">
        <v>551</v>
      </c>
      <c r="K26" s="14" t="s">
        <v>559</v>
      </c>
      <c r="L26" s="15"/>
      <c r="M26" s="15"/>
      <c r="N26" s="8" t="s">
        <v>560</v>
      </c>
      <c r="O26" s="8" t="s">
        <v>554</v>
      </c>
      <c r="P26" s="6">
        <f>COUNTIFS('05_상품별배치367'!$B$7:$B$373,A26,'05_상품별배치367'!$K$7:$K$373,"&gt;0")</f>
        <v>4</v>
      </c>
      <c r="Q26" s="6">
        <f>SUMIFS('05_상품별배치367'!$K$7:$K$373,'05_상품별배치367'!$B$7:$B$373,A26)</f>
        <v>4</v>
      </c>
      <c r="R26" s="6">
        <f>IF(Z26="",'06_집기치수20'!N11,Z26)</f>
        <v>865</v>
      </c>
      <c r="S26" s="6">
        <f>IF(AA26="",'06_집기치수20'!O11,AA26)</f>
        <v>330</v>
      </c>
      <c r="T26" s="6">
        <v>330</v>
      </c>
      <c r="U26" s="6">
        <f>IF(AB26="",'06_집기치수20'!P11,AB26-'06_집기치수20'!I11)</f>
        <v>310</v>
      </c>
      <c r="V26" s="6" t="str">
        <f>IF(Q26=0,"",IF(COUNTIFS('05_상품별배치367'!$B$7:$B$373,A26,'05_상품별배치367'!$T$7:$T$373,"입력 대기")&gt;0,"",SUMIFS('05_상품별배치367'!$S$7:$S$373,'05_상품별배치367'!$B$7:$B$373,A26)))</f>
        <v/>
      </c>
      <c r="W26" s="6" t="str">
        <f>IF(Q26=0,"미진열",IF(COUNTIFS('05_상품별배치367'!$B$7:$B$373,A26,'05_상품별배치367'!$T$7:$T$373,"치수 초과")&gt;0,"치수 초과",IF(COUNTIFS('05_상품별배치367'!$B$7:$B$373,A26,'05_상품별배치367'!$T$7:$T$373,"입력 대기")&gt;0,"치수 입력 대기",IF(V26&gt;R26,"폭 합계 초과","도면/실측 범위 내·현장확인"))))</f>
        <v>치수 입력 대기</v>
      </c>
      <c r="X26" s="6" t="s">
        <v>624</v>
      </c>
      <c r="Y26" s="6" t="s">
        <v>555</v>
      </c>
      <c r="Z26" s="15"/>
      <c r="AA26" s="15"/>
      <c r="AB26" s="15"/>
    </row>
    <row r="27" spans="1:28" ht="33" customHeight="1">
      <c r="A27" s="6" t="s">
        <v>625</v>
      </c>
      <c r="B27" s="6" t="s">
        <v>69</v>
      </c>
      <c r="C27" s="6" t="s">
        <v>26</v>
      </c>
      <c r="D27" s="7">
        <v>1</v>
      </c>
      <c r="E27" s="6" t="s">
        <v>60</v>
      </c>
      <c r="F27" s="6" t="s">
        <v>73</v>
      </c>
      <c r="G27" s="6" t="s">
        <v>152</v>
      </c>
      <c r="H27" s="6"/>
      <c r="I27" s="6"/>
      <c r="J27" s="6" t="s">
        <v>551</v>
      </c>
      <c r="K27" s="14" t="s">
        <v>552</v>
      </c>
      <c r="L27" s="15"/>
      <c r="M27" s="15"/>
      <c r="N27" s="6" t="s">
        <v>553</v>
      </c>
      <c r="O27" s="6" t="s">
        <v>554</v>
      </c>
      <c r="P27" s="6">
        <f>COUNTIFS('05_상품별배치367'!$B$7:$B$373,A27,'05_상품별배치367'!$K$7:$K$373,"&gt;0")</f>
        <v>0</v>
      </c>
      <c r="Q27" s="6">
        <f>SUMIFS('05_상품별배치367'!$K$7:$K$373,'05_상품별배치367'!$B$7:$B$373,A27)</f>
        <v>0</v>
      </c>
      <c r="R27" s="6">
        <f>IF(Z27="",'06_집기치수20'!N7,Z27)</f>
        <v>865</v>
      </c>
      <c r="S27" s="6">
        <f>IF(AA27="",'06_집기치수20'!O7,AA27)</f>
        <v>330</v>
      </c>
      <c r="T27" s="6">
        <v>460</v>
      </c>
      <c r="U27" s="6">
        <f>IF(AB27="",'06_집기치수20'!P7,AB27-'06_집기치수20'!I7)</f>
        <v>440</v>
      </c>
      <c r="V27" s="6" t="str">
        <f>IF(Q27=0,"",IF(COUNTIFS('05_상품별배치367'!$B$7:$B$373,A27,'05_상품별배치367'!$T$7:$T$373,"입력 대기")&gt;0,"",SUMIFS('05_상품별배치367'!$S$7:$S$373,'05_상품별배치367'!$B$7:$B$373,A27)))</f>
        <v/>
      </c>
      <c r="W27" s="6" t="str">
        <f>IF(Q27=0,"미진열",IF(COUNTIFS('05_상품별배치367'!$B$7:$B$373,A27,'05_상품별배치367'!$T$7:$T$373,"치수 초과")&gt;0,"치수 초과",IF(COUNTIFS('05_상품별배치367'!$B$7:$B$373,A27,'05_상품별배치367'!$T$7:$T$373,"입력 대기")&gt;0,"치수 입력 대기",IF(V27&gt;R27,"폭 합계 초과","도면/실측 범위 내·현장확인"))))</f>
        <v>미진열</v>
      </c>
      <c r="X27" s="6"/>
      <c r="Y27" s="6" t="s">
        <v>555</v>
      </c>
      <c r="Z27" s="15"/>
      <c r="AA27" s="15"/>
      <c r="AB27" s="15"/>
    </row>
    <row r="28" spans="1:28" ht="33" customHeight="1">
      <c r="A28" s="8" t="s">
        <v>626</v>
      </c>
      <c r="B28" s="8" t="s">
        <v>69</v>
      </c>
      <c r="C28" s="8" t="s">
        <v>26</v>
      </c>
      <c r="D28" s="9">
        <v>2</v>
      </c>
      <c r="E28" s="8" t="s">
        <v>60</v>
      </c>
      <c r="F28" s="8" t="s">
        <v>74</v>
      </c>
      <c r="G28" s="8" t="s">
        <v>505</v>
      </c>
      <c r="H28" s="8" t="s">
        <v>627</v>
      </c>
      <c r="I28" s="8" t="s">
        <v>628</v>
      </c>
      <c r="J28" s="8" t="s">
        <v>551</v>
      </c>
      <c r="K28" s="14" t="s">
        <v>559</v>
      </c>
      <c r="L28" s="15"/>
      <c r="M28" s="15"/>
      <c r="N28" s="8" t="s">
        <v>560</v>
      </c>
      <c r="O28" s="8" t="s">
        <v>554</v>
      </c>
      <c r="P28" s="6">
        <f>COUNTIFS('05_상품별배치367'!$B$7:$B$373,A28,'05_상품별배치367'!$K$7:$K$373,"&gt;0")</f>
        <v>2</v>
      </c>
      <c r="Q28" s="6">
        <f>SUMIFS('05_상품별배치367'!$K$7:$K$373,'05_상품별배치367'!$B$7:$B$373,A28)</f>
        <v>2</v>
      </c>
      <c r="R28" s="6">
        <f>IF(Z28="",'06_집기치수20'!N8,Z28)</f>
        <v>865</v>
      </c>
      <c r="S28" s="6">
        <f>IF(AA28="",'06_집기치수20'!O8,AA28)</f>
        <v>330</v>
      </c>
      <c r="T28" s="6">
        <v>290</v>
      </c>
      <c r="U28" s="6">
        <f>IF(AB28="",'06_집기치수20'!P8,AB28-'06_집기치수20'!I8)</f>
        <v>270</v>
      </c>
      <c r="V28" s="6" t="str">
        <f>IF(Q28=0,"",IF(COUNTIFS('05_상품별배치367'!$B$7:$B$373,A28,'05_상품별배치367'!$T$7:$T$373,"입력 대기")&gt;0,"",SUMIFS('05_상품별배치367'!$S$7:$S$373,'05_상품별배치367'!$B$7:$B$373,A28)))</f>
        <v/>
      </c>
      <c r="W28" s="6" t="str">
        <f>IF(Q28=0,"미진열",IF(COUNTIFS('05_상품별배치367'!$B$7:$B$373,A28,'05_상품별배치367'!$T$7:$T$373,"치수 초과")&gt;0,"치수 초과",IF(COUNTIFS('05_상품별배치367'!$B$7:$B$373,A28,'05_상품별배치367'!$T$7:$T$373,"입력 대기")&gt;0,"치수 입력 대기",IF(V28&gt;R28,"폭 합계 초과","도면/실측 범위 내·현장확인"))))</f>
        <v>치수 입력 대기</v>
      </c>
      <c r="X28" s="6" t="s">
        <v>629</v>
      </c>
      <c r="Y28" s="6" t="s">
        <v>555</v>
      </c>
      <c r="Z28" s="15"/>
      <c r="AA28" s="15"/>
      <c r="AB28" s="15"/>
    </row>
    <row r="29" spans="1:28" ht="33" customHeight="1">
      <c r="A29" s="6" t="s">
        <v>630</v>
      </c>
      <c r="B29" s="6" t="s">
        <v>69</v>
      </c>
      <c r="C29" s="6" t="s">
        <v>26</v>
      </c>
      <c r="D29" s="7">
        <v>3</v>
      </c>
      <c r="E29" s="6" t="s">
        <v>60</v>
      </c>
      <c r="F29" s="6" t="s">
        <v>75</v>
      </c>
      <c r="G29" s="6" t="s">
        <v>152</v>
      </c>
      <c r="H29" s="6" t="s">
        <v>631</v>
      </c>
      <c r="I29" s="6" t="s">
        <v>632</v>
      </c>
      <c r="J29" s="6" t="s">
        <v>551</v>
      </c>
      <c r="K29" s="14" t="s">
        <v>559</v>
      </c>
      <c r="L29" s="15"/>
      <c r="M29" s="15"/>
      <c r="N29" s="6" t="s">
        <v>560</v>
      </c>
      <c r="O29" s="6" t="s">
        <v>554</v>
      </c>
      <c r="P29" s="6">
        <f>COUNTIFS('05_상품별배치367'!$B$7:$B$373,A29,'05_상품별배치367'!$K$7:$K$373,"&gt;0")</f>
        <v>2</v>
      </c>
      <c r="Q29" s="6">
        <f>SUMIFS('05_상품별배치367'!$K$7:$K$373,'05_상품별배치367'!$B$7:$B$373,A29)</f>
        <v>2</v>
      </c>
      <c r="R29" s="6">
        <f>IF(Z29="",'06_집기치수20'!N9,Z29)</f>
        <v>865</v>
      </c>
      <c r="S29" s="6">
        <f>IF(AA29="",'06_집기치수20'!O9,AA29)</f>
        <v>330</v>
      </c>
      <c r="T29" s="6">
        <v>290</v>
      </c>
      <c r="U29" s="6">
        <f>IF(AB29="",'06_집기치수20'!P9,AB29-'06_집기치수20'!I9)</f>
        <v>270</v>
      </c>
      <c r="V29" s="6" t="str">
        <f>IF(Q29=0,"",IF(COUNTIFS('05_상품별배치367'!$B$7:$B$373,A29,'05_상품별배치367'!$T$7:$T$373,"입력 대기")&gt;0,"",SUMIFS('05_상품별배치367'!$S$7:$S$373,'05_상품별배치367'!$B$7:$B$373,A29)))</f>
        <v/>
      </c>
      <c r="W29" s="6" t="str">
        <f>IF(Q29=0,"미진열",IF(COUNTIFS('05_상품별배치367'!$B$7:$B$373,A29,'05_상품별배치367'!$T$7:$T$373,"치수 초과")&gt;0,"치수 초과",IF(COUNTIFS('05_상품별배치367'!$B$7:$B$373,A29,'05_상품별배치367'!$T$7:$T$373,"입력 대기")&gt;0,"치수 입력 대기",IF(V29&gt;R29,"폭 합계 초과","도면/실측 범위 내·현장확인"))))</f>
        <v>치수 입력 대기</v>
      </c>
      <c r="X29" s="6" t="s">
        <v>633</v>
      </c>
      <c r="Y29" s="6" t="s">
        <v>555</v>
      </c>
      <c r="Z29" s="15"/>
      <c r="AA29" s="15"/>
      <c r="AB29" s="15"/>
    </row>
    <row r="30" spans="1:28" ht="33" customHeight="1">
      <c r="A30" s="8" t="s">
        <v>634</v>
      </c>
      <c r="B30" s="8" t="s">
        <v>69</v>
      </c>
      <c r="C30" s="8" t="s">
        <v>26</v>
      </c>
      <c r="D30" s="9">
        <v>4</v>
      </c>
      <c r="E30" s="8" t="s">
        <v>60</v>
      </c>
      <c r="F30" s="8" t="s">
        <v>76</v>
      </c>
      <c r="G30" s="8" t="s">
        <v>635</v>
      </c>
      <c r="H30" s="8" t="s">
        <v>636</v>
      </c>
      <c r="I30" s="8" t="s">
        <v>637</v>
      </c>
      <c r="J30" s="8" t="s">
        <v>551</v>
      </c>
      <c r="K30" s="14" t="s">
        <v>559</v>
      </c>
      <c r="L30" s="15"/>
      <c r="M30" s="15"/>
      <c r="N30" s="8" t="s">
        <v>560</v>
      </c>
      <c r="O30" s="8" t="s">
        <v>554</v>
      </c>
      <c r="P30" s="6">
        <f>COUNTIFS('05_상품별배치367'!$B$7:$B$373,A30,'05_상품별배치367'!$K$7:$K$373,"&gt;0")</f>
        <v>2</v>
      </c>
      <c r="Q30" s="6">
        <f>SUMIFS('05_상품별배치367'!$K$7:$K$373,'05_상품별배치367'!$B$7:$B$373,A30)</f>
        <v>2</v>
      </c>
      <c r="R30" s="6">
        <f>IF(Z30="",'06_집기치수20'!N10,Z30)</f>
        <v>865</v>
      </c>
      <c r="S30" s="6">
        <f>IF(AA30="",'06_집기치수20'!O10,AA30)</f>
        <v>330</v>
      </c>
      <c r="T30" s="6">
        <v>290</v>
      </c>
      <c r="U30" s="6">
        <f>IF(AB30="",'06_집기치수20'!P10,AB30-'06_집기치수20'!I10)</f>
        <v>270</v>
      </c>
      <c r="V30" s="6" t="str">
        <f>IF(Q30=0,"",IF(COUNTIFS('05_상품별배치367'!$B$7:$B$373,A30,'05_상품별배치367'!$T$7:$T$373,"입력 대기")&gt;0,"",SUMIFS('05_상품별배치367'!$S$7:$S$373,'05_상품별배치367'!$B$7:$B$373,A30)))</f>
        <v/>
      </c>
      <c r="W30" s="6" t="str">
        <f>IF(Q30=0,"미진열",IF(COUNTIFS('05_상품별배치367'!$B$7:$B$373,A30,'05_상품별배치367'!$T$7:$T$373,"치수 초과")&gt;0,"치수 초과",IF(COUNTIFS('05_상품별배치367'!$B$7:$B$373,A30,'05_상품별배치367'!$T$7:$T$373,"입력 대기")&gt;0,"치수 입력 대기",IF(V30&gt;R30,"폭 합계 초과","도면/실측 범위 내·현장확인"))))</f>
        <v>치수 입력 대기</v>
      </c>
      <c r="X30" s="6" t="s">
        <v>638</v>
      </c>
      <c r="Y30" s="6" t="s">
        <v>555</v>
      </c>
      <c r="Z30" s="15"/>
      <c r="AA30" s="15"/>
      <c r="AB30" s="15"/>
    </row>
    <row r="31" spans="1:28" ht="33" customHeight="1">
      <c r="A31" s="6" t="s">
        <v>639</v>
      </c>
      <c r="B31" s="6" t="s">
        <v>69</v>
      </c>
      <c r="C31" s="6" t="s">
        <v>26</v>
      </c>
      <c r="D31" s="7">
        <v>5</v>
      </c>
      <c r="E31" s="6" t="s">
        <v>60</v>
      </c>
      <c r="F31" s="6" t="s">
        <v>77</v>
      </c>
      <c r="G31" s="6" t="s">
        <v>152</v>
      </c>
      <c r="H31" s="6" t="s">
        <v>640</v>
      </c>
      <c r="I31" s="6" t="s">
        <v>641</v>
      </c>
      <c r="J31" s="6" t="s">
        <v>551</v>
      </c>
      <c r="K31" s="14" t="s">
        <v>559</v>
      </c>
      <c r="L31" s="15"/>
      <c r="M31" s="15"/>
      <c r="N31" s="6" t="s">
        <v>560</v>
      </c>
      <c r="O31" s="6" t="s">
        <v>554</v>
      </c>
      <c r="P31" s="6">
        <f>COUNTIFS('05_상품별배치367'!$B$7:$B$373,A31,'05_상품별배치367'!$K$7:$K$373,"&gt;0")</f>
        <v>2</v>
      </c>
      <c r="Q31" s="6">
        <f>SUMIFS('05_상품별배치367'!$K$7:$K$373,'05_상품별배치367'!$B$7:$B$373,A31)</f>
        <v>2</v>
      </c>
      <c r="R31" s="6">
        <f>IF(Z31="",'06_집기치수20'!N11,Z31)</f>
        <v>865</v>
      </c>
      <c r="S31" s="6">
        <f>IF(AA31="",'06_집기치수20'!O11,AA31)</f>
        <v>330</v>
      </c>
      <c r="T31" s="6">
        <v>330</v>
      </c>
      <c r="U31" s="6">
        <f>IF(AB31="",'06_집기치수20'!P11,AB31-'06_집기치수20'!I11)</f>
        <v>310</v>
      </c>
      <c r="V31" s="6" t="str">
        <f>IF(Q31=0,"",IF(COUNTIFS('05_상품별배치367'!$B$7:$B$373,A31,'05_상품별배치367'!$T$7:$T$373,"입력 대기")&gt;0,"",SUMIFS('05_상품별배치367'!$S$7:$S$373,'05_상품별배치367'!$B$7:$B$373,A31)))</f>
        <v/>
      </c>
      <c r="W31" s="6" t="str">
        <f>IF(Q31=0,"미진열",IF(COUNTIFS('05_상품별배치367'!$B$7:$B$373,A31,'05_상품별배치367'!$T$7:$T$373,"치수 초과")&gt;0,"치수 초과",IF(COUNTIFS('05_상품별배치367'!$B$7:$B$373,A31,'05_상품별배치367'!$T$7:$T$373,"입력 대기")&gt;0,"치수 입력 대기",IF(V31&gt;R31,"폭 합계 초과","도면/실측 범위 내·현장확인"))))</f>
        <v>치수 입력 대기</v>
      </c>
      <c r="X31" s="6" t="s">
        <v>642</v>
      </c>
      <c r="Y31" s="6" t="s">
        <v>555</v>
      </c>
      <c r="Z31" s="15"/>
      <c r="AA31" s="15"/>
      <c r="AB31" s="15"/>
    </row>
    <row r="32" spans="1:28" ht="33" customHeight="1">
      <c r="A32" s="8" t="s">
        <v>643</v>
      </c>
      <c r="B32" s="8" t="s">
        <v>79</v>
      </c>
      <c r="C32" s="8" t="s">
        <v>80</v>
      </c>
      <c r="D32" s="9">
        <v>1</v>
      </c>
      <c r="E32" s="8" t="s">
        <v>81</v>
      </c>
      <c r="F32" s="8" t="s">
        <v>84</v>
      </c>
      <c r="G32" s="8" t="s">
        <v>644</v>
      </c>
      <c r="H32" s="8" t="s">
        <v>645</v>
      </c>
      <c r="I32" s="8" t="s">
        <v>646</v>
      </c>
      <c r="J32" s="8" t="s">
        <v>551</v>
      </c>
      <c r="K32" s="14" t="s">
        <v>559</v>
      </c>
      <c r="L32" s="15"/>
      <c r="M32" s="15"/>
      <c r="N32" s="8" t="s">
        <v>647</v>
      </c>
      <c r="O32" s="8" t="s">
        <v>648</v>
      </c>
      <c r="P32" s="6">
        <f>COUNTIFS('05_상품별배치367'!$B$7:$B$373,A32,'05_상품별배치367'!$K$7:$K$373,"&gt;0")</f>
        <v>2</v>
      </c>
      <c r="Q32" s="6">
        <f>SUMIFS('05_상품별배치367'!$K$7:$K$373,'05_상품별배치367'!$B$7:$B$373,A32)</f>
        <v>2</v>
      </c>
      <c r="R32" s="6">
        <f>IF(Z32="",'06_집기치수20'!N12,Z32)</f>
        <v>865</v>
      </c>
      <c r="S32" s="6">
        <f>IF(AA32="",'06_집기치수20'!O12,AA32)</f>
        <v>270</v>
      </c>
      <c r="T32" s="6">
        <v>100</v>
      </c>
      <c r="U32" s="6">
        <f>IF(AB32="",'06_집기치수20'!P12,AB32-'06_집기치수20'!I12)</f>
        <v>80</v>
      </c>
      <c r="V32" s="6" t="str">
        <f>IF(Q32=0,"",IF(COUNTIFS('05_상품별배치367'!$B$7:$B$373,A32,'05_상품별배치367'!$T$7:$T$373,"입력 대기")&gt;0,"",SUMIFS('05_상품별배치367'!$S$7:$S$373,'05_상품별배치367'!$B$7:$B$373,A32)))</f>
        <v/>
      </c>
      <c r="W32" s="6" t="str">
        <f>IF(Q32=0,"미진열",IF(COUNTIFS('05_상품별배치367'!$B$7:$B$373,A32,'05_상품별배치367'!$T$7:$T$373,"치수 초과")&gt;0,"치수 초과",IF(COUNTIFS('05_상품별배치367'!$B$7:$B$373,A32,'05_상품별배치367'!$T$7:$T$373,"입력 대기")&gt;0,"치수 입력 대기",IF(V32&gt;R32,"폭 합계 초과","도면/실측 범위 내·현장확인"))))</f>
        <v>치수 입력 대기</v>
      </c>
      <c r="X32" s="6" t="s">
        <v>649</v>
      </c>
      <c r="Y32" s="6" t="s">
        <v>555</v>
      </c>
      <c r="Z32" s="15"/>
      <c r="AA32" s="15"/>
      <c r="AB32" s="15"/>
    </row>
    <row r="33" spans="1:28" ht="59" customHeight="1">
      <c r="A33" s="6" t="s">
        <v>650</v>
      </c>
      <c r="B33" s="6" t="s">
        <v>79</v>
      </c>
      <c r="C33" s="6" t="s">
        <v>80</v>
      </c>
      <c r="D33" s="7">
        <v>2</v>
      </c>
      <c r="E33" s="6" t="s">
        <v>81</v>
      </c>
      <c r="F33" s="6" t="s">
        <v>85</v>
      </c>
      <c r="G33" s="6" t="s">
        <v>651</v>
      </c>
      <c r="H33" s="6" t="s">
        <v>652</v>
      </c>
      <c r="I33" s="6" t="s">
        <v>653</v>
      </c>
      <c r="J33" s="6" t="s">
        <v>551</v>
      </c>
      <c r="K33" s="14" t="s">
        <v>559</v>
      </c>
      <c r="L33" s="15"/>
      <c r="M33" s="15"/>
      <c r="N33" s="6" t="s">
        <v>560</v>
      </c>
      <c r="O33" s="6" t="s">
        <v>648</v>
      </c>
      <c r="P33" s="6">
        <f>COUNTIFS('05_상품별배치367'!$B$7:$B$373,A33,'05_상품별배치367'!$K$7:$K$373,"&gt;0")</f>
        <v>4</v>
      </c>
      <c r="Q33" s="6">
        <f>SUMIFS('05_상품별배치367'!$K$7:$K$373,'05_상품별배치367'!$B$7:$B$373,A33)</f>
        <v>4</v>
      </c>
      <c r="R33" s="6">
        <f>IF(Z33="",'06_집기치수20'!N13,Z33)</f>
        <v>865</v>
      </c>
      <c r="S33" s="6">
        <f>IF(AA33="",'06_집기치수20'!O13,AA33)</f>
        <v>270</v>
      </c>
      <c r="T33" s="6">
        <v>220</v>
      </c>
      <c r="U33" s="6">
        <f>IF(AB33="",'06_집기치수20'!P13,AB33-'06_집기치수20'!I13)</f>
        <v>200</v>
      </c>
      <c r="V33" s="6" t="str">
        <f>IF(Q33=0,"",IF(COUNTIFS('05_상품별배치367'!$B$7:$B$373,A33,'05_상품별배치367'!$T$7:$T$373,"입력 대기")&gt;0,"",SUMIFS('05_상품별배치367'!$S$7:$S$373,'05_상품별배치367'!$B$7:$B$373,A33)))</f>
        <v/>
      </c>
      <c r="W33" s="6" t="str">
        <f>IF(Q33=0,"미진열",IF(COUNTIFS('05_상품별배치367'!$B$7:$B$373,A33,'05_상품별배치367'!$T$7:$T$373,"치수 초과")&gt;0,"치수 초과",IF(COUNTIFS('05_상품별배치367'!$B$7:$B$373,A33,'05_상품별배치367'!$T$7:$T$373,"입력 대기")&gt;0,"치수 입력 대기",IF(V33&gt;R33,"폭 합계 초과","도면/실측 범위 내·현장확인"))))</f>
        <v>치수 입력 대기</v>
      </c>
      <c r="X33" s="6" t="s">
        <v>654</v>
      </c>
      <c r="Y33" s="6" t="s">
        <v>555</v>
      </c>
      <c r="Z33" s="15"/>
      <c r="AA33" s="15"/>
      <c r="AB33" s="15"/>
    </row>
    <row r="34" spans="1:28" ht="46" customHeight="1">
      <c r="A34" s="8" t="s">
        <v>655</v>
      </c>
      <c r="B34" s="8" t="s">
        <v>79</v>
      </c>
      <c r="C34" s="8" t="s">
        <v>80</v>
      </c>
      <c r="D34" s="9">
        <v>3</v>
      </c>
      <c r="E34" s="8" t="s">
        <v>81</v>
      </c>
      <c r="F34" s="8" t="s">
        <v>86</v>
      </c>
      <c r="G34" s="8" t="s">
        <v>656</v>
      </c>
      <c r="H34" s="8" t="s">
        <v>657</v>
      </c>
      <c r="I34" s="8" t="s">
        <v>658</v>
      </c>
      <c r="J34" s="8" t="s">
        <v>551</v>
      </c>
      <c r="K34" s="14" t="s">
        <v>559</v>
      </c>
      <c r="L34" s="15"/>
      <c r="M34" s="15"/>
      <c r="N34" s="8" t="s">
        <v>560</v>
      </c>
      <c r="O34" s="8" t="s">
        <v>648</v>
      </c>
      <c r="P34" s="6">
        <f>COUNTIFS('05_상품별배치367'!$B$7:$B$373,A34,'05_상품별배치367'!$K$7:$K$373,"&gt;0")</f>
        <v>3</v>
      </c>
      <c r="Q34" s="6">
        <f>SUMIFS('05_상품별배치367'!$K$7:$K$373,'05_상품별배치367'!$B$7:$B$373,A34)</f>
        <v>3</v>
      </c>
      <c r="R34" s="6">
        <f>IF(Z34="",'06_집기치수20'!N14,Z34)</f>
        <v>865</v>
      </c>
      <c r="S34" s="6">
        <f>IF(AA34="",'06_집기치수20'!O14,AA34)</f>
        <v>270</v>
      </c>
      <c r="T34" s="6">
        <v>220</v>
      </c>
      <c r="U34" s="6">
        <f>IF(AB34="",'06_집기치수20'!P14,AB34-'06_집기치수20'!I14)</f>
        <v>200</v>
      </c>
      <c r="V34" s="6" t="str">
        <f>IF(Q34=0,"",IF(COUNTIFS('05_상품별배치367'!$B$7:$B$373,A34,'05_상품별배치367'!$T$7:$T$373,"입력 대기")&gt;0,"",SUMIFS('05_상품별배치367'!$S$7:$S$373,'05_상품별배치367'!$B$7:$B$373,A34)))</f>
        <v/>
      </c>
      <c r="W34" s="6" t="str">
        <f>IF(Q34=0,"미진열",IF(COUNTIFS('05_상품별배치367'!$B$7:$B$373,A34,'05_상품별배치367'!$T$7:$T$373,"치수 초과")&gt;0,"치수 초과",IF(COUNTIFS('05_상품별배치367'!$B$7:$B$373,A34,'05_상품별배치367'!$T$7:$T$373,"입력 대기")&gt;0,"치수 입력 대기",IF(V34&gt;R34,"폭 합계 초과","도면/실측 범위 내·현장확인"))))</f>
        <v>치수 입력 대기</v>
      </c>
      <c r="X34" s="6" t="s">
        <v>659</v>
      </c>
      <c r="Y34" s="6" t="s">
        <v>555</v>
      </c>
      <c r="Z34" s="15"/>
      <c r="AA34" s="15"/>
      <c r="AB34" s="15"/>
    </row>
    <row r="35" spans="1:28" ht="33" customHeight="1">
      <c r="A35" s="6" t="s">
        <v>660</v>
      </c>
      <c r="B35" s="6" t="s">
        <v>79</v>
      </c>
      <c r="C35" s="6" t="s">
        <v>80</v>
      </c>
      <c r="D35" s="7">
        <v>4</v>
      </c>
      <c r="E35" s="6" t="s">
        <v>81</v>
      </c>
      <c r="F35" s="6" t="s">
        <v>87</v>
      </c>
      <c r="G35" s="6" t="s">
        <v>644</v>
      </c>
      <c r="H35" s="6" t="s">
        <v>661</v>
      </c>
      <c r="I35" s="6" t="s">
        <v>662</v>
      </c>
      <c r="J35" s="6" t="s">
        <v>551</v>
      </c>
      <c r="K35" s="14" t="s">
        <v>559</v>
      </c>
      <c r="L35" s="15"/>
      <c r="M35" s="15"/>
      <c r="N35" s="6" t="s">
        <v>560</v>
      </c>
      <c r="O35" s="6" t="s">
        <v>648</v>
      </c>
      <c r="P35" s="6">
        <f>COUNTIFS('05_상품별배치367'!$B$7:$B$373,A35,'05_상품별배치367'!$K$7:$K$373,"&gt;0")</f>
        <v>2</v>
      </c>
      <c r="Q35" s="6">
        <f>SUMIFS('05_상품별배치367'!$K$7:$K$373,'05_상품별배치367'!$B$7:$B$373,A35)</f>
        <v>2</v>
      </c>
      <c r="R35" s="6">
        <f>IF(Z35="",'06_집기치수20'!N15,Z35)</f>
        <v>865</v>
      </c>
      <c r="S35" s="6">
        <f>IF(AA35="",'06_집기치수20'!O15,AA35)</f>
        <v>270</v>
      </c>
      <c r="T35" s="6">
        <v>220</v>
      </c>
      <c r="U35" s="6">
        <f>IF(AB35="",'06_집기치수20'!P15,AB35-'06_집기치수20'!I15)</f>
        <v>200</v>
      </c>
      <c r="V35" s="6" t="str">
        <f>IF(Q35=0,"",IF(COUNTIFS('05_상품별배치367'!$B$7:$B$373,A35,'05_상품별배치367'!$T$7:$T$373,"입력 대기")&gt;0,"",SUMIFS('05_상품별배치367'!$S$7:$S$373,'05_상품별배치367'!$B$7:$B$373,A35)))</f>
        <v/>
      </c>
      <c r="W35" s="6" t="str">
        <f>IF(Q35=0,"미진열",IF(COUNTIFS('05_상품별배치367'!$B$7:$B$373,A35,'05_상품별배치367'!$T$7:$T$373,"치수 초과")&gt;0,"치수 초과",IF(COUNTIFS('05_상품별배치367'!$B$7:$B$373,A35,'05_상품별배치367'!$T$7:$T$373,"입력 대기")&gt;0,"치수 입력 대기",IF(V35&gt;R35,"폭 합계 초과","도면/실측 범위 내·현장확인"))))</f>
        <v>치수 입력 대기</v>
      </c>
      <c r="X35" s="6" t="s">
        <v>663</v>
      </c>
      <c r="Y35" s="6" t="s">
        <v>555</v>
      </c>
      <c r="Z35" s="15"/>
      <c r="AA35" s="15"/>
      <c r="AB35" s="15"/>
    </row>
    <row r="36" spans="1:28" ht="46" customHeight="1">
      <c r="A36" s="8" t="s">
        <v>664</v>
      </c>
      <c r="B36" s="8" t="s">
        <v>79</v>
      </c>
      <c r="C36" s="8" t="s">
        <v>80</v>
      </c>
      <c r="D36" s="9">
        <v>5</v>
      </c>
      <c r="E36" s="8" t="s">
        <v>81</v>
      </c>
      <c r="F36" s="8" t="s">
        <v>88</v>
      </c>
      <c r="G36" s="8" t="s">
        <v>665</v>
      </c>
      <c r="H36" s="8" t="s">
        <v>666</v>
      </c>
      <c r="I36" s="8" t="s">
        <v>667</v>
      </c>
      <c r="J36" s="8" t="s">
        <v>551</v>
      </c>
      <c r="K36" s="14" t="s">
        <v>559</v>
      </c>
      <c r="L36" s="15"/>
      <c r="M36" s="15"/>
      <c r="N36" s="8" t="s">
        <v>560</v>
      </c>
      <c r="O36" s="8" t="s">
        <v>648</v>
      </c>
      <c r="P36" s="6">
        <f>COUNTIFS('05_상품별배치367'!$B$7:$B$373,A36,'05_상품별배치367'!$K$7:$K$373,"&gt;0")</f>
        <v>3</v>
      </c>
      <c r="Q36" s="6">
        <f>SUMIFS('05_상품별배치367'!$K$7:$K$373,'05_상품별배치367'!$B$7:$B$373,A36)</f>
        <v>3</v>
      </c>
      <c r="R36" s="6">
        <f>IF(Z36="",'06_집기치수20'!N16,Z36)</f>
        <v>865</v>
      </c>
      <c r="S36" s="6">
        <f>IF(AA36="",'06_집기치수20'!O16,AA36)</f>
        <v>270</v>
      </c>
      <c r="T36" s="6">
        <v>220</v>
      </c>
      <c r="U36" s="6">
        <f>IF(AB36="",'06_집기치수20'!P16,AB36-'06_집기치수20'!I16)</f>
        <v>200</v>
      </c>
      <c r="V36" s="6" t="str">
        <f>IF(Q36=0,"",IF(COUNTIFS('05_상품별배치367'!$B$7:$B$373,A36,'05_상품별배치367'!$T$7:$T$373,"입력 대기")&gt;0,"",SUMIFS('05_상품별배치367'!$S$7:$S$373,'05_상품별배치367'!$B$7:$B$373,A36)))</f>
        <v/>
      </c>
      <c r="W36" s="6" t="str">
        <f>IF(Q36=0,"미진열",IF(COUNTIFS('05_상품별배치367'!$B$7:$B$373,A36,'05_상품별배치367'!$T$7:$T$373,"치수 초과")&gt;0,"치수 초과",IF(COUNTIFS('05_상품별배치367'!$B$7:$B$373,A36,'05_상품별배치367'!$T$7:$T$373,"입력 대기")&gt;0,"치수 입력 대기",IF(V36&gt;R36,"폭 합계 초과","도면/실측 범위 내·현장확인"))))</f>
        <v>치수 입력 대기</v>
      </c>
      <c r="X36" s="6" t="s">
        <v>668</v>
      </c>
      <c r="Y36" s="6" t="s">
        <v>555</v>
      </c>
      <c r="Z36" s="15"/>
      <c r="AA36" s="15"/>
      <c r="AB36" s="15"/>
    </row>
    <row r="37" spans="1:28" ht="46" customHeight="1">
      <c r="A37" s="6" t="s">
        <v>669</v>
      </c>
      <c r="B37" s="6" t="s">
        <v>91</v>
      </c>
      <c r="C37" s="6" t="s">
        <v>80</v>
      </c>
      <c r="D37" s="7">
        <v>1</v>
      </c>
      <c r="E37" s="6" t="s">
        <v>81</v>
      </c>
      <c r="F37" s="6" t="s">
        <v>94</v>
      </c>
      <c r="G37" s="6" t="s">
        <v>670</v>
      </c>
      <c r="H37" s="6" t="s">
        <v>671</v>
      </c>
      <c r="I37" s="6" t="s">
        <v>672</v>
      </c>
      <c r="J37" s="6" t="s">
        <v>551</v>
      </c>
      <c r="K37" s="14" t="s">
        <v>559</v>
      </c>
      <c r="L37" s="15"/>
      <c r="M37" s="15"/>
      <c r="N37" s="6" t="s">
        <v>647</v>
      </c>
      <c r="O37" s="6" t="s">
        <v>648</v>
      </c>
      <c r="P37" s="6">
        <f>COUNTIFS('05_상품별배치367'!$B$7:$B$373,A37,'05_상품별배치367'!$K$7:$K$373,"&gt;0")</f>
        <v>3</v>
      </c>
      <c r="Q37" s="6">
        <f>SUMIFS('05_상품별배치367'!$K$7:$K$373,'05_상품별배치367'!$B$7:$B$373,A37)</f>
        <v>3</v>
      </c>
      <c r="R37" s="6">
        <f>IF(Z37="",'06_집기치수20'!N12,Z37)</f>
        <v>865</v>
      </c>
      <c r="S37" s="6">
        <f>IF(AA37="",'06_집기치수20'!O12,AA37)</f>
        <v>270</v>
      </c>
      <c r="T37" s="6">
        <v>100</v>
      </c>
      <c r="U37" s="6">
        <f>IF(AB37="",'06_집기치수20'!P12,AB37-'06_집기치수20'!I12)</f>
        <v>80</v>
      </c>
      <c r="V37" s="6" t="str">
        <f>IF(Q37=0,"",IF(COUNTIFS('05_상품별배치367'!$B$7:$B$373,A37,'05_상품별배치367'!$T$7:$T$373,"입력 대기")&gt;0,"",SUMIFS('05_상품별배치367'!$S$7:$S$373,'05_상품별배치367'!$B$7:$B$373,A37)))</f>
        <v/>
      </c>
      <c r="W37" s="6" t="str">
        <f>IF(Q37=0,"미진열",IF(COUNTIFS('05_상품별배치367'!$B$7:$B$373,A37,'05_상품별배치367'!$T$7:$T$373,"치수 초과")&gt;0,"치수 초과",IF(COUNTIFS('05_상품별배치367'!$B$7:$B$373,A37,'05_상품별배치367'!$T$7:$T$373,"입력 대기")&gt;0,"치수 입력 대기",IF(V37&gt;R37,"폭 합계 초과","도면/실측 범위 내·현장확인"))))</f>
        <v>치수 입력 대기</v>
      </c>
      <c r="X37" s="6" t="s">
        <v>673</v>
      </c>
      <c r="Y37" s="6" t="s">
        <v>555</v>
      </c>
      <c r="Z37" s="15"/>
      <c r="AA37" s="15"/>
      <c r="AB37" s="15"/>
    </row>
    <row r="38" spans="1:28" ht="46" customHeight="1">
      <c r="A38" s="8" t="s">
        <v>674</v>
      </c>
      <c r="B38" s="8" t="s">
        <v>91</v>
      </c>
      <c r="C38" s="8" t="s">
        <v>80</v>
      </c>
      <c r="D38" s="9">
        <v>2</v>
      </c>
      <c r="E38" s="8" t="s">
        <v>81</v>
      </c>
      <c r="F38" s="8" t="s">
        <v>95</v>
      </c>
      <c r="G38" s="8" t="s">
        <v>670</v>
      </c>
      <c r="H38" s="8" t="s">
        <v>675</v>
      </c>
      <c r="I38" s="8" t="s">
        <v>676</v>
      </c>
      <c r="J38" s="8" t="s">
        <v>551</v>
      </c>
      <c r="K38" s="14" t="s">
        <v>559</v>
      </c>
      <c r="L38" s="15"/>
      <c r="M38" s="15"/>
      <c r="N38" s="8" t="s">
        <v>560</v>
      </c>
      <c r="O38" s="8" t="s">
        <v>648</v>
      </c>
      <c r="P38" s="6">
        <f>COUNTIFS('05_상품별배치367'!$B$7:$B$373,A38,'05_상품별배치367'!$K$7:$K$373,"&gt;0")</f>
        <v>3</v>
      </c>
      <c r="Q38" s="6">
        <f>SUMIFS('05_상품별배치367'!$K$7:$K$373,'05_상품별배치367'!$B$7:$B$373,A38)</f>
        <v>3</v>
      </c>
      <c r="R38" s="6">
        <f>IF(Z38="",'06_집기치수20'!N13,Z38)</f>
        <v>865</v>
      </c>
      <c r="S38" s="6">
        <f>IF(AA38="",'06_집기치수20'!O13,AA38)</f>
        <v>270</v>
      </c>
      <c r="T38" s="6">
        <v>220</v>
      </c>
      <c r="U38" s="6">
        <f>IF(AB38="",'06_집기치수20'!P13,AB38-'06_집기치수20'!I13)</f>
        <v>200</v>
      </c>
      <c r="V38" s="6" t="str">
        <f>IF(Q38=0,"",IF(COUNTIFS('05_상품별배치367'!$B$7:$B$373,A38,'05_상품별배치367'!$T$7:$T$373,"입력 대기")&gt;0,"",SUMIFS('05_상품별배치367'!$S$7:$S$373,'05_상품별배치367'!$B$7:$B$373,A38)))</f>
        <v/>
      </c>
      <c r="W38" s="6" t="str">
        <f>IF(Q38=0,"미진열",IF(COUNTIFS('05_상품별배치367'!$B$7:$B$373,A38,'05_상품별배치367'!$T$7:$T$373,"치수 초과")&gt;0,"치수 초과",IF(COUNTIFS('05_상품별배치367'!$B$7:$B$373,A38,'05_상품별배치367'!$T$7:$T$373,"입력 대기")&gt;0,"치수 입력 대기",IF(V38&gt;R38,"폭 합계 초과","도면/실측 범위 내·현장확인"))))</f>
        <v>치수 입력 대기</v>
      </c>
      <c r="X38" s="6" t="s">
        <v>677</v>
      </c>
      <c r="Y38" s="6" t="s">
        <v>555</v>
      </c>
      <c r="Z38" s="15"/>
      <c r="AA38" s="15"/>
      <c r="AB38" s="15"/>
    </row>
    <row r="39" spans="1:28" ht="46" customHeight="1">
      <c r="A39" s="6" t="s">
        <v>678</v>
      </c>
      <c r="B39" s="6" t="s">
        <v>91</v>
      </c>
      <c r="C39" s="6" t="s">
        <v>80</v>
      </c>
      <c r="D39" s="7">
        <v>3</v>
      </c>
      <c r="E39" s="6" t="s">
        <v>81</v>
      </c>
      <c r="F39" s="6" t="s">
        <v>96</v>
      </c>
      <c r="G39" s="6" t="s">
        <v>679</v>
      </c>
      <c r="H39" s="6" t="s">
        <v>680</v>
      </c>
      <c r="I39" s="6" t="s">
        <v>681</v>
      </c>
      <c r="J39" s="6" t="s">
        <v>551</v>
      </c>
      <c r="K39" s="14" t="s">
        <v>559</v>
      </c>
      <c r="L39" s="15"/>
      <c r="M39" s="15"/>
      <c r="N39" s="6" t="s">
        <v>560</v>
      </c>
      <c r="O39" s="6" t="s">
        <v>648</v>
      </c>
      <c r="P39" s="6">
        <f>COUNTIFS('05_상품별배치367'!$B$7:$B$373,A39,'05_상품별배치367'!$K$7:$K$373,"&gt;0")</f>
        <v>3</v>
      </c>
      <c r="Q39" s="6">
        <f>SUMIFS('05_상품별배치367'!$K$7:$K$373,'05_상품별배치367'!$B$7:$B$373,A39)</f>
        <v>3</v>
      </c>
      <c r="R39" s="6">
        <f>IF(Z39="",'06_집기치수20'!N14,Z39)</f>
        <v>865</v>
      </c>
      <c r="S39" s="6">
        <f>IF(AA39="",'06_집기치수20'!O14,AA39)</f>
        <v>270</v>
      </c>
      <c r="T39" s="6">
        <v>220</v>
      </c>
      <c r="U39" s="6">
        <f>IF(AB39="",'06_집기치수20'!P14,AB39-'06_집기치수20'!I14)</f>
        <v>200</v>
      </c>
      <c r="V39" s="6" t="str">
        <f>IF(Q39=0,"",IF(COUNTIFS('05_상품별배치367'!$B$7:$B$373,A39,'05_상품별배치367'!$T$7:$T$373,"입력 대기")&gt;0,"",SUMIFS('05_상품별배치367'!$S$7:$S$373,'05_상품별배치367'!$B$7:$B$373,A39)))</f>
        <v/>
      </c>
      <c r="W39" s="6" t="str">
        <f>IF(Q39=0,"미진열",IF(COUNTIFS('05_상품별배치367'!$B$7:$B$373,A39,'05_상품별배치367'!$T$7:$T$373,"치수 초과")&gt;0,"치수 초과",IF(COUNTIFS('05_상품별배치367'!$B$7:$B$373,A39,'05_상품별배치367'!$T$7:$T$373,"입력 대기")&gt;0,"치수 입력 대기",IF(V39&gt;R39,"폭 합계 초과","도면/실측 범위 내·현장확인"))))</f>
        <v>치수 입력 대기</v>
      </c>
      <c r="X39" s="6" t="s">
        <v>682</v>
      </c>
      <c r="Y39" s="6" t="s">
        <v>555</v>
      </c>
      <c r="Z39" s="15"/>
      <c r="AA39" s="15"/>
      <c r="AB39" s="15"/>
    </row>
    <row r="40" spans="1:28" ht="33" customHeight="1">
      <c r="A40" s="8" t="s">
        <v>683</v>
      </c>
      <c r="B40" s="8" t="s">
        <v>91</v>
      </c>
      <c r="C40" s="8" t="s">
        <v>80</v>
      </c>
      <c r="D40" s="9">
        <v>4</v>
      </c>
      <c r="E40" s="8" t="s">
        <v>81</v>
      </c>
      <c r="F40" s="8" t="s">
        <v>97</v>
      </c>
      <c r="G40" s="8" t="s">
        <v>684</v>
      </c>
      <c r="H40" s="8" t="s">
        <v>685</v>
      </c>
      <c r="I40" s="8" t="s">
        <v>686</v>
      </c>
      <c r="J40" s="8" t="s">
        <v>551</v>
      </c>
      <c r="K40" s="14" t="s">
        <v>559</v>
      </c>
      <c r="L40" s="15"/>
      <c r="M40" s="15"/>
      <c r="N40" s="8" t="s">
        <v>560</v>
      </c>
      <c r="O40" s="8" t="s">
        <v>648</v>
      </c>
      <c r="P40" s="6">
        <f>COUNTIFS('05_상품별배치367'!$B$7:$B$373,A40,'05_상품별배치367'!$K$7:$K$373,"&gt;0")</f>
        <v>2</v>
      </c>
      <c r="Q40" s="6">
        <f>SUMIFS('05_상품별배치367'!$K$7:$K$373,'05_상품별배치367'!$B$7:$B$373,A40)</f>
        <v>2</v>
      </c>
      <c r="R40" s="6">
        <f>IF(Z40="",'06_집기치수20'!N15,Z40)</f>
        <v>865</v>
      </c>
      <c r="S40" s="6">
        <f>IF(AA40="",'06_집기치수20'!O15,AA40)</f>
        <v>270</v>
      </c>
      <c r="T40" s="6">
        <v>220</v>
      </c>
      <c r="U40" s="6">
        <f>IF(AB40="",'06_집기치수20'!P15,AB40-'06_집기치수20'!I15)</f>
        <v>200</v>
      </c>
      <c r="V40" s="6" t="str">
        <f>IF(Q40=0,"",IF(COUNTIFS('05_상품별배치367'!$B$7:$B$373,A40,'05_상품별배치367'!$T$7:$T$373,"입력 대기")&gt;0,"",SUMIFS('05_상품별배치367'!$S$7:$S$373,'05_상품별배치367'!$B$7:$B$373,A40)))</f>
        <v/>
      </c>
      <c r="W40" s="6" t="str">
        <f>IF(Q40=0,"미진열",IF(COUNTIFS('05_상품별배치367'!$B$7:$B$373,A40,'05_상품별배치367'!$T$7:$T$373,"치수 초과")&gt;0,"치수 초과",IF(COUNTIFS('05_상품별배치367'!$B$7:$B$373,A40,'05_상품별배치367'!$T$7:$T$373,"입력 대기")&gt;0,"치수 입력 대기",IF(V40&gt;R40,"폭 합계 초과","도면/실측 범위 내·현장확인"))))</f>
        <v>치수 입력 대기</v>
      </c>
      <c r="X40" s="6" t="s">
        <v>687</v>
      </c>
      <c r="Y40" s="6" t="s">
        <v>555</v>
      </c>
      <c r="Z40" s="15"/>
      <c r="AA40" s="15"/>
      <c r="AB40" s="15"/>
    </row>
    <row r="41" spans="1:28" ht="46" customHeight="1">
      <c r="A41" s="6" t="s">
        <v>688</v>
      </c>
      <c r="B41" s="6" t="s">
        <v>91</v>
      </c>
      <c r="C41" s="6" t="s">
        <v>80</v>
      </c>
      <c r="D41" s="7">
        <v>5</v>
      </c>
      <c r="E41" s="6" t="s">
        <v>81</v>
      </c>
      <c r="F41" s="6" t="s">
        <v>98</v>
      </c>
      <c r="G41" s="6" t="s">
        <v>689</v>
      </c>
      <c r="H41" s="6" t="s">
        <v>690</v>
      </c>
      <c r="I41" s="6" t="s">
        <v>691</v>
      </c>
      <c r="J41" s="6" t="s">
        <v>551</v>
      </c>
      <c r="K41" s="14" t="s">
        <v>559</v>
      </c>
      <c r="L41" s="15"/>
      <c r="M41" s="15"/>
      <c r="N41" s="6" t="s">
        <v>560</v>
      </c>
      <c r="O41" s="6" t="s">
        <v>648</v>
      </c>
      <c r="P41" s="6">
        <f>COUNTIFS('05_상품별배치367'!$B$7:$B$373,A41,'05_상품별배치367'!$K$7:$K$373,"&gt;0")</f>
        <v>3</v>
      </c>
      <c r="Q41" s="6">
        <f>SUMIFS('05_상품별배치367'!$K$7:$K$373,'05_상품별배치367'!$B$7:$B$373,A41)</f>
        <v>3</v>
      </c>
      <c r="R41" s="6">
        <f>IF(Z41="",'06_집기치수20'!N16,Z41)</f>
        <v>865</v>
      </c>
      <c r="S41" s="6">
        <f>IF(AA41="",'06_집기치수20'!O16,AA41)</f>
        <v>270</v>
      </c>
      <c r="T41" s="6">
        <v>220</v>
      </c>
      <c r="U41" s="6">
        <f>IF(AB41="",'06_집기치수20'!P16,AB41-'06_집기치수20'!I16)</f>
        <v>200</v>
      </c>
      <c r="V41" s="6" t="str">
        <f>IF(Q41=0,"",IF(COUNTIFS('05_상품별배치367'!$B$7:$B$373,A41,'05_상품별배치367'!$T$7:$T$373,"입력 대기")&gt;0,"",SUMIFS('05_상품별배치367'!$S$7:$S$373,'05_상품별배치367'!$B$7:$B$373,A41)))</f>
        <v/>
      </c>
      <c r="W41" s="6" t="str">
        <f>IF(Q41=0,"미진열",IF(COUNTIFS('05_상품별배치367'!$B$7:$B$373,A41,'05_상품별배치367'!$T$7:$T$373,"치수 초과")&gt;0,"치수 초과",IF(COUNTIFS('05_상품별배치367'!$B$7:$B$373,A41,'05_상품별배치367'!$T$7:$T$373,"입력 대기")&gt;0,"치수 입력 대기",IF(V41&gt;R41,"폭 합계 초과","도면/실측 범위 내·현장확인"))))</f>
        <v>치수 입력 대기</v>
      </c>
      <c r="X41" s="6" t="s">
        <v>692</v>
      </c>
      <c r="Y41" s="6" t="s">
        <v>555</v>
      </c>
      <c r="Z41" s="15"/>
      <c r="AA41" s="15"/>
      <c r="AB41" s="15"/>
    </row>
    <row r="42" spans="1:28" ht="59" customHeight="1">
      <c r="A42" s="8" t="s">
        <v>693</v>
      </c>
      <c r="B42" s="8" t="s">
        <v>99</v>
      </c>
      <c r="C42" s="8" t="s">
        <v>80</v>
      </c>
      <c r="D42" s="9">
        <v>1</v>
      </c>
      <c r="E42" s="8" t="s">
        <v>81</v>
      </c>
      <c r="F42" s="8" t="s">
        <v>102</v>
      </c>
      <c r="G42" s="8" t="s">
        <v>694</v>
      </c>
      <c r="H42" s="8" t="s">
        <v>695</v>
      </c>
      <c r="I42" s="8" t="s">
        <v>696</v>
      </c>
      <c r="J42" s="8" t="s">
        <v>551</v>
      </c>
      <c r="K42" s="14" t="s">
        <v>559</v>
      </c>
      <c r="L42" s="15"/>
      <c r="M42" s="15"/>
      <c r="N42" s="8" t="s">
        <v>647</v>
      </c>
      <c r="O42" s="8" t="s">
        <v>648</v>
      </c>
      <c r="P42" s="6">
        <f>COUNTIFS('05_상품별배치367'!$B$7:$B$373,A42,'05_상품별배치367'!$K$7:$K$373,"&gt;0")</f>
        <v>4</v>
      </c>
      <c r="Q42" s="6">
        <f>SUMIFS('05_상품별배치367'!$K$7:$K$373,'05_상품별배치367'!$B$7:$B$373,A42)</f>
        <v>5</v>
      </c>
      <c r="R42" s="6">
        <f>IF(Z42="",'06_집기치수20'!N12,Z42)</f>
        <v>865</v>
      </c>
      <c r="S42" s="6">
        <f>IF(AA42="",'06_집기치수20'!O12,AA42)</f>
        <v>270</v>
      </c>
      <c r="T42" s="6">
        <v>100</v>
      </c>
      <c r="U42" s="6">
        <f>IF(AB42="",'06_집기치수20'!P12,AB42-'06_집기치수20'!I12)</f>
        <v>80</v>
      </c>
      <c r="V42" s="6" t="str">
        <f>IF(Q42=0,"",IF(COUNTIFS('05_상품별배치367'!$B$7:$B$373,A42,'05_상품별배치367'!$T$7:$T$373,"입력 대기")&gt;0,"",SUMIFS('05_상품별배치367'!$S$7:$S$373,'05_상품별배치367'!$B$7:$B$373,A42)))</f>
        <v/>
      </c>
      <c r="W42" s="6" t="str">
        <f>IF(Q42=0,"미진열",IF(COUNTIFS('05_상품별배치367'!$B$7:$B$373,A42,'05_상품별배치367'!$T$7:$T$373,"치수 초과")&gt;0,"치수 초과",IF(COUNTIFS('05_상품별배치367'!$B$7:$B$373,A42,'05_상품별배치367'!$T$7:$T$373,"입력 대기")&gt;0,"치수 입력 대기",IF(V42&gt;R42,"폭 합계 초과","도면/실측 범위 내·현장확인"))))</f>
        <v>치수 입력 대기</v>
      </c>
      <c r="X42" s="6" t="s">
        <v>697</v>
      </c>
      <c r="Y42" s="6" t="s">
        <v>555</v>
      </c>
      <c r="Z42" s="15"/>
      <c r="AA42" s="15"/>
      <c r="AB42" s="15"/>
    </row>
    <row r="43" spans="1:28" ht="46" customHeight="1">
      <c r="A43" s="6" t="s">
        <v>698</v>
      </c>
      <c r="B43" s="6" t="s">
        <v>99</v>
      </c>
      <c r="C43" s="6" t="s">
        <v>80</v>
      </c>
      <c r="D43" s="7">
        <v>2</v>
      </c>
      <c r="E43" s="6" t="s">
        <v>81</v>
      </c>
      <c r="F43" s="6" t="s">
        <v>103</v>
      </c>
      <c r="G43" s="6" t="s">
        <v>699</v>
      </c>
      <c r="H43" s="6" t="s">
        <v>700</v>
      </c>
      <c r="I43" s="6" t="s">
        <v>701</v>
      </c>
      <c r="J43" s="6" t="s">
        <v>551</v>
      </c>
      <c r="K43" s="14" t="s">
        <v>559</v>
      </c>
      <c r="L43" s="15"/>
      <c r="M43" s="15"/>
      <c r="N43" s="6" t="s">
        <v>560</v>
      </c>
      <c r="O43" s="6" t="s">
        <v>648</v>
      </c>
      <c r="P43" s="6">
        <f>COUNTIFS('05_상품별배치367'!$B$7:$B$373,A43,'05_상품별배치367'!$K$7:$K$373,"&gt;0")</f>
        <v>3</v>
      </c>
      <c r="Q43" s="6">
        <f>SUMIFS('05_상품별배치367'!$K$7:$K$373,'05_상품별배치367'!$B$7:$B$373,A43)</f>
        <v>4</v>
      </c>
      <c r="R43" s="6">
        <f>IF(Z43="",'06_집기치수20'!N13,Z43)</f>
        <v>865</v>
      </c>
      <c r="S43" s="6">
        <f>IF(AA43="",'06_집기치수20'!O13,AA43)</f>
        <v>270</v>
      </c>
      <c r="T43" s="6">
        <v>220</v>
      </c>
      <c r="U43" s="6">
        <f>IF(AB43="",'06_집기치수20'!P13,AB43-'06_집기치수20'!I13)</f>
        <v>200</v>
      </c>
      <c r="V43" s="6" t="str">
        <f>IF(Q43=0,"",IF(COUNTIFS('05_상품별배치367'!$B$7:$B$373,A43,'05_상품별배치367'!$T$7:$T$373,"입력 대기")&gt;0,"",SUMIFS('05_상품별배치367'!$S$7:$S$373,'05_상품별배치367'!$B$7:$B$373,A43)))</f>
        <v/>
      </c>
      <c r="W43" s="6" t="str">
        <f>IF(Q43=0,"미진열",IF(COUNTIFS('05_상품별배치367'!$B$7:$B$373,A43,'05_상품별배치367'!$T$7:$T$373,"치수 초과")&gt;0,"치수 초과",IF(COUNTIFS('05_상품별배치367'!$B$7:$B$373,A43,'05_상품별배치367'!$T$7:$T$373,"입력 대기")&gt;0,"치수 입력 대기",IF(V43&gt;R43,"폭 합계 초과","도면/실측 범위 내·현장확인"))))</f>
        <v>치수 입력 대기</v>
      </c>
      <c r="X43" s="6" t="s">
        <v>702</v>
      </c>
      <c r="Y43" s="6" t="s">
        <v>555</v>
      </c>
      <c r="Z43" s="15"/>
      <c r="AA43" s="15"/>
      <c r="AB43" s="15"/>
    </row>
    <row r="44" spans="1:28" ht="33" customHeight="1">
      <c r="A44" s="8" t="s">
        <v>703</v>
      </c>
      <c r="B44" s="8" t="s">
        <v>99</v>
      </c>
      <c r="C44" s="8" t="s">
        <v>80</v>
      </c>
      <c r="D44" s="9">
        <v>3</v>
      </c>
      <c r="E44" s="8" t="s">
        <v>81</v>
      </c>
      <c r="F44" s="8" t="s">
        <v>104</v>
      </c>
      <c r="G44" s="8" t="s">
        <v>699</v>
      </c>
      <c r="H44" s="8" t="s">
        <v>704</v>
      </c>
      <c r="I44" s="8" t="s">
        <v>705</v>
      </c>
      <c r="J44" s="8" t="s">
        <v>551</v>
      </c>
      <c r="K44" s="14" t="s">
        <v>559</v>
      </c>
      <c r="L44" s="15"/>
      <c r="M44" s="15"/>
      <c r="N44" s="8" t="s">
        <v>560</v>
      </c>
      <c r="O44" s="8" t="s">
        <v>648</v>
      </c>
      <c r="P44" s="6">
        <f>COUNTIFS('05_상품별배치367'!$B$7:$B$373,A44,'05_상품별배치367'!$K$7:$K$373,"&gt;0")</f>
        <v>2</v>
      </c>
      <c r="Q44" s="6">
        <f>SUMIFS('05_상품별배치367'!$K$7:$K$373,'05_상품별배치367'!$B$7:$B$373,A44)</f>
        <v>2</v>
      </c>
      <c r="R44" s="6">
        <f>IF(Z44="",'06_집기치수20'!N14,Z44)</f>
        <v>865</v>
      </c>
      <c r="S44" s="6">
        <f>IF(AA44="",'06_집기치수20'!O14,AA44)</f>
        <v>270</v>
      </c>
      <c r="T44" s="6">
        <v>220</v>
      </c>
      <c r="U44" s="6">
        <f>IF(AB44="",'06_집기치수20'!P14,AB44-'06_집기치수20'!I14)</f>
        <v>200</v>
      </c>
      <c r="V44" s="6" t="str">
        <f>IF(Q44=0,"",IF(COUNTIFS('05_상품별배치367'!$B$7:$B$373,A44,'05_상품별배치367'!$T$7:$T$373,"입력 대기")&gt;0,"",SUMIFS('05_상품별배치367'!$S$7:$S$373,'05_상품별배치367'!$B$7:$B$373,A44)))</f>
        <v/>
      </c>
      <c r="W44" s="6" t="str">
        <f>IF(Q44=0,"미진열",IF(COUNTIFS('05_상품별배치367'!$B$7:$B$373,A44,'05_상품별배치367'!$T$7:$T$373,"치수 초과")&gt;0,"치수 초과",IF(COUNTIFS('05_상품별배치367'!$B$7:$B$373,A44,'05_상품별배치367'!$T$7:$T$373,"입력 대기")&gt;0,"치수 입력 대기",IF(V44&gt;R44,"폭 합계 초과","도면/실측 범위 내·현장확인"))))</f>
        <v>치수 입력 대기</v>
      </c>
      <c r="X44" s="6" t="s">
        <v>706</v>
      </c>
      <c r="Y44" s="6" t="s">
        <v>555</v>
      </c>
      <c r="Z44" s="15"/>
      <c r="AA44" s="15"/>
      <c r="AB44" s="15"/>
    </row>
    <row r="45" spans="1:28" ht="46" customHeight="1">
      <c r="A45" s="6" t="s">
        <v>707</v>
      </c>
      <c r="B45" s="6" t="s">
        <v>99</v>
      </c>
      <c r="C45" s="6" t="s">
        <v>80</v>
      </c>
      <c r="D45" s="7">
        <v>4</v>
      </c>
      <c r="E45" s="6" t="s">
        <v>81</v>
      </c>
      <c r="F45" s="6" t="s">
        <v>105</v>
      </c>
      <c r="G45" s="6" t="s">
        <v>699</v>
      </c>
      <c r="H45" s="6" t="s">
        <v>708</v>
      </c>
      <c r="I45" s="6" t="s">
        <v>709</v>
      </c>
      <c r="J45" s="6" t="s">
        <v>551</v>
      </c>
      <c r="K45" s="14" t="s">
        <v>559</v>
      </c>
      <c r="L45" s="15"/>
      <c r="M45" s="15"/>
      <c r="N45" s="6" t="s">
        <v>560</v>
      </c>
      <c r="O45" s="6" t="s">
        <v>648</v>
      </c>
      <c r="P45" s="6">
        <f>COUNTIFS('05_상품별배치367'!$B$7:$B$373,A45,'05_상품별배치367'!$K$7:$K$373,"&gt;0")</f>
        <v>3</v>
      </c>
      <c r="Q45" s="6">
        <f>SUMIFS('05_상품별배치367'!$K$7:$K$373,'05_상품별배치367'!$B$7:$B$373,A45)</f>
        <v>3</v>
      </c>
      <c r="R45" s="6">
        <f>IF(Z45="",'06_집기치수20'!N15,Z45)</f>
        <v>865</v>
      </c>
      <c r="S45" s="6">
        <f>IF(AA45="",'06_집기치수20'!O15,AA45)</f>
        <v>270</v>
      </c>
      <c r="T45" s="6">
        <v>220</v>
      </c>
      <c r="U45" s="6">
        <f>IF(AB45="",'06_집기치수20'!P15,AB45-'06_집기치수20'!I15)</f>
        <v>200</v>
      </c>
      <c r="V45" s="6" t="str">
        <f>IF(Q45=0,"",IF(COUNTIFS('05_상품별배치367'!$B$7:$B$373,A45,'05_상품별배치367'!$T$7:$T$373,"입력 대기")&gt;0,"",SUMIFS('05_상품별배치367'!$S$7:$S$373,'05_상품별배치367'!$B$7:$B$373,A45)))</f>
        <v/>
      </c>
      <c r="W45" s="6" t="str">
        <f>IF(Q45=0,"미진열",IF(COUNTIFS('05_상품별배치367'!$B$7:$B$373,A45,'05_상품별배치367'!$T$7:$T$373,"치수 초과")&gt;0,"치수 초과",IF(COUNTIFS('05_상품별배치367'!$B$7:$B$373,A45,'05_상품별배치367'!$T$7:$T$373,"입력 대기")&gt;0,"치수 입력 대기",IF(V45&gt;R45,"폭 합계 초과","도면/실측 범위 내·현장확인"))))</f>
        <v>치수 입력 대기</v>
      </c>
      <c r="X45" s="6" t="s">
        <v>710</v>
      </c>
      <c r="Y45" s="6" t="s">
        <v>555</v>
      </c>
      <c r="Z45" s="15"/>
      <c r="AA45" s="15"/>
      <c r="AB45" s="15"/>
    </row>
    <row r="46" spans="1:28" ht="33" customHeight="1">
      <c r="A46" s="8" t="s">
        <v>711</v>
      </c>
      <c r="B46" s="8" t="s">
        <v>99</v>
      </c>
      <c r="C46" s="8" t="s">
        <v>80</v>
      </c>
      <c r="D46" s="9">
        <v>5</v>
      </c>
      <c r="E46" s="8" t="s">
        <v>81</v>
      </c>
      <c r="F46" s="8" t="s">
        <v>106</v>
      </c>
      <c r="G46" s="8" t="s">
        <v>699</v>
      </c>
      <c r="H46" s="8" t="s">
        <v>712</v>
      </c>
      <c r="I46" s="8" t="s">
        <v>713</v>
      </c>
      <c r="J46" s="8" t="s">
        <v>551</v>
      </c>
      <c r="K46" s="14" t="s">
        <v>559</v>
      </c>
      <c r="L46" s="15"/>
      <c r="M46" s="15"/>
      <c r="N46" s="8" t="s">
        <v>560</v>
      </c>
      <c r="O46" s="8" t="s">
        <v>648</v>
      </c>
      <c r="P46" s="6">
        <f>COUNTIFS('05_상품별배치367'!$B$7:$B$373,A46,'05_상품별배치367'!$K$7:$K$373,"&gt;0")</f>
        <v>2</v>
      </c>
      <c r="Q46" s="6">
        <f>SUMIFS('05_상품별배치367'!$K$7:$K$373,'05_상품별배치367'!$B$7:$B$373,A46)</f>
        <v>2</v>
      </c>
      <c r="R46" s="6">
        <f>IF(Z46="",'06_집기치수20'!N16,Z46)</f>
        <v>865</v>
      </c>
      <c r="S46" s="6">
        <f>IF(AA46="",'06_집기치수20'!O16,AA46)</f>
        <v>270</v>
      </c>
      <c r="T46" s="6">
        <v>220</v>
      </c>
      <c r="U46" s="6">
        <f>IF(AB46="",'06_집기치수20'!P16,AB46-'06_집기치수20'!I16)</f>
        <v>200</v>
      </c>
      <c r="V46" s="6" t="str">
        <f>IF(Q46=0,"",IF(COUNTIFS('05_상품별배치367'!$B$7:$B$373,A46,'05_상품별배치367'!$T$7:$T$373,"입력 대기")&gt;0,"",SUMIFS('05_상품별배치367'!$S$7:$S$373,'05_상품별배치367'!$B$7:$B$373,A46)))</f>
        <v/>
      </c>
      <c r="W46" s="6" t="str">
        <f>IF(Q46=0,"미진열",IF(COUNTIFS('05_상품별배치367'!$B$7:$B$373,A46,'05_상품별배치367'!$T$7:$T$373,"치수 초과")&gt;0,"치수 초과",IF(COUNTIFS('05_상품별배치367'!$B$7:$B$373,A46,'05_상품별배치367'!$T$7:$T$373,"입력 대기")&gt;0,"치수 입력 대기",IF(V46&gt;R46,"폭 합계 초과","도면/실측 범위 내·현장확인"))))</f>
        <v>치수 입력 대기</v>
      </c>
      <c r="X46" s="6" t="s">
        <v>714</v>
      </c>
      <c r="Y46" s="6" t="s">
        <v>555</v>
      </c>
      <c r="Z46" s="15"/>
      <c r="AA46" s="15"/>
      <c r="AB46" s="15"/>
    </row>
    <row r="47" spans="1:28" ht="33" customHeight="1">
      <c r="A47" s="6" t="s">
        <v>715</v>
      </c>
      <c r="B47" s="6" t="s">
        <v>107</v>
      </c>
      <c r="C47" s="6" t="s">
        <v>80</v>
      </c>
      <c r="D47" s="7">
        <v>1</v>
      </c>
      <c r="E47" s="6" t="s">
        <v>108</v>
      </c>
      <c r="F47" s="6" t="s">
        <v>111</v>
      </c>
      <c r="G47" s="6" t="s">
        <v>716</v>
      </c>
      <c r="H47" s="6" t="s">
        <v>717</v>
      </c>
      <c r="I47" s="6" t="s">
        <v>718</v>
      </c>
      <c r="J47" s="6" t="s">
        <v>551</v>
      </c>
      <c r="K47" s="14" t="s">
        <v>559</v>
      </c>
      <c r="L47" s="15"/>
      <c r="M47" s="15"/>
      <c r="N47" s="6" t="s">
        <v>647</v>
      </c>
      <c r="O47" s="6" t="s">
        <v>648</v>
      </c>
      <c r="P47" s="6">
        <f>COUNTIFS('05_상품별배치367'!$B$7:$B$373,A47,'05_상품별배치367'!$K$7:$K$373,"&gt;0")</f>
        <v>2</v>
      </c>
      <c r="Q47" s="6">
        <f>SUMIFS('05_상품별배치367'!$K$7:$K$373,'05_상품별배치367'!$B$7:$B$373,A47)</f>
        <v>2</v>
      </c>
      <c r="R47" s="6">
        <f>IF(Z47="",'06_집기치수20'!N12,Z47)</f>
        <v>865</v>
      </c>
      <c r="S47" s="6">
        <f>IF(AA47="",'06_집기치수20'!O12,AA47)</f>
        <v>270</v>
      </c>
      <c r="T47" s="6">
        <v>100</v>
      </c>
      <c r="U47" s="6">
        <f>IF(AB47="",'06_집기치수20'!P12,AB47-'06_집기치수20'!I12)</f>
        <v>80</v>
      </c>
      <c r="V47" s="6" t="str">
        <f>IF(Q47=0,"",IF(COUNTIFS('05_상품별배치367'!$B$7:$B$373,A47,'05_상품별배치367'!$T$7:$T$373,"입력 대기")&gt;0,"",SUMIFS('05_상품별배치367'!$S$7:$S$373,'05_상품별배치367'!$B$7:$B$373,A47)))</f>
        <v/>
      </c>
      <c r="W47" s="6" t="str">
        <f>IF(Q47=0,"미진열",IF(COUNTIFS('05_상품별배치367'!$B$7:$B$373,A47,'05_상품별배치367'!$T$7:$T$373,"치수 초과")&gt;0,"치수 초과",IF(COUNTIFS('05_상품별배치367'!$B$7:$B$373,A47,'05_상품별배치367'!$T$7:$T$373,"입력 대기")&gt;0,"치수 입력 대기",IF(V47&gt;R47,"폭 합계 초과","도면/실측 범위 내·현장확인"))))</f>
        <v>치수 입력 대기</v>
      </c>
      <c r="X47" s="6" t="s">
        <v>719</v>
      </c>
      <c r="Y47" s="6" t="s">
        <v>555</v>
      </c>
      <c r="Z47" s="15"/>
      <c r="AA47" s="15"/>
      <c r="AB47" s="15"/>
    </row>
    <row r="48" spans="1:28" ht="33" customHeight="1">
      <c r="A48" s="8" t="s">
        <v>720</v>
      </c>
      <c r="B48" s="8" t="s">
        <v>107</v>
      </c>
      <c r="C48" s="8" t="s">
        <v>80</v>
      </c>
      <c r="D48" s="9">
        <v>2</v>
      </c>
      <c r="E48" s="8" t="s">
        <v>108</v>
      </c>
      <c r="F48" s="8" t="s">
        <v>112</v>
      </c>
      <c r="G48" s="8" t="s">
        <v>721</v>
      </c>
      <c r="H48" s="8" t="s">
        <v>722</v>
      </c>
      <c r="I48" s="8" t="s">
        <v>723</v>
      </c>
      <c r="J48" s="8" t="s">
        <v>551</v>
      </c>
      <c r="K48" s="14" t="s">
        <v>559</v>
      </c>
      <c r="L48" s="15"/>
      <c r="M48" s="15"/>
      <c r="N48" s="8" t="s">
        <v>560</v>
      </c>
      <c r="O48" s="8" t="s">
        <v>648</v>
      </c>
      <c r="P48" s="6">
        <f>COUNTIFS('05_상품별배치367'!$B$7:$B$373,A48,'05_상품별배치367'!$K$7:$K$373,"&gt;0")</f>
        <v>2</v>
      </c>
      <c r="Q48" s="6">
        <f>SUMIFS('05_상품별배치367'!$K$7:$K$373,'05_상품별배치367'!$B$7:$B$373,A48)</f>
        <v>2</v>
      </c>
      <c r="R48" s="6">
        <f>IF(Z48="",'06_집기치수20'!N13,Z48)</f>
        <v>865</v>
      </c>
      <c r="S48" s="6">
        <f>IF(AA48="",'06_집기치수20'!O13,AA48)</f>
        <v>270</v>
      </c>
      <c r="T48" s="6">
        <v>220</v>
      </c>
      <c r="U48" s="6">
        <f>IF(AB48="",'06_집기치수20'!P13,AB48-'06_집기치수20'!I13)</f>
        <v>200</v>
      </c>
      <c r="V48" s="6" t="str">
        <f>IF(Q48=0,"",IF(COUNTIFS('05_상품별배치367'!$B$7:$B$373,A48,'05_상품별배치367'!$T$7:$T$373,"입력 대기")&gt;0,"",SUMIFS('05_상품별배치367'!$S$7:$S$373,'05_상품별배치367'!$B$7:$B$373,A48)))</f>
        <v/>
      </c>
      <c r="W48" s="6" t="str">
        <f>IF(Q48=0,"미진열",IF(COUNTIFS('05_상품별배치367'!$B$7:$B$373,A48,'05_상품별배치367'!$T$7:$T$373,"치수 초과")&gt;0,"치수 초과",IF(COUNTIFS('05_상품별배치367'!$B$7:$B$373,A48,'05_상품별배치367'!$T$7:$T$373,"입력 대기")&gt;0,"치수 입력 대기",IF(V48&gt;R48,"폭 합계 초과","도면/실측 범위 내·현장확인"))))</f>
        <v>치수 입력 대기</v>
      </c>
      <c r="X48" s="6" t="s">
        <v>724</v>
      </c>
      <c r="Y48" s="6" t="s">
        <v>555</v>
      </c>
      <c r="Z48" s="15"/>
      <c r="AA48" s="15"/>
      <c r="AB48" s="15"/>
    </row>
    <row r="49" spans="1:28" ht="33" customHeight="1">
      <c r="A49" s="6" t="s">
        <v>725</v>
      </c>
      <c r="B49" s="6" t="s">
        <v>107</v>
      </c>
      <c r="C49" s="6" t="s">
        <v>80</v>
      </c>
      <c r="D49" s="7">
        <v>3</v>
      </c>
      <c r="E49" s="6" t="s">
        <v>108</v>
      </c>
      <c r="F49" s="6" t="s">
        <v>113</v>
      </c>
      <c r="G49" s="6" t="s">
        <v>726</v>
      </c>
      <c r="H49" s="6" t="s">
        <v>727</v>
      </c>
      <c r="I49" s="6" t="s">
        <v>728</v>
      </c>
      <c r="J49" s="6" t="s">
        <v>551</v>
      </c>
      <c r="K49" s="14" t="s">
        <v>559</v>
      </c>
      <c r="L49" s="15"/>
      <c r="M49" s="15"/>
      <c r="N49" s="6" t="s">
        <v>560</v>
      </c>
      <c r="O49" s="6" t="s">
        <v>648</v>
      </c>
      <c r="P49" s="6">
        <f>COUNTIFS('05_상품별배치367'!$B$7:$B$373,A49,'05_상품별배치367'!$K$7:$K$373,"&gt;0")</f>
        <v>2</v>
      </c>
      <c r="Q49" s="6">
        <f>SUMIFS('05_상품별배치367'!$K$7:$K$373,'05_상품별배치367'!$B$7:$B$373,A49)</f>
        <v>2</v>
      </c>
      <c r="R49" s="6">
        <f>IF(Z49="",'06_집기치수20'!N14,Z49)</f>
        <v>865</v>
      </c>
      <c r="S49" s="6">
        <f>IF(AA49="",'06_집기치수20'!O14,AA49)</f>
        <v>270</v>
      </c>
      <c r="T49" s="6">
        <v>220</v>
      </c>
      <c r="U49" s="6">
        <f>IF(AB49="",'06_집기치수20'!P14,AB49-'06_집기치수20'!I14)</f>
        <v>200</v>
      </c>
      <c r="V49" s="6" t="str">
        <f>IF(Q49=0,"",IF(COUNTIFS('05_상품별배치367'!$B$7:$B$373,A49,'05_상품별배치367'!$T$7:$T$373,"입력 대기")&gt;0,"",SUMIFS('05_상품별배치367'!$S$7:$S$373,'05_상품별배치367'!$B$7:$B$373,A49)))</f>
        <v/>
      </c>
      <c r="W49" s="6" t="str">
        <f>IF(Q49=0,"미진열",IF(COUNTIFS('05_상품별배치367'!$B$7:$B$373,A49,'05_상품별배치367'!$T$7:$T$373,"치수 초과")&gt;0,"치수 초과",IF(COUNTIFS('05_상품별배치367'!$B$7:$B$373,A49,'05_상품별배치367'!$T$7:$T$373,"입력 대기")&gt;0,"치수 입력 대기",IF(V49&gt;R49,"폭 합계 초과","도면/실측 범위 내·현장확인"))))</f>
        <v>치수 입력 대기</v>
      </c>
      <c r="X49" s="6" t="s">
        <v>729</v>
      </c>
      <c r="Y49" s="6" t="s">
        <v>555</v>
      </c>
      <c r="Z49" s="15"/>
      <c r="AA49" s="15"/>
      <c r="AB49" s="15"/>
    </row>
    <row r="50" spans="1:28" ht="46" customHeight="1">
      <c r="A50" s="8" t="s">
        <v>730</v>
      </c>
      <c r="B50" s="8" t="s">
        <v>107</v>
      </c>
      <c r="C50" s="8" t="s">
        <v>80</v>
      </c>
      <c r="D50" s="9">
        <v>4</v>
      </c>
      <c r="E50" s="8" t="s">
        <v>108</v>
      </c>
      <c r="F50" s="8" t="s">
        <v>114</v>
      </c>
      <c r="G50" s="8" t="s">
        <v>731</v>
      </c>
      <c r="H50" s="8" t="s">
        <v>732</v>
      </c>
      <c r="I50" s="8" t="s">
        <v>733</v>
      </c>
      <c r="J50" s="8" t="s">
        <v>551</v>
      </c>
      <c r="K50" s="14" t="s">
        <v>559</v>
      </c>
      <c r="L50" s="15"/>
      <c r="M50" s="15"/>
      <c r="N50" s="8" t="s">
        <v>560</v>
      </c>
      <c r="O50" s="8" t="s">
        <v>648</v>
      </c>
      <c r="P50" s="6">
        <f>COUNTIFS('05_상품별배치367'!$B$7:$B$373,A50,'05_상품별배치367'!$K$7:$K$373,"&gt;0")</f>
        <v>3</v>
      </c>
      <c r="Q50" s="6">
        <f>SUMIFS('05_상품별배치367'!$K$7:$K$373,'05_상품별배치367'!$B$7:$B$373,A50)</f>
        <v>3</v>
      </c>
      <c r="R50" s="6">
        <f>IF(Z50="",'06_집기치수20'!N15,Z50)</f>
        <v>865</v>
      </c>
      <c r="S50" s="6">
        <f>IF(AA50="",'06_집기치수20'!O15,AA50)</f>
        <v>270</v>
      </c>
      <c r="T50" s="6">
        <v>220</v>
      </c>
      <c r="U50" s="6">
        <f>IF(AB50="",'06_집기치수20'!P15,AB50-'06_집기치수20'!I15)</f>
        <v>200</v>
      </c>
      <c r="V50" s="6" t="str">
        <f>IF(Q50=0,"",IF(COUNTIFS('05_상품별배치367'!$B$7:$B$373,A50,'05_상품별배치367'!$T$7:$T$373,"입력 대기")&gt;0,"",SUMIFS('05_상품별배치367'!$S$7:$S$373,'05_상품별배치367'!$B$7:$B$373,A50)))</f>
        <v/>
      </c>
      <c r="W50" s="6" t="str">
        <f>IF(Q50=0,"미진열",IF(COUNTIFS('05_상품별배치367'!$B$7:$B$373,A50,'05_상품별배치367'!$T$7:$T$373,"치수 초과")&gt;0,"치수 초과",IF(COUNTIFS('05_상품별배치367'!$B$7:$B$373,A50,'05_상품별배치367'!$T$7:$T$373,"입력 대기")&gt;0,"치수 입력 대기",IF(V50&gt;R50,"폭 합계 초과","도면/실측 범위 내·현장확인"))))</f>
        <v>치수 입력 대기</v>
      </c>
      <c r="X50" s="6" t="s">
        <v>734</v>
      </c>
      <c r="Y50" s="6" t="s">
        <v>555</v>
      </c>
      <c r="Z50" s="15"/>
      <c r="AA50" s="15"/>
      <c r="AB50" s="15"/>
    </row>
    <row r="51" spans="1:28" ht="33" customHeight="1">
      <c r="A51" s="6" t="s">
        <v>735</v>
      </c>
      <c r="B51" s="6" t="s">
        <v>107</v>
      </c>
      <c r="C51" s="6" t="s">
        <v>80</v>
      </c>
      <c r="D51" s="7">
        <v>5</v>
      </c>
      <c r="E51" s="6" t="s">
        <v>108</v>
      </c>
      <c r="F51" s="6" t="s">
        <v>115</v>
      </c>
      <c r="G51" s="6" t="s">
        <v>726</v>
      </c>
      <c r="H51" s="6" t="s">
        <v>736</v>
      </c>
      <c r="I51" s="6" t="s">
        <v>737</v>
      </c>
      <c r="J51" s="6" t="s">
        <v>551</v>
      </c>
      <c r="K51" s="14" t="s">
        <v>559</v>
      </c>
      <c r="L51" s="15"/>
      <c r="M51" s="15"/>
      <c r="N51" s="6" t="s">
        <v>560</v>
      </c>
      <c r="O51" s="6" t="s">
        <v>648</v>
      </c>
      <c r="P51" s="6">
        <f>COUNTIFS('05_상품별배치367'!$B$7:$B$373,A51,'05_상품별배치367'!$K$7:$K$373,"&gt;0")</f>
        <v>2</v>
      </c>
      <c r="Q51" s="6">
        <f>SUMIFS('05_상품별배치367'!$K$7:$K$373,'05_상품별배치367'!$B$7:$B$373,A51)</f>
        <v>2</v>
      </c>
      <c r="R51" s="6">
        <f>IF(Z51="",'06_집기치수20'!N16,Z51)</f>
        <v>865</v>
      </c>
      <c r="S51" s="6">
        <f>IF(AA51="",'06_집기치수20'!O16,AA51)</f>
        <v>270</v>
      </c>
      <c r="T51" s="6">
        <v>220</v>
      </c>
      <c r="U51" s="6">
        <f>IF(AB51="",'06_집기치수20'!P16,AB51-'06_집기치수20'!I16)</f>
        <v>200</v>
      </c>
      <c r="V51" s="6" t="str">
        <f>IF(Q51=0,"",IF(COUNTIFS('05_상품별배치367'!$B$7:$B$373,A51,'05_상품별배치367'!$T$7:$T$373,"입력 대기")&gt;0,"",SUMIFS('05_상품별배치367'!$S$7:$S$373,'05_상품별배치367'!$B$7:$B$373,A51)))</f>
        <v/>
      </c>
      <c r="W51" s="6" t="str">
        <f>IF(Q51=0,"미진열",IF(COUNTIFS('05_상품별배치367'!$B$7:$B$373,A51,'05_상품별배치367'!$T$7:$T$373,"치수 초과")&gt;0,"치수 초과",IF(COUNTIFS('05_상품별배치367'!$B$7:$B$373,A51,'05_상품별배치367'!$T$7:$T$373,"입력 대기")&gt;0,"치수 입력 대기",IF(V51&gt;R51,"폭 합계 초과","도면/실측 범위 내·현장확인"))))</f>
        <v>치수 입력 대기</v>
      </c>
      <c r="X51" s="6" t="s">
        <v>738</v>
      </c>
      <c r="Y51" s="6" t="s">
        <v>555</v>
      </c>
      <c r="Z51" s="15"/>
      <c r="AA51" s="15"/>
      <c r="AB51" s="15"/>
    </row>
    <row r="52" spans="1:28" ht="33" customHeight="1">
      <c r="A52" s="8" t="s">
        <v>739</v>
      </c>
      <c r="B52" s="8" t="s">
        <v>116</v>
      </c>
      <c r="C52" s="8" t="s">
        <v>117</v>
      </c>
      <c r="D52" s="9">
        <v>1</v>
      </c>
      <c r="E52" s="8" t="s">
        <v>27</v>
      </c>
      <c r="F52" s="8" t="s">
        <v>120</v>
      </c>
      <c r="G52" s="8" t="s">
        <v>740</v>
      </c>
      <c r="H52" s="8"/>
      <c r="I52" s="8"/>
      <c r="J52" s="8" t="s">
        <v>551</v>
      </c>
      <c r="K52" s="14" t="s">
        <v>552</v>
      </c>
      <c r="L52" s="15"/>
      <c r="M52" s="15"/>
      <c r="N52" s="8" t="s">
        <v>647</v>
      </c>
      <c r="O52" s="8" t="s">
        <v>648</v>
      </c>
      <c r="P52" s="6">
        <f>COUNTIFS('05_상품별배치367'!$B$7:$B$373,A52,'05_상품별배치367'!$K$7:$K$373,"&gt;0")</f>
        <v>0</v>
      </c>
      <c r="Q52" s="6">
        <f>SUMIFS('05_상품별배치367'!$K$7:$K$373,'05_상품별배치367'!$B$7:$B$373,A52)</f>
        <v>0</v>
      </c>
      <c r="R52" s="6">
        <f>IF(Z52="",'06_집기치수20'!N12,Z52)</f>
        <v>865</v>
      </c>
      <c r="S52" s="6">
        <f>IF(AA52="",'06_집기치수20'!O12,AA52)</f>
        <v>270</v>
      </c>
      <c r="T52" s="6">
        <v>100</v>
      </c>
      <c r="U52" s="6">
        <f>IF(AB52="",'06_집기치수20'!P12,AB52-'06_집기치수20'!I12)</f>
        <v>80</v>
      </c>
      <c r="V52" s="6" t="str">
        <f>IF(Q52=0,"",IF(COUNTIFS('05_상품별배치367'!$B$7:$B$373,A52,'05_상품별배치367'!$T$7:$T$373,"입력 대기")&gt;0,"",SUMIFS('05_상품별배치367'!$S$7:$S$373,'05_상품별배치367'!$B$7:$B$373,A52)))</f>
        <v/>
      </c>
      <c r="W52" s="6" t="str">
        <f>IF(Q52=0,"미진열",IF(COUNTIFS('05_상품별배치367'!$B$7:$B$373,A52,'05_상품별배치367'!$T$7:$T$373,"치수 초과")&gt;0,"치수 초과",IF(COUNTIFS('05_상품별배치367'!$B$7:$B$373,A52,'05_상품별배치367'!$T$7:$T$373,"입력 대기")&gt;0,"치수 입력 대기",IF(V52&gt;R52,"폭 합계 초과","도면/실측 범위 내·현장확인"))))</f>
        <v>미진열</v>
      </c>
      <c r="X52" s="6"/>
      <c r="Y52" s="6" t="s">
        <v>555</v>
      </c>
      <c r="Z52" s="15"/>
      <c r="AA52" s="15"/>
      <c r="AB52" s="15"/>
    </row>
    <row r="53" spans="1:28" ht="33" customHeight="1">
      <c r="A53" s="6" t="s">
        <v>741</v>
      </c>
      <c r="B53" s="6" t="s">
        <v>116</v>
      </c>
      <c r="C53" s="6" t="s">
        <v>117</v>
      </c>
      <c r="D53" s="7">
        <v>2</v>
      </c>
      <c r="E53" s="6" t="s">
        <v>27</v>
      </c>
      <c r="F53" s="6" t="s">
        <v>121</v>
      </c>
      <c r="G53" s="6" t="s">
        <v>121</v>
      </c>
      <c r="H53" s="6" t="s">
        <v>742</v>
      </c>
      <c r="I53" s="6" t="s">
        <v>743</v>
      </c>
      <c r="J53" s="6" t="s">
        <v>551</v>
      </c>
      <c r="K53" s="14" t="s">
        <v>594</v>
      </c>
      <c r="L53" s="15"/>
      <c r="M53" s="15"/>
      <c r="N53" s="6" t="s">
        <v>560</v>
      </c>
      <c r="O53" s="6" t="s">
        <v>648</v>
      </c>
      <c r="P53" s="6">
        <f>COUNTIFS('05_상품별배치367'!$B$7:$B$373,A53,'05_상품별배치367'!$K$7:$K$373,"&gt;0")</f>
        <v>2</v>
      </c>
      <c r="Q53" s="6">
        <f>SUMIFS('05_상품별배치367'!$K$7:$K$373,'05_상품별배치367'!$B$7:$B$373,A53)</f>
        <v>2</v>
      </c>
      <c r="R53" s="6">
        <f>IF(Z53="",'06_집기치수20'!N13,Z53)</f>
        <v>865</v>
      </c>
      <c r="S53" s="6">
        <f>IF(AA53="",'06_집기치수20'!O13,AA53)</f>
        <v>270</v>
      </c>
      <c r="T53" s="6">
        <v>220</v>
      </c>
      <c r="U53" s="6">
        <f>IF(AB53="",'06_집기치수20'!P13,AB53-'06_집기치수20'!I13)</f>
        <v>200</v>
      </c>
      <c r="V53" s="6" t="str">
        <f>IF(Q53=0,"",IF(COUNTIFS('05_상품별배치367'!$B$7:$B$373,A53,'05_상품별배치367'!$T$7:$T$373,"입력 대기")&gt;0,"",SUMIFS('05_상품별배치367'!$S$7:$S$373,'05_상품별배치367'!$B$7:$B$373,A53)))</f>
        <v/>
      </c>
      <c r="W53" s="6" t="str">
        <f>IF(Q53=0,"미진열",IF(COUNTIFS('05_상품별배치367'!$B$7:$B$373,A53,'05_상품별배치367'!$T$7:$T$373,"치수 초과")&gt;0,"치수 초과",IF(COUNTIFS('05_상품별배치367'!$B$7:$B$373,A53,'05_상품별배치367'!$T$7:$T$373,"입력 대기")&gt;0,"치수 입력 대기",IF(V53&gt;R53,"폭 합계 초과","도면/실측 범위 내·현장확인"))))</f>
        <v>치수 입력 대기</v>
      </c>
      <c r="X53" s="6" t="s">
        <v>744</v>
      </c>
      <c r="Y53" s="6" t="s">
        <v>555</v>
      </c>
      <c r="Z53" s="15"/>
      <c r="AA53" s="15"/>
      <c r="AB53" s="15"/>
    </row>
    <row r="54" spans="1:28" ht="33" customHeight="1">
      <c r="A54" s="8" t="s">
        <v>745</v>
      </c>
      <c r="B54" s="8" t="s">
        <v>116</v>
      </c>
      <c r="C54" s="8" t="s">
        <v>117</v>
      </c>
      <c r="D54" s="9">
        <v>3</v>
      </c>
      <c r="E54" s="8" t="s">
        <v>27</v>
      </c>
      <c r="F54" s="8" t="s">
        <v>122</v>
      </c>
      <c r="G54" s="8" t="s">
        <v>122</v>
      </c>
      <c r="H54" s="8" t="s">
        <v>746</v>
      </c>
      <c r="I54" s="8" t="s">
        <v>747</v>
      </c>
      <c r="J54" s="8" t="s">
        <v>551</v>
      </c>
      <c r="K54" s="14" t="s">
        <v>594</v>
      </c>
      <c r="L54" s="15"/>
      <c r="M54" s="15"/>
      <c r="N54" s="8" t="s">
        <v>560</v>
      </c>
      <c r="O54" s="8" t="s">
        <v>648</v>
      </c>
      <c r="P54" s="6">
        <f>COUNTIFS('05_상품별배치367'!$B$7:$B$373,A54,'05_상품별배치367'!$K$7:$K$373,"&gt;0")</f>
        <v>1</v>
      </c>
      <c r="Q54" s="6">
        <f>SUMIFS('05_상품별배치367'!$K$7:$K$373,'05_상품별배치367'!$B$7:$B$373,A54)</f>
        <v>1</v>
      </c>
      <c r="R54" s="6">
        <f>IF(Z54="",'06_집기치수20'!N14,Z54)</f>
        <v>865</v>
      </c>
      <c r="S54" s="6">
        <f>IF(AA54="",'06_집기치수20'!O14,AA54)</f>
        <v>270</v>
      </c>
      <c r="T54" s="6">
        <v>220</v>
      </c>
      <c r="U54" s="6">
        <f>IF(AB54="",'06_집기치수20'!P14,AB54-'06_집기치수20'!I14)</f>
        <v>200</v>
      </c>
      <c r="V54" s="6" t="str">
        <f>IF(Q54=0,"",IF(COUNTIFS('05_상품별배치367'!$B$7:$B$373,A54,'05_상품별배치367'!$T$7:$T$373,"입력 대기")&gt;0,"",SUMIFS('05_상품별배치367'!$S$7:$S$373,'05_상품별배치367'!$B$7:$B$373,A54)))</f>
        <v/>
      </c>
      <c r="W54" s="6" t="str">
        <f>IF(Q54=0,"미진열",IF(COUNTIFS('05_상품별배치367'!$B$7:$B$373,A54,'05_상품별배치367'!$T$7:$T$373,"치수 초과")&gt;0,"치수 초과",IF(COUNTIFS('05_상품별배치367'!$B$7:$B$373,A54,'05_상품별배치367'!$T$7:$T$373,"입력 대기")&gt;0,"치수 입력 대기",IF(V54&gt;R54,"폭 합계 초과","도면/실측 범위 내·현장확인"))))</f>
        <v>치수 입력 대기</v>
      </c>
      <c r="X54" s="6" t="s">
        <v>748</v>
      </c>
      <c r="Y54" s="6" t="s">
        <v>555</v>
      </c>
      <c r="Z54" s="15"/>
      <c r="AA54" s="15"/>
      <c r="AB54" s="15"/>
    </row>
    <row r="55" spans="1:28" ht="33" customHeight="1">
      <c r="A55" s="6" t="s">
        <v>749</v>
      </c>
      <c r="B55" s="6" t="s">
        <v>116</v>
      </c>
      <c r="C55" s="6" t="s">
        <v>117</v>
      </c>
      <c r="D55" s="7">
        <v>4</v>
      </c>
      <c r="E55" s="6" t="s">
        <v>27</v>
      </c>
      <c r="F55" s="6" t="s">
        <v>122</v>
      </c>
      <c r="G55" s="6" t="s">
        <v>122</v>
      </c>
      <c r="H55" s="6" t="s">
        <v>750</v>
      </c>
      <c r="I55" s="6" t="s">
        <v>751</v>
      </c>
      <c r="J55" s="6" t="s">
        <v>551</v>
      </c>
      <c r="K55" s="14" t="s">
        <v>594</v>
      </c>
      <c r="L55" s="15"/>
      <c r="M55" s="15"/>
      <c r="N55" s="6" t="s">
        <v>560</v>
      </c>
      <c r="O55" s="6" t="s">
        <v>648</v>
      </c>
      <c r="P55" s="6">
        <f>COUNTIFS('05_상품별배치367'!$B$7:$B$373,A55,'05_상품별배치367'!$K$7:$K$373,"&gt;0")</f>
        <v>1</v>
      </c>
      <c r="Q55" s="6">
        <f>SUMIFS('05_상품별배치367'!$K$7:$K$373,'05_상품별배치367'!$B$7:$B$373,A55)</f>
        <v>1</v>
      </c>
      <c r="R55" s="6">
        <f>IF(Z55="",'06_집기치수20'!N15,Z55)</f>
        <v>865</v>
      </c>
      <c r="S55" s="6">
        <f>IF(AA55="",'06_집기치수20'!O15,AA55)</f>
        <v>270</v>
      </c>
      <c r="T55" s="6">
        <v>220</v>
      </c>
      <c r="U55" s="6">
        <f>IF(AB55="",'06_집기치수20'!P15,AB55-'06_집기치수20'!I15)</f>
        <v>200</v>
      </c>
      <c r="V55" s="6" t="str">
        <f>IF(Q55=0,"",IF(COUNTIFS('05_상품별배치367'!$B$7:$B$373,A55,'05_상품별배치367'!$T$7:$T$373,"입력 대기")&gt;0,"",SUMIFS('05_상품별배치367'!$S$7:$S$373,'05_상품별배치367'!$B$7:$B$373,A55)))</f>
        <v/>
      </c>
      <c r="W55" s="6" t="str">
        <f>IF(Q55=0,"미진열",IF(COUNTIFS('05_상품별배치367'!$B$7:$B$373,A55,'05_상품별배치367'!$T$7:$T$373,"치수 초과")&gt;0,"치수 초과",IF(COUNTIFS('05_상품별배치367'!$B$7:$B$373,A55,'05_상품별배치367'!$T$7:$T$373,"입력 대기")&gt;0,"치수 입력 대기",IF(V55&gt;R55,"폭 합계 초과","도면/실측 범위 내·현장확인"))))</f>
        <v>치수 입력 대기</v>
      </c>
      <c r="X55" s="6" t="s">
        <v>752</v>
      </c>
      <c r="Y55" s="6" t="s">
        <v>555</v>
      </c>
      <c r="Z55" s="15"/>
      <c r="AA55" s="15"/>
      <c r="AB55" s="15"/>
    </row>
    <row r="56" spans="1:28" ht="33" customHeight="1">
      <c r="A56" s="8" t="s">
        <v>753</v>
      </c>
      <c r="B56" s="8" t="s">
        <v>116</v>
      </c>
      <c r="C56" s="8" t="s">
        <v>117</v>
      </c>
      <c r="D56" s="9">
        <v>5</v>
      </c>
      <c r="E56" s="8" t="s">
        <v>27</v>
      </c>
      <c r="F56" s="8" t="s">
        <v>123</v>
      </c>
      <c r="G56" s="8" t="s">
        <v>590</v>
      </c>
      <c r="H56" s="8"/>
      <c r="I56" s="8"/>
      <c r="J56" s="8" t="s">
        <v>551</v>
      </c>
      <c r="K56" s="14" t="s">
        <v>568</v>
      </c>
      <c r="L56" s="15"/>
      <c r="M56" s="15"/>
      <c r="N56" s="8" t="s">
        <v>560</v>
      </c>
      <c r="O56" s="8" t="s">
        <v>648</v>
      </c>
      <c r="P56" s="6">
        <f>COUNTIFS('05_상품별배치367'!$B$7:$B$373,A56,'05_상품별배치367'!$K$7:$K$373,"&gt;0")</f>
        <v>0</v>
      </c>
      <c r="Q56" s="6">
        <f>SUMIFS('05_상품별배치367'!$K$7:$K$373,'05_상품별배치367'!$B$7:$B$373,A56)</f>
        <v>0</v>
      </c>
      <c r="R56" s="6">
        <f>IF(Z56="",'06_집기치수20'!N16,Z56)</f>
        <v>865</v>
      </c>
      <c r="S56" s="6">
        <f>IF(AA56="",'06_집기치수20'!O16,AA56)</f>
        <v>270</v>
      </c>
      <c r="T56" s="6">
        <v>220</v>
      </c>
      <c r="U56" s="6">
        <f>IF(AB56="",'06_집기치수20'!P16,AB56-'06_집기치수20'!I16)</f>
        <v>200</v>
      </c>
      <c r="V56" s="6" t="str">
        <f>IF(Q56=0,"",IF(COUNTIFS('05_상품별배치367'!$B$7:$B$373,A56,'05_상품별배치367'!$T$7:$T$373,"입력 대기")&gt;0,"",SUMIFS('05_상품별배치367'!$S$7:$S$373,'05_상품별배치367'!$B$7:$B$373,A56)))</f>
        <v/>
      </c>
      <c r="W56" s="6" t="str">
        <f>IF(Q56=0,"미진열",IF(COUNTIFS('05_상품별배치367'!$B$7:$B$373,A56,'05_상품별배치367'!$T$7:$T$373,"치수 초과")&gt;0,"치수 초과",IF(COUNTIFS('05_상품별배치367'!$B$7:$B$373,A56,'05_상품별배치367'!$T$7:$T$373,"입력 대기")&gt;0,"치수 입력 대기",IF(V56&gt;R56,"폭 합계 초과","도면/실측 범위 내·현장확인"))))</f>
        <v>미진열</v>
      </c>
      <c r="X56" s="6"/>
      <c r="Y56" s="6" t="s">
        <v>555</v>
      </c>
      <c r="Z56" s="15"/>
      <c r="AA56" s="15"/>
      <c r="AB56" s="15"/>
    </row>
    <row r="57" spans="1:28" ht="33" customHeight="1">
      <c r="A57" s="6" t="s">
        <v>754</v>
      </c>
      <c r="B57" s="6" t="s">
        <v>125</v>
      </c>
      <c r="C57" s="6" t="s">
        <v>117</v>
      </c>
      <c r="D57" s="7">
        <v>1</v>
      </c>
      <c r="E57" s="6" t="s">
        <v>27</v>
      </c>
      <c r="F57" s="6" t="s">
        <v>120</v>
      </c>
      <c r="G57" s="6" t="s">
        <v>755</v>
      </c>
      <c r="H57" s="6"/>
      <c r="I57" s="6"/>
      <c r="J57" s="6" t="s">
        <v>551</v>
      </c>
      <c r="K57" s="14" t="s">
        <v>552</v>
      </c>
      <c r="L57" s="15"/>
      <c r="M57" s="15"/>
      <c r="N57" s="6" t="s">
        <v>647</v>
      </c>
      <c r="O57" s="6" t="s">
        <v>648</v>
      </c>
      <c r="P57" s="6">
        <f>COUNTIFS('05_상품별배치367'!$B$7:$B$373,A57,'05_상품별배치367'!$K$7:$K$373,"&gt;0")</f>
        <v>0</v>
      </c>
      <c r="Q57" s="6">
        <f>SUMIFS('05_상품별배치367'!$K$7:$K$373,'05_상품별배치367'!$B$7:$B$373,A57)</f>
        <v>0</v>
      </c>
      <c r="R57" s="6">
        <f>IF(Z57="",'06_집기치수20'!N12,Z57)</f>
        <v>865</v>
      </c>
      <c r="S57" s="6">
        <f>IF(AA57="",'06_집기치수20'!O12,AA57)</f>
        <v>270</v>
      </c>
      <c r="T57" s="6">
        <v>100</v>
      </c>
      <c r="U57" s="6">
        <f>IF(AB57="",'06_집기치수20'!P12,AB57-'06_집기치수20'!I12)</f>
        <v>80</v>
      </c>
      <c r="V57" s="6" t="str">
        <f>IF(Q57=0,"",IF(COUNTIFS('05_상품별배치367'!$B$7:$B$373,A57,'05_상품별배치367'!$T$7:$T$373,"입력 대기")&gt;0,"",SUMIFS('05_상품별배치367'!$S$7:$S$373,'05_상품별배치367'!$B$7:$B$373,A57)))</f>
        <v/>
      </c>
      <c r="W57" s="6" t="str">
        <f>IF(Q57=0,"미진열",IF(COUNTIFS('05_상품별배치367'!$B$7:$B$373,A57,'05_상품별배치367'!$T$7:$T$373,"치수 초과")&gt;0,"치수 초과",IF(COUNTIFS('05_상품별배치367'!$B$7:$B$373,A57,'05_상품별배치367'!$T$7:$T$373,"입력 대기")&gt;0,"치수 입력 대기",IF(V57&gt;R57,"폭 합계 초과","도면/실측 범위 내·현장확인"))))</f>
        <v>미진열</v>
      </c>
      <c r="X57" s="6"/>
      <c r="Y57" s="6" t="s">
        <v>555</v>
      </c>
      <c r="Z57" s="15"/>
      <c r="AA57" s="15"/>
      <c r="AB57" s="15"/>
    </row>
    <row r="58" spans="1:28" ht="33" customHeight="1">
      <c r="A58" s="8" t="s">
        <v>756</v>
      </c>
      <c r="B58" s="8" t="s">
        <v>125</v>
      </c>
      <c r="C58" s="8" t="s">
        <v>117</v>
      </c>
      <c r="D58" s="9">
        <v>2</v>
      </c>
      <c r="E58" s="8" t="s">
        <v>27</v>
      </c>
      <c r="F58" s="8" t="s">
        <v>128</v>
      </c>
      <c r="G58" s="8" t="s">
        <v>128</v>
      </c>
      <c r="H58" s="8" t="s">
        <v>757</v>
      </c>
      <c r="I58" s="8" t="s">
        <v>758</v>
      </c>
      <c r="J58" s="8" t="s">
        <v>551</v>
      </c>
      <c r="K58" s="14" t="s">
        <v>594</v>
      </c>
      <c r="L58" s="15"/>
      <c r="M58" s="15"/>
      <c r="N58" s="8" t="s">
        <v>560</v>
      </c>
      <c r="O58" s="8" t="s">
        <v>648</v>
      </c>
      <c r="P58" s="6">
        <f>COUNTIFS('05_상품별배치367'!$B$7:$B$373,A58,'05_상품별배치367'!$K$7:$K$373,"&gt;0")</f>
        <v>1</v>
      </c>
      <c r="Q58" s="6">
        <f>SUMIFS('05_상품별배치367'!$K$7:$K$373,'05_상품별배치367'!$B$7:$B$373,A58)</f>
        <v>1</v>
      </c>
      <c r="R58" s="6">
        <f>IF(Z58="",'06_집기치수20'!N13,Z58)</f>
        <v>865</v>
      </c>
      <c r="S58" s="6">
        <f>IF(AA58="",'06_집기치수20'!O13,AA58)</f>
        <v>270</v>
      </c>
      <c r="T58" s="6">
        <v>220</v>
      </c>
      <c r="U58" s="6">
        <f>IF(AB58="",'06_집기치수20'!P13,AB58-'06_집기치수20'!I13)</f>
        <v>200</v>
      </c>
      <c r="V58" s="6" t="str">
        <f>IF(Q58=0,"",IF(COUNTIFS('05_상품별배치367'!$B$7:$B$373,A58,'05_상품별배치367'!$T$7:$T$373,"입력 대기")&gt;0,"",SUMIFS('05_상품별배치367'!$S$7:$S$373,'05_상품별배치367'!$B$7:$B$373,A58)))</f>
        <v/>
      </c>
      <c r="W58" s="6" t="str">
        <f>IF(Q58=0,"미진열",IF(COUNTIFS('05_상품별배치367'!$B$7:$B$373,A58,'05_상품별배치367'!$T$7:$T$373,"치수 초과")&gt;0,"치수 초과",IF(COUNTIFS('05_상품별배치367'!$B$7:$B$373,A58,'05_상품별배치367'!$T$7:$T$373,"입력 대기")&gt;0,"치수 입력 대기",IF(V58&gt;R58,"폭 합계 초과","도면/실측 범위 내·현장확인"))))</f>
        <v>치수 입력 대기</v>
      </c>
      <c r="X58" s="6" t="s">
        <v>759</v>
      </c>
      <c r="Y58" s="6" t="s">
        <v>555</v>
      </c>
      <c r="Z58" s="15"/>
      <c r="AA58" s="15"/>
      <c r="AB58" s="15"/>
    </row>
    <row r="59" spans="1:28" ht="33" customHeight="1">
      <c r="A59" s="6" t="s">
        <v>760</v>
      </c>
      <c r="B59" s="6" t="s">
        <v>125</v>
      </c>
      <c r="C59" s="6" t="s">
        <v>117</v>
      </c>
      <c r="D59" s="7">
        <v>3</v>
      </c>
      <c r="E59" s="6" t="s">
        <v>27</v>
      </c>
      <c r="F59" s="6" t="s">
        <v>129</v>
      </c>
      <c r="G59" s="6" t="s">
        <v>129</v>
      </c>
      <c r="H59" s="6" t="s">
        <v>761</v>
      </c>
      <c r="I59" s="6" t="s">
        <v>762</v>
      </c>
      <c r="J59" s="6" t="s">
        <v>551</v>
      </c>
      <c r="K59" s="14" t="s">
        <v>594</v>
      </c>
      <c r="L59" s="15"/>
      <c r="M59" s="15"/>
      <c r="N59" s="6" t="s">
        <v>560</v>
      </c>
      <c r="O59" s="6" t="s">
        <v>648</v>
      </c>
      <c r="P59" s="6">
        <f>COUNTIFS('05_상품별배치367'!$B$7:$B$373,A59,'05_상품별배치367'!$K$7:$K$373,"&gt;0")</f>
        <v>1</v>
      </c>
      <c r="Q59" s="6">
        <f>SUMIFS('05_상품별배치367'!$K$7:$K$373,'05_상품별배치367'!$B$7:$B$373,A59)</f>
        <v>1</v>
      </c>
      <c r="R59" s="6">
        <f>IF(Z59="",'06_집기치수20'!N14,Z59)</f>
        <v>865</v>
      </c>
      <c r="S59" s="6">
        <f>IF(AA59="",'06_집기치수20'!O14,AA59)</f>
        <v>270</v>
      </c>
      <c r="T59" s="6">
        <v>220</v>
      </c>
      <c r="U59" s="6">
        <f>IF(AB59="",'06_집기치수20'!P14,AB59-'06_집기치수20'!I14)</f>
        <v>200</v>
      </c>
      <c r="V59" s="6" t="str">
        <f>IF(Q59=0,"",IF(COUNTIFS('05_상품별배치367'!$B$7:$B$373,A59,'05_상품별배치367'!$T$7:$T$373,"입력 대기")&gt;0,"",SUMIFS('05_상품별배치367'!$S$7:$S$373,'05_상품별배치367'!$B$7:$B$373,A59)))</f>
        <v/>
      </c>
      <c r="W59" s="6" t="str">
        <f>IF(Q59=0,"미진열",IF(COUNTIFS('05_상품별배치367'!$B$7:$B$373,A59,'05_상품별배치367'!$T$7:$T$373,"치수 초과")&gt;0,"치수 초과",IF(COUNTIFS('05_상품별배치367'!$B$7:$B$373,A59,'05_상품별배치367'!$T$7:$T$373,"입력 대기")&gt;0,"치수 입력 대기",IF(V59&gt;R59,"폭 합계 초과","도면/실측 범위 내·현장확인"))))</f>
        <v>치수 입력 대기</v>
      </c>
      <c r="X59" s="6" t="s">
        <v>763</v>
      </c>
      <c r="Y59" s="6" t="s">
        <v>555</v>
      </c>
      <c r="Z59" s="15"/>
      <c r="AA59" s="15"/>
      <c r="AB59" s="15"/>
    </row>
    <row r="60" spans="1:28" ht="33" customHeight="1">
      <c r="A60" s="8" t="s">
        <v>764</v>
      </c>
      <c r="B60" s="8" t="s">
        <v>125</v>
      </c>
      <c r="C60" s="8" t="s">
        <v>117</v>
      </c>
      <c r="D60" s="9">
        <v>4</v>
      </c>
      <c r="E60" s="8" t="s">
        <v>27</v>
      </c>
      <c r="F60" s="8" t="s">
        <v>130</v>
      </c>
      <c r="G60" s="8" t="s">
        <v>130</v>
      </c>
      <c r="H60" s="8" t="s">
        <v>765</v>
      </c>
      <c r="I60" s="8" t="s">
        <v>766</v>
      </c>
      <c r="J60" s="8" t="s">
        <v>551</v>
      </c>
      <c r="K60" s="14" t="s">
        <v>594</v>
      </c>
      <c r="L60" s="15"/>
      <c r="M60" s="15"/>
      <c r="N60" s="8" t="s">
        <v>560</v>
      </c>
      <c r="O60" s="8" t="s">
        <v>648</v>
      </c>
      <c r="P60" s="6">
        <f>COUNTIFS('05_상품별배치367'!$B$7:$B$373,A60,'05_상품별배치367'!$K$7:$K$373,"&gt;0")</f>
        <v>1</v>
      </c>
      <c r="Q60" s="6">
        <f>SUMIFS('05_상품별배치367'!$K$7:$K$373,'05_상품별배치367'!$B$7:$B$373,A60)</f>
        <v>1</v>
      </c>
      <c r="R60" s="6">
        <f>IF(Z60="",'06_집기치수20'!N15,Z60)</f>
        <v>865</v>
      </c>
      <c r="S60" s="6">
        <f>IF(AA60="",'06_집기치수20'!O15,AA60)</f>
        <v>270</v>
      </c>
      <c r="T60" s="6">
        <v>220</v>
      </c>
      <c r="U60" s="6">
        <f>IF(AB60="",'06_집기치수20'!P15,AB60-'06_집기치수20'!I15)</f>
        <v>200</v>
      </c>
      <c r="V60" s="6" t="str">
        <f>IF(Q60=0,"",IF(COUNTIFS('05_상품별배치367'!$B$7:$B$373,A60,'05_상품별배치367'!$T$7:$T$373,"입력 대기")&gt;0,"",SUMIFS('05_상품별배치367'!$S$7:$S$373,'05_상품별배치367'!$B$7:$B$373,A60)))</f>
        <v/>
      </c>
      <c r="W60" s="6" t="str">
        <f>IF(Q60=0,"미진열",IF(COUNTIFS('05_상품별배치367'!$B$7:$B$373,A60,'05_상품별배치367'!$T$7:$T$373,"치수 초과")&gt;0,"치수 초과",IF(COUNTIFS('05_상품별배치367'!$B$7:$B$373,A60,'05_상품별배치367'!$T$7:$T$373,"입력 대기")&gt;0,"치수 입력 대기",IF(V60&gt;R60,"폭 합계 초과","도면/실측 범위 내·현장확인"))))</f>
        <v>치수 입력 대기</v>
      </c>
      <c r="X60" s="6" t="s">
        <v>767</v>
      </c>
      <c r="Y60" s="6" t="s">
        <v>555</v>
      </c>
      <c r="Z60" s="15"/>
      <c r="AA60" s="15"/>
      <c r="AB60" s="15"/>
    </row>
    <row r="61" spans="1:28" ht="33" customHeight="1">
      <c r="A61" s="6" t="s">
        <v>768</v>
      </c>
      <c r="B61" s="6" t="s">
        <v>125</v>
      </c>
      <c r="C61" s="6" t="s">
        <v>117</v>
      </c>
      <c r="D61" s="7">
        <v>5</v>
      </c>
      <c r="E61" s="6" t="s">
        <v>27</v>
      </c>
      <c r="F61" s="6" t="s">
        <v>123</v>
      </c>
      <c r="G61" s="6" t="s">
        <v>590</v>
      </c>
      <c r="H61" s="6"/>
      <c r="I61" s="6"/>
      <c r="J61" s="6" t="s">
        <v>551</v>
      </c>
      <c r="K61" s="14" t="s">
        <v>568</v>
      </c>
      <c r="L61" s="15"/>
      <c r="M61" s="15"/>
      <c r="N61" s="6" t="s">
        <v>560</v>
      </c>
      <c r="O61" s="6" t="s">
        <v>648</v>
      </c>
      <c r="P61" s="6">
        <f>COUNTIFS('05_상품별배치367'!$B$7:$B$373,A61,'05_상품별배치367'!$K$7:$K$373,"&gt;0")</f>
        <v>0</v>
      </c>
      <c r="Q61" s="6">
        <f>SUMIFS('05_상품별배치367'!$K$7:$K$373,'05_상품별배치367'!$B$7:$B$373,A61)</f>
        <v>0</v>
      </c>
      <c r="R61" s="6">
        <f>IF(Z61="",'06_집기치수20'!N16,Z61)</f>
        <v>865</v>
      </c>
      <c r="S61" s="6">
        <f>IF(AA61="",'06_집기치수20'!O16,AA61)</f>
        <v>270</v>
      </c>
      <c r="T61" s="6">
        <v>220</v>
      </c>
      <c r="U61" s="6">
        <f>IF(AB61="",'06_집기치수20'!P16,AB61-'06_집기치수20'!I16)</f>
        <v>200</v>
      </c>
      <c r="V61" s="6" t="str">
        <f>IF(Q61=0,"",IF(COUNTIFS('05_상품별배치367'!$B$7:$B$373,A61,'05_상품별배치367'!$T$7:$T$373,"입력 대기")&gt;0,"",SUMIFS('05_상품별배치367'!$S$7:$S$373,'05_상품별배치367'!$B$7:$B$373,A61)))</f>
        <v/>
      </c>
      <c r="W61" s="6" t="str">
        <f>IF(Q61=0,"미진열",IF(COUNTIFS('05_상품별배치367'!$B$7:$B$373,A61,'05_상품별배치367'!$T$7:$T$373,"치수 초과")&gt;0,"치수 초과",IF(COUNTIFS('05_상품별배치367'!$B$7:$B$373,A61,'05_상품별배치367'!$T$7:$T$373,"입력 대기")&gt;0,"치수 입력 대기",IF(V61&gt;R61,"폭 합계 초과","도면/실측 범위 내·현장확인"))))</f>
        <v>미진열</v>
      </c>
      <c r="X61" s="6"/>
      <c r="Y61" s="6" t="s">
        <v>555</v>
      </c>
      <c r="Z61" s="15"/>
      <c r="AA61" s="15"/>
      <c r="AB61" s="15"/>
    </row>
    <row r="62" spans="1:28" ht="33" customHeight="1">
      <c r="A62" s="8" t="s">
        <v>769</v>
      </c>
      <c r="B62" s="8" t="s">
        <v>131</v>
      </c>
      <c r="C62" s="8" t="s">
        <v>117</v>
      </c>
      <c r="D62" s="9">
        <v>1</v>
      </c>
      <c r="E62" s="8" t="s">
        <v>81</v>
      </c>
      <c r="F62" s="8" t="s">
        <v>134</v>
      </c>
      <c r="G62" s="8" t="s">
        <v>770</v>
      </c>
      <c r="H62" s="8"/>
      <c r="I62" s="8"/>
      <c r="J62" s="8" t="s">
        <v>551</v>
      </c>
      <c r="K62" s="14" t="s">
        <v>552</v>
      </c>
      <c r="L62" s="15"/>
      <c r="M62" s="15"/>
      <c r="N62" s="8" t="s">
        <v>647</v>
      </c>
      <c r="O62" s="8" t="s">
        <v>648</v>
      </c>
      <c r="P62" s="6">
        <f>COUNTIFS('05_상품별배치367'!$B$7:$B$373,A62,'05_상품별배치367'!$K$7:$K$373,"&gt;0")</f>
        <v>0</v>
      </c>
      <c r="Q62" s="6">
        <f>SUMIFS('05_상품별배치367'!$K$7:$K$373,'05_상품별배치367'!$B$7:$B$373,A62)</f>
        <v>0</v>
      </c>
      <c r="R62" s="6">
        <f>IF(Z62="",'06_집기치수20'!N12,Z62)</f>
        <v>865</v>
      </c>
      <c r="S62" s="6">
        <f>IF(AA62="",'06_집기치수20'!O12,AA62)</f>
        <v>270</v>
      </c>
      <c r="T62" s="6">
        <v>100</v>
      </c>
      <c r="U62" s="6">
        <f>IF(AB62="",'06_집기치수20'!P12,AB62-'06_집기치수20'!I12)</f>
        <v>80</v>
      </c>
      <c r="V62" s="6" t="str">
        <f>IF(Q62=0,"",IF(COUNTIFS('05_상품별배치367'!$B$7:$B$373,A62,'05_상품별배치367'!$T$7:$T$373,"입력 대기")&gt;0,"",SUMIFS('05_상품별배치367'!$S$7:$S$373,'05_상품별배치367'!$B$7:$B$373,A62)))</f>
        <v/>
      </c>
      <c r="W62" s="6" t="str">
        <f>IF(Q62=0,"미진열",IF(COUNTIFS('05_상품별배치367'!$B$7:$B$373,A62,'05_상품별배치367'!$T$7:$T$373,"치수 초과")&gt;0,"치수 초과",IF(COUNTIFS('05_상품별배치367'!$B$7:$B$373,A62,'05_상품별배치367'!$T$7:$T$373,"입력 대기")&gt;0,"치수 입력 대기",IF(V62&gt;R62,"폭 합계 초과","도면/실측 범위 내·현장확인"))))</f>
        <v>미진열</v>
      </c>
      <c r="X62" s="6"/>
      <c r="Y62" s="6" t="s">
        <v>555</v>
      </c>
      <c r="Z62" s="15"/>
      <c r="AA62" s="15"/>
      <c r="AB62" s="15"/>
    </row>
    <row r="63" spans="1:28" ht="33" customHeight="1">
      <c r="A63" s="6" t="s">
        <v>771</v>
      </c>
      <c r="B63" s="6" t="s">
        <v>131</v>
      </c>
      <c r="C63" s="6" t="s">
        <v>117</v>
      </c>
      <c r="D63" s="7">
        <v>2</v>
      </c>
      <c r="E63" s="6" t="s">
        <v>81</v>
      </c>
      <c r="F63" s="6" t="s">
        <v>135</v>
      </c>
      <c r="G63" s="6" t="s">
        <v>770</v>
      </c>
      <c r="H63" s="6" t="s">
        <v>772</v>
      </c>
      <c r="I63" s="6" t="s">
        <v>773</v>
      </c>
      <c r="J63" s="6" t="s">
        <v>551</v>
      </c>
      <c r="K63" s="14" t="s">
        <v>559</v>
      </c>
      <c r="L63" s="15"/>
      <c r="M63" s="15"/>
      <c r="N63" s="6" t="s">
        <v>560</v>
      </c>
      <c r="O63" s="6" t="s">
        <v>648</v>
      </c>
      <c r="P63" s="6">
        <f>COUNTIFS('05_상품별배치367'!$B$7:$B$373,A63,'05_상품별배치367'!$K$7:$K$373,"&gt;0")</f>
        <v>2</v>
      </c>
      <c r="Q63" s="6">
        <f>SUMIFS('05_상품별배치367'!$K$7:$K$373,'05_상품별배치367'!$B$7:$B$373,A63)</f>
        <v>2</v>
      </c>
      <c r="R63" s="6">
        <f>IF(Z63="",'06_집기치수20'!N13,Z63)</f>
        <v>865</v>
      </c>
      <c r="S63" s="6">
        <f>IF(AA63="",'06_집기치수20'!O13,AA63)</f>
        <v>270</v>
      </c>
      <c r="T63" s="6">
        <v>220</v>
      </c>
      <c r="U63" s="6">
        <f>IF(AB63="",'06_집기치수20'!P13,AB63-'06_집기치수20'!I13)</f>
        <v>200</v>
      </c>
      <c r="V63" s="6" t="str">
        <f>IF(Q63=0,"",IF(COUNTIFS('05_상품별배치367'!$B$7:$B$373,A63,'05_상품별배치367'!$T$7:$T$373,"입력 대기")&gt;0,"",SUMIFS('05_상품별배치367'!$S$7:$S$373,'05_상품별배치367'!$B$7:$B$373,A63)))</f>
        <v/>
      </c>
      <c r="W63" s="6" t="str">
        <f>IF(Q63=0,"미진열",IF(COUNTIFS('05_상품별배치367'!$B$7:$B$373,A63,'05_상품별배치367'!$T$7:$T$373,"치수 초과")&gt;0,"치수 초과",IF(COUNTIFS('05_상품별배치367'!$B$7:$B$373,A63,'05_상품별배치367'!$T$7:$T$373,"입력 대기")&gt;0,"치수 입력 대기",IF(V63&gt;R63,"폭 합계 초과","도면/실측 범위 내·현장확인"))))</f>
        <v>치수 입력 대기</v>
      </c>
      <c r="X63" s="6" t="s">
        <v>774</v>
      </c>
      <c r="Y63" s="6" t="s">
        <v>555</v>
      </c>
      <c r="Z63" s="15"/>
      <c r="AA63" s="15"/>
      <c r="AB63" s="15"/>
    </row>
    <row r="64" spans="1:28" ht="33" customHeight="1">
      <c r="A64" s="8" t="s">
        <v>775</v>
      </c>
      <c r="B64" s="8" t="s">
        <v>131</v>
      </c>
      <c r="C64" s="8" t="s">
        <v>117</v>
      </c>
      <c r="D64" s="9">
        <v>3</v>
      </c>
      <c r="E64" s="8" t="s">
        <v>81</v>
      </c>
      <c r="F64" s="8" t="s">
        <v>136</v>
      </c>
      <c r="G64" s="8" t="s">
        <v>776</v>
      </c>
      <c r="H64" s="8" t="s">
        <v>777</v>
      </c>
      <c r="I64" s="8" t="s">
        <v>778</v>
      </c>
      <c r="J64" s="8" t="s">
        <v>551</v>
      </c>
      <c r="K64" s="14" t="s">
        <v>559</v>
      </c>
      <c r="L64" s="15"/>
      <c r="M64" s="15"/>
      <c r="N64" s="8" t="s">
        <v>560</v>
      </c>
      <c r="O64" s="8" t="s">
        <v>648</v>
      </c>
      <c r="P64" s="6">
        <f>COUNTIFS('05_상품별배치367'!$B$7:$B$373,A64,'05_상품별배치367'!$K$7:$K$373,"&gt;0")</f>
        <v>2</v>
      </c>
      <c r="Q64" s="6">
        <f>SUMIFS('05_상품별배치367'!$K$7:$K$373,'05_상품별배치367'!$B$7:$B$373,A64)</f>
        <v>2</v>
      </c>
      <c r="R64" s="6">
        <f>IF(Z64="",'06_집기치수20'!N14,Z64)</f>
        <v>865</v>
      </c>
      <c r="S64" s="6">
        <f>IF(AA64="",'06_집기치수20'!O14,AA64)</f>
        <v>270</v>
      </c>
      <c r="T64" s="6">
        <v>220</v>
      </c>
      <c r="U64" s="6">
        <f>IF(AB64="",'06_집기치수20'!P14,AB64-'06_집기치수20'!I14)</f>
        <v>200</v>
      </c>
      <c r="V64" s="6" t="str">
        <f>IF(Q64=0,"",IF(COUNTIFS('05_상품별배치367'!$B$7:$B$373,A64,'05_상품별배치367'!$T$7:$T$373,"입력 대기")&gt;0,"",SUMIFS('05_상품별배치367'!$S$7:$S$373,'05_상품별배치367'!$B$7:$B$373,A64)))</f>
        <v/>
      </c>
      <c r="W64" s="6" t="str">
        <f>IF(Q64=0,"미진열",IF(COUNTIFS('05_상품별배치367'!$B$7:$B$373,A64,'05_상품별배치367'!$T$7:$T$373,"치수 초과")&gt;0,"치수 초과",IF(COUNTIFS('05_상품별배치367'!$B$7:$B$373,A64,'05_상품별배치367'!$T$7:$T$373,"입력 대기")&gt;0,"치수 입력 대기",IF(V64&gt;R64,"폭 합계 초과","도면/실측 범위 내·현장확인"))))</f>
        <v>치수 입력 대기</v>
      </c>
      <c r="X64" s="6" t="s">
        <v>779</v>
      </c>
      <c r="Y64" s="6" t="s">
        <v>555</v>
      </c>
      <c r="Z64" s="15"/>
      <c r="AA64" s="15"/>
      <c r="AB64" s="15"/>
    </row>
    <row r="65" spans="1:28" ht="33" customHeight="1">
      <c r="A65" s="6" t="s">
        <v>780</v>
      </c>
      <c r="B65" s="6" t="s">
        <v>131</v>
      </c>
      <c r="C65" s="6" t="s">
        <v>117</v>
      </c>
      <c r="D65" s="7">
        <v>4</v>
      </c>
      <c r="E65" s="6" t="s">
        <v>81</v>
      </c>
      <c r="F65" s="6" t="s">
        <v>137</v>
      </c>
      <c r="G65" s="6" t="s">
        <v>776</v>
      </c>
      <c r="H65" s="6" t="s">
        <v>781</v>
      </c>
      <c r="I65" s="6" t="s">
        <v>782</v>
      </c>
      <c r="J65" s="6" t="s">
        <v>551</v>
      </c>
      <c r="K65" s="14" t="s">
        <v>559</v>
      </c>
      <c r="L65" s="15"/>
      <c r="M65" s="15"/>
      <c r="N65" s="6" t="s">
        <v>560</v>
      </c>
      <c r="O65" s="6" t="s">
        <v>648</v>
      </c>
      <c r="P65" s="6">
        <f>COUNTIFS('05_상품별배치367'!$B$7:$B$373,A65,'05_상품별배치367'!$K$7:$K$373,"&gt;0")</f>
        <v>1</v>
      </c>
      <c r="Q65" s="6">
        <f>SUMIFS('05_상품별배치367'!$K$7:$K$373,'05_상품별배치367'!$B$7:$B$373,A65)</f>
        <v>1</v>
      </c>
      <c r="R65" s="6">
        <f>IF(Z65="",'06_집기치수20'!N15,Z65)</f>
        <v>865</v>
      </c>
      <c r="S65" s="6">
        <f>IF(AA65="",'06_집기치수20'!O15,AA65)</f>
        <v>270</v>
      </c>
      <c r="T65" s="6">
        <v>220</v>
      </c>
      <c r="U65" s="6">
        <f>IF(AB65="",'06_집기치수20'!P15,AB65-'06_집기치수20'!I15)</f>
        <v>200</v>
      </c>
      <c r="V65" s="6" t="str">
        <f>IF(Q65=0,"",IF(COUNTIFS('05_상품별배치367'!$B$7:$B$373,A65,'05_상품별배치367'!$T$7:$T$373,"입력 대기")&gt;0,"",SUMIFS('05_상품별배치367'!$S$7:$S$373,'05_상품별배치367'!$B$7:$B$373,A65)))</f>
        <v/>
      </c>
      <c r="W65" s="6" t="str">
        <f>IF(Q65=0,"미진열",IF(COUNTIFS('05_상품별배치367'!$B$7:$B$373,A65,'05_상품별배치367'!$T$7:$T$373,"치수 초과")&gt;0,"치수 초과",IF(COUNTIFS('05_상품별배치367'!$B$7:$B$373,A65,'05_상품별배치367'!$T$7:$T$373,"입력 대기")&gt;0,"치수 입력 대기",IF(V65&gt;R65,"폭 합계 초과","도면/실측 범위 내·현장확인"))))</f>
        <v>치수 입력 대기</v>
      </c>
      <c r="X65" s="6" t="s">
        <v>783</v>
      </c>
      <c r="Y65" s="6" t="s">
        <v>555</v>
      </c>
      <c r="Z65" s="15"/>
      <c r="AA65" s="15"/>
      <c r="AB65" s="15"/>
    </row>
    <row r="66" spans="1:28" ht="33" customHeight="1">
      <c r="A66" s="8" t="s">
        <v>784</v>
      </c>
      <c r="B66" s="8" t="s">
        <v>131</v>
      </c>
      <c r="C66" s="8" t="s">
        <v>117</v>
      </c>
      <c r="D66" s="9">
        <v>5</v>
      </c>
      <c r="E66" s="8" t="s">
        <v>81</v>
      </c>
      <c r="F66" s="8" t="s">
        <v>138</v>
      </c>
      <c r="G66" s="8" t="s">
        <v>770</v>
      </c>
      <c r="H66" s="8" t="s">
        <v>785</v>
      </c>
      <c r="I66" s="8" t="s">
        <v>786</v>
      </c>
      <c r="J66" s="8" t="s">
        <v>551</v>
      </c>
      <c r="K66" s="14" t="s">
        <v>559</v>
      </c>
      <c r="L66" s="15"/>
      <c r="M66" s="15"/>
      <c r="N66" s="8" t="s">
        <v>560</v>
      </c>
      <c r="O66" s="8" t="s">
        <v>648</v>
      </c>
      <c r="P66" s="6">
        <f>COUNTIFS('05_상품별배치367'!$B$7:$B$373,A66,'05_상품별배치367'!$K$7:$K$373,"&gt;0")</f>
        <v>1</v>
      </c>
      <c r="Q66" s="6">
        <f>SUMIFS('05_상품별배치367'!$K$7:$K$373,'05_상품별배치367'!$B$7:$B$373,A66)</f>
        <v>1</v>
      </c>
      <c r="R66" s="6">
        <f>IF(Z66="",'06_집기치수20'!N16,Z66)</f>
        <v>865</v>
      </c>
      <c r="S66" s="6">
        <f>IF(AA66="",'06_집기치수20'!O16,AA66)</f>
        <v>270</v>
      </c>
      <c r="T66" s="6">
        <v>220</v>
      </c>
      <c r="U66" s="6">
        <f>IF(AB66="",'06_집기치수20'!P16,AB66-'06_집기치수20'!I16)</f>
        <v>200</v>
      </c>
      <c r="V66" s="6" t="str">
        <f>IF(Q66=0,"",IF(COUNTIFS('05_상품별배치367'!$B$7:$B$373,A66,'05_상품별배치367'!$T$7:$T$373,"입력 대기")&gt;0,"",SUMIFS('05_상품별배치367'!$S$7:$S$373,'05_상품별배치367'!$B$7:$B$373,A66)))</f>
        <v/>
      </c>
      <c r="W66" s="6" t="str">
        <f>IF(Q66=0,"미진열",IF(COUNTIFS('05_상품별배치367'!$B$7:$B$373,A66,'05_상품별배치367'!$T$7:$T$373,"치수 초과")&gt;0,"치수 초과",IF(COUNTIFS('05_상품별배치367'!$B$7:$B$373,A66,'05_상품별배치367'!$T$7:$T$373,"입력 대기")&gt;0,"치수 입력 대기",IF(V66&gt;R66,"폭 합계 초과","도면/실측 범위 내·현장확인"))))</f>
        <v>치수 입력 대기</v>
      </c>
      <c r="X66" s="6" t="s">
        <v>787</v>
      </c>
      <c r="Y66" s="6" t="s">
        <v>555</v>
      </c>
      <c r="Z66" s="15"/>
      <c r="AA66" s="15"/>
      <c r="AB66" s="15"/>
    </row>
    <row r="67" spans="1:28" ht="46" customHeight="1">
      <c r="A67" s="6" t="s">
        <v>788</v>
      </c>
      <c r="B67" s="6" t="s">
        <v>139</v>
      </c>
      <c r="C67" s="6" t="s">
        <v>117</v>
      </c>
      <c r="D67" s="7">
        <v>1</v>
      </c>
      <c r="E67" s="6" t="s">
        <v>50</v>
      </c>
      <c r="F67" s="6" t="s">
        <v>142</v>
      </c>
      <c r="G67" s="6" t="s">
        <v>789</v>
      </c>
      <c r="H67" s="6"/>
      <c r="I67" s="6"/>
      <c r="J67" s="6" t="s">
        <v>551</v>
      </c>
      <c r="K67" s="14" t="s">
        <v>552</v>
      </c>
      <c r="L67" s="15"/>
      <c r="M67" s="15"/>
      <c r="N67" s="6" t="s">
        <v>647</v>
      </c>
      <c r="O67" s="6" t="s">
        <v>648</v>
      </c>
      <c r="P67" s="6">
        <f>COUNTIFS('05_상품별배치367'!$B$7:$B$373,A67,'05_상품별배치367'!$K$7:$K$373,"&gt;0")</f>
        <v>0</v>
      </c>
      <c r="Q67" s="6">
        <f>SUMIFS('05_상품별배치367'!$K$7:$K$373,'05_상품별배치367'!$B$7:$B$373,A67)</f>
        <v>0</v>
      </c>
      <c r="R67" s="6">
        <f>IF(Z67="",'06_집기치수20'!N12,Z67)</f>
        <v>865</v>
      </c>
      <c r="S67" s="6">
        <f>IF(AA67="",'06_집기치수20'!O12,AA67)</f>
        <v>270</v>
      </c>
      <c r="T67" s="6">
        <v>100</v>
      </c>
      <c r="U67" s="6">
        <f>IF(AB67="",'06_집기치수20'!P12,AB67-'06_집기치수20'!I12)</f>
        <v>80</v>
      </c>
      <c r="V67" s="6" t="str">
        <f>IF(Q67=0,"",IF(COUNTIFS('05_상품별배치367'!$B$7:$B$373,A67,'05_상품별배치367'!$T$7:$T$373,"입력 대기")&gt;0,"",SUMIFS('05_상품별배치367'!$S$7:$S$373,'05_상품별배치367'!$B$7:$B$373,A67)))</f>
        <v/>
      </c>
      <c r="W67" s="6" t="str">
        <f>IF(Q67=0,"미진열",IF(COUNTIFS('05_상품별배치367'!$B$7:$B$373,A67,'05_상품별배치367'!$T$7:$T$373,"치수 초과")&gt;0,"치수 초과",IF(COUNTIFS('05_상품별배치367'!$B$7:$B$373,A67,'05_상품별배치367'!$T$7:$T$373,"입력 대기")&gt;0,"치수 입력 대기",IF(V67&gt;R67,"폭 합계 초과","도면/실측 범위 내·현장확인"))))</f>
        <v>미진열</v>
      </c>
      <c r="X67" s="6"/>
      <c r="Y67" s="6" t="s">
        <v>555</v>
      </c>
      <c r="Z67" s="15"/>
      <c r="AA67" s="15"/>
      <c r="AB67" s="15"/>
    </row>
    <row r="68" spans="1:28" ht="33" customHeight="1">
      <c r="A68" s="8" t="s">
        <v>790</v>
      </c>
      <c r="B68" s="8" t="s">
        <v>139</v>
      </c>
      <c r="C68" s="8" t="s">
        <v>117</v>
      </c>
      <c r="D68" s="9">
        <v>2</v>
      </c>
      <c r="E68" s="8" t="s">
        <v>50</v>
      </c>
      <c r="F68" s="8" t="s">
        <v>143</v>
      </c>
      <c r="G68" s="8" t="s">
        <v>791</v>
      </c>
      <c r="H68" s="8"/>
      <c r="I68" s="8"/>
      <c r="J68" s="8" t="s">
        <v>551</v>
      </c>
      <c r="K68" s="14" t="s">
        <v>552</v>
      </c>
      <c r="L68" s="15"/>
      <c r="M68" s="15"/>
      <c r="N68" s="8" t="s">
        <v>560</v>
      </c>
      <c r="O68" s="8" t="s">
        <v>648</v>
      </c>
      <c r="P68" s="6">
        <f>COUNTIFS('05_상품별배치367'!$B$7:$B$373,A68,'05_상품별배치367'!$K$7:$K$373,"&gt;0")</f>
        <v>0</v>
      </c>
      <c r="Q68" s="6">
        <f>SUMIFS('05_상품별배치367'!$K$7:$K$373,'05_상품별배치367'!$B$7:$B$373,A68)</f>
        <v>0</v>
      </c>
      <c r="R68" s="6">
        <f>IF(Z68="",'06_집기치수20'!N13,Z68)</f>
        <v>865</v>
      </c>
      <c r="S68" s="6">
        <f>IF(AA68="",'06_집기치수20'!O13,AA68)</f>
        <v>270</v>
      </c>
      <c r="T68" s="6">
        <v>220</v>
      </c>
      <c r="U68" s="6">
        <f>IF(AB68="",'06_집기치수20'!P13,AB68-'06_집기치수20'!I13)</f>
        <v>200</v>
      </c>
      <c r="V68" s="6" t="str">
        <f>IF(Q68=0,"",IF(COUNTIFS('05_상품별배치367'!$B$7:$B$373,A68,'05_상품별배치367'!$T$7:$T$373,"입력 대기")&gt;0,"",SUMIFS('05_상품별배치367'!$S$7:$S$373,'05_상품별배치367'!$B$7:$B$373,A68)))</f>
        <v/>
      </c>
      <c r="W68" s="6" t="str">
        <f>IF(Q68=0,"미진열",IF(COUNTIFS('05_상품별배치367'!$B$7:$B$373,A68,'05_상품별배치367'!$T$7:$T$373,"치수 초과")&gt;0,"치수 초과",IF(COUNTIFS('05_상품별배치367'!$B$7:$B$373,A68,'05_상품별배치367'!$T$7:$T$373,"입력 대기")&gt;0,"치수 입력 대기",IF(V68&gt;R68,"폭 합계 초과","도면/실측 범위 내·현장확인"))))</f>
        <v>미진열</v>
      </c>
      <c r="X68" s="6"/>
      <c r="Y68" s="6" t="s">
        <v>555</v>
      </c>
      <c r="Z68" s="15"/>
      <c r="AA68" s="15"/>
      <c r="AB68" s="15"/>
    </row>
    <row r="69" spans="1:28" ht="33" customHeight="1">
      <c r="A69" s="6" t="s">
        <v>792</v>
      </c>
      <c r="B69" s="6" t="s">
        <v>139</v>
      </c>
      <c r="C69" s="6" t="s">
        <v>117</v>
      </c>
      <c r="D69" s="7">
        <v>3</v>
      </c>
      <c r="E69" s="6" t="s">
        <v>50</v>
      </c>
      <c r="F69" s="6" t="s">
        <v>144</v>
      </c>
      <c r="G69" s="6" t="s">
        <v>793</v>
      </c>
      <c r="H69" s="6"/>
      <c r="I69" s="6"/>
      <c r="J69" s="6" t="s">
        <v>551</v>
      </c>
      <c r="K69" s="14" t="s">
        <v>552</v>
      </c>
      <c r="L69" s="15"/>
      <c r="M69" s="15"/>
      <c r="N69" s="6" t="s">
        <v>560</v>
      </c>
      <c r="O69" s="6" t="s">
        <v>648</v>
      </c>
      <c r="P69" s="6">
        <f>COUNTIFS('05_상품별배치367'!$B$7:$B$373,A69,'05_상품별배치367'!$K$7:$K$373,"&gt;0")</f>
        <v>0</v>
      </c>
      <c r="Q69" s="6">
        <f>SUMIFS('05_상품별배치367'!$K$7:$K$373,'05_상품별배치367'!$B$7:$B$373,A69)</f>
        <v>0</v>
      </c>
      <c r="R69" s="6">
        <f>IF(Z69="",'06_집기치수20'!N14,Z69)</f>
        <v>865</v>
      </c>
      <c r="S69" s="6">
        <f>IF(AA69="",'06_집기치수20'!O14,AA69)</f>
        <v>270</v>
      </c>
      <c r="T69" s="6">
        <v>220</v>
      </c>
      <c r="U69" s="6">
        <f>IF(AB69="",'06_집기치수20'!P14,AB69-'06_집기치수20'!I14)</f>
        <v>200</v>
      </c>
      <c r="V69" s="6" t="str">
        <f>IF(Q69=0,"",IF(COUNTIFS('05_상품별배치367'!$B$7:$B$373,A69,'05_상품별배치367'!$T$7:$T$373,"입력 대기")&gt;0,"",SUMIFS('05_상품별배치367'!$S$7:$S$373,'05_상품별배치367'!$B$7:$B$373,A69)))</f>
        <v/>
      </c>
      <c r="W69" s="6" t="str">
        <f>IF(Q69=0,"미진열",IF(COUNTIFS('05_상품별배치367'!$B$7:$B$373,A69,'05_상품별배치367'!$T$7:$T$373,"치수 초과")&gt;0,"치수 초과",IF(COUNTIFS('05_상품별배치367'!$B$7:$B$373,A69,'05_상품별배치367'!$T$7:$T$373,"입력 대기")&gt;0,"치수 입력 대기",IF(V69&gt;R69,"폭 합계 초과","도면/실측 범위 내·현장확인"))))</f>
        <v>미진열</v>
      </c>
      <c r="X69" s="6"/>
      <c r="Y69" s="6" t="s">
        <v>555</v>
      </c>
      <c r="Z69" s="15"/>
      <c r="AA69" s="15"/>
      <c r="AB69" s="15"/>
    </row>
    <row r="70" spans="1:28" ht="33" customHeight="1">
      <c r="A70" s="8" t="s">
        <v>794</v>
      </c>
      <c r="B70" s="8" t="s">
        <v>139</v>
      </c>
      <c r="C70" s="8" t="s">
        <v>117</v>
      </c>
      <c r="D70" s="9">
        <v>4</v>
      </c>
      <c r="E70" s="8" t="s">
        <v>50</v>
      </c>
      <c r="F70" s="8" t="s">
        <v>145</v>
      </c>
      <c r="G70" s="8" t="s">
        <v>795</v>
      </c>
      <c r="H70" s="8"/>
      <c r="I70" s="8"/>
      <c r="J70" s="8" t="s">
        <v>551</v>
      </c>
      <c r="K70" s="14" t="s">
        <v>552</v>
      </c>
      <c r="L70" s="15"/>
      <c r="M70" s="15"/>
      <c r="N70" s="8" t="s">
        <v>560</v>
      </c>
      <c r="O70" s="8" t="s">
        <v>648</v>
      </c>
      <c r="P70" s="6">
        <f>COUNTIFS('05_상품별배치367'!$B$7:$B$373,A70,'05_상품별배치367'!$K$7:$K$373,"&gt;0")</f>
        <v>0</v>
      </c>
      <c r="Q70" s="6">
        <f>SUMIFS('05_상품별배치367'!$K$7:$K$373,'05_상품별배치367'!$B$7:$B$373,A70)</f>
        <v>0</v>
      </c>
      <c r="R70" s="6">
        <f>IF(Z70="",'06_집기치수20'!N15,Z70)</f>
        <v>865</v>
      </c>
      <c r="S70" s="6">
        <f>IF(AA70="",'06_집기치수20'!O15,AA70)</f>
        <v>270</v>
      </c>
      <c r="T70" s="6">
        <v>220</v>
      </c>
      <c r="U70" s="6">
        <f>IF(AB70="",'06_집기치수20'!P15,AB70-'06_집기치수20'!I15)</f>
        <v>200</v>
      </c>
      <c r="V70" s="6" t="str">
        <f>IF(Q70=0,"",IF(COUNTIFS('05_상품별배치367'!$B$7:$B$373,A70,'05_상품별배치367'!$T$7:$T$373,"입력 대기")&gt;0,"",SUMIFS('05_상품별배치367'!$S$7:$S$373,'05_상품별배치367'!$B$7:$B$373,A70)))</f>
        <v/>
      </c>
      <c r="W70" s="6" t="str">
        <f>IF(Q70=0,"미진열",IF(COUNTIFS('05_상품별배치367'!$B$7:$B$373,A70,'05_상품별배치367'!$T$7:$T$373,"치수 초과")&gt;0,"치수 초과",IF(COUNTIFS('05_상품별배치367'!$B$7:$B$373,A70,'05_상품별배치367'!$T$7:$T$373,"입력 대기")&gt;0,"치수 입력 대기",IF(V70&gt;R70,"폭 합계 초과","도면/실측 범위 내·현장확인"))))</f>
        <v>미진열</v>
      </c>
      <c r="X70" s="6"/>
      <c r="Y70" s="6" t="s">
        <v>555</v>
      </c>
      <c r="Z70" s="15"/>
      <c r="AA70" s="15"/>
      <c r="AB70" s="15"/>
    </row>
    <row r="71" spans="1:28" ht="33" customHeight="1">
      <c r="A71" s="6" t="s">
        <v>796</v>
      </c>
      <c r="B71" s="6" t="s">
        <v>139</v>
      </c>
      <c r="C71" s="6" t="s">
        <v>117</v>
      </c>
      <c r="D71" s="7">
        <v>5</v>
      </c>
      <c r="E71" s="6" t="s">
        <v>50</v>
      </c>
      <c r="F71" s="6" t="s">
        <v>146</v>
      </c>
      <c r="G71" s="6" t="s">
        <v>795</v>
      </c>
      <c r="H71" s="6"/>
      <c r="I71" s="6"/>
      <c r="J71" s="6" t="s">
        <v>551</v>
      </c>
      <c r="K71" s="14" t="s">
        <v>552</v>
      </c>
      <c r="L71" s="15"/>
      <c r="M71" s="15"/>
      <c r="N71" s="6" t="s">
        <v>560</v>
      </c>
      <c r="O71" s="6" t="s">
        <v>648</v>
      </c>
      <c r="P71" s="6">
        <f>COUNTIFS('05_상품별배치367'!$B$7:$B$373,A71,'05_상품별배치367'!$K$7:$K$373,"&gt;0")</f>
        <v>0</v>
      </c>
      <c r="Q71" s="6">
        <f>SUMIFS('05_상품별배치367'!$K$7:$K$373,'05_상품별배치367'!$B$7:$B$373,A71)</f>
        <v>0</v>
      </c>
      <c r="R71" s="6">
        <f>IF(Z71="",'06_집기치수20'!N16,Z71)</f>
        <v>865</v>
      </c>
      <c r="S71" s="6">
        <f>IF(AA71="",'06_집기치수20'!O16,AA71)</f>
        <v>270</v>
      </c>
      <c r="T71" s="6">
        <v>220</v>
      </c>
      <c r="U71" s="6">
        <f>IF(AB71="",'06_집기치수20'!P16,AB71-'06_집기치수20'!I16)</f>
        <v>200</v>
      </c>
      <c r="V71" s="6" t="str">
        <f>IF(Q71=0,"",IF(COUNTIFS('05_상품별배치367'!$B$7:$B$373,A71,'05_상품별배치367'!$T$7:$T$373,"입력 대기")&gt;0,"",SUMIFS('05_상품별배치367'!$S$7:$S$373,'05_상품별배치367'!$B$7:$B$373,A71)))</f>
        <v/>
      </c>
      <c r="W71" s="6" t="str">
        <f>IF(Q71=0,"미진열",IF(COUNTIFS('05_상품별배치367'!$B$7:$B$373,A71,'05_상품별배치367'!$T$7:$T$373,"치수 초과")&gt;0,"치수 초과",IF(COUNTIFS('05_상품별배치367'!$B$7:$B$373,A71,'05_상품별배치367'!$T$7:$T$373,"입력 대기")&gt;0,"치수 입력 대기",IF(V71&gt;R71,"폭 합계 초과","도면/실측 범위 내·현장확인"))))</f>
        <v>미진열</v>
      </c>
      <c r="X71" s="6"/>
      <c r="Y71" s="6" t="s">
        <v>555</v>
      </c>
      <c r="Z71" s="15"/>
      <c r="AA71" s="15"/>
      <c r="AB71" s="15"/>
    </row>
    <row r="72" spans="1:28" ht="33" customHeight="1">
      <c r="A72" s="8" t="s">
        <v>797</v>
      </c>
      <c r="B72" s="8" t="s">
        <v>147</v>
      </c>
      <c r="C72" s="8" t="s">
        <v>117</v>
      </c>
      <c r="D72" s="9">
        <v>1</v>
      </c>
      <c r="E72" s="8" t="s">
        <v>60</v>
      </c>
      <c r="F72" s="8" t="s">
        <v>120</v>
      </c>
      <c r="G72" s="8" t="s">
        <v>798</v>
      </c>
      <c r="H72" s="8"/>
      <c r="I72" s="8"/>
      <c r="J72" s="8" t="s">
        <v>551</v>
      </c>
      <c r="K72" s="14" t="s">
        <v>552</v>
      </c>
      <c r="L72" s="15"/>
      <c r="M72" s="15"/>
      <c r="N72" s="8" t="s">
        <v>647</v>
      </c>
      <c r="O72" s="8" t="s">
        <v>648</v>
      </c>
      <c r="P72" s="6">
        <f>COUNTIFS('05_상품별배치367'!$B$7:$B$373,A72,'05_상품별배치367'!$K$7:$K$373,"&gt;0")</f>
        <v>0</v>
      </c>
      <c r="Q72" s="6">
        <f>SUMIFS('05_상품별배치367'!$K$7:$K$373,'05_상품별배치367'!$B$7:$B$373,A72)</f>
        <v>0</v>
      </c>
      <c r="R72" s="6">
        <f>IF(Z72="",'06_집기치수20'!N12,Z72)</f>
        <v>865</v>
      </c>
      <c r="S72" s="6">
        <f>IF(AA72="",'06_집기치수20'!O12,AA72)</f>
        <v>270</v>
      </c>
      <c r="T72" s="6">
        <v>100</v>
      </c>
      <c r="U72" s="6">
        <f>IF(AB72="",'06_집기치수20'!P12,AB72-'06_집기치수20'!I12)</f>
        <v>80</v>
      </c>
      <c r="V72" s="6" t="str">
        <f>IF(Q72=0,"",IF(COUNTIFS('05_상품별배치367'!$B$7:$B$373,A72,'05_상품별배치367'!$T$7:$T$373,"입력 대기")&gt;0,"",SUMIFS('05_상품별배치367'!$S$7:$S$373,'05_상품별배치367'!$B$7:$B$373,A72)))</f>
        <v/>
      </c>
      <c r="W72" s="6" t="str">
        <f>IF(Q72=0,"미진열",IF(COUNTIFS('05_상품별배치367'!$B$7:$B$373,A72,'05_상품별배치367'!$T$7:$T$373,"치수 초과")&gt;0,"치수 초과",IF(COUNTIFS('05_상품별배치367'!$B$7:$B$373,A72,'05_상품별배치367'!$T$7:$T$373,"입력 대기")&gt;0,"치수 입력 대기",IF(V72&gt;R72,"폭 합계 초과","도면/실측 범위 내·현장확인"))))</f>
        <v>미진열</v>
      </c>
      <c r="X72" s="6"/>
      <c r="Y72" s="6" t="s">
        <v>555</v>
      </c>
      <c r="Z72" s="15"/>
      <c r="AA72" s="15"/>
      <c r="AB72" s="15"/>
    </row>
    <row r="73" spans="1:28" ht="33" customHeight="1">
      <c r="A73" s="6" t="s">
        <v>799</v>
      </c>
      <c r="B73" s="6" t="s">
        <v>147</v>
      </c>
      <c r="C73" s="6" t="s">
        <v>117</v>
      </c>
      <c r="D73" s="7">
        <v>2</v>
      </c>
      <c r="E73" s="6" t="s">
        <v>60</v>
      </c>
      <c r="F73" s="6" t="s">
        <v>150</v>
      </c>
      <c r="G73" s="6" t="s">
        <v>150</v>
      </c>
      <c r="H73" s="6" t="s">
        <v>800</v>
      </c>
      <c r="I73" s="6" t="s">
        <v>801</v>
      </c>
      <c r="J73" s="6" t="s">
        <v>551</v>
      </c>
      <c r="K73" s="14" t="s">
        <v>594</v>
      </c>
      <c r="L73" s="15"/>
      <c r="M73" s="15"/>
      <c r="N73" s="6" t="s">
        <v>560</v>
      </c>
      <c r="O73" s="6" t="s">
        <v>648</v>
      </c>
      <c r="P73" s="6">
        <f>COUNTIFS('05_상품별배치367'!$B$7:$B$373,A73,'05_상품별배치367'!$K$7:$K$373,"&gt;0")</f>
        <v>1</v>
      </c>
      <c r="Q73" s="6">
        <f>SUMIFS('05_상품별배치367'!$K$7:$K$373,'05_상품별배치367'!$B$7:$B$373,A73)</f>
        <v>1</v>
      </c>
      <c r="R73" s="6">
        <f>IF(Z73="",'06_집기치수20'!N13,Z73)</f>
        <v>865</v>
      </c>
      <c r="S73" s="6">
        <f>IF(AA73="",'06_집기치수20'!O13,AA73)</f>
        <v>270</v>
      </c>
      <c r="T73" s="6">
        <v>220</v>
      </c>
      <c r="U73" s="6">
        <f>IF(AB73="",'06_집기치수20'!P13,AB73-'06_집기치수20'!I13)</f>
        <v>200</v>
      </c>
      <c r="V73" s="6" t="str">
        <f>IF(Q73=0,"",IF(COUNTIFS('05_상품별배치367'!$B$7:$B$373,A73,'05_상품별배치367'!$T$7:$T$373,"입력 대기")&gt;0,"",SUMIFS('05_상품별배치367'!$S$7:$S$373,'05_상품별배치367'!$B$7:$B$373,A73)))</f>
        <v/>
      </c>
      <c r="W73" s="6" t="str">
        <f>IF(Q73=0,"미진열",IF(COUNTIFS('05_상품별배치367'!$B$7:$B$373,A73,'05_상품별배치367'!$T$7:$T$373,"치수 초과")&gt;0,"치수 초과",IF(COUNTIFS('05_상품별배치367'!$B$7:$B$373,A73,'05_상품별배치367'!$T$7:$T$373,"입력 대기")&gt;0,"치수 입력 대기",IF(V73&gt;R73,"폭 합계 초과","도면/실측 범위 내·현장확인"))))</f>
        <v>치수 입력 대기</v>
      </c>
      <c r="X73" s="6" t="s">
        <v>802</v>
      </c>
      <c r="Y73" s="6" t="s">
        <v>555</v>
      </c>
      <c r="Z73" s="15"/>
      <c r="AA73" s="15"/>
      <c r="AB73" s="15"/>
    </row>
    <row r="74" spans="1:28" ht="33" customHeight="1">
      <c r="A74" s="8" t="s">
        <v>803</v>
      </c>
      <c r="B74" s="8" t="s">
        <v>147</v>
      </c>
      <c r="C74" s="8" t="s">
        <v>117</v>
      </c>
      <c r="D74" s="9">
        <v>3</v>
      </c>
      <c r="E74" s="8" t="s">
        <v>60</v>
      </c>
      <c r="F74" s="8" t="s">
        <v>151</v>
      </c>
      <c r="G74" s="8" t="s">
        <v>151</v>
      </c>
      <c r="H74" s="8" t="s">
        <v>804</v>
      </c>
      <c r="I74" s="8" t="s">
        <v>805</v>
      </c>
      <c r="J74" s="8" t="s">
        <v>551</v>
      </c>
      <c r="K74" s="14" t="s">
        <v>594</v>
      </c>
      <c r="L74" s="15"/>
      <c r="M74" s="15"/>
      <c r="N74" s="8" t="s">
        <v>560</v>
      </c>
      <c r="O74" s="8" t="s">
        <v>648</v>
      </c>
      <c r="P74" s="6">
        <f>COUNTIFS('05_상품별배치367'!$B$7:$B$373,A74,'05_상품별배치367'!$K$7:$K$373,"&gt;0")</f>
        <v>1</v>
      </c>
      <c r="Q74" s="6">
        <f>SUMIFS('05_상품별배치367'!$K$7:$K$373,'05_상품별배치367'!$B$7:$B$373,A74)</f>
        <v>1</v>
      </c>
      <c r="R74" s="6">
        <f>IF(Z74="",'06_집기치수20'!N14,Z74)</f>
        <v>865</v>
      </c>
      <c r="S74" s="6">
        <f>IF(AA74="",'06_집기치수20'!O14,AA74)</f>
        <v>270</v>
      </c>
      <c r="T74" s="6">
        <v>220</v>
      </c>
      <c r="U74" s="6">
        <f>IF(AB74="",'06_집기치수20'!P14,AB74-'06_집기치수20'!I14)</f>
        <v>200</v>
      </c>
      <c r="V74" s="6" t="str">
        <f>IF(Q74=0,"",IF(COUNTIFS('05_상품별배치367'!$B$7:$B$373,A74,'05_상품별배치367'!$T$7:$T$373,"입력 대기")&gt;0,"",SUMIFS('05_상품별배치367'!$S$7:$S$373,'05_상품별배치367'!$B$7:$B$373,A74)))</f>
        <v/>
      </c>
      <c r="W74" s="6" t="str">
        <f>IF(Q74=0,"미진열",IF(COUNTIFS('05_상품별배치367'!$B$7:$B$373,A74,'05_상품별배치367'!$T$7:$T$373,"치수 초과")&gt;0,"치수 초과",IF(COUNTIFS('05_상품별배치367'!$B$7:$B$373,A74,'05_상품별배치367'!$T$7:$T$373,"입력 대기")&gt;0,"치수 입력 대기",IF(V74&gt;R74,"폭 합계 초과","도면/실측 범위 내·현장확인"))))</f>
        <v>치수 입력 대기</v>
      </c>
      <c r="X74" s="6" t="s">
        <v>806</v>
      </c>
      <c r="Y74" s="6" t="s">
        <v>555</v>
      </c>
      <c r="Z74" s="15"/>
      <c r="AA74" s="15"/>
      <c r="AB74" s="15"/>
    </row>
    <row r="75" spans="1:28" ht="33" customHeight="1">
      <c r="A75" s="6" t="s">
        <v>807</v>
      </c>
      <c r="B75" s="6" t="s">
        <v>147</v>
      </c>
      <c r="C75" s="6" t="s">
        <v>117</v>
      </c>
      <c r="D75" s="7">
        <v>4</v>
      </c>
      <c r="E75" s="6" t="s">
        <v>60</v>
      </c>
      <c r="F75" s="6" t="s">
        <v>152</v>
      </c>
      <c r="G75" s="6" t="s">
        <v>152</v>
      </c>
      <c r="H75" s="6" t="s">
        <v>808</v>
      </c>
      <c r="I75" s="6" t="s">
        <v>809</v>
      </c>
      <c r="J75" s="6" t="s">
        <v>551</v>
      </c>
      <c r="K75" s="14" t="s">
        <v>594</v>
      </c>
      <c r="L75" s="15"/>
      <c r="M75" s="15"/>
      <c r="N75" s="6" t="s">
        <v>560</v>
      </c>
      <c r="O75" s="6" t="s">
        <v>648</v>
      </c>
      <c r="P75" s="6">
        <f>COUNTIFS('05_상품별배치367'!$B$7:$B$373,A75,'05_상품별배치367'!$K$7:$K$373,"&gt;0")</f>
        <v>1</v>
      </c>
      <c r="Q75" s="6">
        <f>SUMIFS('05_상품별배치367'!$K$7:$K$373,'05_상품별배치367'!$B$7:$B$373,A75)</f>
        <v>1</v>
      </c>
      <c r="R75" s="6">
        <f>IF(Z75="",'06_집기치수20'!N15,Z75)</f>
        <v>865</v>
      </c>
      <c r="S75" s="6">
        <f>IF(AA75="",'06_집기치수20'!O15,AA75)</f>
        <v>270</v>
      </c>
      <c r="T75" s="6">
        <v>220</v>
      </c>
      <c r="U75" s="6">
        <f>IF(AB75="",'06_집기치수20'!P15,AB75-'06_집기치수20'!I15)</f>
        <v>200</v>
      </c>
      <c r="V75" s="6" t="str">
        <f>IF(Q75=0,"",IF(COUNTIFS('05_상품별배치367'!$B$7:$B$373,A75,'05_상품별배치367'!$T$7:$T$373,"입력 대기")&gt;0,"",SUMIFS('05_상품별배치367'!$S$7:$S$373,'05_상품별배치367'!$B$7:$B$373,A75)))</f>
        <v/>
      </c>
      <c r="W75" s="6" t="str">
        <f>IF(Q75=0,"미진열",IF(COUNTIFS('05_상품별배치367'!$B$7:$B$373,A75,'05_상품별배치367'!$T$7:$T$373,"치수 초과")&gt;0,"치수 초과",IF(COUNTIFS('05_상품별배치367'!$B$7:$B$373,A75,'05_상품별배치367'!$T$7:$T$373,"입력 대기")&gt;0,"치수 입력 대기",IF(V75&gt;R75,"폭 합계 초과","도면/실측 범위 내·현장확인"))))</f>
        <v>치수 입력 대기</v>
      </c>
      <c r="X75" s="6" t="s">
        <v>810</v>
      </c>
      <c r="Y75" s="6" t="s">
        <v>555</v>
      </c>
      <c r="Z75" s="15"/>
      <c r="AA75" s="15"/>
      <c r="AB75" s="15"/>
    </row>
    <row r="76" spans="1:28" ht="33" customHeight="1">
      <c r="A76" s="8" t="s">
        <v>811</v>
      </c>
      <c r="B76" s="8" t="s">
        <v>147</v>
      </c>
      <c r="C76" s="8" t="s">
        <v>117</v>
      </c>
      <c r="D76" s="9">
        <v>5</v>
      </c>
      <c r="E76" s="8" t="s">
        <v>60</v>
      </c>
      <c r="F76" s="8" t="s">
        <v>123</v>
      </c>
      <c r="G76" s="8" t="s">
        <v>590</v>
      </c>
      <c r="H76" s="8"/>
      <c r="I76" s="8"/>
      <c r="J76" s="8" t="s">
        <v>551</v>
      </c>
      <c r="K76" s="14" t="s">
        <v>568</v>
      </c>
      <c r="L76" s="15"/>
      <c r="M76" s="15"/>
      <c r="N76" s="8" t="s">
        <v>560</v>
      </c>
      <c r="O76" s="8" t="s">
        <v>648</v>
      </c>
      <c r="P76" s="6">
        <f>COUNTIFS('05_상품별배치367'!$B$7:$B$373,A76,'05_상품별배치367'!$K$7:$K$373,"&gt;0")</f>
        <v>0</v>
      </c>
      <c r="Q76" s="6">
        <f>SUMIFS('05_상품별배치367'!$K$7:$K$373,'05_상품별배치367'!$B$7:$B$373,A76)</f>
        <v>0</v>
      </c>
      <c r="R76" s="6">
        <f>IF(Z76="",'06_집기치수20'!N16,Z76)</f>
        <v>865</v>
      </c>
      <c r="S76" s="6">
        <f>IF(AA76="",'06_집기치수20'!O16,AA76)</f>
        <v>270</v>
      </c>
      <c r="T76" s="6">
        <v>220</v>
      </c>
      <c r="U76" s="6">
        <f>IF(AB76="",'06_집기치수20'!P16,AB76-'06_집기치수20'!I16)</f>
        <v>200</v>
      </c>
      <c r="V76" s="6" t="str">
        <f>IF(Q76=0,"",IF(COUNTIFS('05_상품별배치367'!$B$7:$B$373,A76,'05_상품별배치367'!$T$7:$T$373,"입력 대기")&gt;0,"",SUMIFS('05_상품별배치367'!$S$7:$S$373,'05_상품별배치367'!$B$7:$B$373,A76)))</f>
        <v/>
      </c>
      <c r="W76" s="6" t="str">
        <f>IF(Q76=0,"미진열",IF(COUNTIFS('05_상품별배치367'!$B$7:$B$373,A76,'05_상품별배치367'!$T$7:$T$373,"치수 초과")&gt;0,"치수 초과",IF(COUNTIFS('05_상품별배치367'!$B$7:$B$373,A76,'05_상품별배치367'!$T$7:$T$373,"입력 대기")&gt;0,"치수 입력 대기",IF(V76&gt;R76,"폭 합계 초과","도면/실측 범위 내·현장확인"))))</f>
        <v>미진열</v>
      </c>
      <c r="X76" s="6"/>
      <c r="Y76" s="6" t="s">
        <v>555</v>
      </c>
      <c r="Z76" s="15"/>
      <c r="AA76" s="15"/>
      <c r="AB76" s="15"/>
    </row>
    <row r="77" spans="1:28" ht="33" customHeight="1">
      <c r="A77" s="6" t="s">
        <v>812</v>
      </c>
      <c r="B77" s="6" t="s">
        <v>153</v>
      </c>
      <c r="C77" s="6" t="s">
        <v>117</v>
      </c>
      <c r="D77" s="7">
        <v>1</v>
      </c>
      <c r="E77" s="6" t="s">
        <v>39</v>
      </c>
      <c r="F77" s="6" t="s">
        <v>120</v>
      </c>
      <c r="G77" s="6" t="s">
        <v>156</v>
      </c>
      <c r="H77" s="6"/>
      <c r="I77" s="6"/>
      <c r="J77" s="6" t="s">
        <v>551</v>
      </c>
      <c r="K77" s="14" t="s">
        <v>552</v>
      </c>
      <c r="L77" s="15"/>
      <c r="M77" s="15"/>
      <c r="N77" s="6" t="s">
        <v>647</v>
      </c>
      <c r="O77" s="6" t="s">
        <v>648</v>
      </c>
      <c r="P77" s="6">
        <f>COUNTIFS('05_상품별배치367'!$B$7:$B$373,A77,'05_상품별배치367'!$K$7:$K$373,"&gt;0")</f>
        <v>0</v>
      </c>
      <c r="Q77" s="6">
        <f>SUMIFS('05_상품별배치367'!$K$7:$K$373,'05_상품별배치367'!$B$7:$B$373,A77)</f>
        <v>0</v>
      </c>
      <c r="R77" s="6">
        <f>IF(Z77="",'06_집기치수20'!N12,Z77)</f>
        <v>865</v>
      </c>
      <c r="S77" s="6">
        <f>IF(AA77="",'06_집기치수20'!O12,AA77)</f>
        <v>270</v>
      </c>
      <c r="T77" s="6">
        <v>100</v>
      </c>
      <c r="U77" s="6">
        <f>IF(AB77="",'06_집기치수20'!P12,AB77-'06_집기치수20'!I12)</f>
        <v>80</v>
      </c>
      <c r="V77" s="6" t="str">
        <f>IF(Q77=0,"",IF(COUNTIFS('05_상품별배치367'!$B$7:$B$373,A77,'05_상품별배치367'!$T$7:$T$373,"입력 대기")&gt;0,"",SUMIFS('05_상품별배치367'!$S$7:$S$373,'05_상품별배치367'!$B$7:$B$373,A77)))</f>
        <v/>
      </c>
      <c r="W77" s="6" t="str">
        <f>IF(Q77=0,"미진열",IF(COUNTIFS('05_상품별배치367'!$B$7:$B$373,A77,'05_상품별배치367'!$T$7:$T$373,"치수 초과")&gt;0,"치수 초과",IF(COUNTIFS('05_상품별배치367'!$B$7:$B$373,A77,'05_상품별배치367'!$T$7:$T$373,"입력 대기")&gt;0,"치수 입력 대기",IF(V77&gt;R77,"폭 합계 초과","도면/실측 범위 내·현장확인"))))</f>
        <v>미진열</v>
      </c>
      <c r="X77" s="6"/>
      <c r="Y77" s="6" t="s">
        <v>555</v>
      </c>
      <c r="Z77" s="15"/>
      <c r="AA77" s="15"/>
      <c r="AB77" s="15"/>
    </row>
    <row r="78" spans="1:28" ht="33" customHeight="1">
      <c r="A78" s="8" t="s">
        <v>813</v>
      </c>
      <c r="B78" s="8" t="s">
        <v>153</v>
      </c>
      <c r="C78" s="8" t="s">
        <v>117</v>
      </c>
      <c r="D78" s="9">
        <v>2</v>
      </c>
      <c r="E78" s="8" t="s">
        <v>39</v>
      </c>
      <c r="F78" s="8" t="s">
        <v>156</v>
      </c>
      <c r="G78" s="8" t="s">
        <v>156</v>
      </c>
      <c r="H78" s="8" t="s">
        <v>814</v>
      </c>
      <c r="I78" s="8" t="s">
        <v>815</v>
      </c>
      <c r="J78" s="8" t="s">
        <v>551</v>
      </c>
      <c r="K78" s="14" t="s">
        <v>594</v>
      </c>
      <c r="L78" s="15"/>
      <c r="M78" s="15"/>
      <c r="N78" s="8" t="s">
        <v>560</v>
      </c>
      <c r="O78" s="8" t="s">
        <v>648</v>
      </c>
      <c r="P78" s="6">
        <f>COUNTIFS('05_상품별배치367'!$B$7:$B$373,A78,'05_상품별배치367'!$K$7:$K$373,"&gt;0")</f>
        <v>1</v>
      </c>
      <c r="Q78" s="6">
        <f>SUMIFS('05_상품별배치367'!$K$7:$K$373,'05_상품별배치367'!$B$7:$B$373,A78)</f>
        <v>1</v>
      </c>
      <c r="R78" s="6">
        <f>IF(Z78="",'06_집기치수20'!N13,Z78)</f>
        <v>865</v>
      </c>
      <c r="S78" s="6">
        <f>IF(AA78="",'06_집기치수20'!O13,AA78)</f>
        <v>270</v>
      </c>
      <c r="T78" s="6">
        <v>220</v>
      </c>
      <c r="U78" s="6">
        <f>IF(AB78="",'06_집기치수20'!P13,AB78-'06_집기치수20'!I13)</f>
        <v>200</v>
      </c>
      <c r="V78" s="6" t="str">
        <f>IF(Q78=0,"",IF(COUNTIFS('05_상품별배치367'!$B$7:$B$373,A78,'05_상품별배치367'!$T$7:$T$373,"입력 대기")&gt;0,"",SUMIFS('05_상품별배치367'!$S$7:$S$373,'05_상품별배치367'!$B$7:$B$373,A78)))</f>
        <v/>
      </c>
      <c r="W78" s="6" t="str">
        <f>IF(Q78=0,"미진열",IF(COUNTIFS('05_상품별배치367'!$B$7:$B$373,A78,'05_상품별배치367'!$T$7:$T$373,"치수 초과")&gt;0,"치수 초과",IF(COUNTIFS('05_상품별배치367'!$B$7:$B$373,A78,'05_상품별배치367'!$T$7:$T$373,"입력 대기")&gt;0,"치수 입력 대기",IF(V78&gt;R78,"폭 합계 초과","도면/실측 범위 내·현장확인"))))</f>
        <v>치수 입력 대기</v>
      </c>
      <c r="X78" s="6" t="s">
        <v>816</v>
      </c>
      <c r="Y78" s="6" t="s">
        <v>555</v>
      </c>
      <c r="Z78" s="15"/>
      <c r="AA78" s="15"/>
      <c r="AB78" s="15"/>
    </row>
    <row r="79" spans="1:28" ht="33" customHeight="1">
      <c r="A79" s="6" t="s">
        <v>817</v>
      </c>
      <c r="B79" s="6" t="s">
        <v>153</v>
      </c>
      <c r="C79" s="6" t="s">
        <v>117</v>
      </c>
      <c r="D79" s="7">
        <v>3</v>
      </c>
      <c r="E79" s="6" t="s">
        <v>39</v>
      </c>
      <c r="F79" s="6" t="s">
        <v>156</v>
      </c>
      <c r="G79" s="6" t="s">
        <v>156</v>
      </c>
      <c r="H79" s="6" t="s">
        <v>818</v>
      </c>
      <c r="I79" s="6" t="s">
        <v>819</v>
      </c>
      <c r="J79" s="6" t="s">
        <v>551</v>
      </c>
      <c r="K79" s="14" t="s">
        <v>594</v>
      </c>
      <c r="L79" s="15"/>
      <c r="M79" s="15"/>
      <c r="N79" s="6" t="s">
        <v>560</v>
      </c>
      <c r="O79" s="6" t="s">
        <v>648</v>
      </c>
      <c r="P79" s="6">
        <f>COUNTIFS('05_상품별배치367'!$B$7:$B$373,A79,'05_상품별배치367'!$K$7:$K$373,"&gt;0")</f>
        <v>1</v>
      </c>
      <c r="Q79" s="6">
        <f>SUMIFS('05_상품별배치367'!$K$7:$K$373,'05_상품별배치367'!$B$7:$B$373,A79)</f>
        <v>1</v>
      </c>
      <c r="R79" s="6">
        <f>IF(Z79="",'06_집기치수20'!N14,Z79)</f>
        <v>865</v>
      </c>
      <c r="S79" s="6">
        <f>IF(AA79="",'06_집기치수20'!O14,AA79)</f>
        <v>270</v>
      </c>
      <c r="T79" s="6">
        <v>220</v>
      </c>
      <c r="U79" s="6">
        <f>IF(AB79="",'06_집기치수20'!P14,AB79-'06_집기치수20'!I14)</f>
        <v>200</v>
      </c>
      <c r="V79" s="6" t="str">
        <f>IF(Q79=0,"",IF(COUNTIFS('05_상품별배치367'!$B$7:$B$373,A79,'05_상품별배치367'!$T$7:$T$373,"입력 대기")&gt;0,"",SUMIFS('05_상품별배치367'!$S$7:$S$373,'05_상품별배치367'!$B$7:$B$373,A79)))</f>
        <v/>
      </c>
      <c r="W79" s="6" t="str">
        <f>IF(Q79=0,"미진열",IF(COUNTIFS('05_상품별배치367'!$B$7:$B$373,A79,'05_상품별배치367'!$T$7:$T$373,"치수 초과")&gt;0,"치수 초과",IF(COUNTIFS('05_상품별배치367'!$B$7:$B$373,A79,'05_상품별배치367'!$T$7:$T$373,"입력 대기")&gt;0,"치수 입력 대기",IF(V79&gt;R79,"폭 합계 초과","도면/실측 범위 내·현장확인"))))</f>
        <v>치수 입력 대기</v>
      </c>
      <c r="X79" s="6" t="s">
        <v>820</v>
      </c>
      <c r="Y79" s="6" t="s">
        <v>555</v>
      </c>
      <c r="Z79" s="15"/>
      <c r="AA79" s="15"/>
      <c r="AB79" s="15"/>
    </row>
    <row r="80" spans="1:28" ht="33" customHeight="1">
      <c r="A80" s="8" t="s">
        <v>821</v>
      </c>
      <c r="B80" s="8" t="s">
        <v>153</v>
      </c>
      <c r="C80" s="8" t="s">
        <v>117</v>
      </c>
      <c r="D80" s="9">
        <v>4</v>
      </c>
      <c r="E80" s="8" t="s">
        <v>39</v>
      </c>
      <c r="F80" s="8" t="s">
        <v>156</v>
      </c>
      <c r="G80" s="8" t="s">
        <v>156</v>
      </c>
      <c r="H80" s="8" t="s">
        <v>822</v>
      </c>
      <c r="I80" s="8" t="s">
        <v>823</v>
      </c>
      <c r="J80" s="8" t="s">
        <v>551</v>
      </c>
      <c r="K80" s="14" t="s">
        <v>594</v>
      </c>
      <c r="L80" s="15"/>
      <c r="M80" s="15"/>
      <c r="N80" s="8" t="s">
        <v>560</v>
      </c>
      <c r="O80" s="8" t="s">
        <v>648</v>
      </c>
      <c r="P80" s="6">
        <f>COUNTIFS('05_상품별배치367'!$B$7:$B$373,A80,'05_상품별배치367'!$K$7:$K$373,"&gt;0")</f>
        <v>1</v>
      </c>
      <c r="Q80" s="6">
        <f>SUMIFS('05_상품별배치367'!$K$7:$K$373,'05_상품별배치367'!$B$7:$B$373,A80)</f>
        <v>1</v>
      </c>
      <c r="R80" s="6">
        <f>IF(Z80="",'06_집기치수20'!N15,Z80)</f>
        <v>865</v>
      </c>
      <c r="S80" s="6">
        <f>IF(AA80="",'06_집기치수20'!O15,AA80)</f>
        <v>270</v>
      </c>
      <c r="T80" s="6">
        <v>220</v>
      </c>
      <c r="U80" s="6">
        <f>IF(AB80="",'06_집기치수20'!P15,AB80-'06_집기치수20'!I15)</f>
        <v>200</v>
      </c>
      <c r="V80" s="6" t="str">
        <f>IF(Q80=0,"",IF(COUNTIFS('05_상품별배치367'!$B$7:$B$373,A80,'05_상품별배치367'!$T$7:$T$373,"입력 대기")&gt;0,"",SUMIFS('05_상품별배치367'!$S$7:$S$373,'05_상품별배치367'!$B$7:$B$373,A80)))</f>
        <v/>
      </c>
      <c r="W80" s="6" t="str">
        <f>IF(Q80=0,"미진열",IF(COUNTIFS('05_상품별배치367'!$B$7:$B$373,A80,'05_상품별배치367'!$T$7:$T$373,"치수 초과")&gt;0,"치수 초과",IF(COUNTIFS('05_상품별배치367'!$B$7:$B$373,A80,'05_상품별배치367'!$T$7:$T$373,"입력 대기")&gt;0,"치수 입력 대기",IF(V80&gt;R80,"폭 합계 초과","도면/실측 범위 내·현장확인"))))</f>
        <v>치수 입력 대기</v>
      </c>
      <c r="X80" s="6" t="s">
        <v>824</v>
      </c>
      <c r="Y80" s="6" t="s">
        <v>555</v>
      </c>
      <c r="Z80" s="15"/>
      <c r="AA80" s="15"/>
      <c r="AB80" s="15"/>
    </row>
    <row r="81" spans="1:28" ht="33" customHeight="1">
      <c r="A81" s="6" t="s">
        <v>825</v>
      </c>
      <c r="B81" s="6" t="s">
        <v>153</v>
      </c>
      <c r="C81" s="6" t="s">
        <v>117</v>
      </c>
      <c r="D81" s="7">
        <v>5</v>
      </c>
      <c r="E81" s="6" t="s">
        <v>39</v>
      </c>
      <c r="F81" s="6" t="s">
        <v>123</v>
      </c>
      <c r="G81" s="6" t="s">
        <v>590</v>
      </c>
      <c r="H81" s="6"/>
      <c r="I81" s="6"/>
      <c r="J81" s="6" t="s">
        <v>551</v>
      </c>
      <c r="K81" s="14" t="s">
        <v>568</v>
      </c>
      <c r="L81" s="15"/>
      <c r="M81" s="15"/>
      <c r="N81" s="6" t="s">
        <v>560</v>
      </c>
      <c r="O81" s="6" t="s">
        <v>648</v>
      </c>
      <c r="P81" s="6">
        <f>COUNTIFS('05_상품별배치367'!$B$7:$B$373,A81,'05_상품별배치367'!$K$7:$K$373,"&gt;0")</f>
        <v>0</v>
      </c>
      <c r="Q81" s="6">
        <f>SUMIFS('05_상품별배치367'!$K$7:$K$373,'05_상품별배치367'!$B$7:$B$373,A81)</f>
        <v>0</v>
      </c>
      <c r="R81" s="6">
        <f>IF(Z81="",'06_집기치수20'!N16,Z81)</f>
        <v>865</v>
      </c>
      <c r="S81" s="6">
        <f>IF(AA81="",'06_집기치수20'!O16,AA81)</f>
        <v>270</v>
      </c>
      <c r="T81" s="6">
        <v>220</v>
      </c>
      <c r="U81" s="6">
        <f>IF(AB81="",'06_집기치수20'!P16,AB81-'06_집기치수20'!I16)</f>
        <v>200</v>
      </c>
      <c r="V81" s="6" t="str">
        <f>IF(Q81=0,"",IF(COUNTIFS('05_상품별배치367'!$B$7:$B$373,A81,'05_상품별배치367'!$T$7:$T$373,"입력 대기")&gt;0,"",SUMIFS('05_상품별배치367'!$S$7:$S$373,'05_상품별배치367'!$B$7:$B$373,A81)))</f>
        <v/>
      </c>
      <c r="W81" s="6" t="str">
        <f>IF(Q81=0,"미진열",IF(COUNTIFS('05_상품별배치367'!$B$7:$B$373,A81,'05_상품별배치367'!$T$7:$T$373,"치수 초과")&gt;0,"치수 초과",IF(COUNTIFS('05_상품별배치367'!$B$7:$B$373,A81,'05_상품별배치367'!$T$7:$T$373,"입력 대기")&gt;0,"치수 입력 대기",IF(V81&gt;R81,"폭 합계 초과","도면/실측 범위 내·현장확인"))))</f>
        <v>미진열</v>
      </c>
      <c r="X81" s="6"/>
      <c r="Y81" s="6" t="s">
        <v>555</v>
      </c>
      <c r="Z81" s="15"/>
      <c r="AA81" s="15"/>
      <c r="AB81" s="15"/>
    </row>
    <row r="82" spans="1:28" ht="33" customHeight="1">
      <c r="A82" s="8" t="s">
        <v>826</v>
      </c>
      <c r="B82" s="8" t="s">
        <v>158</v>
      </c>
      <c r="C82" s="8" t="s">
        <v>117</v>
      </c>
      <c r="D82" s="9">
        <v>1</v>
      </c>
      <c r="E82" s="8" t="s">
        <v>39</v>
      </c>
      <c r="F82" s="8" t="s">
        <v>120</v>
      </c>
      <c r="G82" s="8" t="s">
        <v>827</v>
      </c>
      <c r="H82" s="8"/>
      <c r="I82" s="8"/>
      <c r="J82" s="8" t="s">
        <v>551</v>
      </c>
      <c r="K82" s="14" t="s">
        <v>552</v>
      </c>
      <c r="L82" s="15"/>
      <c r="M82" s="15"/>
      <c r="N82" s="8" t="s">
        <v>647</v>
      </c>
      <c r="O82" s="8" t="s">
        <v>648</v>
      </c>
      <c r="P82" s="6">
        <f>COUNTIFS('05_상품별배치367'!$B$7:$B$373,A82,'05_상품별배치367'!$K$7:$K$373,"&gt;0")</f>
        <v>0</v>
      </c>
      <c r="Q82" s="6">
        <f>SUMIFS('05_상품별배치367'!$K$7:$K$373,'05_상품별배치367'!$B$7:$B$373,A82)</f>
        <v>0</v>
      </c>
      <c r="R82" s="6">
        <f>IF(Z82="",'06_집기치수20'!N12,Z82)</f>
        <v>865</v>
      </c>
      <c r="S82" s="6">
        <f>IF(AA82="",'06_집기치수20'!O12,AA82)</f>
        <v>270</v>
      </c>
      <c r="T82" s="6">
        <v>100</v>
      </c>
      <c r="U82" s="6">
        <f>IF(AB82="",'06_집기치수20'!P12,AB82-'06_집기치수20'!I12)</f>
        <v>80</v>
      </c>
      <c r="V82" s="6" t="str">
        <f>IF(Q82=0,"",IF(COUNTIFS('05_상품별배치367'!$B$7:$B$373,A82,'05_상품별배치367'!$T$7:$T$373,"입력 대기")&gt;0,"",SUMIFS('05_상품별배치367'!$S$7:$S$373,'05_상품별배치367'!$B$7:$B$373,A82)))</f>
        <v/>
      </c>
      <c r="W82" s="6" t="str">
        <f>IF(Q82=0,"미진열",IF(COUNTIFS('05_상품별배치367'!$B$7:$B$373,A82,'05_상품별배치367'!$T$7:$T$373,"치수 초과")&gt;0,"치수 초과",IF(COUNTIFS('05_상품별배치367'!$B$7:$B$373,A82,'05_상품별배치367'!$T$7:$T$373,"입력 대기")&gt;0,"치수 입력 대기",IF(V82&gt;R82,"폭 합계 초과","도면/실측 범위 내·현장확인"))))</f>
        <v>미진열</v>
      </c>
      <c r="X82" s="6"/>
      <c r="Y82" s="6" t="s">
        <v>555</v>
      </c>
      <c r="Z82" s="15"/>
      <c r="AA82" s="15"/>
      <c r="AB82" s="15"/>
    </row>
    <row r="83" spans="1:28" ht="33" customHeight="1">
      <c r="A83" s="6" t="s">
        <v>828</v>
      </c>
      <c r="B83" s="6" t="s">
        <v>158</v>
      </c>
      <c r="C83" s="6" t="s">
        <v>117</v>
      </c>
      <c r="D83" s="7">
        <v>2</v>
      </c>
      <c r="E83" s="6" t="s">
        <v>39</v>
      </c>
      <c r="F83" s="6" t="s">
        <v>161</v>
      </c>
      <c r="G83" s="6" t="s">
        <v>161</v>
      </c>
      <c r="H83" s="6" t="s">
        <v>829</v>
      </c>
      <c r="I83" s="6" t="s">
        <v>830</v>
      </c>
      <c r="J83" s="6" t="s">
        <v>551</v>
      </c>
      <c r="K83" s="14" t="s">
        <v>594</v>
      </c>
      <c r="L83" s="15"/>
      <c r="M83" s="15"/>
      <c r="N83" s="6" t="s">
        <v>560</v>
      </c>
      <c r="O83" s="6" t="s">
        <v>648</v>
      </c>
      <c r="P83" s="6">
        <f>COUNTIFS('05_상품별배치367'!$B$7:$B$373,A83,'05_상품별배치367'!$K$7:$K$373,"&gt;0")</f>
        <v>1</v>
      </c>
      <c r="Q83" s="6">
        <f>SUMIFS('05_상품별배치367'!$K$7:$K$373,'05_상품별배치367'!$B$7:$B$373,A83)</f>
        <v>1</v>
      </c>
      <c r="R83" s="6">
        <f>IF(Z83="",'06_집기치수20'!N13,Z83)</f>
        <v>865</v>
      </c>
      <c r="S83" s="6">
        <f>IF(AA83="",'06_집기치수20'!O13,AA83)</f>
        <v>270</v>
      </c>
      <c r="T83" s="6">
        <v>220</v>
      </c>
      <c r="U83" s="6">
        <f>IF(AB83="",'06_집기치수20'!P13,AB83-'06_집기치수20'!I13)</f>
        <v>200</v>
      </c>
      <c r="V83" s="6" t="str">
        <f>IF(Q83=0,"",IF(COUNTIFS('05_상품별배치367'!$B$7:$B$373,A83,'05_상품별배치367'!$T$7:$T$373,"입력 대기")&gt;0,"",SUMIFS('05_상품별배치367'!$S$7:$S$373,'05_상품별배치367'!$B$7:$B$373,A83)))</f>
        <v/>
      </c>
      <c r="W83" s="6" t="str">
        <f>IF(Q83=0,"미진열",IF(COUNTIFS('05_상품별배치367'!$B$7:$B$373,A83,'05_상품별배치367'!$T$7:$T$373,"치수 초과")&gt;0,"치수 초과",IF(COUNTIFS('05_상품별배치367'!$B$7:$B$373,A83,'05_상품별배치367'!$T$7:$T$373,"입력 대기")&gt;0,"치수 입력 대기",IF(V83&gt;R83,"폭 합계 초과","도면/실측 범위 내·현장확인"))))</f>
        <v>치수 입력 대기</v>
      </c>
      <c r="X83" s="6" t="s">
        <v>831</v>
      </c>
      <c r="Y83" s="6" t="s">
        <v>555</v>
      </c>
      <c r="Z83" s="15"/>
      <c r="AA83" s="15"/>
      <c r="AB83" s="15"/>
    </row>
    <row r="84" spans="1:28" ht="33" customHeight="1">
      <c r="A84" s="8" t="s">
        <v>832</v>
      </c>
      <c r="B84" s="8" t="s">
        <v>158</v>
      </c>
      <c r="C84" s="8" t="s">
        <v>117</v>
      </c>
      <c r="D84" s="9">
        <v>3</v>
      </c>
      <c r="E84" s="8" t="s">
        <v>39</v>
      </c>
      <c r="F84" s="8" t="s">
        <v>162</v>
      </c>
      <c r="G84" s="8" t="s">
        <v>162</v>
      </c>
      <c r="H84" s="8" t="s">
        <v>833</v>
      </c>
      <c r="I84" s="8" t="s">
        <v>834</v>
      </c>
      <c r="J84" s="8" t="s">
        <v>551</v>
      </c>
      <c r="K84" s="14" t="s">
        <v>594</v>
      </c>
      <c r="L84" s="15"/>
      <c r="M84" s="15"/>
      <c r="N84" s="8" t="s">
        <v>560</v>
      </c>
      <c r="O84" s="8" t="s">
        <v>648</v>
      </c>
      <c r="P84" s="6">
        <f>COUNTIFS('05_상품별배치367'!$B$7:$B$373,A84,'05_상품별배치367'!$K$7:$K$373,"&gt;0")</f>
        <v>1</v>
      </c>
      <c r="Q84" s="6">
        <f>SUMIFS('05_상품별배치367'!$K$7:$K$373,'05_상품별배치367'!$B$7:$B$373,A84)</f>
        <v>1</v>
      </c>
      <c r="R84" s="6">
        <f>IF(Z84="",'06_집기치수20'!N14,Z84)</f>
        <v>865</v>
      </c>
      <c r="S84" s="6">
        <f>IF(AA84="",'06_집기치수20'!O14,AA84)</f>
        <v>270</v>
      </c>
      <c r="T84" s="6">
        <v>220</v>
      </c>
      <c r="U84" s="6">
        <f>IF(AB84="",'06_집기치수20'!P14,AB84-'06_집기치수20'!I14)</f>
        <v>200</v>
      </c>
      <c r="V84" s="6" t="str">
        <f>IF(Q84=0,"",IF(COUNTIFS('05_상품별배치367'!$B$7:$B$373,A84,'05_상품별배치367'!$T$7:$T$373,"입력 대기")&gt;0,"",SUMIFS('05_상품별배치367'!$S$7:$S$373,'05_상품별배치367'!$B$7:$B$373,A84)))</f>
        <v/>
      </c>
      <c r="W84" s="6" t="str">
        <f>IF(Q84=0,"미진열",IF(COUNTIFS('05_상품별배치367'!$B$7:$B$373,A84,'05_상품별배치367'!$T$7:$T$373,"치수 초과")&gt;0,"치수 초과",IF(COUNTIFS('05_상품별배치367'!$B$7:$B$373,A84,'05_상품별배치367'!$T$7:$T$373,"입력 대기")&gt;0,"치수 입력 대기",IF(V84&gt;R84,"폭 합계 초과","도면/실측 범위 내·현장확인"))))</f>
        <v>치수 입력 대기</v>
      </c>
      <c r="X84" s="6" t="s">
        <v>835</v>
      </c>
      <c r="Y84" s="6" t="s">
        <v>555</v>
      </c>
      <c r="Z84" s="15"/>
      <c r="AA84" s="15"/>
      <c r="AB84" s="15"/>
    </row>
    <row r="85" spans="1:28" ht="33" customHeight="1">
      <c r="A85" s="6" t="s">
        <v>836</v>
      </c>
      <c r="B85" s="6" t="s">
        <v>158</v>
      </c>
      <c r="C85" s="6" t="s">
        <v>117</v>
      </c>
      <c r="D85" s="7">
        <v>4</v>
      </c>
      <c r="E85" s="6" t="s">
        <v>39</v>
      </c>
      <c r="F85" s="6" t="s">
        <v>163</v>
      </c>
      <c r="G85" s="6" t="s">
        <v>163</v>
      </c>
      <c r="H85" s="6" t="s">
        <v>837</v>
      </c>
      <c r="I85" s="6" t="s">
        <v>838</v>
      </c>
      <c r="J85" s="6" t="s">
        <v>551</v>
      </c>
      <c r="K85" s="14" t="s">
        <v>594</v>
      </c>
      <c r="L85" s="15"/>
      <c r="M85" s="15"/>
      <c r="N85" s="6" t="s">
        <v>560</v>
      </c>
      <c r="O85" s="6" t="s">
        <v>648</v>
      </c>
      <c r="P85" s="6">
        <f>COUNTIFS('05_상품별배치367'!$B$7:$B$373,A85,'05_상품별배치367'!$K$7:$K$373,"&gt;0")</f>
        <v>1</v>
      </c>
      <c r="Q85" s="6">
        <f>SUMIFS('05_상품별배치367'!$K$7:$K$373,'05_상품별배치367'!$B$7:$B$373,A85)</f>
        <v>1</v>
      </c>
      <c r="R85" s="6">
        <f>IF(Z85="",'06_집기치수20'!N15,Z85)</f>
        <v>865</v>
      </c>
      <c r="S85" s="6">
        <f>IF(AA85="",'06_집기치수20'!O15,AA85)</f>
        <v>270</v>
      </c>
      <c r="T85" s="6">
        <v>220</v>
      </c>
      <c r="U85" s="6">
        <f>IF(AB85="",'06_집기치수20'!P15,AB85-'06_집기치수20'!I15)</f>
        <v>200</v>
      </c>
      <c r="V85" s="6" t="str">
        <f>IF(Q85=0,"",IF(COUNTIFS('05_상품별배치367'!$B$7:$B$373,A85,'05_상품별배치367'!$T$7:$T$373,"입력 대기")&gt;0,"",SUMIFS('05_상품별배치367'!$S$7:$S$373,'05_상품별배치367'!$B$7:$B$373,A85)))</f>
        <v/>
      </c>
      <c r="W85" s="6" t="str">
        <f>IF(Q85=0,"미진열",IF(COUNTIFS('05_상품별배치367'!$B$7:$B$373,A85,'05_상품별배치367'!$T$7:$T$373,"치수 초과")&gt;0,"치수 초과",IF(COUNTIFS('05_상품별배치367'!$B$7:$B$373,A85,'05_상품별배치367'!$T$7:$T$373,"입력 대기")&gt;0,"치수 입력 대기",IF(V85&gt;R85,"폭 합계 초과","도면/실측 범위 내·현장확인"))))</f>
        <v>치수 입력 대기</v>
      </c>
      <c r="X85" s="6" t="s">
        <v>839</v>
      </c>
      <c r="Y85" s="6" t="s">
        <v>555</v>
      </c>
      <c r="Z85" s="15"/>
      <c r="AA85" s="15"/>
      <c r="AB85" s="15"/>
    </row>
    <row r="86" spans="1:28" ht="33" customHeight="1">
      <c r="A86" s="8" t="s">
        <v>840</v>
      </c>
      <c r="B86" s="8" t="s">
        <v>158</v>
      </c>
      <c r="C86" s="8" t="s">
        <v>117</v>
      </c>
      <c r="D86" s="9">
        <v>5</v>
      </c>
      <c r="E86" s="8" t="s">
        <v>39</v>
      </c>
      <c r="F86" s="8" t="s">
        <v>123</v>
      </c>
      <c r="G86" s="8" t="s">
        <v>590</v>
      </c>
      <c r="H86" s="8"/>
      <c r="I86" s="8"/>
      <c r="J86" s="8" t="s">
        <v>551</v>
      </c>
      <c r="K86" s="14" t="s">
        <v>568</v>
      </c>
      <c r="L86" s="15"/>
      <c r="M86" s="15"/>
      <c r="N86" s="8" t="s">
        <v>560</v>
      </c>
      <c r="O86" s="8" t="s">
        <v>648</v>
      </c>
      <c r="P86" s="6">
        <f>COUNTIFS('05_상품별배치367'!$B$7:$B$373,A86,'05_상품별배치367'!$K$7:$K$373,"&gt;0")</f>
        <v>0</v>
      </c>
      <c r="Q86" s="6">
        <f>SUMIFS('05_상품별배치367'!$K$7:$K$373,'05_상품별배치367'!$B$7:$B$373,A86)</f>
        <v>0</v>
      </c>
      <c r="R86" s="6">
        <f>IF(Z86="",'06_집기치수20'!N16,Z86)</f>
        <v>865</v>
      </c>
      <c r="S86" s="6">
        <f>IF(AA86="",'06_집기치수20'!O16,AA86)</f>
        <v>270</v>
      </c>
      <c r="T86" s="6">
        <v>220</v>
      </c>
      <c r="U86" s="6">
        <f>IF(AB86="",'06_집기치수20'!P16,AB86-'06_집기치수20'!I16)</f>
        <v>200</v>
      </c>
      <c r="V86" s="6" t="str">
        <f>IF(Q86=0,"",IF(COUNTIFS('05_상품별배치367'!$B$7:$B$373,A86,'05_상품별배치367'!$T$7:$T$373,"입력 대기")&gt;0,"",SUMIFS('05_상품별배치367'!$S$7:$S$373,'05_상품별배치367'!$B$7:$B$373,A86)))</f>
        <v/>
      </c>
      <c r="W86" s="6" t="str">
        <f>IF(Q86=0,"미진열",IF(COUNTIFS('05_상품별배치367'!$B$7:$B$373,A86,'05_상품별배치367'!$T$7:$T$373,"치수 초과")&gt;0,"치수 초과",IF(COUNTIFS('05_상품별배치367'!$B$7:$B$373,A86,'05_상품별배치367'!$T$7:$T$373,"입력 대기")&gt;0,"치수 입력 대기",IF(V86&gt;R86,"폭 합계 초과","도면/실측 범위 내·현장확인"))))</f>
        <v>미진열</v>
      </c>
      <c r="X86" s="6"/>
      <c r="Y86" s="6" t="s">
        <v>555</v>
      </c>
      <c r="Z86" s="15"/>
      <c r="AA86" s="15"/>
      <c r="AB86" s="15"/>
    </row>
    <row r="87" spans="1:28" ht="33" customHeight="1">
      <c r="A87" s="6" t="s">
        <v>841</v>
      </c>
      <c r="B87" s="6" t="s">
        <v>164</v>
      </c>
      <c r="C87" s="6" t="s">
        <v>117</v>
      </c>
      <c r="D87" s="7">
        <v>1</v>
      </c>
      <c r="E87" s="6" t="s">
        <v>50</v>
      </c>
      <c r="F87" s="6" t="s">
        <v>167</v>
      </c>
      <c r="G87" s="6" t="s">
        <v>842</v>
      </c>
      <c r="H87" s="6"/>
      <c r="I87" s="6"/>
      <c r="J87" s="6" t="s">
        <v>551</v>
      </c>
      <c r="K87" s="14" t="s">
        <v>552</v>
      </c>
      <c r="L87" s="15"/>
      <c r="M87" s="15"/>
      <c r="N87" s="6" t="s">
        <v>647</v>
      </c>
      <c r="O87" s="6" t="s">
        <v>648</v>
      </c>
      <c r="P87" s="6">
        <f>COUNTIFS('05_상품별배치367'!$B$7:$B$373,A87,'05_상품별배치367'!$K$7:$K$373,"&gt;0")</f>
        <v>0</v>
      </c>
      <c r="Q87" s="6">
        <f>SUMIFS('05_상품별배치367'!$K$7:$K$373,'05_상품별배치367'!$B$7:$B$373,A87)</f>
        <v>0</v>
      </c>
      <c r="R87" s="6">
        <f>IF(Z87="",'06_집기치수20'!N12,Z87)</f>
        <v>865</v>
      </c>
      <c r="S87" s="6">
        <f>IF(AA87="",'06_집기치수20'!O12,AA87)</f>
        <v>270</v>
      </c>
      <c r="T87" s="6">
        <v>100</v>
      </c>
      <c r="U87" s="6">
        <f>IF(AB87="",'06_집기치수20'!P12,AB87-'06_집기치수20'!I12)</f>
        <v>80</v>
      </c>
      <c r="V87" s="6" t="str">
        <f>IF(Q87=0,"",IF(COUNTIFS('05_상품별배치367'!$B$7:$B$373,A87,'05_상품별배치367'!$T$7:$T$373,"입력 대기")&gt;0,"",SUMIFS('05_상품별배치367'!$S$7:$S$373,'05_상품별배치367'!$B$7:$B$373,A87)))</f>
        <v/>
      </c>
      <c r="W87" s="6" t="str">
        <f>IF(Q87=0,"미진열",IF(COUNTIFS('05_상품별배치367'!$B$7:$B$373,A87,'05_상품별배치367'!$T$7:$T$373,"치수 초과")&gt;0,"치수 초과",IF(COUNTIFS('05_상품별배치367'!$B$7:$B$373,A87,'05_상품별배치367'!$T$7:$T$373,"입력 대기")&gt;0,"치수 입력 대기",IF(V87&gt;R87,"폭 합계 초과","도면/실측 범위 내·현장확인"))))</f>
        <v>미진열</v>
      </c>
      <c r="X87" s="6"/>
      <c r="Y87" s="6" t="s">
        <v>555</v>
      </c>
      <c r="Z87" s="15"/>
      <c r="AA87" s="15"/>
      <c r="AB87" s="15"/>
    </row>
    <row r="88" spans="1:28" ht="33" customHeight="1">
      <c r="A88" s="8" t="s">
        <v>843</v>
      </c>
      <c r="B88" s="8" t="s">
        <v>164</v>
      </c>
      <c r="C88" s="8" t="s">
        <v>117</v>
      </c>
      <c r="D88" s="9">
        <v>2</v>
      </c>
      <c r="E88" s="8" t="s">
        <v>50</v>
      </c>
      <c r="F88" s="8" t="s">
        <v>168</v>
      </c>
      <c r="G88" s="8" t="s">
        <v>842</v>
      </c>
      <c r="H88" s="8" t="s">
        <v>844</v>
      </c>
      <c r="I88" s="8" t="s">
        <v>845</v>
      </c>
      <c r="J88" s="8" t="s">
        <v>551</v>
      </c>
      <c r="K88" s="14" t="s">
        <v>846</v>
      </c>
      <c r="L88" s="15"/>
      <c r="M88" s="15"/>
      <c r="N88" s="8" t="s">
        <v>560</v>
      </c>
      <c r="O88" s="8" t="s">
        <v>648</v>
      </c>
      <c r="P88" s="6">
        <f>COUNTIFS('05_상품별배치367'!$B$7:$B$373,A88,'05_상품별배치367'!$K$7:$K$373,"&gt;0")</f>
        <v>1</v>
      </c>
      <c r="Q88" s="6">
        <f>SUMIFS('05_상품별배치367'!$K$7:$K$373,'05_상품별배치367'!$B$7:$B$373,A88)</f>
        <v>1</v>
      </c>
      <c r="R88" s="6">
        <f>IF(Z88="",'06_집기치수20'!N13,Z88)</f>
        <v>865</v>
      </c>
      <c r="S88" s="6">
        <f>IF(AA88="",'06_집기치수20'!O13,AA88)</f>
        <v>270</v>
      </c>
      <c r="T88" s="6">
        <v>220</v>
      </c>
      <c r="U88" s="6">
        <f>IF(AB88="",'06_집기치수20'!P13,AB88-'06_집기치수20'!I13)</f>
        <v>200</v>
      </c>
      <c r="V88" s="6" t="str">
        <f>IF(Q88=0,"",IF(COUNTIFS('05_상품별배치367'!$B$7:$B$373,A88,'05_상품별배치367'!$T$7:$T$373,"입력 대기")&gt;0,"",SUMIFS('05_상품별배치367'!$S$7:$S$373,'05_상품별배치367'!$B$7:$B$373,A88)))</f>
        <v/>
      </c>
      <c r="W88" s="6" t="str">
        <f>IF(Q88=0,"미진열",IF(COUNTIFS('05_상품별배치367'!$B$7:$B$373,A88,'05_상품별배치367'!$T$7:$T$373,"치수 초과")&gt;0,"치수 초과",IF(COUNTIFS('05_상품별배치367'!$B$7:$B$373,A88,'05_상품별배치367'!$T$7:$T$373,"입력 대기")&gt;0,"치수 입력 대기",IF(V88&gt;R88,"폭 합계 초과","도면/실측 범위 내·현장확인"))))</f>
        <v>치수 입력 대기</v>
      </c>
      <c r="X88" s="6" t="s">
        <v>847</v>
      </c>
      <c r="Y88" s="6" t="s">
        <v>555</v>
      </c>
      <c r="Z88" s="15"/>
      <c r="AA88" s="15"/>
      <c r="AB88" s="15"/>
    </row>
    <row r="89" spans="1:28" ht="33" customHeight="1">
      <c r="A89" s="6" t="s">
        <v>848</v>
      </c>
      <c r="B89" s="6" t="s">
        <v>164</v>
      </c>
      <c r="C89" s="6" t="s">
        <v>117</v>
      </c>
      <c r="D89" s="7">
        <v>3</v>
      </c>
      <c r="E89" s="6" t="s">
        <v>50</v>
      </c>
      <c r="F89" s="6" t="s">
        <v>169</v>
      </c>
      <c r="G89" s="6" t="s">
        <v>842</v>
      </c>
      <c r="H89" s="6" t="s">
        <v>849</v>
      </c>
      <c r="I89" s="6" t="s">
        <v>850</v>
      </c>
      <c r="J89" s="6" t="s">
        <v>551</v>
      </c>
      <c r="K89" s="14" t="s">
        <v>846</v>
      </c>
      <c r="L89" s="15"/>
      <c r="M89" s="15"/>
      <c r="N89" s="6" t="s">
        <v>560</v>
      </c>
      <c r="O89" s="6" t="s">
        <v>648</v>
      </c>
      <c r="P89" s="6">
        <f>COUNTIFS('05_상품별배치367'!$B$7:$B$373,A89,'05_상품별배치367'!$K$7:$K$373,"&gt;0")</f>
        <v>1</v>
      </c>
      <c r="Q89" s="6">
        <f>SUMIFS('05_상품별배치367'!$K$7:$K$373,'05_상품별배치367'!$B$7:$B$373,A89)</f>
        <v>1</v>
      </c>
      <c r="R89" s="6">
        <f>IF(Z89="",'06_집기치수20'!N14,Z89)</f>
        <v>865</v>
      </c>
      <c r="S89" s="6">
        <f>IF(AA89="",'06_집기치수20'!O14,AA89)</f>
        <v>270</v>
      </c>
      <c r="T89" s="6">
        <v>220</v>
      </c>
      <c r="U89" s="6">
        <f>IF(AB89="",'06_집기치수20'!P14,AB89-'06_집기치수20'!I14)</f>
        <v>200</v>
      </c>
      <c r="V89" s="6" t="str">
        <f>IF(Q89=0,"",IF(COUNTIFS('05_상품별배치367'!$B$7:$B$373,A89,'05_상품별배치367'!$T$7:$T$373,"입력 대기")&gt;0,"",SUMIFS('05_상품별배치367'!$S$7:$S$373,'05_상품별배치367'!$B$7:$B$373,A89)))</f>
        <v/>
      </c>
      <c r="W89" s="6" t="str">
        <f>IF(Q89=0,"미진열",IF(COUNTIFS('05_상품별배치367'!$B$7:$B$373,A89,'05_상품별배치367'!$T$7:$T$373,"치수 초과")&gt;0,"치수 초과",IF(COUNTIFS('05_상품별배치367'!$B$7:$B$373,A89,'05_상품별배치367'!$T$7:$T$373,"입력 대기")&gt;0,"치수 입력 대기",IF(V89&gt;R89,"폭 합계 초과","도면/실측 범위 내·현장확인"))))</f>
        <v>치수 입력 대기</v>
      </c>
      <c r="X89" s="6" t="s">
        <v>851</v>
      </c>
      <c r="Y89" s="6" t="s">
        <v>555</v>
      </c>
      <c r="Z89" s="15"/>
      <c r="AA89" s="15"/>
      <c r="AB89" s="15"/>
    </row>
    <row r="90" spans="1:28" ht="33" customHeight="1">
      <c r="A90" s="8" t="s">
        <v>852</v>
      </c>
      <c r="B90" s="8" t="s">
        <v>164</v>
      </c>
      <c r="C90" s="8" t="s">
        <v>117</v>
      </c>
      <c r="D90" s="9">
        <v>4</v>
      </c>
      <c r="E90" s="8" t="s">
        <v>50</v>
      </c>
      <c r="F90" s="8" t="s">
        <v>170</v>
      </c>
      <c r="G90" s="8" t="s">
        <v>842</v>
      </c>
      <c r="H90" s="8" t="s">
        <v>853</v>
      </c>
      <c r="I90" s="8" t="s">
        <v>854</v>
      </c>
      <c r="J90" s="8" t="s">
        <v>551</v>
      </c>
      <c r="K90" s="14" t="s">
        <v>846</v>
      </c>
      <c r="L90" s="15"/>
      <c r="M90" s="15"/>
      <c r="N90" s="8" t="s">
        <v>560</v>
      </c>
      <c r="O90" s="8" t="s">
        <v>648</v>
      </c>
      <c r="P90" s="6">
        <f>COUNTIFS('05_상품별배치367'!$B$7:$B$373,A90,'05_상품별배치367'!$K$7:$K$373,"&gt;0")</f>
        <v>1</v>
      </c>
      <c r="Q90" s="6">
        <f>SUMIFS('05_상품별배치367'!$K$7:$K$373,'05_상품별배치367'!$B$7:$B$373,A90)</f>
        <v>1</v>
      </c>
      <c r="R90" s="6">
        <f>IF(Z90="",'06_집기치수20'!N15,Z90)</f>
        <v>865</v>
      </c>
      <c r="S90" s="6">
        <f>IF(AA90="",'06_집기치수20'!O15,AA90)</f>
        <v>270</v>
      </c>
      <c r="T90" s="6">
        <v>220</v>
      </c>
      <c r="U90" s="6">
        <f>IF(AB90="",'06_집기치수20'!P15,AB90-'06_집기치수20'!I15)</f>
        <v>200</v>
      </c>
      <c r="V90" s="6" t="str">
        <f>IF(Q90=0,"",IF(COUNTIFS('05_상품별배치367'!$B$7:$B$373,A90,'05_상품별배치367'!$T$7:$T$373,"입력 대기")&gt;0,"",SUMIFS('05_상품별배치367'!$S$7:$S$373,'05_상품별배치367'!$B$7:$B$373,A90)))</f>
        <v/>
      </c>
      <c r="W90" s="6" t="str">
        <f>IF(Q90=0,"미진열",IF(COUNTIFS('05_상품별배치367'!$B$7:$B$373,A90,'05_상품별배치367'!$T$7:$T$373,"치수 초과")&gt;0,"치수 초과",IF(COUNTIFS('05_상품별배치367'!$B$7:$B$373,A90,'05_상품별배치367'!$T$7:$T$373,"입력 대기")&gt;0,"치수 입력 대기",IF(V90&gt;R90,"폭 합계 초과","도면/실측 범위 내·현장확인"))))</f>
        <v>치수 입력 대기</v>
      </c>
      <c r="X90" s="6" t="s">
        <v>855</v>
      </c>
      <c r="Y90" s="6" t="s">
        <v>555</v>
      </c>
      <c r="Z90" s="15"/>
      <c r="AA90" s="15"/>
      <c r="AB90" s="15"/>
    </row>
    <row r="91" spans="1:28" ht="33" customHeight="1">
      <c r="A91" s="6" t="s">
        <v>856</v>
      </c>
      <c r="B91" s="6" t="s">
        <v>164</v>
      </c>
      <c r="C91" s="6" t="s">
        <v>117</v>
      </c>
      <c r="D91" s="7">
        <v>5</v>
      </c>
      <c r="E91" s="6" t="s">
        <v>50</v>
      </c>
      <c r="F91" s="6" t="s">
        <v>171</v>
      </c>
      <c r="G91" s="6" t="s">
        <v>590</v>
      </c>
      <c r="H91" s="6"/>
      <c r="I91" s="6"/>
      <c r="J91" s="6" t="s">
        <v>551</v>
      </c>
      <c r="K91" s="14" t="s">
        <v>568</v>
      </c>
      <c r="L91" s="15"/>
      <c r="M91" s="15"/>
      <c r="N91" s="6" t="s">
        <v>560</v>
      </c>
      <c r="O91" s="6" t="s">
        <v>648</v>
      </c>
      <c r="P91" s="6">
        <f>COUNTIFS('05_상품별배치367'!$B$7:$B$373,A91,'05_상품별배치367'!$K$7:$K$373,"&gt;0")</f>
        <v>0</v>
      </c>
      <c r="Q91" s="6">
        <f>SUMIFS('05_상품별배치367'!$K$7:$K$373,'05_상품별배치367'!$B$7:$B$373,A91)</f>
        <v>0</v>
      </c>
      <c r="R91" s="6">
        <f>IF(Z91="",'06_집기치수20'!N16,Z91)</f>
        <v>865</v>
      </c>
      <c r="S91" s="6">
        <f>IF(AA91="",'06_집기치수20'!O16,AA91)</f>
        <v>270</v>
      </c>
      <c r="T91" s="6">
        <v>220</v>
      </c>
      <c r="U91" s="6">
        <f>IF(AB91="",'06_집기치수20'!P16,AB91-'06_집기치수20'!I16)</f>
        <v>200</v>
      </c>
      <c r="V91" s="6" t="str">
        <f>IF(Q91=0,"",IF(COUNTIFS('05_상품별배치367'!$B$7:$B$373,A91,'05_상품별배치367'!$T$7:$T$373,"입력 대기")&gt;0,"",SUMIFS('05_상품별배치367'!$S$7:$S$373,'05_상품별배치367'!$B$7:$B$373,A91)))</f>
        <v/>
      </c>
      <c r="W91" s="6" t="str">
        <f>IF(Q91=0,"미진열",IF(COUNTIFS('05_상품별배치367'!$B$7:$B$373,A91,'05_상품별배치367'!$T$7:$T$373,"치수 초과")&gt;0,"치수 초과",IF(COUNTIFS('05_상품별배치367'!$B$7:$B$373,A91,'05_상품별배치367'!$T$7:$T$373,"입력 대기")&gt;0,"치수 입력 대기",IF(V91&gt;R91,"폭 합계 초과","도면/실측 범위 내·현장확인"))))</f>
        <v>미진열</v>
      </c>
      <c r="X91" s="6"/>
      <c r="Y91" s="6" t="s">
        <v>555</v>
      </c>
      <c r="Z91" s="15"/>
      <c r="AA91" s="15"/>
      <c r="AB91" s="15"/>
    </row>
    <row r="92" spans="1:28" ht="33" customHeight="1">
      <c r="A92" s="8" t="s">
        <v>857</v>
      </c>
      <c r="B92" s="8" t="s">
        <v>173</v>
      </c>
      <c r="C92" s="8" t="s">
        <v>174</v>
      </c>
      <c r="D92" s="9">
        <v>1</v>
      </c>
      <c r="E92" s="8" t="s">
        <v>27</v>
      </c>
      <c r="F92" s="8" t="s">
        <v>177</v>
      </c>
      <c r="G92" s="8" t="s">
        <v>858</v>
      </c>
      <c r="H92" s="8"/>
      <c r="I92" s="8"/>
      <c r="J92" s="8" t="s">
        <v>551</v>
      </c>
      <c r="K92" s="14" t="s">
        <v>552</v>
      </c>
      <c r="L92" s="15"/>
      <c r="M92" s="15"/>
      <c r="N92" s="8" t="s">
        <v>647</v>
      </c>
      <c r="O92" s="8" t="s">
        <v>859</v>
      </c>
      <c r="P92" s="6">
        <f>COUNTIFS('05_상품별배치367'!$B$7:$B$373,A92,'05_상품별배치367'!$K$7:$K$373,"&gt;0")</f>
        <v>0</v>
      </c>
      <c r="Q92" s="6">
        <f>SUMIFS('05_상품별배치367'!$K$7:$K$373,'05_상품별배치367'!$B$7:$B$373,A92)</f>
        <v>0</v>
      </c>
      <c r="R92" s="6">
        <f>IF(Z92="",'06_집기치수20'!N17,Z92)</f>
        <v>865</v>
      </c>
      <c r="S92" s="6">
        <f>IF(AA92="",'06_집기치수20'!O17,AA92)</f>
        <v>270</v>
      </c>
      <c r="T92" s="6">
        <v>100</v>
      </c>
      <c r="U92" s="6">
        <f>IF(AB92="",'06_집기치수20'!P17,AB92-'06_집기치수20'!I17)</f>
        <v>80</v>
      </c>
      <c r="V92" s="6" t="str">
        <f>IF(Q92=0,"",IF(COUNTIFS('05_상품별배치367'!$B$7:$B$373,A92,'05_상품별배치367'!$T$7:$T$373,"입력 대기")&gt;0,"",SUMIFS('05_상품별배치367'!$S$7:$S$373,'05_상품별배치367'!$B$7:$B$373,A92)))</f>
        <v/>
      </c>
      <c r="W92" s="6" t="str">
        <f>IF(Q92=0,"미진열",IF(COUNTIFS('05_상품별배치367'!$B$7:$B$373,A92,'05_상품별배치367'!$T$7:$T$373,"치수 초과")&gt;0,"치수 초과",IF(COUNTIFS('05_상품별배치367'!$B$7:$B$373,A92,'05_상품별배치367'!$T$7:$T$373,"입력 대기")&gt;0,"치수 입력 대기",IF(V92&gt;R92,"폭 합계 초과","도면/실측 범위 내·현장확인"))))</f>
        <v>미진열</v>
      </c>
      <c r="X92" s="6"/>
      <c r="Y92" s="6" t="s">
        <v>555</v>
      </c>
      <c r="Z92" s="15"/>
      <c r="AA92" s="15"/>
      <c r="AB92" s="15"/>
    </row>
    <row r="93" spans="1:28" ht="33" customHeight="1">
      <c r="A93" s="6" t="s">
        <v>860</v>
      </c>
      <c r="B93" s="6" t="s">
        <v>173</v>
      </c>
      <c r="C93" s="6" t="s">
        <v>174</v>
      </c>
      <c r="D93" s="7">
        <v>2</v>
      </c>
      <c r="E93" s="6" t="s">
        <v>27</v>
      </c>
      <c r="F93" s="6" t="s">
        <v>178</v>
      </c>
      <c r="G93" s="6" t="s">
        <v>858</v>
      </c>
      <c r="H93" s="6" t="s">
        <v>861</v>
      </c>
      <c r="I93" s="6" t="s">
        <v>862</v>
      </c>
      <c r="J93" s="6" t="s">
        <v>551</v>
      </c>
      <c r="K93" s="14" t="s">
        <v>559</v>
      </c>
      <c r="L93" s="15"/>
      <c r="M93" s="15"/>
      <c r="N93" s="6" t="s">
        <v>560</v>
      </c>
      <c r="O93" s="6" t="s">
        <v>859</v>
      </c>
      <c r="P93" s="6">
        <f>COUNTIFS('05_상품별배치367'!$B$7:$B$373,A93,'05_상품별배치367'!$K$7:$K$373,"&gt;0")</f>
        <v>2</v>
      </c>
      <c r="Q93" s="6">
        <f>SUMIFS('05_상품별배치367'!$K$7:$K$373,'05_상품별배치367'!$B$7:$B$373,A93)</f>
        <v>3</v>
      </c>
      <c r="R93" s="6">
        <f>IF(Z93="",'06_집기치수20'!N18,Z93)</f>
        <v>865</v>
      </c>
      <c r="S93" s="6">
        <f>IF(AA93="",'06_집기치수20'!O18,AA93)</f>
        <v>270</v>
      </c>
      <c r="T93" s="6">
        <v>220</v>
      </c>
      <c r="U93" s="6">
        <f>IF(AB93="",'06_집기치수20'!P18,AB93-'06_집기치수20'!I18)</f>
        <v>200</v>
      </c>
      <c r="V93" s="6" t="str">
        <f>IF(Q93=0,"",IF(COUNTIFS('05_상품별배치367'!$B$7:$B$373,A93,'05_상품별배치367'!$T$7:$T$373,"입력 대기")&gt;0,"",SUMIFS('05_상품별배치367'!$S$7:$S$373,'05_상품별배치367'!$B$7:$B$373,A93)))</f>
        <v/>
      </c>
      <c r="W93" s="6" t="str">
        <f>IF(Q93=0,"미진열",IF(COUNTIFS('05_상품별배치367'!$B$7:$B$373,A93,'05_상품별배치367'!$T$7:$T$373,"치수 초과")&gt;0,"치수 초과",IF(COUNTIFS('05_상품별배치367'!$B$7:$B$373,A93,'05_상품별배치367'!$T$7:$T$373,"입력 대기")&gt;0,"치수 입력 대기",IF(V93&gt;R93,"폭 합계 초과","도면/실측 범위 내·현장확인"))))</f>
        <v>치수 입력 대기</v>
      </c>
      <c r="X93" s="6" t="s">
        <v>863</v>
      </c>
      <c r="Y93" s="6" t="s">
        <v>555</v>
      </c>
      <c r="Z93" s="15"/>
      <c r="AA93" s="15"/>
      <c r="AB93" s="15"/>
    </row>
    <row r="94" spans="1:28" ht="33" customHeight="1">
      <c r="A94" s="8" t="s">
        <v>864</v>
      </c>
      <c r="B94" s="8" t="s">
        <v>173</v>
      </c>
      <c r="C94" s="8" t="s">
        <v>174</v>
      </c>
      <c r="D94" s="9">
        <v>3</v>
      </c>
      <c r="E94" s="8" t="s">
        <v>27</v>
      </c>
      <c r="F94" s="8" t="s">
        <v>179</v>
      </c>
      <c r="G94" s="8" t="s">
        <v>865</v>
      </c>
      <c r="H94" s="8" t="s">
        <v>866</v>
      </c>
      <c r="I94" s="8" t="s">
        <v>867</v>
      </c>
      <c r="J94" s="8" t="s">
        <v>551</v>
      </c>
      <c r="K94" s="14" t="s">
        <v>559</v>
      </c>
      <c r="L94" s="15"/>
      <c r="M94" s="15"/>
      <c r="N94" s="8" t="s">
        <v>560</v>
      </c>
      <c r="O94" s="8" t="s">
        <v>859</v>
      </c>
      <c r="P94" s="6">
        <f>COUNTIFS('05_상품별배치367'!$B$7:$B$373,A94,'05_상품별배치367'!$K$7:$K$373,"&gt;0")</f>
        <v>2</v>
      </c>
      <c r="Q94" s="6">
        <f>SUMIFS('05_상품별배치367'!$K$7:$K$373,'05_상품별배치367'!$B$7:$B$373,A94)</f>
        <v>3</v>
      </c>
      <c r="R94" s="6">
        <f>IF(Z94="",'06_집기치수20'!N19,Z94)</f>
        <v>865</v>
      </c>
      <c r="S94" s="6">
        <f>IF(AA94="",'06_집기치수20'!O19,AA94)</f>
        <v>270</v>
      </c>
      <c r="T94" s="6">
        <v>220</v>
      </c>
      <c r="U94" s="6">
        <f>IF(AB94="",'06_집기치수20'!P19,AB94-'06_집기치수20'!I19)</f>
        <v>200</v>
      </c>
      <c r="V94" s="6" t="str">
        <f>IF(Q94=0,"",IF(COUNTIFS('05_상품별배치367'!$B$7:$B$373,A94,'05_상품별배치367'!$T$7:$T$373,"입력 대기")&gt;0,"",SUMIFS('05_상품별배치367'!$S$7:$S$373,'05_상품별배치367'!$B$7:$B$373,A94)))</f>
        <v/>
      </c>
      <c r="W94" s="6" t="str">
        <f>IF(Q94=0,"미진열",IF(COUNTIFS('05_상품별배치367'!$B$7:$B$373,A94,'05_상품별배치367'!$T$7:$T$373,"치수 초과")&gt;0,"치수 초과",IF(COUNTIFS('05_상품별배치367'!$B$7:$B$373,A94,'05_상품별배치367'!$T$7:$T$373,"입력 대기")&gt;0,"치수 입력 대기",IF(V94&gt;R94,"폭 합계 초과","도면/실측 범위 내·현장확인"))))</f>
        <v>치수 입력 대기</v>
      </c>
      <c r="X94" s="6" t="s">
        <v>868</v>
      </c>
      <c r="Y94" s="6" t="s">
        <v>555</v>
      </c>
      <c r="Z94" s="15"/>
      <c r="AA94" s="15"/>
      <c r="AB94" s="15"/>
    </row>
    <row r="95" spans="1:28" ht="33" customHeight="1">
      <c r="A95" s="6" t="s">
        <v>869</v>
      </c>
      <c r="B95" s="6" t="s">
        <v>173</v>
      </c>
      <c r="C95" s="6" t="s">
        <v>174</v>
      </c>
      <c r="D95" s="7">
        <v>4</v>
      </c>
      <c r="E95" s="6" t="s">
        <v>27</v>
      </c>
      <c r="F95" s="6" t="s">
        <v>180</v>
      </c>
      <c r="G95" s="6" t="s">
        <v>870</v>
      </c>
      <c r="H95" s="6" t="s">
        <v>871</v>
      </c>
      <c r="I95" s="6" t="s">
        <v>872</v>
      </c>
      <c r="J95" s="6" t="s">
        <v>551</v>
      </c>
      <c r="K95" s="14" t="s">
        <v>559</v>
      </c>
      <c r="L95" s="15"/>
      <c r="M95" s="15"/>
      <c r="N95" s="6" t="s">
        <v>560</v>
      </c>
      <c r="O95" s="6" t="s">
        <v>859</v>
      </c>
      <c r="P95" s="6">
        <f>COUNTIFS('05_상품별배치367'!$B$7:$B$373,A95,'05_상품별배치367'!$K$7:$K$373,"&gt;0")</f>
        <v>2</v>
      </c>
      <c r="Q95" s="6">
        <f>SUMIFS('05_상품별배치367'!$K$7:$K$373,'05_상품별배치367'!$B$7:$B$373,A95)</f>
        <v>2</v>
      </c>
      <c r="R95" s="6">
        <f>IF(Z95="",'06_집기치수20'!N20,Z95)</f>
        <v>865</v>
      </c>
      <c r="S95" s="6">
        <f>IF(AA95="",'06_집기치수20'!O20,AA95)</f>
        <v>270</v>
      </c>
      <c r="T95" s="6">
        <v>220</v>
      </c>
      <c r="U95" s="6">
        <f>IF(AB95="",'06_집기치수20'!P20,AB95-'06_집기치수20'!I20)</f>
        <v>200</v>
      </c>
      <c r="V95" s="6" t="str">
        <f>IF(Q95=0,"",IF(COUNTIFS('05_상품별배치367'!$B$7:$B$373,A95,'05_상품별배치367'!$T$7:$T$373,"입력 대기")&gt;0,"",SUMIFS('05_상품별배치367'!$S$7:$S$373,'05_상품별배치367'!$B$7:$B$373,A95)))</f>
        <v/>
      </c>
      <c r="W95" s="6" t="str">
        <f>IF(Q95=0,"미진열",IF(COUNTIFS('05_상품별배치367'!$B$7:$B$373,A95,'05_상품별배치367'!$T$7:$T$373,"치수 초과")&gt;0,"치수 초과",IF(COUNTIFS('05_상품별배치367'!$B$7:$B$373,A95,'05_상품별배치367'!$T$7:$T$373,"입력 대기")&gt;0,"치수 입력 대기",IF(V95&gt;R95,"폭 합계 초과","도면/실측 범위 내·현장확인"))))</f>
        <v>치수 입력 대기</v>
      </c>
      <c r="X95" s="6" t="s">
        <v>873</v>
      </c>
      <c r="Y95" s="6" t="s">
        <v>555</v>
      </c>
      <c r="Z95" s="15"/>
      <c r="AA95" s="15"/>
      <c r="AB95" s="15"/>
    </row>
    <row r="96" spans="1:28" ht="33" customHeight="1">
      <c r="A96" s="8" t="s">
        <v>874</v>
      </c>
      <c r="B96" s="8" t="s">
        <v>173</v>
      </c>
      <c r="C96" s="8" t="s">
        <v>174</v>
      </c>
      <c r="D96" s="9">
        <v>5</v>
      </c>
      <c r="E96" s="8" t="s">
        <v>27</v>
      </c>
      <c r="F96" s="8" t="s">
        <v>181</v>
      </c>
      <c r="G96" s="8" t="s">
        <v>870</v>
      </c>
      <c r="H96" s="8" t="s">
        <v>875</v>
      </c>
      <c r="I96" s="8" t="s">
        <v>876</v>
      </c>
      <c r="J96" s="8" t="s">
        <v>551</v>
      </c>
      <c r="K96" s="14" t="s">
        <v>559</v>
      </c>
      <c r="L96" s="15"/>
      <c r="M96" s="15"/>
      <c r="N96" s="8" t="s">
        <v>560</v>
      </c>
      <c r="O96" s="8" t="s">
        <v>859</v>
      </c>
      <c r="P96" s="6">
        <f>COUNTIFS('05_상품별배치367'!$B$7:$B$373,A96,'05_상품별배치367'!$K$7:$K$373,"&gt;0")</f>
        <v>2</v>
      </c>
      <c r="Q96" s="6">
        <f>SUMIFS('05_상품별배치367'!$K$7:$K$373,'05_상품별배치367'!$B$7:$B$373,A96)</f>
        <v>2</v>
      </c>
      <c r="R96" s="6">
        <f>IF(Z96="",'06_집기치수20'!N21,Z96)</f>
        <v>865</v>
      </c>
      <c r="S96" s="6">
        <f>IF(AA96="",'06_집기치수20'!O21,AA96)</f>
        <v>270</v>
      </c>
      <c r="T96" s="6">
        <v>220</v>
      </c>
      <c r="U96" s="6">
        <f>IF(AB96="",'06_집기치수20'!P21,AB96-'06_집기치수20'!I21)</f>
        <v>200</v>
      </c>
      <c r="V96" s="6" t="str">
        <f>IF(Q96=0,"",IF(COUNTIFS('05_상품별배치367'!$B$7:$B$373,A96,'05_상품별배치367'!$T$7:$T$373,"입력 대기")&gt;0,"",SUMIFS('05_상품별배치367'!$S$7:$S$373,'05_상품별배치367'!$B$7:$B$373,A96)))</f>
        <v/>
      </c>
      <c r="W96" s="6" t="str">
        <f>IF(Q96=0,"미진열",IF(COUNTIFS('05_상품별배치367'!$B$7:$B$373,A96,'05_상품별배치367'!$T$7:$T$373,"치수 초과")&gt;0,"치수 초과",IF(COUNTIFS('05_상품별배치367'!$B$7:$B$373,A96,'05_상품별배치367'!$T$7:$T$373,"입력 대기")&gt;0,"치수 입력 대기",IF(V96&gt;R96,"폭 합계 초과","도면/실측 범위 내·현장확인"))))</f>
        <v>치수 입력 대기</v>
      </c>
      <c r="X96" s="6" t="s">
        <v>877</v>
      </c>
      <c r="Y96" s="6" t="s">
        <v>555</v>
      </c>
      <c r="Z96" s="15"/>
      <c r="AA96" s="15"/>
      <c r="AB96" s="15"/>
    </row>
    <row r="97" spans="1:28" ht="33" customHeight="1">
      <c r="A97" s="6" t="s">
        <v>878</v>
      </c>
      <c r="B97" s="6" t="s">
        <v>185</v>
      </c>
      <c r="C97" s="6" t="s">
        <v>174</v>
      </c>
      <c r="D97" s="7">
        <v>1</v>
      </c>
      <c r="E97" s="6" t="s">
        <v>27</v>
      </c>
      <c r="F97" s="6" t="s">
        <v>188</v>
      </c>
      <c r="G97" s="6" t="s">
        <v>122</v>
      </c>
      <c r="H97" s="6"/>
      <c r="I97" s="6"/>
      <c r="J97" s="6" t="s">
        <v>551</v>
      </c>
      <c r="K97" s="14" t="s">
        <v>552</v>
      </c>
      <c r="L97" s="15"/>
      <c r="M97" s="15"/>
      <c r="N97" s="6" t="s">
        <v>647</v>
      </c>
      <c r="O97" s="6" t="s">
        <v>859</v>
      </c>
      <c r="P97" s="6">
        <f>COUNTIFS('05_상품별배치367'!$B$7:$B$373,A97,'05_상품별배치367'!$K$7:$K$373,"&gt;0")</f>
        <v>0</v>
      </c>
      <c r="Q97" s="6">
        <f>SUMIFS('05_상품별배치367'!$K$7:$K$373,'05_상품별배치367'!$B$7:$B$373,A97)</f>
        <v>0</v>
      </c>
      <c r="R97" s="6">
        <f>IF(Z97="",'06_집기치수20'!N17,Z97)</f>
        <v>865</v>
      </c>
      <c r="S97" s="6">
        <f>IF(AA97="",'06_집기치수20'!O17,AA97)</f>
        <v>270</v>
      </c>
      <c r="T97" s="6">
        <v>100</v>
      </c>
      <c r="U97" s="6">
        <f>IF(AB97="",'06_집기치수20'!P17,AB97-'06_집기치수20'!I17)</f>
        <v>80</v>
      </c>
      <c r="V97" s="6" t="str">
        <f>IF(Q97=0,"",IF(COUNTIFS('05_상품별배치367'!$B$7:$B$373,A97,'05_상품별배치367'!$T$7:$T$373,"입력 대기")&gt;0,"",SUMIFS('05_상품별배치367'!$S$7:$S$373,'05_상품별배치367'!$B$7:$B$373,A97)))</f>
        <v/>
      </c>
      <c r="W97" s="6" t="str">
        <f>IF(Q97=0,"미진열",IF(COUNTIFS('05_상품별배치367'!$B$7:$B$373,A97,'05_상품별배치367'!$T$7:$T$373,"치수 초과")&gt;0,"치수 초과",IF(COUNTIFS('05_상품별배치367'!$B$7:$B$373,A97,'05_상품별배치367'!$T$7:$T$373,"입력 대기")&gt;0,"치수 입력 대기",IF(V97&gt;R97,"폭 합계 초과","도면/실측 범위 내·현장확인"))))</f>
        <v>미진열</v>
      </c>
      <c r="X97" s="6"/>
      <c r="Y97" s="6" t="s">
        <v>555</v>
      </c>
      <c r="Z97" s="15"/>
      <c r="AA97" s="15"/>
      <c r="AB97" s="15"/>
    </row>
    <row r="98" spans="1:28" ht="46" customHeight="1">
      <c r="A98" s="8" t="s">
        <v>879</v>
      </c>
      <c r="B98" s="8" t="s">
        <v>185</v>
      </c>
      <c r="C98" s="8" t="s">
        <v>174</v>
      </c>
      <c r="D98" s="9">
        <v>2</v>
      </c>
      <c r="E98" s="8" t="s">
        <v>27</v>
      </c>
      <c r="F98" s="8" t="s">
        <v>189</v>
      </c>
      <c r="G98" s="8" t="s">
        <v>122</v>
      </c>
      <c r="H98" s="8" t="s">
        <v>880</v>
      </c>
      <c r="I98" s="8" t="s">
        <v>881</v>
      </c>
      <c r="J98" s="8" t="s">
        <v>551</v>
      </c>
      <c r="K98" s="14" t="s">
        <v>559</v>
      </c>
      <c r="L98" s="15"/>
      <c r="M98" s="15"/>
      <c r="N98" s="8" t="s">
        <v>560</v>
      </c>
      <c r="O98" s="8" t="s">
        <v>859</v>
      </c>
      <c r="P98" s="6">
        <f>COUNTIFS('05_상품별배치367'!$B$7:$B$373,A98,'05_상품별배치367'!$K$7:$K$373,"&gt;0")</f>
        <v>3</v>
      </c>
      <c r="Q98" s="6">
        <f>SUMIFS('05_상품별배치367'!$K$7:$K$373,'05_상품별배치367'!$B$7:$B$373,A98)</f>
        <v>4</v>
      </c>
      <c r="R98" s="6">
        <f>IF(Z98="",'06_집기치수20'!N18,Z98)</f>
        <v>865</v>
      </c>
      <c r="S98" s="6">
        <f>IF(AA98="",'06_집기치수20'!O18,AA98)</f>
        <v>270</v>
      </c>
      <c r="T98" s="6">
        <v>220</v>
      </c>
      <c r="U98" s="6">
        <f>IF(AB98="",'06_집기치수20'!P18,AB98-'06_집기치수20'!I18)</f>
        <v>200</v>
      </c>
      <c r="V98" s="6" t="str">
        <f>IF(Q98=0,"",IF(COUNTIFS('05_상품별배치367'!$B$7:$B$373,A98,'05_상품별배치367'!$T$7:$T$373,"입력 대기")&gt;0,"",SUMIFS('05_상품별배치367'!$S$7:$S$373,'05_상품별배치367'!$B$7:$B$373,A98)))</f>
        <v/>
      </c>
      <c r="W98" s="6" t="str">
        <f>IF(Q98=0,"미진열",IF(COUNTIFS('05_상품별배치367'!$B$7:$B$373,A98,'05_상품별배치367'!$T$7:$T$373,"치수 초과")&gt;0,"치수 초과",IF(COUNTIFS('05_상품별배치367'!$B$7:$B$373,A98,'05_상품별배치367'!$T$7:$T$373,"입력 대기")&gt;0,"치수 입력 대기",IF(V98&gt;R98,"폭 합계 초과","도면/실측 범위 내·현장확인"))))</f>
        <v>치수 입력 대기</v>
      </c>
      <c r="X98" s="6" t="s">
        <v>882</v>
      </c>
      <c r="Y98" s="6" t="s">
        <v>555</v>
      </c>
      <c r="Z98" s="15"/>
      <c r="AA98" s="15"/>
      <c r="AB98" s="15"/>
    </row>
    <row r="99" spans="1:28" ht="33" customHeight="1">
      <c r="A99" s="6" t="s">
        <v>883</v>
      </c>
      <c r="B99" s="6" t="s">
        <v>185</v>
      </c>
      <c r="C99" s="6" t="s">
        <v>174</v>
      </c>
      <c r="D99" s="7">
        <v>3</v>
      </c>
      <c r="E99" s="6" t="s">
        <v>27</v>
      </c>
      <c r="F99" s="6" t="s">
        <v>190</v>
      </c>
      <c r="G99" s="6" t="s">
        <v>122</v>
      </c>
      <c r="H99" s="6" t="s">
        <v>884</v>
      </c>
      <c r="I99" s="6" t="s">
        <v>885</v>
      </c>
      <c r="J99" s="6" t="s">
        <v>551</v>
      </c>
      <c r="K99" s="14" t="s">
        <v>559</v>
      </c>
      <c r="L99" s="15"/>
      <c r="M99" s="15"/>
      <c r="N99" s="6" t="s">
        <v>560</v>
      </c>
      <c r="O99" s="6" t="s">
        <v>859</v>
      </c>
      <c r="P99" s="6">
        <f>COUNTIFS('05_상품별배치367'!$B$7:$B$373,A99,'05_상품별배치367'!$K$7:$K$373,"&gt;0")</f>
        <v>2</v>
      </c>
      <c r="Q99" s="6">
        <f>SUMIFS('05_상품별배치367'!$K$7:$K$373,'05_상품별배치367'!$B$7:$B$373,A99)</f>
        <v>2</v>
      </c>
      <c r="R99" s="6">
        <f>IF(Z99="",'06_집기치수20'!N19,Z99)</f>
        <v>865</v>
      </c>
      <c r="S99" s="6">
        <f>IF(AA99="",'06_집기치수20'!O19,AA99)</f>
        <v>270</v>
      </c>
      <c r="T99" s="6">
        <v>220</v>
      </c>
      <c r="U99" s="6">
        <f>IF(AB99="",'06_집기치수20'!P19,AB99-'06_집기치수20'!I19)</f>
        <v>200</v>
      </c>
      <c r="V99" s="6" t="str">
        <f>IF(Q99=0,"",IF(COUNTIFS('05_상품별배치367'!$B$7:$B$373,A99,'05_상품별배치367'!$T$7:$T$373,"입력 대기")&gt;0,"",SUMIFS('05_상품별배치367'!$S$7:$S$373,'05_상품별배치367'!$B$7:$B$373,A99)))</f>
        <v/>
      </c>
      <c r="W99" s="6" t="str">
        <f>IF(Q99=0,"미진열",IF(COUNTIFS('05_상품별배치367'!$B$7:$B$373,A99,'05_상품별배치367'!$T$7:$T$373,"치수 초과")&gt;0,"치수 초과",IF(COUNTIFS('05_상품별배치367'!$B$7:$B$373,A99,'05_상품별배치367'!$T$7:$T$373,"입력 대기")&gt;0,"치수 입력 대기",IF(V99&gt;R99,"폭 합계 초과","도면/실측 범위 내·현장확인"))))</f>
        <v>치수 입력 대기</v>
      </c>
      <c r="X99" s="6" t="s">
        <v>886</v>
      </c>
      <c r="Y99" s="6" t="s">
        <v>555</v>
      </c>
      <c r="Z99" s="15"/>
      <c r="AA99" s="15"/>
      <c r="AB99" s="15"/>
    </row>
    <row r="100" spans="1:28" ht="33" customHeight="1">
      <c r="A100" s="8" t="s">
        <v>887</v>
      </c>
      <c r="B100" s="8" t="s">
        <v>185</v>
      </c>
      <c r="C100" s="8" t="s">
        <v>174</v>
      </c>
      <c r="D100" s="9">
        <v>4</v>
      </c>
      <c r="E100" s="8" t="s">
        <v>27</v>
      </c>
      <c r="F100" s="8" t="s">
        <v>191</v>
      </c>
      <c r="G100" s="8" t="s">
        <v>122</v>
      </c>
      <c r="H100" s="8" t="s">
        <v>888</v>
      </c>
      <c r="I100" s="8" t="s">
        <v>889</v>
      </c>
      <c r="J100" s="8" t="s">
        <v>551</v>
      </c>
      <c r="K100" s="14" t="s">
        <v>559</v>
      </c>
      <c r="L100" s="15"/>
      <c r="M100" s="15"/>
      <c r="N100" s="8" t="s">
        <v>560</v>
      </c>
      <c r="O100" s="8" t="s">
        <v>859</v>
      </c>
      <c r="P100" s="6">
        <f>COUNTIFS('05_상품별배치367'!$B$7:$B$373,A100,'05_상품별배치367'!$K$7:$K$373,"&gt;0")</f>
        <v>2</v>
      </c>
      <c r="Q100" s="6">
        <f>SUMIFS('05_상품별배치367'!$K$7:$K$373,'05_상품별배치367'!$B$7:$B$373,A100)</f>
        <v>2</v>
      </c>
      <c r="R100" s="6">
        <f>IF(Z100="",'06_집기치수20'!N20,Z100)</f>
        <v>865</v>
      </c>
      <c r="S100" s="6">
        <f>IF(AA100="",'06_집기치수20'!O20,AA100)</f>
        <v>270</v>
      </c>
      <c r="T100" s="6">
        <v>220</v>
      </c>
      <c r="U100" s="6">
        <f>IF(AB100="",'06_집기치수20'!P20,AB100-'06_집기치수20'!I20)</f>
        <v>200</v>
      </c>
      <c r="V100" s="6" t="str">
        <f>IF(Q100=0,"",IF(COUNTIFS('05_상품별배치367'!$B$7:$B$373,A100,'05_상품별배치367'!$T$7:$T$373,"입력 대기")&gt;0,"",SUMIFS('05_상품별배치367'!$S$7:$S$373,'05_상품별배치367'!$B$7:$B$373,A100)))</f>
        <v/>
      </c>
      <c r="W100" s="6" t="str">
        <f>IF(Q100=0,"미진열",IF(COUNTIFS('05_상품별배치367'!$B$7:$B$373,A100,'05_상품별배치367'!$T$7:$T$373,"치수 초과")&gt;0,"치수 초과",IF(COUNTIFS('05_상품별배치367'!$B$7:$B$373,A100,'05_상품별배치367'!$T$7:$T$373,"입력 대기")&gt;0,"치수 입력 대기",IF(V100&gt;R100,"폭 합계 초과","도면/실측 범위 내·현장확인"))))</f>
        <v>치수 입력 대기</v>
      </c>
      <c r="X100" s="6" t="s">
        <v>890</v>
      </c>
      <c r="Y100" s="6" t="s">
        <v>555</v>
      </c>
      <c r="Z100" s="15"/>
      <c r="AA100" s="15"/>
      <c r="AB100" s="15"/>
    </row>
    <row r="101" spans="1:28" ht="33" customHeight="1">
      <c r="A101" s="6" t="s">
        <v>891</v>
      </c>
      <c r="B101" s="6" t="s">
        <v>185</v>
      </c>
      <c r="C101" s="6" t="s">
        <v>174</v>
      </c>
      <c r="D101" s="7">
        <v>5</v>
      </c>
      <c r="E101" s="6" t="s">
        <v>27</v>
      </c>
      <c r="F101" s="6" t="s">
        <v>192</v>
      </c>
      <c r="G101" s="6" t="s">
        <v>122</v>
      </c>
      <c r="H101" s="6" t="s">
        <v>892</v>
      </c>
      <c r="I101" s="6" t="s">
        <v>893</v>
      </c>
      <c r="J101" s="6" t="s">
        <v>551</v>
      </c>
      <c r="K101" s="14" t="s">
        <v>559</v>
      </c>
      <c r="L101" s="15"/>
      <c r="M101" s="15"/>
      <c r="N101" s="6" t="s">
        <v>560</v>
      </c>
      <c r="O101" s="6" t="s">
        <v>859</v>
      </c>
      <c r="P101" s="6">
        <f>COUNTIFS('05_상품별배치367'!$B$7:$B$373,A101,'05_상품별배치367'!$K$7:$K$373,"&gt;0")</f>
        <v>2</v>
      </c>
      <c r="Q101" s="6">
        <f>SUMIFS('05_상품별배치367'!$K$7:$K$373,'05_상품별배치367'!$B$7:$B$373,A101)</f>
        <v>2</v>
      </c>
      <c r="R101" s="6">
        <f>IF(Z101="",'06_집기치수20'!N21,Z101)</f>
        <v>865</v>
      </c>
      <c r="S101" s="6">
        <f>IF(AA101="",'06_집기치수20'!O21,AA101)</f>
        <v>270</v>
      </c>
      <c r="T101" s="6">
        <v>220</v>
      </c>
      <c r="U101" s="6">
        <f>IF(AB101="",'06_집기치수20'!P21,AB101-'06_집기치수20'!I21)</f>
        <v>200</v>
      </c>
      <c r="V101" s="6" t="str">
        <f>IF(Q101=0,"",IF(COUNTIFS('05_상품별배치367'!$B$7:$B$373,A101,'05_상품별배치367'!$T$7:$T$373,"입력 대기")&gt;0,"",SUMIFS('05_상품별배치367'!$S$7:$S$373,'05_상품별배치367'!$B$7:$B$373,A101)))</f>
        <v/>
      </c>
      <c r="W101" s="6" t="str">
        <f>IF(Q101=0,"미진열",IF(COUNTIFS('05_상품별배치367'!$B$7:$B$373,A101,'05_상품별배치367'!$T$7:$T$373,"치수 초과")&gt;0,"치수 초과",IF(COUNTIFS('05_상품별배치367'!$B$7:$B$373,A101,'05_상품별배치367'!$T$7:$T$373,"입력 대기")&gt;0,"치수 입력 대기",IF(V101&gt;R101,"폭 합계 초과","도면/실측 범위 내·현장확인"))))</f>
        <v>치수 입력 대기</v>
      </c>
      <c r="X101" s="6" t="s">
        <v>894</v>
      </c>
      <c r="Y101" s="6" t="s">
        <v>555</v>
      </c>
      <c r="Z101" s="15"/>
      <c r="AA101" s="15"/>
      <c r="AB101" s="15"/>
    </row>
    <row r="102" spans="1:28" ht="33" customHeight="1">
      <c r="A102" s="8" t="s">
        <v>895</v>
      </c>
      <c r="B102" s="8" t="s">
        <v>193</v>
      </c>
      <c r="C102" s="8" t="s">
        <v>174</v>
      </c>
      <c r="D102" s="9">
        <v>1</v>
      </c>
      <c r="E102" s="8" t="s">
        <v>39</v>
      </c>
      <c r="F102" s="8" t="s">
        <v>196</v>
      </c>
      <c r="G102" s="8" t="s">
        <v>481</v>
      </c>
      <c r="H102" s="8"/>
      <c r="I102" s="8"/>
      <c r="J102" s="8" t="s">
        <v>551</v>
      </c>
      <c r="K102" s="14" t="s">
        <v>552</v>
      </c>
      <c r="L102" s="15"/>
      <c r="M102" s="15"/>
      <c r="N102" s="8" t="s">
        <v>647</v>
      </c>
      <c r="O102" s="8" t="s">
        <v>859</v>
      </c>
      <c r="P102" s="6">
        <f>COUNTIFS('05_상품별배치367'!$B$7:$B$373,A102,'05_상품별배치367'!$K$7:$K$373,"&gt;0")</f>
        <v>0</v>
      </c>
      <c r="Q102" s="6">
        <f>SUMIFS('05_상품별배치367'!$K$7:$K$373,'05_상품별배치367'!$B$7:$B$373,A102)</f>
        <v>0</v>
      </c>
      <c r="R102" s="6">
        <f>IF(Z102="",'06_집기치수20'!N17,Z102)</f>
        <v>865</v>
      </c>
      <c r="S102" s="6">
        <f>IF(AA102="",'06_집기치수20'!O17,AA102)</f>
        <v>270</v>
      </c>
      <c r="T102" s="6">
        <v>100</v>
      </c>
      <c r="U102" s="6">
        <f>IF(AB102="",'06_집기치수20'!P17,AB102-'06_집기치수20'!I17)</f>
        <v>80</v>
      </c>
      <c r="V102" s="6" t="str">
        <f>IF(Q102=0,"",IF(COUNTIFS('05_상품별배치367'!$B$7:$B$373,A102,'05_상품별배치367'!$T$7:$T$373,"입력 대기")&gt;0,"",SUMIFS('05_상품별배치367'!$S$7:$S$373,'05_상품별배치367'!$B$7:$B$373,A102)))</f>
        <v/>
      </c>
      <c r="W102" s="6" t="str">
        <f>IF(Q102=0,"미진열",IF(COUNTIFS('05_상품별배치367'!$B$7:$B$373,A102,'05_상품별배치367'!$T$7:$T$373,"치수 초과")&gt;0,"치수 초과",IF(COUNTIFS('05_상품별배치367'!$B$7:$B$373,A102,'05_상품별배치367'!$T$7:$T$373,"입력 대기")&gt;0,"치수 입력 대기",IF(V102&gt;R102,"폭 합계 초과","도면/실측 범위 내·현장확인"))))</f>
        <v>미진열</v>
      </c>
      <c r="X102" s="6"/>
      <c r="Y102" s="6" t="s">
        <v>555</v>
      </c>
      <c r="Z102" s="15"/>
      <c r="AA102" s="15"/>
      <c r="AB102" s="15"/>
    </row>
    <row r="103" spans="1:28" ht="33" customHeight="1">
      <c r="A103" s="6" t="s">
        <v>896</v>
      </c>
      <c r="B103" s="6" t="s">
        <v>193</v>
      </c>
      <c r="C103" s="6" t="s">
        <v>174</v>
      </c>
      <c r="D103" s="7">
        <v>2</v>
      </c>
      <c r="E103" s="6" t="s">
        <v>39</v>
      </c>
      <c r="F103" s="6" t="s">
        <v>197</v>
      </c>
      <c r="G103" s="6" t="s">
        <v>481</v>
      </c>
      <c r="H103" s="6" t="s">
        <v>897</v>
      </c>
      <c r="I103" s="6" t="s">
        <v>898</v>
      </c>
      <c r="J103" s="6" t="s">
        <v>551</v>
      </c>
      <c r="K103" s="14" t="s">
        <v>559</v>
      </c>
      <c r="L103" s="15"/>
      <c r="M103" s="15"/>
      <c r="N103" s="6" t="s">
        <v>560</v>
      </c>
      <c r="O103" s="6" t="s">
        <v>859</v>
      </c>
      <c r="P103" s="6">
        <f>COUNTIFS('05_상품별배치367'!$B$7:$B$373,A103,'05_상품별배치367'!$K$7:$K$373,"&gt;0")</f>
        <v>2</v>
      </c>
      <c r="Q103" s="6">
        <f>SUMIFS('05_상품별배치367'!$K$7:$K$373,'05_상품별배치367'!$B$7:$B$373,A103)</f>
        <v>2</v>
      </c>
      <c r="R103" s="6">
        <f>IF(Z103="",'06_집기치수20'!N18,Z103)</f>
        <v>865</v>
      </c>
      <c r="S103" s="6">
        <f>IF(AA103="",'06_집기치수20'!O18,AA103)</f>
        <v>270</v>
      </c>
      <c r="T103" s="6">
        <v>220</v>
      </c>
      <c r="U103" s="6">
        <f>IF(AB103="",'06_집기치수20'!P18,AB103-'06_집기치수20'!I18)</f>
        <v>200</v>
      </c>
      <c r="V103" s="6" t="str">
        <f>IF(Q103=0,"",IF(COUNTIFS('05_상품별배치367'!$B$7:$B$373,A103,'05_상품별배치367'!$T$7:$T$373,"입력 대기")&gt;0,"",SUMIFS('05_상품별배치367'!$S$7:$S$373,'05_상품별배치367'!$B$7:$B$373,A103)))</f>
        <v/>
      </c>
      <c r="W103" s="6" t="str">
        <f>IF(Q103=0,"미진열",IF(COUNTIFS('05_상품별배치367'!$B$7:$B$373,A103,'05_상품별배치367'!$T$7:$T$373,"치수 초과")&gt;0,"치수 초과",IF(COUNTIFS('05_상품별배치367'!$B$7:$B$373,A103,'05_상품별배치367'!$T$7:$T$373,"입력 대기")&gt;0,"치수 입력 대기",IF(V103&gt;R103,"폭 합계 초과","도면/실측 범위 내·현장확인"))))</f>
        <v>치수 입력 대기</v>
      </c>
      <c r="X103" s="6" t="s">
        <v>899</v>
      </c>
      <c r="Y103" s="6" t="s">
        <v>555</v>
      </c>
      <c r="Z103" s="15"/>
      <c r="AA103" s="15"/>
      <c r="AB103" s="15"/>
    </row>
    <row r="104" spans="1:28" ht="33" customHeight="1">
      <c r="A104" s="8" t="s">
        <v>900</v>
      </c>
      <c r="B104" s="8" t="s">
        <v>193</v>
      </c>
      <c r="C104" s="8" t="s">
        <v>174</v>
      </c>
      <c r="D104" s="9">
        <v>3</v>
      </c>
      <c r="E104" s="8" t="s">
        <v>39</v>
      </c>
      <c r="F104" s="8" t="s">
        <v>198</v>
      </c>
      <c r="G104" s="8" t="s">
        <v>481</v>
      </c>
      <c r="H104" s="8" t="s">
        <v>901</v>
      </c>
      <c r="I104" s="8" t="s">
        <v>902</v>
      </c>
      <c r="J104" s="8" t="s">
        <v>551</v>
      </c>
      <c r="K104" s="14" t="s">
        <v>559</v>
      </c>
      <c r="L104" s="15"/>
      <c r="M104" s="15"/>
      <c r="N104" s="8" t="s">
        <v>560</v>
      </c>
      <c r="O104" s="8" t="s">
        <v>859</v>
      </c>
      <c r="P104" s="6">
        <f>COUNTIFS('05_상품별배치367'!$B$7:$B$373,A104,'05_상품별배치367'!$K$7:$K$373,"&gt;0")</f>
        <v>2</v>
      </c>
      <c r="Q104" s="6">
        <f>SUMIFS('05_상품별배치367'!$K$7:$K$373,'05_상품별배치367'!$B$7:$B$373,A104)</f>
        <v>2</v>
      </c>
      <c r="R104" s="6">
        <f>IF(Z104="",'06_집기치수20'!N19,Z104)</f>
        <v>865</v>
      </c>
      <c r="S104" s="6">
        <f>IF(AA104="",'06_집기치수20'!O19,AA104)</f>
        <v>270</v>
      </c>
      <c r="T104" s="6">
        <v>220</v>
      </c>
      <c r="U104" s="6">
        <f>IF(AB104="",'06_집기치수20'!P19,AB104-'06_집기치수20'!I19)</f>
        <v>200</v>
      </c>
      <c r="V104" s="6" t="str">
        <f>IF(Q104=0,"",IF(COUNTIFS('05_상품별배치367'!$B$7:$B$373,A104,'05_상품별배치367'!$T$7:$T$373,"입력 대기")&gt;0,"",SUMIFS('05_상품별배치367'!$S$7:$S$373,'05_상품별배치367'!$B$7:$B$373,A104)))</f>
        <v/>
      </c>
      <c r="W104" s="6" t="str">
        <f>IF(Q104=0,"미진열",IF(COUNTIFS('05_상품별배치367'!$B$7:$B$373,A104,'05_상품별배치367'!$T$7:$T$373,"치수 초과")&gt;0,"치수 초과",IF(COUNTIFS('05_상품별배치367'!$B$7:$B$373,A104,'05_상품별배치367'!$T$7:$T$373,"입력 대기")&gt;0,"치수 입력 대기",IF(V104&gt;R104,"폭 합계 초과","도면/실측 범위 내·현장확인"))))</f>
        <v>치수 입력 대기</v>
      </c>
      <c r="X104" s="6" t="s">
        <v>903</v>
      </c>
      <c r="Y104" s="6" t="s">
        <v>555</v>
      </c>
      <c r="Z104" s="15"/>
      <c r="AA104" s="15"/>
      <c r="AB104" s="15"/>
    </row>
    <row r="105" spans="1:28" ht="33" customHeight="1">
      <c r="A105" s="6" t="s">
        <v>904</v>
      </c>
      <c r="B105" s="6" t="s">
        <v>193</v>
      </c>
      <c r="C105" s="6" t="s">
        <v>174</v>
      </c>
      <c r="D105" s="7">
        <v>4</v>
      </c>
      <c r="E105" s="6" t="s">
        <v>39</v>
      </c>
      <c r="F105" s="6" t="s">
        <v>199</v>
      </c>
      <c r="G105" s="6" t="s">
        <v>481</v>
      </c>
      <c r="H105" s="6" t="s">
        <v>905</v>
      </c>
      <c r="I105" s="6" t="s">
        <v>906</v>
      </c>
      <c r="J105" s="6" t="s">
        <v>551</v>
      </c>
      <c r="K105" s="14" t="s">
        <v>559</v>
      </c>
      <c r="L105" s="15"/>
      <c r="M105" s="15"/>
      <c r="N105" s="6" t="s">
        <v>560</v>
      </c>
      <c r="O105" s="6" t="s">
        <v>859</v>
      </c>
      <c r="P105" s="6">
        <f>COUNTIFS('05_상품별배치367'!$B$7:$B$373,A105,'05_상품별배치367'!$K$7:$K$373,"&gt;0")</f>
        <v>2</v>
      </c>
      <c r="Q105" s="6">
        <f>SUMIFS('05_상품별배치367'!$K$7:$K$373,'05_상품별배치367'!$B$7:$B$373,A105)</f>
        <v>2</v>
      </c>
      <c r="R105" s="6">
        <f>IF(Z105="",'06_집기치수20'!N20,Z105)</f>
        <v>865</v>
      </c>
      <c r="S105" s="6">
        <f>IF(AA105="",'06_집기치수20'!O20,AA105)</f>
        <v>270</v>
      </c>
      <c r="T105" s="6">
        <v>220</v>
      </c>
      <c r="U105" s="6">
        <f>IF(AB105="",'06_집기치수20'!P20,AB105-'06_집기치수20'!I20)</f>
        <v>200</v>
      </c>
      <c r="V105" s="6" t="str">
        <f>IF(Q105=0,"",IF(COUNTIFS('05_상품별배치367'!$B$7:$B$373,A105,'05_상품별배치367'!$T$7:$T$373,"입력 대기")&gt;0,"",SUMIFS('05_상품별배치367'!$S$7:$S$373,'05_상품별배치367'!$B$7:$B$373,A105)))</f>
        <v/>
      </c>
      <c r="W105" s="6" t="str">
        <f>IF(Q105=0,"미진열",IF(COUNTIFS('05_상품별배치367'!$B$7:$B$373,A105,'05_상품별배치367'!$T$7:$T$373,"치수 초과")&gt;0,"치수 초과",IF(COUNTIFS('05_상품별배치367'!$B$7:$B$373,A105,'05_상품별배치367'!$T$7:$T$373,"입력 대기")&gt;0,"치수 입력 대기",IF(V105&gt;R105,"폭 합계 초과","도면/실측 범위 내·현장확인"))))</f>
        <v>치수 입력 대기</v>
      </c>
      <c r="X105" s="6" t="s">
        <v>907</v>
      </c>
      <c r="Y105" s="6" t="s">
        <v>555</v>
      </c>
      <c r="Z105" s="15"/>
      <c r="AA105" s="15"/>
      <c r="AB105" s="15"/>
    </row>
    <row r="106" spans="1:28" ht="33" customHeight="1">
      <c r="A106" s="8" t="s">
        <v>908</v>
      </c>
      <c r="B106" s="8" t="s">
        <v>193</v>
      </c>
      <c r="C106" s="8" t="s">
        <v>174</v>
      </c>
      <c r="D106" s="9">
        <v>5</v>
      </c>
      <c r="E106" s="8" t="s">
        <v>39</v>
      </c>
      <c r="F106" s="8" t="s">
        <v>200</v>
      </c>
      <c r="G106" s="8" t="s">
        <v>481</v>
      </c>
      <c r="H106" s="8" t="s">
        <v>909</v>
      </c>
      <c r="I106" s="8" t="s">
        <v>910</v>
      </c>
      <c r="J106" s="8" t="s">
        <v>551</v>
      </c>
      <c r="K106" s="14" t="s">
        <v>559</v>
      </c>
      <c r="L106" s="15"/>
      <c r="M106" s="15"/>
      <c r="N106" s="8" t="s">
        <v>560</v>
      </c>
      <c r="O106" s="8" t="s">
        <v>859</v>
      </c>
      <c r="P106" s="6">
        <f>COUNTIFS('05_상품별배치367'!$B$7:$B$373,A106,'05_상품별배치367'!$K$7:$K$373,"&gt;0")</f>
        <v>1</v>
      </c>
      <c r="Q106" s="6">
        <f>SUMIFS('05_상품별배치367'!$K$7:$K$373,'05_상품별배치367'!$B$7:$B$373,A106)</f>
        <v>1</v>
      </c>
      <c r="R106" s="6">
        <f>IF(Z106="",'06_집기치수20'!N21,Z106)</f>
        <v>865</v>
      </c>
      <c r="S106" s="6">
        <f>IF(AA106="",'06_집기치수20'!O21,AA106)</f>
        <v>270</v>
      </c>
      <c r="T106" s="6">
        <v>220</v>
      </c>
      <c r="U106" s="6">
        <f>IF(AB106="",'06_집기치수20'!P21,AB106-'06_집기치수20'!I21)</f>
        <v>200</v>
      </c>
      <c r="V106" s="6" t="str">
        <f>IF(Q106=0,"",IF(COUNTIFS('05_상품별배치367'!$B$7:$B$373,A106,'05_상품별배치367'!$T$7:$T$373,"입력 대기")&gt;0,"",SUMIFS('05_상품별배치367'!$S$7:$S$373,'05_상품별배치367'!$B$7:$B$373,A106)))</f>
        <v/>
      </c>
      <c r="W106" s="6" t="str">
        <f>IF(Q106=0,"미진열",IF(COUNTIFS('05_상품별배치367'!$B$7:$B$373,A106,'05_상품별배치367'!$T$7:$T$373,"치수 초과")&gt;0,"치수 초과",IF(COUNTIFS('05_상품별배치367'!$B$7:$B$373,A106,'05_상품별배치367'!$T$7:$T$373,"입력 대기")&gt;0,"치수 입력 대기",IF(V106&gt;R106,"폭 합계 초과","도면/실측 범위 내·현장확인"))))</f>
        <v>치수 입력 대기</v>
      </c>
      <c r="X106" s="6" t="s">
        <v>911</v>
      </c>
      <c r="Y106" s="6" t="s">
        <v>555</v>
      </c>
      <c r="Z106" s="15"/>
      <c r="AA106" s="15"/>
      <c r="AB106" s="15"/>
    </row>
    <row r="107" spans="1:28" ht="33" customHeight="1">
      <c r="A107" s="6" t="s">
        <v>912</v>
      </c>
      <c r="B107" s="6" t="s">
        <v>201</v>
      </c>
      <c r="C107" s="6" t="s">
        <v>202</v>
      </c>
      <c r="D107" s="7">
        <v>1</v>
      </c>
      <c r="E107" s="6" t="s">
        <v>39</v>
      </c>
      <c r="F107" s="6" t="s">
        <v>206</v>
      </c>
      <c r="G107" s="6" t="s">
        <v>913</v>
      </c>
      <c r="H107" s="6"/>
      <c r="I107" s="6"/>
      <c r="J107" s="6" t="s">
        <v>551</v>
      </c>
      <c r="K107" s="14" t="s">
        <v>552</v>
      </c>
      <c r="L107" s="15"/>
      <c r="M107" s="15"/>
      <c r="N107" s="6" t="s">
        <v>647</v>
      </c>
      <c r="O107" s="6" t="s">
        <v>859</v>
      </c>
      <c r="P107" s="6">
        <f>COUNTIFS('05_상품별배치367'!$B$7:$B$373,A107,'05_상품별배치367'!$K$7:$K$373,"&gt;0")</f>
        <v>0</v>
      </c>
      <c r="Q107" s="6">
        <f>SUMIFS('05_상품별배치367'!$K$7:$K$373,'05_상품별배치367'!$B$7:$B$373,A107)</f>
        <v>0</v>
      </c>
      <c r="R107" s="6">
        <f>IF(Z107="",'06_집기치수20'!N17,Z107)</f>
        <v>865</v>
      </c>
      <c r="S107" s="6">
        <f>IF(AA107="",'06_집기치수20'!O17,AA107)</f>
        <v>270</v>
      </c>
      <c r="T107" s="6">
        <v>100</v>
      </c>
      <c r="U107" s="6">
        <f>IF(AB107="",'06_집기치수20'!P17,AB107-'06_집기치수20'!I17)</f>
        <v>80</v>
      </c>
      <c r="V107" s="6" t="str">
        <f>IF(Q107=0,"",IF(COUNTIFS('05_상품별배치367'!$B$7:$B$373,A107,'05_상품별배치367'!$T$7:$T$373,"입력 대기")&gt;0,"",SUMIFS('05_상품별배치367'!$S$7:$S$373,'05_상품별배치367'!$B$7:$B$373,A107)))</f>
        <v/>
      </c>
      <c r="W107" s="6" t="str">
        <f>IF(Q107=0,"미진열",IF(COUNTIFS('05_상품별배치367'!$B$7:$B$373,A107,'05_상품별배치367'!$T$7:$T$373,"치수 초과")&gt;0,"치수 초과",IF(COUNTIFS('05_상품별배치367'!$B$7:$B$373,A107,'05_상품별배치367'!$T$7:$T$373,"입력 대기")&gt;0,"치수 입력 대기",IF(V107&gt;R107,"폭 합계 초과","도면/실측 범위 내·현장확인"))))</f>
        <v>미진열</v>
      </c>
      <c r="X107" s="6"/>
      <c r="Y107" s="6" t="s">
        <v>555</v>
      </c>
      <c r="Z107" s="15"/>
      <c r="AA107" s="15"/>
      <c r="AB107" s="15"/>
    </row>
    <row r="108" spans="1:28" ht="33" customHeight="1">
      <c r="A108" s="8" t="s">
        <v>914</v>
      </c>
      <c r="B108" s="8" t="s">
        <v>201</v>
      </c>
      <c r="C108" s="8" t="s">
        <v>202</v>
      </c>
      <c r="D108" s="9">
        <v>2</v>
      </c>
      <c r="E108" s="8" t="s">
        <v>39</v>
      </c>
      <c r="F108" s="8" t="s">
        <v>207</v>
      </c>
      <c r="G108" s="8" t="s">
        <v>913</v>
      </c>
      <c r="H108" s="8" t="s">
        <v>915</v>
      </c>
      <c r="I108" s="8" t="s">
        <v>916</v>
      </c>
      <c r="J108" s="8" t="s">
        <v>551</v>
      </c>
      <c r="K108" s="14" t="s">
        <v>559</v>
      </c>
      <c r="L108" s="15"/>
      <c r="M108" s="15"/>
      <c r="N108" s="8" t="s">
        <v>560</v>
      </c>
      <c r="O108" s="8" t="s">
        <v>859</v>
      </c>
      <c r="P108" s="6">
        <f>COUNTIFS('05_상품별배치367'!$B$7:$B$373,A108,'05_상품별배치367'!$K$7:$K$373,"&gt;0")</f>
        <v>2</v>
      </c>
      <c r="Q108" s="6">
        <f>SUMIFS('05_상품별배치367'!$K$7:$K$373,'05_상품별배치367'!$B$7:$B$373,A108)</f>
        <v>2</v>
      </c>
      <c r="R108" s="6">
        <f>IF(Z108="",'06_집기치수20'!N18,Z108)</f>
        <v>865</v>
      </c>
      <c r="S108" s="6">
        <f>IF(AA108="",'06_집기치수20'!O18,AA108)</f>
        <v>270</v>
      </c>
      <c r="T108" s="6">
        <v>220</v>
      </c>
      <c r="U108" s="6">
        <f>IF(AB108="",'06_집기치수20'!P18,AB108-'06_집기치수20'!I18)</f>
        <v>200</v>
      </c>
      <c r="V108" s="6" t="str">
        <f>IF(Q108=0,"",IF(COUNTIFS('05_상품별배치367'!$B$7:$B$373,A108,'05_상품별배치367'!$T$7:$T$373,"입력 대기")&gt;0,"",SUMIFS('05_상품별배치367'!$S$7:$S$373,'05_상품별배치367'!$B$7:$B$373,A108)))</f>
        <v/>
      </c>
      <c r="W108" s="6" t="str">
        <f>IF(Q108=0,"미진열",IF(COUNTIFS('05_상품별배치367'!$B$7:$B$373,A108,'05_상품별배치367'!$T$7:$T$373,"치수 초과")&gt;0,"치수 초과",IF(COUNTIFS('05_상품별배치367'!$B$7:$B$373,A108,'05_상품별배치367'!$T$7:$T$373,"입력 대기")&gt;0,"치수 입력 대기",IF(V108&gt;R108,"폭 합계 초과","도면/실측 범위 내·현장확인"))))</f>
        <v>치수 입력 대기</v>
      </c>
      <c r="X108" s="6" t="s">
        <v>917</v>
      </c>
      <c r="Y108" s="6" t="s">
        <v>555</v>
      </c>
      <c r="Z108" s="15"/>
      <c r="AA108" s="15"/>
      <c r="AB108" s="15"/>
    </row>
    <row r="109" spans="1:28" ht="46" customHeight="1">
      <c r="A109" s="6" t="s">
        <v>918</v>
      </c>
      <c r="B109" s="6" t="s">
        <v>201</v>
      </c>
      <c r="C109" s="6" t="s">
        <v>202</v>
      </c>
      <c r="D109" s="7">
        <v>3</v>
      </c>
      <c r="E109" s="6" t="s">
        <v>39</v>
      </c>
      <c r="F109" s="6" t="s">
        <v>208</v>
      </c>
      <c r="G109" s="6" t="s">
        <v>913</v>
      </c>
      <c r="H109" s="6" t="s">
        <v>919</v>
      </c>
      <c r="I109" s="6" t="s">
        <v>920</v>
      </c>
      <c r="J109" s="6" t="s">
        <v>551</v>
      </c>
      <c r="K109" s="14" t="s">
        <v>559</v>
      </c>
      <c r="L109" s="15"/>
      <c r="M109" s="15"/>
      <c r="N109" s="6" t="s">
        <v>560</v>
      </c>
      <c r="O109" s="6" t="s">
        <v>859</v>
      </c>
      <c r="P109" s="6">
        <f>COUNTIFS('05_상품별배치367'!$B$7:$B$373,A109,'05_상품별배치367'!$K$7:$K$373,"&gt;0")</f>
        <v>3</v>
      </c>
      <c r="Q109" s="6">
        <f>SUMIFS('05_상품별배치367'!$K$7:$K$373,'05_상품별배치367'!$B$7:$B$373,A109)</f>
        <v>3</v>
      </c>
      <c r="R109" s="6">
        <f>IF(Z109="",'06_집기치수20'!N19,Z109)</f>
        <v>865</v>
      </c>
      <c r="S109" s="6">
        <f>IF(AA109="",'06_집기치수20'!O19,AA109)</f>
        <v>270</v>
      </c>
      <c r="T109" s="6">
        <v>220</v>
      </c>
      <c r="U109" s="6">
        <f>IF(AB109="",'06_집기치수20'!P19,AB109-'06_집기치수20'!I19)</f>
        <v>200</v>
      </c>
      <c r="V109" s="6" t="str">
        <f>IF(Q109=0,"",IF(COUNTIFS('05_상품별배치367'!$B$7:$B$373,A109,'05_상품별배치367'!$T$7:$T$373,"입력 대기")&gt;0,"",SUMIFS('05_상품별배치367'!$S$7:$S$373,'05_상품별배치367'!$B$7:$B$373,A109)))</f>
        <v/>
      </c>
      <c r="W109" s="6" t="str">
        <f>IF(Q109=0,"미진열",IF(COUNTIFS('05_상품별배치367'!$B$7:$B$373,A109,'05_상품별배치367'!$T$7:$T$373,"치수 초과")&gt;0,"치수 초과",IF(COUNTIFS('05_상품별배치367'!$B$7:$B$373,A109,'05_상품별배치367'!$T$7:$T$373,"입력 대기")&gt;0,"치수 입력 대기",IF(V109&gt;R109,"폭 합계 초과","도면/실측 범위 내·현장확인"))))</f>
        <v>치수 입력 대기</v>
      </c>
      <c r="X109" s="6" t="s">
        <v>921</v>
      </c>
      <c r="Y109" s="6" t="s">
        <v>555</v>
      </c>
      <c r="Z109" s="15"/>
      <c r="AA109" s="15"/>
      <c r="AB109" s="15"/>
    </row>
    <row r="110" spans="1:28" ht="33" customHeight="1">
      <c r="A110" s="8" t="s">
        <v>922</v>
      </c>
      <c r="B110" s="8" t="s">
        <v>201</v>
      </c>
      <c r="C110" s="8" t="s">
        <v>202</v>
      </c>
      <c r="D110" s="9">
        <v>4</v>
      </c>
      <c r="E110" s="8" t="s">
        <v>39</v>
      </c>
      <c r="F110" s="8" t="s">
        <v>209</v>
      </c>
      <c r="G110" s="8" t="s">
        <v>913</v>
      </c>
      <c r="H110" s="8" t="s">
        <v>923</v>
      </c>
      <c r="I110" s="8" t="s">
        <v>924</v>
      </c>
      <c r="J110" s="8" t="s">
        <v>551</v>
      </c>
      <c r="K110" s="14" t="s">
        <v>559</v>
      </c>
      <c r="L110" s="15"/>
      <c r="M110" s="15"/>
      <c r="N110" s="8" t="s">
        <v>560</v>
      </c>
      <c r="O110" s="8" t="s">
        <v>859</v>
      </c>
      <c r="P110" s="6">
        <f>COUNTIFS('05_상품별배치367'!$B$7:$B$373,A110,'05_상품별배치367'!$K$7:$K$373,"&gt;0")</f>
        <v>1</v>
      </c>
      <c r="Q110" s="6">
        <f>SUMIFS('05_상품별배치367'!$K$7:$K$373,'05_상품별배치367'!$B$7:$B$373,A110)</f>
        <v>1</v>
      </c>
      <c r="R110" s="6">
        <f>IF(Z110="",'06_집기치수20'!N20,Z110)</f>
        <v>865</v>
      </c>
      <c r="S110" s="6">
        <f>IF(AA110="",'06_집기치수20'!O20,AA110)</f>
        <v>270</v>
      </c>
      <c r="T110" s="6">
        <v>220</v>
      </c>
      <c r="U110" s="6">
        <f>IF(AB110="",'06_집기치수20'!P20,AB110-'06_집기치수20'!I20)</f>
        <v>200</v>
      </c>
      <c r="V110" s="6" t="str">
        <f>IF(Q110=0,"",IF(COUNTIFS('05_상품별배치367'!$B$7:$B$373,A110,'05_상품별배치367'!$T$7:$T$373,"입력 대기")&gt;0,"",SUMIFS('05_상품별배치367'!$S$7:$S$373,'05_상품별배치367'!$B$7:$B$373,A110)))</f>
        <v/>
      </c>
      <c r="W110" s="6" t="str">
        <f>IF(Q110=0,"미진열",IF(COUNTIFS('05_상품별배치367'!$B$7:$B$373,A110,'05_상품별배치367'!$T$7:$T$373,"치수 초과")&gt;0,"치수 초과",IF(COUNTIFS('05_상품별배치367'!$B$7:$B$373,A110,'05_상품별배치367'!$T$7:$T$373,"입력 대기")&gt;0,"치수 입력 대기",IF(V110&gt;R110,"폭 합계 초과","도면/실측 범위 내·현장확인"))))</f>
        <v>치수 입력 대기</v>
      </c>
      <c r="X110" s="6" t="s">
        <v>925</v>
      </c>
      <c r="Y110" s="6" t="s">
        <v>555</v>
      </c>
      <c r="Z110" s="15"/>
      <c r="AA110" s="15"/>
      <c r="AB110" s="15"/>
    </row>
    <row r="111" spans="1:28" ht="33" customHeight="1">
      <c r="A111" s="6" t="s">
        <v>926</v>
      </c>
      <c r="B111" s="6" t="s">
        <v>201</v>
      </c>
      <c r="C111" s="6" t="s">
        <v>202</v>
      </c>
      <c r="D111" s="7">
        <v>5</v>
      </c>
      <c r="E111" s="6" t="s">
        <v>39</v>
      </c>
      <c r="F111" s="6" t="s">
        <v>210</v>
      </c>
      <c r="G111" s="6" t="s">
        <v>913</v>
      </c>
      <c r="H111" s="6" t="s">
        <v>927</v>
      </c>
      <c r="I111" s="6" t="s">
        <v>928</v>
      </c>
      <c r="J111" s="6" t="s">
        <v>551</v>
      </c>
      <c r="K111" s="14" t="s">
        <v>559</v>
      </c>
      <c r="L111" s="15"/>
      <c r="M111" s="15"/>
      <c r="N111" s="6" t="s">
        <v>560</v>
      </c>
      <c r="O111" s="6" t="s">
        <v>859</v>
      </c>
      <c r="P111" s="6">
        <f>COUNTIFS('05_상품별배치367'!$B$7:$B$373,A111,'05_상품별배치367'!$K$7:$K$373,"&gt;0")</f>
        <v>1</v>
      </c>
      <c r="Q111" s="6">
        <f>SUMIFS('05_상품별배치367'!$K$7:$K$373,'05_상품별배치367'!$B$7:$B$373,A111)</f>
        <v>1</v>
      </c>
      <c r="R111" s="6">
        <f>IF(Z111="",'06_집기치수20'!N21,Z111)</f>
        <v>865</v>
      </c>
      <c r="S111" s="6">
        <f>IF(AA111="",'06_집기치수20'!O21,AA111)</f>
        <v>270</v>
      </c>
      <c r="T111" s="6">
        <v>220</v>
      </c>
      <c r="U111" s="6">
        <f>IF(AB111="",'06_집기치수20'!P21,AB111-'06_집기치수20'!I21)</f>
        <v>200</v>
      </c>
      <c r="V111" s="6" t="str">
        <f>IF(Q111=0,"",IF(COUNTIFS('05_상품별배치367'!$B$7:$B$373,A111,'05_상품별배치367'!$T$7:$T$373,"입력 대기")&gt;0,"",SUMIFS('05_상품별배치367'!$S$7:$S$373,'05_상품별배치367'!$B$7:$B$373,A111)))</f>
        <v/>
      </c>
      <c r="W111" s="6" t="str">
        <f>IF(Q111=0,"미진열",IF(COUNTIFS('05_상품별배치367'!$B$7:$B$373,A111,'05_상품별배치367'!$T$7:$T$373,"치수 초과")&gt;0,"치수 초과",IF(COUNTIFS('05_상품별배치367'!$B$7:$B$373,A111,'05_상품별배치367'!$T$7:$T$373,"입력 대기")&gt;0,"치수 입력 대기",IF(V111&gt;R111,"폭 합계 초과","도면/실측 범위 내·현장확인"))))</f>
        <v>치수 입력 대기</v>
      </c>
      <c r="X111" s="6" t="s">
        <v>929</v>
      </c>
      <c r="Y111" s="6" t="s">
        <v>555</v>
      </c>
      <c r="Z111" s="15"/>
      <c r="AA111" s="15"/>
      <c r="AB111" s="15"/>
    </row>
    <row r="112" spans="1:28" ht="33" customHeight="1">
      <c r="A112" s="8" t="s">
        <v>930</v>
      </c>
      <c r="B112" s="8" t="s">
        <v>211</v>
      </c>
      <c r="C112" s="8" t="s">
        <v>202</v>
      </c>
      <c r="D112" s="9">
        <v>1</v>
      </c>
      <c r="E112" s="8" t="s">
        <v>39</v>
      </c>
      <c r="F112" s="8" t="s">
        <v>214</v>
      </c>
      <c r="G112" s="8" t="s">
        <v>931</v>
      </c>
      <c r="H112" s="8"/>
      <c r="I112" s="8"/>
      <c r="J112" s="8" t="s">
        <v>551</v>
      </c>
      <c r="K112" s="14" t="s">
        <v>552</v>
      </c>
      <c r="L112" s="15"/>
      <c r="M112" s="15"/>
      <c r="N112" s="8" t="s">
        <v>647</v>
      </c>
      <c r="O112" s="8" t="s">
        <v>859</v>
      </c>
      <c r="P112" s="6">
        <f>COUNTIFS('05_상품별배치367'!$B$7:$B$373,A112,'05_상품별배치367'!$K$7:$K$373,"&gt;0")</f>
        <v>0</v>
      </c>
      <c r="Q112" s="6">
        <f>SUMIFS('05_상품별배치367'!$K$7:$K$373,'05_상품별배치367'!$B$7:$B$373,A112)</f>
        <v>0</v>
      </c>
      <c r="R112" s="6">
        <f>IF(Z112="",'06_집기치수20'!N17,Z112)</f>
        <v>865</v>
      </c>
      <c r="S112" s="6">
        <f>IF(AA112="",'06_집기치수20'!O17,AA112)</f>
        <v>270</v>
      </c>
      <c r="T112" s="6">
        <v>100</v>
      </c>
      <c r="U112" s="6">
        <f>IF(AB112="",'06_집기치수20'!P17,AB112-'06_집기치수20'!I17)</f>
        <v>80</v>
      </c>
      <c r="V112" s="6" t="str">
        <f>IF(Q112=0,"",IF(COUNTIFS('05_상품별배치367'!$B$7:$B$373,A112,'05_상품별배치367'!$T$7:$T$373,"입력 대기")&gt;0,"",SUMIFS('05_상품별배치367'!$S$7:$S$373,'05_상품별배치367'!$B$7:$B$373,A112)))</f>
        <v/>
      </c>
      <c r="W112" s="6" t="str">
        <f>IF(Q112=0,"미진열",IF(COUNTIFS('05_상품별배치367'!$B$7:$B$373,A112,'05_상품별배치367'!$T$7:$T$373,"치수 초과")&gt;0,"치수 초과",IF(COUNTIFS('05_상품별배치367'!$B$7:$B$373,A112,'05_상품별배치367'!$T$7:$T$373,"입력 대기")&gt;0,"치수 입력 대기",IF(V112&gt;R112,"폭 합계 초과","도면/실측 범위 내·현장확인"))))</f>
        <v>미진열</v>
      </c>
      <c r="X112" s="6"/>
      <c r="Y112" s="6" t="s">
        <v>555</v>
      </c>
      <c r="Z112" s="15"/>
      <c r="AA112" s="15"/>
      <c r="AB112" s="15"/>
    </row>
    <row r="113" spans="1:28" ht="33" customHeight="1">
      <c r="A113" s="6" t="s">
        <v>932</v>
      </c>
      <c r="B113" s="6" t="s">
        <v>211</v>
      </c>
      <c r="C113" s="6" t="s">
        <v>202</v>
      </c>
      <c r="D113" s="7">
        <v>2</v>
      </c>
      <c r="E113" s="6" t="s">
        <v>39</v>
      </c>
      <c r="F113" s="6" t="s">
        <v>215</v>
      </c>
      <c r="G113" s="6" t="s">
        <v>931</v>
      </c>
      <c r="H113" s="6" t="s">
        <v>933</v>
      </c>
      <c r="I113" s="6" t="s">
        <v>934</v>
      </c>
      <c r="J113" s="6" t="s">
        <v>551</v>
      </c>
      <c r="K113" s="14" t="s">
        <v>559</v>
      </c>
      <c r="L113" s="15"/>
      <c r="M113" s="15"/>
      <c r="N113" s="6" t="s">
        <v>560</v>
      </c>
      <c r="O113" s="6" t="s">
        <v>859</v>
      </c>
      <c r="P113" s="6">
        <f>COUNTIFS('05_상품별배치367'!$B$7:$B$373,A113,'05_상품별배치367'!$K$7:$K$373,"&gt;0")</f>
        <v>1</v>
      </c>
      <c r="Q113" s="6">
        <f>SUMIFS('05_상품별배치367'!$K$7:$K$373,'05_상품별배치367'!$B$7:$B$373,A113)</f>
        <v>1</v>
      </c>
      <c r="R113" s="6">
        <f>IF(Z113="",'06_집기치수20'!N18,Z113)</f>
        <v>865</v>
      </c>
      <c r="S113" s="6">
        <f>IF(AA113="",'06_집기치수20'!O18,AA113)</f>
        <v>270</v>
      </c>
      <c r="T113" s="6">
        <v>220</v>
      </c>
      <c r="U113" s="6">
        <f>IF(AB113="",'06_집기치수20'!P18,AB113-'06_집기치수20'!I18)</f>
        <v>200</v>
      </c>
      <c r="V113" s="6" t="str">
        <f>IF(Q113=0,"",IF(COUNTIFS('05_상품별배치367'!$B$7:$B$373,A113,'05_상품별배치367'!$T$7:$T$373,"입력 대기")&gt;0,"",SUMIFS('05_상품별배치367'!$S$7:$S$373,'05_상품별배치367'!$B$7:$B$373,A113)))</f>
        <v/>
      </c>
      <c r="W113" s="6" t="str">
        <f>IF(Q113=0,"미진열",IF(COUNTIFS('05_상품별배치367'!$B$7:$B$373,A113,'05_상품별배치367'!$T$7:$T$373,"치수 초과")&gt;0,"치수 초과",IF(COUNTIFS('05_상품별배치367'!$B$7:$B$373,A113,'05_상품별배치367'!$T$7:$T$373,"입력 대기")&gt;0,"치수 입력 대기",IF(V113&gt;R113,"폭 합계 초과","도면/실측 범위 내·현장확인"))))</f>
        <v>치수 입력 대기</v>
      </c>
      <c r="X113" s="6" t="s">
        <v>935</v>
      </c>
      <c r="Y113" s="6" t="s">
        <v>555</v>
      </c>
      <c r="Z113" s="15"/>
      <c r="AA113" s="15"/>
      <c r="AB113" s="15"/>
    </row>
    <row r="114" spans="1:28" ht="33" customHeight="1">
      <c r="A114" s="8" t="s">
        <v>936</v>
      </c>
      <c r="B114" s="8" t="s">
        <v>211</v>
      </c>
      <c r="C114" s="8" t="s">
        <v>202</v>
      </c>
      <c r="D114" s="9">
        <v>3</v>
      </c>
      <c r="E114" s="8" t="s">
        <v>39</v>
      </c>
      <c r="F114" s="8" t="s">
        <v>216</v>
      </c>
      <c r="G114" s="8" t="s">
        <v>931</v>
      </c>
      <c r="H114" s="8" t="s">
        <v>937</v>
      </c>
      <c r="I114" s="8" t="s">
        <v>938</v>
      </c>
      <c r="J114" s="8" t="s">
        <v>551</v>
      </c>
      <c r="K114" s="14" t="s">
        <v>846</v>
      </c>
      <c r="L114" s="15"/>
      <c r="M114" s="15"/>
      <c r="N114" s="8" t="s">
        <v>560</v>
      </c>
      <c r="O114" s="8" t="s">
        <v>859</v>
      </c>
      <c r="P114" s="6">
        <f>COUNTIFS('05_상품별배치367'!$B$7:$B$373,A114,'05_상품별배치367'!$K$7:$K$373,"&gt;0")</f>
        <v>1</v>
      </c>
      <c r="Q114" s="6">
        <f>SUMIFS('05_상품별배치367'!$K$7:$K$373,'05_상품별배치367'!$B$7:$B$373,A114)</f>
        <v>1</v>
      </c>
      <c r="R114" s="6">
        <f>IF(Z114="",'06_집기치수20'!N19,Z114)</f>
        <v>865</v>
      </c>
      <c r="S114" s="6">
        <f>IF(AA114="",'06_집기치수20'!O19,AA114)</f>
        <v>270</v>
      </c>
      <c r="T114" s="6">
        <v>220</v>
      </c>
      <c r="U114" s="6">
        <f>IF(AB114="",'06_집기치수20'!P19,AB114-'06_집기치수20'!I19)</f>
        <v>200</v>
      </c>
      <c r="V114" s="6" t="str">
        <f>IF(Q114=0,"",IF(COUNTIFS('05_상품별배치367'!$B$7:$B$373,A114,'05_상품별배치367'!$T$7:$T$373,"입력 대기")&gt;0,"",SUMIFS('05_상품별배치367'!$S$7:$S$373,'05_상품별배치367'!$B$7:$B$373,A114)))</f>
        <v/>
      </c>
      <c r="W114" s="6" t="str">
        <f>IF(Q114=0,"미진열",IF(COUNTIFS('05_상품별배치367'!$B$7:$B$373,A114,'05_상품별배치367'!$T$7:$T$373,"치수 초과")&gt;0,"치수 초과",IF(COUNTIFS('05_상품별배치367'!$B$7:$B$373,A114,'05_상품별배치367'!$T$7:$T$373,"입력 대기")&gt;0,"치수 입력 대기",IF(V114&gt;R114,"폭 합계 초과","도면/실측 범위 내·현장확인"))))</f>
        <v>치수 입력 대기</v>
      </c>
      <c r="X114" s="6" t="s">
        <v>939</v>
      </c>
      <c r="Y114" s="6" t="s">
        <v>555</v>
      </c>
      <c r="Z114" s="15"/>
      <c r="AA114" s="15"/>
      <c r="AB114" s="15"/>
    </row>
    <row r="115" spans="1:28" ht="33" customHeight="1">
      <c r="A115" s="6" t="s">
        <v>940</v>
      </c>
      <c r="B115" s="6" t="s">
        <v>211</v>
      </c>
      <c r="C115" s="6" t="s">
        <v>202</v>
      </c>
      <c r="D115" s="7">
        <v>4</v>
      </c>
      <c r="E115" s="6" t="s">
        <v>39</v>
      </c>
      <c r="F115" s="6" t="s">
        <v>217</v>
      </c>
      <c r="G115" s="6" t="s">
        <v>931</v>
      </c>
      <c r="H115" s="6" t="s">
        <v>941</v>
      </c>
      <c r="I115" s="6" t="s">
        <v>942</v>
      </c>
      <c r="J115" s="6" t="s">
        <v>551</v>
      </c>
      <c r="K115" s="14" t="s">
        <v>846</v>
      </c>
      <c r="L115" s="15"/>
      <c r="M115" s="15"/>
      <c r="N115" s="6" t="s">
        <v>560</v>
      </c>
      <c r="O115" s="6" t="s">
        <v>859</v>
      </c>
      <c r="P115" s="6">
        <f>COUNTIFS('05_상품별배치367'!$B$7:$B$373,A115,'05_상품별배치367'!$K$7:$K$373,"&gt;0")</f>
        <v>1</v>
      </c>
      <c r="Q115" s="6">
        <f>SUMIFS('05_상품별배치367'!$K$7:$K$373,'05_상품별배치367'!$B$7:$B$373,A115)</f>
        <v>1</v>
      </c>
      <c r="R115" s="6">
        <f>IF(Z115="",'06_집기치수20'!N20,Z115)</f>
        <v>865</v>
      </c>
      <c r="S115" s="6">
        <f>IF(AA115="",'06_집기치수20'!O20,AA115)</f>
        <v>270</v>
      </c>
      <c r="T115" s="6">
        <v>220</v>
      </c>
      <c r="U115" s="6">
        <f>IF(AB115="",'06_집기치수20'!P20,AB115-'06_집기치수20'!I20)</f>
        <v>200</v>
      </c>
      <c r="V115" s="6" t="str">
        <f>IF(Q115=0,"",IF(COUNTIFS('05_상품별배치367'!$B$7:$B$373,A115,'05_상품별배치367'!$T$7:$T$373,"입력 대기")&gt;0,"",SUMIFS('05_상품별배치367'!$S$7:$S$373,'05_상품별배치367'!$B$7:$B$373,A115)))</f>
        <v/>
      </c>
      <c r="W115" s="6" t="str">
        <f>IF(Q115=0,"미진열",IF(COUNTIFS('05_상품별배치367'!$B$7:$B$373,A115,'05_상품별배치367'!$T$7:$T$373,"치수 초과")&gt;0,"치수 초과",IF(COUNTIFS('05_상품별배치367'!$B$7:$B$373,A115,'05_상품별배치367'!$T$7:$T$373,"입력 대기")&gt;0,"치수 입력 대기",IF(V115&gt;R115,"폭 합계 초과","도면/실측 범위 내·현장확인"))))</f>
        <v>치수 입력 대기</v>
      </c>
      <c r="X115" s="6" t="s">
        <v>943</v>
      </c>
      <c r="Y115" s="6" t="s">
        <v>555</v>
      </c>
      <c r="Z115" s="15"/>
      <c r="AA115" s="15"/>
      <c r="AB115" s="15"/>
    </row>
    <row r="116" spans="1:28" ht="33" customHeight="1">
      <c r="A116" s="8" t="s">
        <v>944</v>
      </c>
      <c r="B116" s="8" t="s">
        <v>211</v>
      </c>
      <c r="C116" s="8" t="s">
        <v>202</v>
      </c>
      <c r="D116" s="9">
        <v>5</v>
      </c>
      <c r="E116" s="8" t="s">
        <v>39</v>
      </c>
      <c r="F116" s="8" t="s">
        <v>218</v>
      </c>
      <c r="G116" s="8" t="s">
        <v>931</v>
      </c>
      <c r="H116" s="8" t="s">
        <v>945</v>
      </c>
      <c r="I116" s="8" t="s">
        <v>946</v>
      </c>
      <c r="J116" s="8" t="s">
        <v>551</v>
      </c>
      <c r="K116" s="14" t="s">
        <v>846</v>
      </c>
      <c r="L116" s="15"/>
      <c r="M116" s="15"/>
      <c r="N116" s="8" t="s">
        <v>560</v>
      </c>
      <c r="O116" s="8" t="s">
        <v>859</v>
      </c>
      <c r="P116" s="6">
        <f>COUNTIFS('05_상품별배치367'!$B$7:$B$373,A116,'05_상품별배치367'!$K$7:$K$373,"&gt;0")</f>
        <v>1</v>
      </c>
      <c r="Q116" s="6">
        <f>SUMIFS('05_상품별배치367'!$K$7:$K$373,'05_상품별배치367'!$B$7:$B$373,A116)</f>
        <v>1</v>
      </c>
      <c r="R116" s="6">
        <f>IF(Z116="",'06_집기치수20'!N21,Z116)</f>
        <v>865</v>
      </c>
      <c r="S116" s="6">
        <f>IF(AA116="",'06_집기치수20'!O21,AA116)</f>
        <v>270</v>
      </c>
      <c r="T116" s="6">
        <v>220</v>
      </c>
      <c r="U116" s="6">
        <f>IF(AB116="",'06_집기치수20'!P21,AB116-'06_집기치수20'!I21)</f>
        <v>200</v>
      </c>
      <c r="V116" s="6" t="str">
        <f>IF(Q116=0,"",IF(COUNTIFS('05_상품별배치367'!$B$7:$B$373,A116,'05_상품별배치367'!$T$7:$T$373,"입력 대기")&gt;0,"",SUMIFS('05_상품별배치367'!$S$7:$S$373,'05_상품별배치367'!$B$7:$B$373,A116)))</f>
        <v/>
      </c>
      <c r="W116" s="6" t="str">
        <f>IF(Q116=0,"미진열",IF(COUNTIFS('05_상품별배치367'!$B$7:$B$373,A116,'05_상품별배치367'!$T$7:$T$373,"치수 초과")&gt;0,"치수 초과",IF(COUNTIFS('05_상품별배치367'!$B$7:$B$373,A116,'05_상품별배치367'!$T$7:$T$373,"입력 대기")&gt;0,"치수 입력 대기",IF(V116&gt;R116,"폭 합계 초과","도면/실측 범위 내·현장확인"))))</f>
        <v>치수 입력 대기</v>
      </c>
      <c r="X116" s="6" t="s">
        <v>947</v>
      </c>
      <c r="Y116" s="6" t="s">
        <v>555</v>
      </c>
      <c r="Z116" s="15"/>
      <c r="AA116" s="15"/>
      <c r="AB116" s="15"/>
    </row>
    <row r="117" spans="1:28" ht="33" customHeight="1">
      <c r="A117" s="6" t="s">
        <v>948</v>
      </c>
      <c r="B117" s="6" t="s">
        <v>219</v>
      </c>
      <c r="C117" s="6" t="s">
        <v>202</v>
      </c>
      <c r="D117" s="7">
        <v>1</v>
      </c>
      <c r="E117" s="6" t="s">
        <v>39</v>
      </c>
      <c r="F117" s="6" t="s">
        <v>222</v>
      </c>
      <c r="G117" s="6" t="s">
        <v>482</v>
      </c>
      <c r="H117" s="6"/>
      <c r="I117" s="6"/>
      <c r="J117" s="6" t="s">
        <v>551</v>
      </c>
      <c r="K117" s="14" t="s">
        <v>552</v>
      </c>
      <c r="L117" s="15"/>
      <c r="M117" s="15"/>
      <c r="N117" s="6" t="s">
        <v>647</v>
      </c>
      <c r="O117" s="6" t="s">
        <v>859</v>
      </c>
      <c r="P117" s="6">
        <f>COUNTIFS('05_상품별배치367'!$B$7:$B$373,A117,'05_상품별배치367'!$K$7:$K$373,"&gt;0")</f>
        <v>0</v>
      </c>
      <c r="Q117" s="6">
        <f>SUMIFS('05_상품별배치367'!$K$7:$K$373,'05_상품별배치367'!$B$7:$B$373,A117)</f>
        <v>0</v>
      </c>
      <c r="R117" s="6">
        <f>IF(Z117="",'06_집기치수20'!N17,Z117)</f>
        <v>865</v>
      </c>
      <c r="S117" s="6">
        <f>IF(AA117="",'06_집기치수20'!O17,AA117)</f>
        <v>270</v>
      </c>
      <c r="T117" s="6">
        <v>100</v>
      </c>
      <c r="U117" s="6">
        <f>IF(AB117="",'06_집기치수20'!P17,AB117-'06_집기치수20'!I17)</f>
        <v>80</v>
      </c>
      <c r="V117" s="6" t="str">
        <f>IF(Q117=0,"",IF(COUNTIFS('05_상품별배치367'!$B$7:$B$373,A117,'05_상품별배치367'!$T$7:$T$373,"입력 대기")&gt;0,"",SUMIFS('05_상품별배치367'!$S$7:$S$373,'05_상품별배치367'!$B$7:$B$373,A117)))</f>
        <v/>
      </c>
      <c r="W117" s="6" t="str">
        <f>IF(Q117=0,"미진열",IF(COUNTIFS('05_상품별배치367'!$B$7:$B$373,A117,'05_상품별배치367'!$T$7:$T$373,"치수 초과")&gt;0,"치수 초과",IF(COUNTIFS('05_상품별배치367'!$B$7:$B$373,A117,'05_상품별배치367'!$T$7:$T$373,"입력 대기")&gt;0,"치수 입력 대기",IF(V117&gt;R117,"폭 합계 초과","도면/실측 범위 내·현장확인"))))</f>
        <v>미진열</v>
      </c>
      <c r="X117" s="6"/>
      <c r="Y117" s="6" t="s">
        <v>555</v>
      </c>
      <c r="Z117" s="15"/>
      <c r="AA117" s="15"/>
      <c r="AB117" s="15"/>
    </row>
    <row r="118" spans="1:28" ht="33" customHeight="1">
      <c r="A118" s="8" t="s">
        <v>949</v>
      </c>
      <c r="B118" s="8" t="s">
        <v>219</v>
      </c>
      <c r="C118" s="8" t="s">
        <v>202</v>
      </c>
      <c r="D118" s="9">
        <v>2</v>
      </c>
      <c r="E118" s="8" t="s">
        <v>39</v>
      </c>
      <c r="F118" s="8" t="s">
        <v>223</v>
      </c>
      <c r="G118" s="8" t="s">
        <v>482</v>
      </c>
      <c r="H118" s="8" t="s">
        <v>950</v>
      </c>
      <c r="I118" s="8" t="s">
        <v>951</v>
      </c>
      <c r="J118" s="8" t="s">
        <v>551</v>
      </c>
      <c r="K118" s="14" t="s">
        <v>559</v>
      </c>
      <c r="L118" s="15"/>
      <c r="M118" s="15"/>
      <c r="N118" s="8" t="s">
        <v>560</v>
      </c>
      <c r="O118" s="8" t="s">
        <v>859</v>
      </c>
      <c r="P118" s="6">
        <f>COUNTIFS('05_상품별배치367'!$B$7:$B$373,A118,'05_상품별배치367'!$K$7:$K$373,"&gt;0")</f>
        <v>2</v>
      </c>
      <c r="Q118" s="6">
        <f>SUMIFS('05_상품별배치367'!$K$7:$K$373,'05_상품별배치367'!$B$7:$B$373,A118)</f>
        <v>2</v>
      </c>
      <c r="R118" s="6">
        <f>IF(Z118="",'06_집기치수20'!N18,Z118)</f>
        <v>865</v>
      </c>
      <c r="S118" s="6">
        <f>IF(AA118="",'06_집기치수20'!O18,AA118)</f>
        <v>270</v>
      </c>
      <c r="T118" s="6">
        <v>220</v>
      </c>
      <c r="U118" s="6">
        <f>IF(AB118="",'06_집기치수20'!P18,AB118-'06_집기치수20'!I18)</f>
        <v>200</v>
      </c>
      <c r="V118" s="6" t="str">
        <f>IF(Q118=0,"",IF(COUNTIFS('05_상품별배치367'!$B$7:$B$373,A118,'05_상품별배치367'!$T$7:$T$373,"입력 대기")&gt;0,"",SUMIFS('05_상품별배치367'!$S$7:$S$373,'05_상품별배치367'!$B$7:$B$373,A118)))</f>
        <v/>
      </c>
      <c r="W118" s="6" t="str">
        <f>IF(Q118=0,"미진열",IF(COUNTIFS('05_상품별배치367'!$B$7:$B$373,A118,'05_상품별배치367'!$T$7:$T$373,"치수 초과")&gt;0,"치수 초과",IF(COUNTIFS('05_상품별배치367'!$B$7:$B$373,A118,'05_상품별배치367'!$T$7:$T$373,"입력 대기")&gt;0,"치수 입력 대기",IF(V118&gt;R118,"폭 합계 초과","도면/실측 범위 내·현장확인"))))</f>
        <v>치수 입력 대기</v>
      </c>
      <c r="X118" s="6" t="s">
        <v>952</v>
      </c>
      <c r="Y118" s="6" t="s">
        <v>555</v>
      </c>
      <c r="Z118" s="15"/>
      <c r="AA118" s="15"/>
      <c r="AB118" s="15"/>
    </row>
    <row r="119" spans="1:28" ht="33" customHeight="1">
      <c r="A119" s="6" t="s">
        <v>953</v>
      </c>
      <c r="B119" s="6" t="s">
        <v>219</v>
      </c>
      <c r="C119" s="6" t="s">
        <v>202</v>
      </c>
      <c r="D119" s="7">
        <v>3</v>
      </c>
      <c r="E119" s="6" t="s">
        <v>39</v>
      </c>
      <c r="F119" s="6" t="s">
        <v>224</v>
      </c>
      <c r="G119" s="6" t="s">
        <v>954</v>
      </c>
      <c r="H119" s="6" t="s">
        <v>955</v>
      </c>
      <c r="I119" s="6" t="s">
        <v>956</v>
      </c>
      <c r="J119" s="6" t="s">
        <v>551</v>
      </c>
      <c r="K119" s="14" t="s">
        <v>559</v>
      </c>
      <c r="L119" s="15"/>
      <c r="M119" s="15"/>
      <c r="N119" s="6" t="s">
        <v>560</v>
      </c>
      <c r="O119" s="6" t="s">
        <v>859</v>
      </c>
      <c r="P119" s="6">
        <f>COUNTIFS('05_상품별배치367'!$B$7:$B$373,A119,'05_상품별배치367'!$K$7:$K$373,"&gt;0")</f>
        <v>1</v>
      </c>
      <c r="Q119" s="6">
        <f>SUMIFS('05_상품별배치367'!$K$7:$K$373,'05_상품별배치367'!$B$7:$B$373,A119)</f>
        <v>1</v>
      </c>
      <c r="R119" s="6">
        <f>IF(Z119="",'06_집기치수20'!N19,Z119)</f>
        <v>865</v>
      </c>
      <c r="S119" s="6">
        <f>IF(AA119="",'06_집기치수20'!O19,AA119)</f>
        <v>270</v>
      </c>
      <c r="T119" s="6">
        <v>220</v>
      </c>
      <c r="U119" s="6">
        <f>IF(AB119="",'06_집기치수20'!P19,AB119-'06_집기치수20'!I19)</f>
        <v>200</v>
      </c>
      <c r="V119" s="6" t="str">
        <f>IF(Q119=0,"",IF(COUNTIFS('05_상품별배치367'!$B$7:$B$373,A119,'05_상품별배치367'!$T$7:$T$373,"입력 대기")&gt;0,"",SUMIFS('05_상품별배치367'!$S$7:$S$373,'05_상품별배치367'!$B$7:$B$373,A119)))</f>
        <v/>
      </c>
      <c r="W119" s="6" t="str">
        <f>IF(Q119=0,"미진열",IF(COUNTIFS('05_상품별배치367'!$B$7:$B$373,A119,'05_상품별배치367'!$T$7:$T$373,"치수 초과")&gt;0,"치수 초과",IF(COUNTIFS('05_상품별배치367'!$B$7:$B$373,A119,'05_상품별배치367'!$T$7:$T$373,"입력 대기")&gt;0,"치수 입력 대기",IF(V119&gt;R119,"폭 합계 초과","도면/실측 범위 내·현장확인"))))</f>
        <v>치수 입력 대기</v>
      </c>
      <c r="X119" s="6" t="s">
        <v>957</v>
      </c>
      <c r="Y119" s="6" t="s">
        <v>555</v>
      </c>
      <c r="Z119" s="15"/>
      <c r="AA119" s="15"/>
      <c r="AB119" s="15"/>
    </row>
    <row r="120" spans="1:28" ht="33" customHeight="1">
      <c r="A120" s="8" t="s">
        <v>958</v>
      </c>
      <c r="B120" s="8" t="s">
        <v>219</v>
      </c>
      <c r="C120" s="8" t="s">
        <v>202</v>
      </c>
      <c r="D120" s="9">
        <v>4</v>
      </c>
      <c r="E120" s="8" t="s">
        <v>39</v>
      </c>
      <c r="F120" s="8" t="s">
        <v>225</v>
      </c>
      <c r="G120" s="8" t="s">
        <v>954</v>
      </c>
      <c r="H120" s="8" t="s">
        <v>959</v>
      </c>
      <c r="I120" s="8" t="s">
        <v>960</v>
      </c>
      <c r="J120" s="8" t="s">
        <v>551</v>
      </c>
      <c r="K120" s="14" t="s">
        <v>559</v>
      </c>
      <c r="L120" s="15"/>
      <c r="M120" s="15"/>
      <c r="N120" s="8" t="s">
        <v>560</v>
      </c>
      <c r="O120" s="8" t="s">
        <v>859</v>
      </c>
      <c r="P120" s="6">
        <f>COUNTIFS('05_상품별배치367'!$B$7:$B$373,A120,'05_상품별배치367'!$K$7:$K$373,"&gt;0")</f>
        <v>1</v>
      </c>
      <c r="Q120" s="6">
        <f>SUMIFS('05_상품별배치367'!$K$7:$K$373,'05_상품별배치367'!$B$7:$B$373,A120)</f>
        <v>1</v>
      </c>
      <c r="R120" s="6">
        <f>IF(Z120="",'06_집기치수20'!N20,Z120)</f>
        <v>865</v>
      </c>
      <c r="S120" s="6">
        <f>IF(AA120="",'06_집기치수20'!O20,AA120)</f>
        <v>270</v>
      </c>
      <c r="T120" s="6">
        <v>220</v>
      </c>
      <c r="U120" s="6">
        <f>IF(AB120="",'06_집기치수20'!P20,AB120-'06_집기치수20'!I20)</f>
        <v>200</v>
      </c>
      <c r="V120" s="6" t="str">
        <f>IF(Q120=0,"",IF(COUNTIFS('05_상품별배치367'!$B$7:$B$373,A120,'05_상품별배치367'!$T$7:$T$373,"입력 대기")&gt;0,"",SUMIFS('05_상품별배치367'!$S$7:$S$373,'05_상품별배치367'!$B$7:$B$373,A120)))</f>
        <v/>
      </c>
      <c r="W120" s="6" t="str">
        <f>IF(Q120=0,"미진열",IF(COUNTIFS('05_상품별배치367'!$B$7:$B$373,A120,'05_상품별배치367'!$T$7:$T$373,"치수 초과")&gt;0,"치수 초과",IF(COUNTIFS('05_상품별배치367'!$B$7:$B$373,A120,'05_상품별배치367'!$T$7:$T$373,"입력 대기")&gt;0,"치수 입력 대기",IF(V120&gt;R120,"폭 합계 초과","도면/실측 범위 내·현장확인"))))</f>
        <v>치수 입력 대기</v>
      </c>
      <c r="X120" s="6" t="s">
        <v>961</v>
      </c>
      <c r="Y120" s="6" t="s">
        <v>555</v>
      </c>
      <c r="Z120" s="15"/>
      <c r="AA120" s="15"/>
      <c r="AB120" s="15"/>
    </row>
    <row r="121" spans="1:28" ht="33" customHeight="1">
      <c r="A121" s="6" t="s">
        <v>962</v>
      </c>
      <c r="B121" s="6" t="s">
        <v>219</v>
      </c>
      <c r="C121" s="6" t="s">
        <v>202</v>
      </c>
      <c r="D121" s="7">
        <v>5</v>
      </c>
      <c r="E121" s="6" t="s">
        <v>39</v>
      </c>
      <c r="F121" s="6" t="s">
        <v>226</v>
      </c>
      <c r="G121" s="6" t="s">
        <v>963</v>
      </c>
      <c r="H121" s="6" t="s">
        <v>964</v>
      </c>
      <c r="I121" s="6" t="s">
        <v>965</v>
      </c>
      <c r="J121" s="6" t="s">
        <v>551</v>
      </c>
      <c r="K121" s="14" t="s">
        <v>559</v>
      </c>
      <c r="L121" s="15"/>
      <c r="M121" s="15"/>
      <c r="N121" s="6" t="s">
        <v>560</v>
      </c>
      <c r="O121" s="6" t="s">
        <v>859</v>
      </c>
      <c r="P121" s="6">
        <f>COUNTIFS('05_상품별배치367'!$B$7:$B$373,A121,'05_상품별배치367'!$K$7:$K$373,"&gt;0")</f>
        <v>1</v>
      </c>
      <c r="Q121" s="6">
        <f>SUMIFS('05_상품별배치367'!$K$7:$K$373,'05_상품별배치367'!$B$7:$B$373,A121)</f>
        <v>1</v>
      </c>
      <c r="R121" s="6">
        <f>IF(Z121="",'06_집기치수20'!N21,Z121)</f>
        <v>865</v>
      </c>
      <c r="S121" s="6">
        <f>IF(AA121="",'06_집기치수20'!O21,AA121)</f>
        <v>270</v>
      </c>
      <c r="T121" s="6">
        <v>220</v>
      </c>
      <c r="U121" s="6">
        <f>IF(AB121="",'06_집기치수20'!P21,AB121-'06_집기치수20'!I21)</f>
        <v>200</v>
      </c>
      <c r="V121" s="6" t="str">
        <f>IF(Q121=0,"",IF(COUNTIFS('05_상품별배치367'!$B$7:$B$373,A121,'05_상품별배치367'!$T$7:$T$373,"입력 대기")&gt;0,"",SUMIFS('05_상품별배치367'!$S$7:$S$373,'05_상품별배치367'!$B$7:$B$373,A121)))</f>
        <v/>
      </c>
      <c r="W121" s="6" t="str">
        <f>IF(Q121=0,"미진열",IF(COUNTIFS('05_상품별배치367'!$B$7:$B$373,A121,'05_상품별배치367'!$T$7:$T$373,"치수 초과")&gt;0,"치수 초과",IF(COUNTIFS('05_상품별배치367'!$B$7:$B$373,A121,'05_상품별배치367'!$T$7:$T$373,"입력 대기")&gt;0,"치수 입력 대기",IF(V121&gt;R121,"폭 합계 초과","도면/실측 범위 내·현장확인"))))</f>
        <v>치수 입력 대기</v>
      </c>
      <c r="X121" s="6" t="s">
        <v>966</v>
      </c>
      <c r="Y121" s="6" t="s">
        <v>555</v>
      </c>
      <c r="Z121" s="15"/>
      <c r="AA121" s="15"/>
      <c r="AB121" s="15"/>
    </row>
    <row r="122" spans="1:28" ht="33" customHeight="1">
      <c r="A122" s="8" t="s">
        <v>967</v>
      </c>
      <c r="B122" s="8" t="s">
        <v>228</v>
      </c>
      <c r="C122" s="8" t="s">
        <v>174</v>
      </c>
      <c r="D122" s="9">
        <v>1</v>
      </c>
      <c r="E122" s="8" t="s">
        <v>27</v>
      </c>
      <c r="F122" s="8" t="s">
        <v>231</v>
      </c>
      <c r="G122" s="8" t="s">
        <v>968</v>
      </c>
      <c r="H122" s="8"/>
      <c r="I122" s="8"/>
      <c r="J122" s="8" t="s">
        <v>551</v>
      </c>
      <c r="K122" s="14" t="s">
        <v>552</v>
      </c>
      <c r="L122" s="15"/>
      <c r="M122" s="15"/>
      <c r="N122" s="8" t="s">
        <v>647</v>
      </c>
      <c r="O122" s="8" t="s">
        <v>859</v>
      </c>
      <c r="P122" s="6">
        <f>COUNTIFS('05_상품별배치367'!$B$7:$B$373,A122,'05_상품별배치367'!$K$7:$K$373,"&gt;0")</f>
        <v>0</v>
      </c>
      <c r="Q122" s="6">
        <f>SUMIFS('05_상품별배치367'!$K$7:$K$373,'05_상품별배치367'!$B$7:$B$373,A122)</f>
        <v>0</v>
      </c>
      <c r="R122" s="6">
        <f>IF(Z122="",'06_집기치수20'!N17,Z122)</f>
        <v>865</v>
      </c>
      <c r="S122" s="6">
        <f>IF(AA122="",'06_집기치수20'!O17,AA122)</f>
        <v>270</v>
      </c>
      <c r="T122" s="6">
        <v>100</v>
      </c>
      <c r="U122" s="6">
        <f>IF(AB122="",'06_집기치수20'!P17,AB122-'06_집기치수20'!I17)</f>
        <v>80</v>
      </c>
      <c r="V122" s="6" t="str">
        <f>IF(Q122=0,"",IF(COUNTIFS('05_상품별배치367'!$B$7:$B$373,A122,'05_상품별배치367'!$T$7:$T$373,"입력 대기")&gt;0,"",SUMIFS('05_상품별배치367'!$S$7:$S$373,'05_상품별배치367'!$B$7:$B$373,A122)))</f>
        <v/>
      </c>
      <c r="W122" s="6" t="str">
        <f>IF(Q122=0,"미진열",IF(COUNTIFS('05_상품별배치367'!$B$7:$B$373,A122,'05_상품별배치367'!$T$7:$T$373,"치수 초과")&gt;0,"치수 초과",IF(COUNTIFS('05_상품별배치367'!$B$7:$B$373,A122,'05_상품별배치367'!$T$7:$T$373,"입력 대기")&gt;0,"치수 입력 대기",IF(V122&gt;R122,"폭 합계 초과","도면/실측 범위 내·현장확인"))))</f>
        <v>미진열</v>
      </c>
      <c r="X122" s="6"/>
      <c r="Y122" s="6" t="s">
        <v>555</v>
      </c>
      <c r="Z122" s="15"/>
      <c r="AA122" s="15"/>
      <c r="AB122" s="15"/>
    </row>
    <row r="123" spans="1:28" ht="33" customHeight="1">
      <c r="A123" s="6" t="s">
        <v>969</v>
      </c>
      <c r="B123" s="6" t="s">
        <v>228</v>
      </c>
      <c r="C123" s="6" t="s">
        <v>174</v>
      </c>
      <c r="D123" s="7">
        <v>2</v>
      </c>
      <c r="E123" s="6" t="s">
        <v>27</v>
      </c>
      <c r="F123" s="6" t="s">
        <v>232</v>
      </c>
      <c r="G123" s="6" t="s">
        <v>128</v>
      </c>
      <c r="H123" s="6" t="s">
        <v>970</v>
      </c>
      <c r="I123" s="6" t="s">
        <v>971</v>
      </c>
      <c r="J123" s="6" t="s">
        <v>551</v>
      </c>
      <c r="K123" s="14" t="s">
        <v>559</v>
      </c>
      <c r="L123" s="15"/>
      <c r="M123" s="15"/>
      <c r="N123" s="6" t="s">
        <v>560</v>
      </c>
      <c r="O123" s="6" t="s">
        <v>859</v>
      </c>
      <c r="P123" s="6">
        <f>COUNTIFS('05_상품별배치367'!$B$7:$B$373,A123,'05_상품별배치367'!$K$7:$K$373,"&gt;0")</f>
        <v>2</v>
      </c>
      <c r="Q123" s="6">
        <f>SUMIFS('05_상품별배치367'!$K$7:$K$373,'05_상품별배치367'!$B$7:$B$373,A123)</f>
        <v>3</v>
      </c>
      <c r="R123" s="6">
        <f>IF(Z123="",'06_집기치수20'!N18,Z123)</f>
        <v>865</v>
      </c>
      <c r="S123" s="6">
        <f>IF(AA123="",'06_집기치수20'!O18,AA123)</f>
        <v>270</v>
      </c>
      <c r="T123" s="6">
        <v>220</v>
      </c>
      <c r="U123" s="6">
        <f>IF(AB123="",'06_집기치수20'!P18,AB123-'06_집기치수20'!I18)</f>
        <v>200</v>
      </c>
      <c r="V123" s="6" t="str">
        <f>IF(Q123=0,"",IF(COUNTIFS('05_상품별배치367'!$B$7:$B$373,A123,'05_상품별배치367'!$T$7:$T$373,"입력 대기")&gt;0,"",SUMIFS('05_상품별배치367'!$S$7:$S$373,'05_상품별배치367'!$B$7:$B$373,A123)))</f>
        <v/>
      </c>
      <c r="W123" s="6" t="str">
        <f>IF(Q123=0,"미진열",IF(COUNTIFS('05_상품별배치367'!$B$7:$B$373,A123,'05_상품별배치367'!$T$7:$T$373,"치수 초과")&gt;0,"치수 초과",IF(COUNTIFS('05_상품별배치367'!$B$7:$B$373,A123,'05_상품별배치367'!$T$7:$T$373,"입력 대기")&gt;0,"치수 입력 대기",IF(V123&gt;R123,"폭 합계 초과","도면/실측 범위 내·현장확인"))))</f>
        <v>치수 입력 대기</v>
      </c>
      <c r="X123" s="6" t="s">
        <v>972</v>
      </c>
      <c r="Y123" s="6" t="s">
        <v>555</v>
      </c>
      <c r="Z123" s="15"/>
      <c r="AA123" s="15"/>
      <c r="AB123" s="15"/>
    </row>
    <row r="124" spans="1:28" ht="33" customHeight="1">
      <c r="A124" s="8" t="s">
        <v>973</v>
      </c>
      <c r="B124" s="8" t="s">
        <v>228</v>
      </c>
      <c r="C124" s="8" t="s">
        <v>174</v>
      </c>
      <c r="D124" s="9">
        <v>3</v>
      </c>
      <c r="E124" s="8" t="s">
        <v>27</v>
      </c>
      <c r="F124" s="8" t="s">
        <v>129</v>
      </c>
      <c r="G124" s="8" t="s">
        <v>129</v>
      </c>
      <c r="H124" s="8" t="s">
        <v>974</v>
      </c>
      <c r="I124" s="8" t="s">
        <v>975</v>
      </c>
      <c r="J124" s="8" t="s">
        <v>551</v>
      </c>
      <c r="K124" s="14" t="s">
        <v>559</v>
      </c>
      <c r="L124" s="15"/>
      <c r="M124" s="15"/>
      <c r="N124" s="8" t="s">
        <v>560</v>
      </c>
      <c r="O124" s="8" t="s">
        <v>859</v>
      </c>
      <c r="P124" s="6">
        <f>COUNTIFS('05_상품별배치367'!$B$7:$B$373,A124,'05_상품별배치367'!$K$7:$K$373,"&gt;0")</f>
        <v>2</v>
      </c>
      <c r="Q124" s="6">
        <f>SUMIFS('05_상품별배치367'!$K$7:$K$373,'05_상품별배치367'!$B$7:$B$373,A124)</f>
        <v>2</v>
      </c>
      <c r="R124" s="6">
        <f>IF(Z124="",'06_집기치수20'!N19,Z124)</f>
        <v>865</v>
      </c>
      <c r="S124" s="6">
        <f>IF(AA124="",'06_집기치수20'!O19,AA124)</f>
        <v>270</v>
      </c>
      <c r="T124" s="6">
        <v>220</v>
      </c>
      <c r="U124" s="6">
        <f>IF(AB124="",'06_집기치수20'!P19,AB124-'06_집기치수20'!I19)</f>
        <v>200</v>
      </c>
      <c r="V124" s="6" t="str">
        <f>IF(Q124=0,"",IF(COUNTIFS('05_상품별배치367'!$B$7:$B$373,A124,'05_상품별배치367'!$T$7:$T$373,"입력 대기")&gt;0,"",SUMIFS('05_상품별배치367'!$S$7:$S$373,'05_상품별배치367'!$B$7:$B$373,A124)))</f>
        <v/>
      </c>
      <c r="W124" s="6" t="str">
        <f>IF(Q124=0,"미진열",IF(COUNTIFS('05_상품별배치367'!$B$7:$B$373,A124,'05_상품별배치367'!$T$7:$T$373,"치수 초과")&gt;0,"치수 초과",IF(COUNTIFS('05_상품별배치367'!$B$7:$B$373,A124,'05_상품별배치367'!$T$7:$T$373,"입력 대기")&gt;0,"치수 입력 대기",IF(V124&gt;R124,"폭 합계 초과","도면/실측 범위 내·현장확인"))))</f>
        <v>치수 입력 대기</v>
      </c>
      <c r="X124" s="6" t="s">
        <v>976</v>
      </c>
      <c r="Y124" s="6" t="s">
        <v>555</v>
      </c>
      <c r="Z124" s="15"/>
      <c r="AA124" s="15"/>
      <c r="AB124" s="15"/>
    </row>
    <row r="125" spans="1:28" ht="33" customHeight="1">
      <c r="A125" s="6" t="s">
        <v>977</v>
      </c>
      <c r="B125" s="6" t="s">
        <v>228</v>
      </c>
      <c r="C125" s="6" t="s">
        <v>174</v>
      </c>
      <c r="D125" s="7">
        <v>4</v>
      </c>
      <c r="E125" s="6" t="s">
        <v>27</v>
      </c>
      <c r="F125" s="6" t="s">
        <v>233</v>
      </c>
      <c r="G125" s="6" t="s">
        <v>128</v>
      </c>
      <c r="H125" s="6" t="s">
        <v>978</v>
      </c>
      <c r="I125" s="6" t="s">
        <v>979</v>
      </c>
      <c r="J125" s="6" t="s">
        <v>551</v>
      </c>
      <c r="K125" s="14" t="s">
        <v>559</v>
      </c>
      <c r="L125" s="15"/>
      <c r="M125" s="15"/>
      <c r="N125" s="6" t="s">
        <v>560</v>
      </c>
      <c r="O125" s="6" t="s">
        <v>859</v>
      </c>
      <c r="P125" s="6">
        <f>COUNTIFS('05_상품별배치367'!$B$7:$B$373,A125,'05_상품별배치367'!$K$7:$K$373,"&gt;0")</f>
        <v>1</v>
      </c>
      <c r="Q125" s="6">
        <f>SUMIFS('05_상품별배치367'!$K$7:$K$373,'05_상품별배치367'!$B$7:$B$373,A125)</f>
        <v>1</v>
      </c>
      <c r="R125" s="6">
        <f>IF(Z125="",'06_집기치수20'!N20,Z125)</f>
        <v>865</v>
      </c>
      <c r="S125" s="6">
        <f>IF(AA125="",'06_집기치수20'!O20,AA125)</f>
        <v>270</v>
      </c>
      <c r="T125" s="6">
        <v>220</v>
      </c>
      <c r="U125" s="6">
        <f>IF(AB125="",'06_집기치수20'!P20,AB125-'06_집기치수20'!I20)</f>
        <v>200</v>
      </c>
      <c r="V125" s="6" t="str">
        <f>IF(Q125=0,"",IF(COUNTIFS('05_상품별배치367'!$B$7:$B$373,A125,'05_상품별배치367'!$T$7:$T$373,"입력 대기")&gt;0,"",SUMIFS('05_상품별배치367'!$S$7:$S$373,'05_상품별배치367'!$B$7:$B$373,A125)))</f>
        <v/>
      </c>
      <c r="W125" s="6" t="str">
        <f>IF(Q125=0,"미진열",IF(COUNTIFS('05_상품별배치367'!$B$7:$B$373,A125,'05_상품별배치367'!$T$7:$T$373,"치수 초과")&gt;0,"치수 초과",IF(COUNTIFS('05_상품별배치367'!$B$7:$B$373,A125,'05_상품별배치367'!$T$7:$T$373,"입력 대기")&gt;0,"치수 입력 대기",IF(V125&gt;R125,"폭 합계 초과","도면/실측 범위 내·현장확인"))))</f>
        <v>치수 입력 대기</v>
      </c>
      <c r="X125" s="6" t="s">
        <v>980</v>
      </c>
      <c r="Y125" s="6" t="s">
        <v>555</v>
      </c>
      <c r="Z125" s="15"/>
      <c r="AA125" s="15"/>
      <c r="AB125" s="15"/>
    </row>
    <row r="126" spans="1:28" ht="33" customHeight="1">
      <c r="A126" s="8" t="s">
        <v>981</v>
      </c>
      <c r="B126" s="8" t="s">
        <v>228</v>
      </c>
      <c r="C126" s="8" t="s">
        <v>174</v>
      </c>
      <c r="D126" s="9">
        <v>5</v>
      </c>
      <c r="E126" s="8" t="s">
        <v>27</v>
      </c>
      <c r="F126" s="8" t="s">
        <v>234</v>
      </c>
      <c r="G126" s="8" t="s">
        <v>129</v>
      </c>
      <c r="H126" s="8"/>
      <c r="I126" s="8"/>
      <c r="J126" s="8" t="s">
        <v>551</v>
      </c>
      <c r="K126" s="14" t="s">
        <v>568</v>
      </c>
      <c r="L126" s="15"/>
      <c r="M126" s="15"/>
      <c r="N126" s="8" t="s">
        <v>560</v>
      </c>
      <c r="O126" s="8" t="s">
        <v>859</v>
      </c>
      <c r="P126" s="6">
        <f>COUNTIFS('05_상품별배치367'!$B$7:$B$373,A126,'05_상품별배치367'!$K$7:$K$373,"&gt;0")</f>
        <v>0</v>
      </c>
      <c r="Q126" s="6">
        <f>SUMIFS('05_상품별배치367'!$K$7:$K$373,'05_상품별배치367'!$B$7:$B$373,A126)</f>
        <v>0</v>
      </c>
      <c r="R126" s="6">
        <f>IF(Z126="",'06_집기치수20'!N21,Z126)</f>
        <v>865</v>
      </c>
      <c r="S126" s="6">
        <f>IF(AA126="",'06_집기치수20'!O21,AA126)</f>
        <v>270</v>
      </c>
      <c r="T126" s="6">
        <v>220</v>
      </c>
      <c r="U126" s="6">
        <f>IF(AB126="",'06_집기치수20'!P21,AB126-'06_집기치수20'!I21)</f>
        <v>200</v>
      </c>
      <c r="V126" s="6" t="str">
        <f>IF(Q126=0,"",IF(COUNTIFS('05_상품별배치367'!$B$7:$B$373,A126,'05_상품별배치367'!$T$7:$T$373,"입력 대기")&gt;0,"",SUMIFS('05_상품별배치367'!$S$7:$S$373,'05_상품별배치367'!$B$7:$B$373,A126)))</f>
        <v/>
      </c>
      <c r="W126" s="6" t="str">
        <f>IF(Q126=0,"미진열",IF(COUNTIFS('05_상품별배치367'!$B$7:$B$373,A126,'05_상품별배치367'!$T$7:$T$373,"치수 초과")&gt;0,"치수 초과",IF(COUNTIFS('05_상품별배치367'!$B$7:$B$373,A126,'05_상품별배치367'!$T$7:$T$373,"입력 대기")&gt;0,"치수 입력 대기",IF(V126&gt;R126,"폭 합계 초과","도면/실측 범위 내·현장확인"))))</f>
        <v>미진열</v>
      </c>
      <c r="X126" s="6"/>
      <c r="Y126" s="6" t="s">
        <v>555</v>
      </c>
      <c r="Z126" s="15"/>
      <c r="AA126" s="15"/>
      <c r="AB126" s="15"/>
    </row>
    <row r="127" spans="1:28" ht="33" customHeight="1">
      <c r="A127" s="6" t="s">
        <v>982</v>
      </c>
      <c r="B127" s="6" t="s">
        <v>236</v>
      </c>
      <c r="C127" s="6" t="s">
        <v>174</v>
      </c>
      <c r="D127" s="7">
        <v>1</v>
      </c>
      <c r="E127" s="6" t="s">
        <v>27</v>
      </c>
      <c r="F127" s="6" t="s">
        <v>238</v>
      </c>
      <c r="G127" s="6" t="s">
        <v>130</v>
      </c>
      <c r="H127" s="6"/>
      <c r="I127" s="6"/>
      <c r="J127" s="6" t="s">
        <v>551</v>
      </c>
      <c r="K127" s="14" t="s">
        <v>552</v>
      </c>
      <c r="L127" s="15"/>
      <c r="M127" s="15"/>
      <c r="N127" s="6" t="s">
        <v>647</v>
      </c>
      <c r="O127" s="6" t="s">
        <v>859</v>
      </c>
      <c r="P127" s="6">
        <f>COUNTIFS('05_상품별배치367'!$B$7:$B$373,A127,'05_상품별배치367'!$K$7:$K$373,"&gt;0")</f>
        <v>0</v>
      </c>
      <c r="Q127" s="6">
        <f>SUMIFS('05_상품별배치367'!$K$7:$K$373,'05_상품별배치367'!$B$7:$B$373,A127)</f>
        <v>0</v>
      </c>
      <c r="R127" s="6">
        <f>IF(Z127="",'06_집기치수20'!N17,Z127)</f>
        <v>865</v>
      </c>
      <c r="S127" s="6">
        <f>IF(AA127="",'06_집기치수20'!O17,AA127)</f>
        <v>270</v>
      </c>
      <c r="T127" s="6">
        <v>100</v>
      </c>
      <c r="U127" s="6">
        <f>IF(AB127="",'06_집기치수20'!P17,AB127-'06_집기치수20'!I17)</f>
        <v>80</v>
      </c>
      <c r="V127" s="6" t="str">
        <f>IF(Q127=0,"",IF(COUNTIFS('05_상품별배치367'!$B$7:$B$373,A127,'05_상품별배치367'!$T$7:$T$373,"입력 대기")&gt;0,"",SUMIFS('05_상품별배치367'!$S$7:$S$373,'05_상품별배치367'!$B$7:$B$373,A127)))</f>
        <v/>
      </c>
      <c r="W127" s="6" t="str">
        <f>IF(Q127=0,"미진열",IF(COUNTIFS('05_상품별배치367'!$B$7:$B$373,A127,'05_상품별배치367'!$T$7:$T$373,"치수 초과")&gt;0,"치수 초과",IF(COUNTIFS('05_상품별배치367'!$B$7:$B$373,A127,'05_상품별배치367'!$T$7:$T$373,"입력 대기")&gt;0,"치수 입력 대기",IF(V127&gt;R127,"폭 합계 초과","도면/실측 범위 내·현장확인"))))</f>
        <v>미진열</v>
      </c>
      <c r="X127" s="6"/>
      <c r="Y127" s="6" t="s">
        <v>555</v>
      </c>
      <c r="Z127" s="15"/>
      <c r="AA127" s="15"/>
      <c r="AB127" s="15"/>
    </row>
    <row r="128" spans="1:28" ht="46" customHeight="1">
      <c r="A128" s="8" t="s">
        <v>983</v>
      </c>
      <c r="B128" s="8" t="s">
        <v>236</v>
      </c>
      <c r="C128" s="8" t="s">
        <v>174</v>
      </c>
      <c r="D128" s="9">
        <v>2</v>
      </c>
      <c r="E128" s="8" t="s">
        <v>27</v>
      </c>
      <c r="F128" s="8" t="s">
        <v>239</v>
      </c>
      <c r="G128" s="8" t="s">
        <v>130</v>
      </c>
      <c r="H128" s="8" t="s">
        <v>984</v>
      </c>
      <c r="I128" s="8" t="s">
        <v>985</v>
      </c>
      <c r="J128" s="8" t="s">
        <v>551</v>
      </c>
      <c r="K128" s="14" t="s">
        <v>559</v>
      </c>
      <c r="L128" s="15"/>
      <c r="M128" s="15"/>
      <c r="N128" s="8" t="s">
        <v>560</v>
      </c>
      <c r="O128" s="8" t="s">
        <v>859</v>
      </c>
      <c r="P128" s="6">
        <f>COUNTIFS('05_상품별배치367'!$B$7:$B$373,A128,'05_상품별배치367'!$K$7:$K$373,"&gt;0")</f>
        <v>3</v>
      </c>
      <c r="Q128" s="6">
        <f>SUMIFS('05_상품별배치367'!$K$7:$K$373,'05_상품별배치367'!$B$7:$B$373,A128)</f>
        <v>3</v>
      </c>
      <c r="R128" s="6">
        <f>IF(Z128="",'06_집기치수20'!N18,Z128)</f>
        <v>865</v>
      </c>
      <c r="S128" s="6">
        <f>IF(AA128="",'06_집기치수20'!O18,AA128)</f>
        <v>270</v>
      </c>
      <c r="T128" s="6">
        <v>220</v>
      </c>
      <c r="U128" s="6">
        <f>IF(AB128="",'06_집기치수20'!P18,AB128-'06_집기치수20'!I18)</f>
        <v>200</v>
      </c>
      <c r="V128" s="6" t="str">
        <f>IF(Q128=0,"",IF(COUNTIFS('05_상품별배치367'!$B$7:$B$373,A128,'05_상품별배치367'!$T$7:$T$373,"입력 대기")&gt;0,"",SUMIFS('05_상품별배치367'!$S$7:$S$373,'05_상품별배치367'!$B$7:$B$373,A128)))</f>
        <v/>
      </c>
      <c r="W128" s="6" t="str">
        <f>IF(Q128=0,"미진열",IF(COUNTIFS('05_상품별배치367'!$B$7:$B$373,A128,'05_상품별배치367'!$T$7:$T$373,"치수 초과")&gt;0,"치수 초과",IF(COUNTIFS('05_상품별배치367'!$B$7:$B$373,A128,'05_상품별배치367'!$T$7:$T$373,"입력 대기")&gt;0,"치수 입력 대기",IF(V128&gt;R128,"폭 합계 초과","도면/실측 범위 내·현장확인"))))</f>
        <v>치수 입력 대기</v>
      </c>
      <c r="X128" s="6" t="s">
        <v>986</v>
      </c>
      <c r="Y128" s="6" t="s">
        <v>555</v>
      </c>
      <c r="Z128" s="15"/>
      <c r="AA128" s="15"/>
      <c r="AB128" s="15"/>
    </row>
    <row r="129" spans="1:28" ht="46" customHeight="1">
      <c r="A129" s="6" t="s">
        <v>987</v>
      </c>
      <c r="B129" s="6" t="s">
        <v>236</v>
      </c>
      <c r="C129" s="6" t="s">
        <v>174</v>
      </c>
      <c r="D129" s="7">
        <v>3</v>
      </c>
      <c r="E129" s="6" t="s">
        <v>27</v>
      </c>
      <c r="F129" s="6" t="s">
        <v>240</v>
      </c>
      <c r="G129" s="6" t="s">
        <v>130</v>
      </c>
      <c r="H129" s="6" t="s">
        <v>988</v>
      </c>
      <c r="I129" s="6" t="s">
        <v>989</v>
      </c>
      <c r="J129" s="6" t="s">
        <v>551</v>
      </c>
      <c r="K129" s="14" t="s">
        <v>559</v>
      </c>
      <c r="L129" s="15"/>
      <c r="M129" s="15"/>
      <c r="N129" s="6" t="s">
        <v>560</v>
      </c>
      <c r="O129" s="6" t="s">
        <v>859</v>
      </c>
      <c r="P129" s="6">
        <f>COUNTIFS('05_상품별배치367'!$B$7:$B$373,A129,'05_상품별배치367'!$K$7:$K$373,"&gt;0")</f>
        <v>3</v>
      </c>
      <c r="Q129" s="6">
        <f>SUMIFS('05_상품별배치367'!$K$7:$K$373,'05_상품별배치367'!$B$7:$B$373,A129)</f>
        <v>3</v>
      </c>
      <c r="R129" s="6">
        <f>IF(Z129="",'06_집기치수20'!N19,Z129)</f>
        <v>865</v>
      </c>
      <c r="S129" s="6">
        <f>IF(AA129="",'06_집기치수20'!O19,AA129)</f>
        <v>270</v>
      </c>
      <c r="T129" s="6">
        <v>220</v>
      </c>
      <c r="U129" s="6">
        <f>IF(AB129="",'06_집기치수20'!P19,AB129-'06_집기치수20'!I19)</f>
        <v>200</v>
      </c>
      <c r="V129" s="6" t="str">
        <f>IF(Q129=0,"",IF(COUNTIFS('05_상품별배치367'!$B$7:$B$373,A129,'05_상품별배치367'!$T$7:$T$373,"입력 대기")&gt;0,"",SUMIFS('05_상품별배치367'!$S$7:$S$373,'05_상품별배치367'!$B$7:$B$373,A129)))</f>
        <v/>
      </c>
      <c r="W129" s="6" t="str">
        <f>IF(Q129=0,"미진열",IF(COUNTIFS('05_상품별배치367'!$B$7:$B$373,A129,'05_상품별배치367'!$T$7:$T$373,"치수 초과")&gt;0,"치수 초과",IF(COUNTIFS('05_상품별배치367'!$B$7:$B$373,A129,'05_상품별배치367'!$T$7:$T$373,"입력 대기")&gt;0,"치수 입력 대기",IF(V129&gt;R129,"폭 합계 초과","도면/실측 범위 내·현장확인"))))</f>
        <v>치수 입력 대기</v>
      </c>
      <c r="X129" s="6" t="s">
        <v>990</v>
      </c>
      <c r="Y129" s="6" t="s">
        <v>555</v>
      </c>
      <c r="Z129" s="15"/>
      <c r="AA129" s="15"/>
      <c r="AB129" s="15"/>
    </row>
    <row r="130" spans="1:28" ht="33" customHeight="1">
      <c r="A130" s="8" t="s">
        <v>991</v>
      </c>
      <c r="B130" s="8" t="s">
        <v>236</v>
      </c>
      <c r="C130" s="8" t="s">
        <v>174</v>
      </c>
      <c r="D130" s="9">
        <v>4</v>
      </c>
      <c r="E130" s="8" t="s">
        <v>27</v>
      </c>
      <c r="F130" s="8" t="s">
        <v>241</v>
      </c>
      <c r="G130" s="8" t="s">
        <v>130</v>
      </c>
      <c r="H130" s="8" t="s">
        <v>992</v>
      </c>
      <c r="I130" s="8" t="s">
        <v>993</v>
      </c>
      <c r="J130" s="8" t="s">
        <v>551</v>
      </c>
      <c r="K130" s="14" t="s">
        <v>559</v>
      </c>
      <c r="L130" s="15"/>
      <c r="M130" s="15"/>
      <c r="N130" s="8" t="s">
        <v>560</v>
      </c>
      <c r="O130" s="8" t="s">
        <v>859</v>
      </c>
      <c r="P130" s="6">
        <f>COUNTIFS('05_상품별배치367'!$B$7:$B$373,A130,'05_상품별배치367'!$K$7:$K$373,"&gt;0")</f>
        <v>2</v>
      </c>
      <c r="Q130" s="6">
        <f>SUMIFS('05_상품별배치367'!$K$7:$K$373,'05_상품별배치367'!$B$7:$B$373,A130)</f>
        <v>2</v>
      </c>
      <c r="R130" s="6">
        <f>IF(Z130="",'06_집기치수20'!N20,Z130)</f>
        <v>865</v>
      </c>
      <c r="S130" s="6">
        <f>IF(AA130="",'06_집기치수20'!O20,AA130)</f>
        <v>270</v>
      </c>
      <c r="T130" s="6">
        <v>220</v>
      </c>
      <c r="U130" s="6">
        <f>IF(AB130="",'06_집기치수20'!P20,AB130-'06_집기치수20'!I20)</f>
        <v>200</v>
      </c>
      <c r="V130" s="6" t="str">
        <f>IF(Q130=0,"",IF(COUNTIFS('05_상품별배치367'!$B$7:$B$373,A130,'05_상품별배치367'!$T$7:$T$373,"입력 대기")&gt;0,"",SUMIFS('05_상품별배치367'!$S$7:$S$373,'05_상품별배치367'!$B$7:$B$373,A130)))</f>
        <v/>
      </c>
      <c r="W130" s="6" t="str">
        <f>IF(Q130=0,"미진열",IF(COUNTIFS('05_상품별배치367'!$B$7:$B$373,A130,'05_상품별배치367'!$T$7:$T$373,"치수 초과")&gt;0,"치수 초과",IF(COUNTIFS('05_상품별배치367'!$B$7:$B$373,A130,'05_상품별배치367'!$T$7:$T$373,"입력 대기")&gt;0,"치수 입력 대기",IF(V130&gt;R130,"폭 합계 초과","도면/실측 범위 내·현장확인"))))</f>
        <v>치수 입력 대기</v>
      </c>
      <c r="X130" s="6" t="s">
        <v>994</v>
      </c>
      <c r="Y130" s="6" t="s">
        <v>555</v>
      </c>
      <c r="Z130" s="15"/>
      <c r="AA130" s="15"/>
      <c r="AB130" s="15"/>
    </row>
    <row r="131" spans="1:28" ht="33" customHeight="1">
      <c r="A131" s="6" t="s">
        <v>995</v>
      </c>
      <c r="B131" s="6" t="s">
        <v>236</v>
      </c>
      <c r="C131" s="6" t="s">
        <v>174</v>
      </c>
      <c r="D131" s="7">
        <v>5</v>
      </c>
      <c r="E131" s="6" t="s">
        <v>27</v>
      </c>
      <c r="F131" s="6" t="s">
        <v>242</v>
      </c>
      <c r="G131" s="6" t="s">
        <v>130</v>
      </c>
      <c r="H131" s="6" t="s">
        <v>996</v>
      </c>
      <c r="I131" s="6" t="s">
        <v>997</v>
      </c>
      <c r="J131" s="6" t="s">
        <v>551</v>
      </c>
      <c r="K131" s="14" t="s">
        <v>559</v>
      </c>
      <c r="L131" s="15"/>
      <c r="M131" s="15"/>
      <c r="N131" s="6" t="s">
        <v>560</v>
      </c>
      <c r="O131" s="6" t="s">
        <v>859</v>
      </c>
      <c r="P131" s="6">
        <f>COUNTIFS('05_상품별배치367'!$B$7:$B$373,A131,'05_상품별배치367'!$K$7:$K$373,"&gt;0")</f>
        <v>2</v>
      </c>
      <c r="Q131" s="6">
        <f>SUMIFS('05_상품별배치367'!$K$7:$K$373,'05_상품별배치367'!$B$7:$B$373,A131)</f>
        <v>2</v>
      </c>
      <c r="R131" s="6">
        <f>IF(Z131="",'06_집기치수20'!N21,Z131)</f>
        <v>865</v>
      </c>
      <c r="S131" s="6">
        <f>IF(AA131="",'06_집기치수20'!O21,AA131)</f>
        <v>270</v>
      </c>
      <c r="T131" s="6">
        <v>220</v>
      </c>
      <c r="U131" s="6">
        <f>IF(AB131="",'06_집기치수20'!P21,AB131-'06_집기치수20'!I21)</f>
        <v>200</v>
      </c>
      <c r="V131" s="6" t="str">
        <f>IF(Q131=0,"",IF(COUNTIFS('05_상품별배치367'!$B$7:$B$373,A131,'05_상품별배치367'!$T$7:$T$373,"입력 대기")&gt;0,"",SUMIFS('05_상품별배치367'!$S$7:$S$373,'05_상품별배치367'!$B$7:$B$373,A131)))</f>
        <v/>
      </c>
      <c r="W131" s="6" t="str">
        <f>IF(Q131=0,"미진열",IF(COUNTIFS('05_상품별배치367'!$B$7:$B$373,A131,'05_상품별배치367'!$T$7:$T$373,"치수 초과")&gt;0,"치수 초과",IF(COUNTIFS('05_상품별배치367'!$B$7:$B$373,A131,'05_상품별배치367'!$T$7:$T$373,"입력 대기")&gt;0,"치수 입력 대기",IF(V131&gt;R131,"폭 합계 초과","도면/실측 범위 내·현장확인"))))</f>
        <v>치수 입력 대기</v>
      </c>
      <c r="X131" s="6" t="s">
        <v>998</v>
      </c>
      <c r="Y131" s="6" t="s">
        <v>555</v>
      </c>
      <c r="Z131" s="15"/>
      <c r="AA131" s="15"/>
      <c r="AB131" s="15"/>
    </row>
    <row r="132" spans="1:28" ht="33" customHeight="1">
      <c r="A132" s="8" t="s">
        <v>999</v>
      </c>
      <c r="B132" s="8" t="s">
        <v>244</v>
      </c>
      <c r="C132" s="8" t="s">
        <v>174</v>
      </c>
      <c r="D132" s="9">
        <v>1</v>
      </c>
      <c r="E132" s="8" t="s">
        <v>27</v>
      </c>
      <c r="F132" s="8" t="s">
        <v>248</v>
      </c>
      <c r="G132" s="8" t="s">
        <v>245</v>
      </c>
      <c r="H132" s="8"/>
      <c r="I132" s="8"/>
      <c r="J132" s="8" t="s">
        <v>551</v>
      </c>
      <c r="K132" s="14" t="s">
        <v>552</v>
      </c>
      <c r="L132" s="15"/>
      <c r="M132" s="15"/>
      <c r="N132" s="8" t="s">
        <v>647</v>
      </c>
      <c r="O132" s="8" t="s">
        <v>859</v>
      </c>
      <c r="P132" s="6">
        <f>COUNTIFS('05_상품별배치367'!$B$7:$B$373,A132,'05_상품별배치367'!$K$7:$K$373,"&gt;0")</f>
        <v>0</v>
      </c>
      <c r="Q132" s="6">
        <f>SUMIFS('05_상품별배치367'!$K$7:$K$373,'05_상품별배치367'!$B$7:$B$373,A132)</f>
        <v>0</v>
      </c>
      <c r="R132" s="6">
        <f>IF(Z132="",'06_집기치수20'!N17,Z132)</f>
        <v>865</v>
      </c>
      <c r="S132" s="6">
        <f>IF(AA132="",'06_집기치수20'!O17,AA132)</f>
        <v>270</v>
      </c>
      <c r="T132" s="6">
        <v>100</v>
      </c>
      <c r="U132" s="6">
        <f>IF(AB132="",'06_집기치수20'!P17,AB132-'06_집기치수20'!I17)</f>
        <v>80</v>
      </c>
      <c r="V132" s="6" t="str">
        <f>IF(Q132=0,"",IF(COUNTIFS('05_상품별배치367'!$B$7:$B$373,A132,'05_상품별배치367'!$T$7:$T$373,"입력 대기")&gt;0,"",SUMIFS('05_상품별배치367'!$S$7:$S$373,'05_상품별배치367'!$B$7:$B$373,A132)))</f>
        <v/>
      </c>
      <c r="W132" s="6" t="str">
        <f>IF(Q132=0,"미진열",IF(COUNTIFS('05_상품별배치367'!$B$7:$B$373,A132,'05_상품별배치367'!$T$7:$T$373,"치수 초과")&gt;0,"치수 초과",IF(COUNTIFS('05_상품별배치367'!$B$7:$B$373,A132,'05_상품별배치367'!$T$7:$T$373,"입력 대기")&gt;0,"치수 입력 대기",IF(V132&gt;R132,"폭 합계 초과","도면/실측 범위 내·현장확인"))))</f>
        <v>미진열</v>
      </c>
      <c r="X132" s="6"/>
      <c r="Y132" s="6" t="s">
        <v>555</v>
      </c>
      <c r="Z132" s="15"/>
      <c r="AA132" s="15"/>
      <c r="AB132" s="15"/>
    </row>
    <row r="133" spans="1:28" ht="33" customHeight="1">
      <c r="A133" s="6" t="s">
        <v>1000</v>
      </c>
      <c r="B133" s="6" t="s">
        <v>244</v>
      </c>
      <c r="C133" s="6" t="s">
        <v>174</v>
      </c>
      <c r="D133" s="7">
        <v>2</v>
      </c>
      <c r="E133" s="6" t="s">
        <v>27</v>
      </c>
      <c r="F133" s="6" t="s">
        <v>249</v>
      </c>
      <c r="G133" s="6" t="s">
        <v>245</v>
      </c>
      <c r="H133" s="6" t="s">
        <v>1001</v>
      </c>
      <c r="I133" s="6" t="s">
        <v>1002</v>
      </c>
      <c r="J133" s="6" t="s">
        <v>551</v>
      </c>
      <c r="K133" s="14" t="s">
        <v>559</v>
      </c>
      <c r="L133" s="15"/>
      <c r="M133" s="15"/>
      <c r="N133" s="6" t="s">
        <v>560</v>
      </c>
      <c r="O133" s="6" t="s">
        <v>859</v>
      </c>
      <c r="P133" s="6">
        <f>COUNTIFS('05_상품별배치367'!$B$7:$B$373,A133,'05_상품별배치367'!$K$7:$K$373,"&gt;0")</f>
        <v>2</v>
      </c>
      <c r="Q133" s="6">
        <f>SUMIFS('05_상품별배치367'!$K$7:$K$373,'05_상품별배치367'!$B$7:$B$373,A133)</f>
        <v>2</v>
      </c>
      <c r="R133" s="6">
        <f>IF(Z133="",'06_집기치수20'!N18,Z133)</f>
        <v>865</v>
      </c>
      <c r="S133" s="6">
        <f>IF(AA133="",'06_집기치수20'!O18,AA133)</f>
        <v>270</v>
      </c>
      <c r="T133" s="6">
        <v>220</v>
      </c>
      <c r="U133" s="6">
        <f>IF(AB133="",'06_집기치수20'!P18,AB133-'06_집기치수20'!I18)</f>
        <v>200</v>
      </c>
      <c r="V133" s="6" t="str">
        <f>IF(Q133=0,"",IF(COUNTIFS('05_상품별배치367'!$B$7:$B$373,A133,'05_상품별배치367'!$T$7:$T$373,"입력 대기")&gt;0,"",SUMIFS('05_상품별배치367'!$S$7:$S$373,'05_상품별배치367'!$B$7:$B$373,A133)))</f>
        <v/>
      </c>
      <c r="W133" s="6" t="str">
        <f>IF(Q133=0,"미진열",IF(COUNTIFS('05_상품별배치367'!$B$7:$B$373,A133,'05_상품별배치367'!$T$7:$T$373,"치수 초과")&gt;0,"치수 초과",IF(COUNTIFS('05_상품별배치367'!$B$7:$B$373,A133,'05_상품별배치367'!$T$7:$T$373,"입력 대기")&gt;0,"치수 입력 대기",IF(V133&gt;R133,"폭 합계 초과","도면/실측 범위 내·현장확인"))))</f>
        <v>치수 입력 대기</v>
      </c>
      <c r="X133" s="6" t="s">
        <v>1003</v>
      </c>
      <c r="Y133" s="6" t="s">
        <v>555</v>
      </c>
      <c r="Z133" s="15"/>
      <c r="AA133" s="15"/>
      <c r="AB133" s="15"/>
    </row>
    <row r="134" spans="1:28" ht="33" customHeight="1">
      <c r="A134" s="8" t="s">
        <v>1004</v>
      </c>
      <c r="B134" s="8" t="s">
        <v>244</v>
      </c>
      <c r="C134" s="8" t="s">
        <v>174</v>
      </c>
      <c r="D134" s="9">
        <v>3</v>
      </c>
      <c r="E134" s="8" t="s">
        <v>27</v>
      </c>
      <c r="F134" s="8" t="s">
        <v>250</v>
      </c>
      <c r="G134" s="8" t="s">
        <v>245</v>
      </c>
      <c r="H134" s="8" t="s">
        <v>1005</v>
      </c>
      <c r="I134" s="8" t="s">
        <v>1006</v>
      </c>
      <c r="J134" s="8" t="s">
        <v>551</v>
      </c>
      <c r="K134" s="14" t="s">
        <v>559</v>
      </c>
      <c r="L134" s="15"/>
      <c r="M134" s="15"/>
      <c r="N134" s="8" t="s">
        <v>560</v>
      </c>
      <c r="O134" s="8" t="s">
        <v>859</v>
      </c>
      <c r="P134" s="6">
        <f>COUNTIFS('05_상품별배치367'!$B$7:$B$373,A134,'05_상품별배치367'!$K$7:$K$373,"&gt;0")</f>
        <v>2</v>
      </c>
      <c r="Q134" s="6">
        <f>SUMIFS('05_상품별배치367'!$K$7:$K$373,'05_상품별배치367'!$B$7:$B$373,A134)</f>
        <v>2</v>
      </c>
      <c r="R134" s="6">
        <f>IF(Z134="",'06_집기치수20'!N19,Z134)</f>
        <v>865</v>
      </c>
      <c r="S134" s="6">
        <f>IF(AA134="",'06_집기치수20'!O19,AA134)</f>
        <v>270</v>
      </c>
      <c r="T134" s="6">
        <v>220</v>
      </c>
      <c r="U134" s="6">
        <f>IF(AB134="",'06_집기치수20'!P19,AB134-'06_집기치수20'!I19)</f>
        <v>200</v>
      </c>
      <c r="V134" s="6" t="str">
        <f>IF(Q134=0,"",IF(COUNTIFS('05_상품별배치367'!$B$7:$B$373,A134,'05_상품별배치367'!$T$7:$T$373,"입력 대기")&gt;0,"",SUMIFS('05_상품별배치367'!$S$7:$S$373,'05_상품별배치367'!$B$7:$B$373,A134)))</f>
        <v/>
      </c>
      <c r="W134" s="6" t="str">
        <f>IF(Q134=0,"미진열",IF(COUNTIFS('05_상품별배치367'!$B$7:$B$373,A134,'05_상품별배치367'!$T$7:$T$373,"치수 초과")&gt;0,"치수 초과",IF(COUNTIFS('05_상품별배치367'!$B$7:$B$373,A134,'05_상품별배치367'!$T$7:$T$373,"입력 대기")&gt;0,"치수 입력 대기",IF(V134&gt;R134,"폭 합계 초과","도면/실측 범위 내·현장확인"))))</f>
        <v>치수 입력 대기</v>
      </c>
      <c r="X134" s="6" t="s">
        <v>1007</v>
      </c>
      <c r="Y134" s="6" t="s">
        <v>555</v>
      </c>
      <c r="Z134" s="15"/>
      <c r="AA134" s="15"/>
      <c r="AB134" s="15"/>
    </row>
    <row r="135" spans="1:28" ht="33" customHeight="1">
      <c r="A135" s="6" t="s">
        <v>1008</v>
      </c>
      <c r="B135" s="6" t="s">
        <v>244</v>
      </c>
      <c r="C135" s="6" t="s">
        <v>174</v>
      </c>
      <c r="D135" s="7">
        <v>4</v>
      </c>
      <c r="E135" s="6" t="s">
        <v>27</v>
      </c>
      <c r="F135" s="6" t="s">
        <v>251</v>
      </c>
      <c r="G135" s="6" t="s">
        <v>245</v>
      </c>
      <c r="H135" s="6" t="s">
        <v>1009</v>
      </c>
      <c r="I135" s="6" t="s">
        <v>1010</v>
      </c>
      <c r="J135" s="6" t="s">
        <v>551</v>
      </c>
      <c r="K135" s="14" t="s">
        <v>559</v>
      </c>
      <c r="L135" s="15"/>
      <c r="M135" s="15"/>
      <c r="N135" s="6" t="s">
        <v>560</v>
      </c>
      <c r="O135" s="6" t="s">
        <v>859</v>
      </c>
      <c r="P135" s="6">
        <f>COUNTIFS('05_상품별배치367'!$B$7:$B$373,A135,'05_상품별배치367'!$K$7:$K$373,"&gt;0")</f>
        <v>1</v>
      </c>
      <c r="Q135" s="6">
        <f>SUMIFS('05_상품별배치367'!$K$7:$K$373,'05_상품별배치367'!$B$7:$B$373,A135)</f>
        <v>1</v>
      </c>
      <c r="R135" s="6">
        <f>IF(Z135="",'06_집기치수20'!N20,Z135)</f>
        <v>865</v>
      </c>
      <c r="S135" s="6">
        <f>IF(AA135="",'06_집기치수20'!O20,AA135)</f>
        <v>270</v>
      </c>
      <c r="T135" s="6">
        <v>220</v>
      </c>
      <c r="U135" s="6">
        <f>IF(AB135="",'06_집기치수20'!P20,AB135-'06_집기치수20'!I20)</f>
        <v>200</v>
      </c>
      <c r="V135" s="6" t="str">
        <f>IF(Q135=0,"",IF(COUNTIFS('05_상품별배치367'!$B$7:$B$373,A135,'05_상품별배치367'!$T$7:$T$373,"입력 대기")&gt;0,"",SUMIFS('05_상품별배치367'!$S$7:$S$373,'05_상품별배치367'!$B$7:$B$373,A135)))</f>
        <v/>
      </c>
      <c r="W135" s="6" t="str">
        <f>IF(Q135=0,"미진열",IF(COUNTIFS('05_상품별배치367'!$B$7:$B$373,A135,'05_상품별배치367'!$T$7:$T$373,"치수 초과")&gt;0,"치수 초과",IF(COUNTIFS('05_상품별배치367'!$B$7:$B$373,A135,'05_상품별배치367'!$T$7:$T$373,"입력 대기")&gt;0,"치수 입력 대기",IF(V135&gt;R135,"폭 합계 초과","도면/실측 범위 내·현장확인"))))</f>
        <v>치수 입력 대기</v>
      </c>
      <c r="X135" s="6" t="s">
        <v>1011</v>
      </c>
      <c r="Y135" s="6" t="s">
        <v>555</v>
      </c>
      <c r="Z135" s="15"/>
      <c r="AA135" s="15"/>
      <c r="AB135" s="15"/>
    </row>
    <row r="136" spans="1:28" ht="33" customHeight="1">
      <c r="A136" s="8" t="s">
        <v>1012</v>
      </c>
      <c r="B136" s="8" t="s">
        <v>244</v>
      </c>
      <c r="C136" s="8" t="s">
        <v>174</v>
      </c>
      <c r="D136" s="9">
        <v>5</v>
      </c>
      <c r="E136" s="8" t="s">
        <v>27</v>
      </c>
      <c r="F136" s="8" t="s">
        <v>252</v>
      </c>
      <c r="G136" s="8" t="s">
        <v>245</v>
      </c>
      <c r="H136" s="8"/>
      <c r="I136" s="8"/>
      <c r="J136" s="8" t="s">
        <v>551</v>
      </c>
      <c r="K136" s="14" t="s">
        <v>568</v>
      </c>
      <c r="L136" s="15"/>
      <c r="M136" s="15"/>
      <c r="N136" s="8" t="s">
        <v>560</v>
      </c>
      <c r="O136" s="8" t="s">
        <v>859</v>
      </c>
      <c r="P136" s="6">
        <f>COUNTIFS('05_상품별배치367'!$B$7:$B$373,A136,'05_상품별배치367'!$K$7:$K$373,"&gt;0")</f>
        <v>0</v>
      </c>
      <c r="Q136" s="6">
        <f>SUMIFS('05_상품별배치367'!$K$7:$K$373,'05_상품별배치367'!$B$7:$B$373,A136)</f>
        <v>0</v>
      </c>
      <c r="R136" s="6">
        <f>IF(Z136="",'06_집기치수20'!N21,Z136)</f>
        <v>865</v>
      </c>
      <c r="S136" s="6">
        <f>IF(AA136="",'06_집기치수20'!O21,AA136)</f>
        <v>270</v>
      </c>
      <c r="T136" s="6">
        <v>220</v>
      </c>
      <c r="U136" s="6">
        <f>IF(AB136="",'06_집기치수20'!P21,AB136-'06_집기치수20'!I21)</f>
        <v>200</v>
      </c>
      <c r="V136" s="6" t="str">
        <f>IF(Q136=0,"",IF(COUNTIFS('05_상품별배치367'!$B$7:$B$373,A136,'05_상품별배치367'!$T$7:$T$373,"입력 대기")&gt;0,"",SUMIFS('05_상품별배치367'!$S$7:$S$373,'05_상품별배치367'!$B$7:$B$373,A136)))</f>
        <v/>
      </c>
      <c r="W136" s="6" t="str">
        <f>IF(Q136=0,"미진열",IF(COUNTIFS('05_상품별배치367'!$B$7:$B$373,A136,'05_상품별배치367'!$T$7:$T$373,"치수 초과")&gt;0,"치수 초과",IF(COUNTIFS('05_상품별배치367'!$B$7:$B$373,A136,'05_상품별배치367'!$T$7:$T$373,"입력 대기")&gt;0,"치수 입력 대기",IF(V136&gt;R136,"폭 합계 초과","도면/실측 범위 내·현장확인"))))</f>
        <v>미진열</v>
      </c>
      <c r="X136" s="6"/>
      <c r="Y136" s="6" t="s">
        <v>555</v>
      </c>
      <c r="Z136" s="15"/>
      <c r="AA136" s="15"/>
      <c r="AB136" s="15"/>
    </row>
    <row r="137" spans="1:28" ht="33" customHeight="1">
      <c r="A137" s="6" t="s">
        <v>1013</v>
      </c>
      <c r="B137" s="6" t="s">
        <v>254</v>
      </c>
      <c r="C137" s="6" t="s">
        <v>202</v>
      </c>
      <c r="D137" s="7">
        <v>1</v>
      </c>
      <c r="E137" s="6" t="s">
        <v>27</v>
      </c>
      <c r="F137" s="6" t="s">
        <v>257</v>
      </c>
      <c r="G137" s="6" t="s">
        <v>1014</v>
      </c>
      <c r="H137" s="6"/>
      <c r="I137" s="6"/>
      <c r="J137" s="6" t="s">
        <v>551</v>
      </c>
      <c r="K137" s="14" t="s">
        <v>552</v>
      </c>
      <c r="L137" s="15"/>
      <c r="M137" s="15"/>
      <c r="N137" s="6" t="s">
        <v>647</v>
      </c>
      <c r="O137" s="6" t="s">
        <v>859</v>
      </c>
      <c r="P137" s="6">
        <f>COUNTIFS('05_상품별배치367'!$B$7:$B$373,A137,'05_상품별배치367'!$K$7:$K$373,"&gt;0")</f>
        <v>0</v>
      </c>
      <c r="Q137" s="6">
        <f>SUMIFS('05_상품별배치367'!$K$7:$K$373,'05_상품별배치367'!$B$7:$B$373,A137)</f>
        <v>0</v>
      </c>
      <c r="R137" s="6">
        <f>IF(Z137="",'06_집기치수20'!N17,Z137)</f>
        <v>865</v>
      </c>
      <c r="S137" s="6">
        <f>IF(AA137="",'06_집기치수20'!O17,AA137)</f>
        <v>270</v>
      </c>
      <c r="T137" s="6">
        <v>100</v>
      </c>
      <c r="U137" s="6">
        <f>IF(AB137="",'06_집기치수20'!P17,AB137-'06_집기치수20'!I17)</f>
        <v>80</v>
      </c>
      <c r="V137" s="6" t="str">
        <f>IF(Q137=0,"",IF(COUNTIFS('05_상품별배치367'!$B$7:$B$373,A137,'05_상품별배치367'!$T$7:$T$373,"입력 대기")&gt;0,"",SUMIFS('05_상품별배치367'!$S$7:$S$373,'05_상품별배치367'!$B$7:$B$373,A137)))</f>
        <v/>
      </c>
      <c r="W137" s="6" t="str">
        <f>IF(Q137=0,"미진열",IF(COUNTIFS('05_상품별배치367'!$B$7:$B$373,A137,'05_상품별배치367'!$T$7:$T$373,"치수 초과")&gt;0,"치수 초과",IF(COUNTIFS('05_상품별배치367'!$B$7:$B$373,A137,'05_상품별배치367'!$T$7:$T$373,"입력 대기")&gt;0,"치수 입력 대기",IF(V137&gt;R137,"폭 합계 초과","도면/실측 범위 내·현장확인"))))</f>
        <v>미진열</v>
      </c>
      <c r="X137" s="6"/>
      <c r="Y137" s="6" t="s">
        <v>555</v>
      </c>
      <c r="Z137" s="15"/>
      <c r="AA137" s="15"/>
      <c r="AB137" s="15"/>
    </row>
    <row r="138" spans="1:28" ht="33" customHeight="1">
      <c r="A138" s="8" t="s">
        <v>1015</v>
      </c>
      <c r="B138" s="8" t="s">
        <v>254</v>
      </c>
      <c r="C138" s="8" t="s">
        <v>202</v>
      </c>
      <c r="D138" s="9">
        <v>2</v>
      </c>
      <c r="E138" s="8" t="s">
        <v>27</v>
      </c>
      <c r="F138" s="8" t="s">
        <v>258</v>
      </c>
      <c r="G138" s="8" t="s">
        <v>1014</v>
      </c>
      <c r="H138" s="8" t="s">
        <v>1016</v>
      </c>
      <c r="I138" s="8" t="s">
        <v>1017</v>
      </c>
      <c r="J138" s="8" t="s">
        <v>551</v>
      </c>
      <c r="K138" s="14" t="s">
        <v>559</v>
      </c>
      <c r="L138" s="15"/>
      <c r="M138" s="15"/>
      <c r="N138" s="8" t="s">
        <v>560</v>
      </c>
      <c r="O138" s="8" t="s">
        <v>859</v>
      </c>
      <c r="P138" s="6">
        <f>COUNTIFS('05_상품별배치367'!$B$7:$B$373,A138,'05_상품별배치367'!$K$7:$K$373,"&gt;0")</f>
        <v>2</v>
      </c>
      <c r="Q138" s="6">
        <f>SUMIFS('05_상품별배치367'!$K$7:$K$373,'05_상품별배치367'!$B$7:$B$373,A138)</f>
        <v>2</v>
      </c>
      <c r="R138" s="6">
        <f>IF(Z138="",'06_집기치수20'!N18,Z138)</f>
        <v>865</v>
      </c>
      <c r="S138" s="6">
        <f>IF(AA138="",'06_집기치수20'!O18,AA138)</f>
        <v>270</v>
      </c>
      <c r="T138" s="6">
        <v>220</v>
      </c>
      <c r="U138" s="6">
        <f>IF(AB138="",'06_집기치수20'!P18,AB138-'06_집기치수20'!I18)</f>
        <v>200</v>
      </c>
      <c r="V138" s="6" t="str">
        <f>IF(Q138=0,"",IF(COUNTIFS('05_상품별배치367'!$B$7:$B$373,A138,'05_상품별배치367'!$T$7:$T$373,"입력 대기")&gt;0,"",SUMIFS('05_상품별배치367'!$S$7:$S$373,'05_상품별배치367'!$B$7:$B$373,A138)))</f>
        <v/>
      </c>
      <c r="W138" s="6" t="str">
        <f>IF(Q138=0,"미진열",IF(COUNTIFS('05_상품별배치367'!$B$7:$B$373,A138,'05_상품별배치367'!$T$7:$T$373,"치수 초과")&gt;0,"치수 초과",IF(COUNTIFS('05_상품별배치367'!$B$7:$B$373,A138,'05_상품별배치367'!$T$7:$T$373,"입력 대기")&gt;0,"치수 입력 대기",IF(V138&gt;R138,"폭 합계 초과","도면/실측 범위 내·현장확인"))))</f>
        <v>치수 입력 대기</v>
      </c>
      <c r="X138" s="6" t="s">
        <v>1018</v>
      </c>
      <c r="Y138" s="6" t="s">
        <v>555</v>
      </c>
      <c r="Z138" s="15"/>
      <c r="AA138" s="15"/>
      <c r="AB138" s="15"/>
    </row>
    <row r="139" spans="1:28" ht="46" customHeight="1">
      <c r="A139" s="6" t="s">
        <v>1019</v>
      </c>
      <c r="B139" s="6" t="s">
        <v>254</v>
      </c>
      <c r="C139" s="6" t="s">
        <v>202</v>
      </c>
      <c r="D139" s="7">
        <v>3</v>
      </c>
      <c r="E139" s="6" t="s">
        <v>27</v>
      </c>
      <c r="F139" s="6" t="s">
        <v>259</v>
      </c>
      <c r="G139" s="6" t="s">
        <v>1020</v>
      </c>
      <c r="H139" s="6" t="s">
        <v>1021</v>
      </c>
      <c r="I139" s="6" t="s">
        <v>1022</v>
      </c>
      <c r="J139" s="6" t="s">
        <v>551</v>
      </c>
      <c r="K139" s="14" t="s">
        <v>559</v>
      </c>
      <c r="L139" s="15"/>
      <c r="M139" s="15"/>
      <c r="N139" s="6" t="s">
        <v>560</v>
      </c>
      <c r="O139" s="6" t="s">
        <v>859</v>
      </c>
      <c r="P139" s="6">
        <f>COUNTIFS('05_상품별배치367'!$B$7:$B$373,A139,'05_상품별배치367'!$K$7:$K$373,"&gt;0")</f>
        <v>3</v>
      </c>
      <c r="Q139" s="6">
        <f>SUMIFS('05_상품별배치367'!$K$7:$K$373,'05_상품별배치367'!$B$7:$B$373,A139)</f>
        <v>3</v>
      </c>
      <c r="R139" s="6">
        <f>IF(Z139="",'06_집기치수20'!N19,Z139)</f>
        <v>865</v>
      </c>
      <c r="S139" s="6">
        <f>IF(AA139="",'06_집기치수20'!O19,AA139)</f>
        <v>270</v>
      </c>
      <c r="T139" s="6">
        <v>220</v>
      </c>
      <c r="U139" s="6">
        <f>IF(AB139="",'06_집기치수20'!P19,AB139-'06_집기치수20'!I19)</f>
        <v>200</v>
      </c>
      <c r="V139" s="6" t="str">
        <f>IF(Q139=0,"",IF(COUNTIFS('05_상품별배치367'!$B$7:$B$373,A139,'05_상품별배치367'!$T$7:$T$373,"입력 대기")&gt;0,"",SUMIFS('05_상품별배치367'!$S$7:$S$373,'05_상품별배치367'!$B$7:$B$373,A139)))</f>
        <v/>
      </c>
      <c r="W139" s="6" t="str">
        <f>IF(Q139=0,"미진열",IF(COUNTIFS('05_상품별배치367'!$B$7:$B$373,A139,'05_상품별배치367'!$T$7:$T$373,"치수 초과")&gt;0,"치수 초과",IF(COUNTIFS('05_상품별배치367'!$B$7:$B$373,A139,'05_상품별배치367'!$T$7:$T$373,"입력 대기")&gt;0,"치수 입력 대기",IF(V139&gt;R139,"폭 합계 초과","도면/실측 범위 내·현장확인"))))</f>
        <v>치수 입력 대기</v>
      </c>
      <c r="X139" s="6" t="s">
        <v>1023</v>
      </c>
      <c r="Y139" s="6" t="s">
        <v>555</v>
      </c>
      <c r="Z139" s="15"/>
      <c r="AA139" s="15"/>
      <c r="AB139" s="15"/>
    </row>
    <row r="140" spans="1:28" ht="33" customHeight="1">
      <c r="A140" s="8" t="s">
        <v>1024</v>
      </c>
      <c r="B140" s="8" t="s">
        <v>254</v>
      </c>
      <c r="C140" s="8" t="s">
        <v>202</v>
      </c>
      <c r="D140" s="9">
        <v>4</v>
      </c>
      <c r="E140" s="8" t="s">
        <v>27</v>
      </c>
      <c r="F140" s="8" t="s">
        <v>260</v>
      </c>
      <c r="G140" s="8" t="s">
        <v>1025</v>
      </c>
      <c r="H140" s="8" t="s">
        <v>1026</v>
      </c>
      <c r="I140" s="8" t="s">
        <v>1027</v>
      </c>
      <c r="J140" s="8" t="s">
        <v>551</v>
      </c>
      <c r="K140" s="14" t="s">
        <v>559</v>
      </c>
      <c r="L140" s="15"/>
      <c r="M140" s="15"/>
      <c r="N140" s="8" t="s">
        <v>560</v>
      </c>
      <c r="O140" s="8" t="s">
        <v>859</v>
      </c>
      <c r="P140" s="6">
        <f>COUNTIFS('05_상품별배치367'!$B$7:$B$373,A140,'05_상품별배치367'!$K$7:$K$373,"&gt;0")</f>
        <v>2</v>
      </c>
      <c r="Q140" s="6">
        <f>SUMIFS('05_상품별배치367'!$K$7:$K$373,'05_상품별배치367'!$B$7:$B$373,A140)</f>
        <v>2</v>
      </c>
      <c r="R140" s="6">
        <f>IF(Z140="",'06_집기치수20'!N20,Z140)</f>
        <v>865</v>
      </c>
      <c r="S140" s="6">
        <f>IF(AA140="",'06_집기치수20'!O20,AA140)</f>
        <v>270</v>
      </c>
      <c r="T140" s="6">
        <v>220</v>
      </c>
      <c r="U140" s="6">
        <f>IF(AB140="",'06_집기치수20'!P20,AB140-'06_집기치수20'!I20)</f>
        <v>200</v>
      </c>
      <c r="V140" s="6" t="str">
        <f>IF(Q140=0,"",IF(COUNTIFS('05_상품별배치367'!$B$7:$B$373,A140,'05_상품별배치367'!$T$7:$T$373,"입력 대기")&gt;0,"",SUMIFS('05_상품별배치367'!$S$7:$S$373,'05_상품별배치367'!$B$7:$B$373,A140)))</f>
        <v/>
      </c>
      <c r="W140" s="6" t="str">
        <f>IF(Q140=0,"미진열",IF(COUNTIFS('05_상품별배치367'!$B$7:$B$373,A140,'05_상품별배치367'!$T$7:$T$373,"치수 초과")&gt;0,"치수 초과",IF(COUNTIFS('05_상품별배치367'!$B$7:$B$373,A140,'05_상품별배치367'!$T$7:$T$373,"입력 대기")&gt;0,"치수 입력 대기",IF(V140&gt;R140,"폭 합계 초과","도면/실측 범위 내·현장확인"))))</f>
        <v>치수 입력 대기</v>
      </c>
      <c r="X140" s="6" t="s">
        <v>1028</v>
      </c>
      <c r="Y140" s="6" t="s">
        <v>555</v>
      </c>
      <c r="Z140" s="15"/>
      <c r="AA140" s="15"/>
      <c r="AB140" s="15"/>
    </row>
    <row r="141" spans="1:28" ht="33" customHeight="1">
      <c r="A141" s="6" t="s">
        <v>1029</v>
      </c>
      <c r="B141" s="6" t="s">
        <v>254</v>
      </c>
      <c r="C141" s="6" t="s">
        <v>202</v>
      </c>
      <c r="D141" s="7">
        <v>5</v>
      </c>
      <c r="E141" s="6" t="s">
        <v>27</v>
      </c>
      <c r="F141" s="6" t="s">
        <v>261</v>
      </c>
      <c r="G141" s="6" t="s">
        <v>1025</v>
      </c>
      <c r="H141" s="6" t="s">
        <v>1030</v>
      </c>
      <c r="I141" s="6" t="s">
        <v>1031</v>
      </c>
      <c r="J141" s="6" t="s">
        <v>551</v>
      </c>
      <c r="K141" s="14" t="s">
        <v>559</v>
      </c>
      <c r="L141" s="15"/>
      <c r="M141" s="15"/>
      <c r="N141" s="6" t="s">
        <v>560</v>
      </c>
      <c r="O141" s="6" t="s">
        <v>859</v>
      </c>
      <c r="P141" s="6">
        <f>COUNTIFS('05_상품별배치367'!$B$7:$B$373,A141,'05_상품별배치367'!$K$7:$K$373,"&gt;0")</f>
        <v>1</v>
      </c>
      <c r="Q141" s="6">
        <f>SUMIFS('05_상품별배치367'!$K$7:$K$373,'05_상품별배치367'!$B$7:$B$373,A141)</f>
        <v>1</v>
      </c>
      <c r="R141" s="6">
        <f>IF(Z141="",'06_집기치수20'!N21,Z141)</f>
        <v>865</v>
      </c>
      <c r="S141" s="6">
        <f>IF(AA141="",'06_집기치수20'!O21,AA141)</f>
        <v>270</v>
      </c>
      <c r="T141" s="6">
        <v>220</v>
      </c>
      <c r="U141" s="6">
        <f>IF(AB141="",'06_집기치수20'!P21,AB141-'06_집기치수20'!I21)</f>
        <v>200</v>
      </c>
      <c r="V141" s="6" t="str">
        <f>IF(Q141=0,"",IF(COUNTIFS('05_상품별배치367'!$B$7:$B$373,A141,'05_상품별배치367'!$T$7:$T$373,"입력 대기")&gt;0,"",SUMIFS('05_상품별배치367'!$S$7:$S$373,'05_상품별배치367'!$B$7:$B$373,A141)))</f>
        <v/>
      </c>
      <c r="W141" s="6" t="str">
        <f>IF(Q141=0,"미진열",IF(COUNTIFS('05_상품별배치367'!$B$7:$B$373,A141,'05_상품별배치367'!$T$7:$T$373,"치수 초과")&gt;0,"치수 초과",IF(COUNTIFS('05_상품별배치367'!$B$7:$B$373,A141,'05_상품별배치367'!$T$7:$T$373,"입력 대기")&gt;0,"치수 입력 대기",IF(V141&gt;R141,"폭 합계 초과","도면/실측 범위 내·현장확인"))))</f>
        <v>치수 입력 대기</v>
      </c>
      <c r="X141" s="6" t="s">
        <v>1032</v>
      </c>
      <c r="Y141" s="6" t="s">
        <v>555</v>
      </c>
      <c r="Z141" s="15"/>
      <c r="AA141" s="15"/>
      <c r="AB141" s="15"/>
    </row>
    <row r="142" spans="1:28" ht="33" customHeight="1">
      <c r="A142" s="8" t="s">
        <v>1033</v>
      </c>
      <c r="B142" s="8" t="s">
        <v>263</v>
      </c>
      <c r="C142" s="8" t="s">
        <v>202</v>
      </c>
      <c r="D142" s="9">
        <v>1</v>
      </c>
      <c r="E142" s="8" t="s">
        <v>27</v>
      </c>
      <c r="F142" s="8" t="s">
        <v>266</v>
      </c>
      <c r="G142" s="8" t="s">
        <v>1034</v>
      </c>
      <c r="H142" s="8"/>
      <c r="I142" s="8"/>
      <c r="J142" s="8" t="s">
        <v>551</v>
      </c>
      <c r="K142" s="14" t="s">
        <v>552</v>
      </c>
      <c r="L142" s="15"/>
      <c r="M142" s="15"/>
      <c r="N142" s="8" t="s">
        <v>647</v>
      </c>
      <c r="O142" s="8" t="s">
        <v>859</v>
      </c>
      <c r="P142" s="6">
        <f>COUNTIFS('05_상품별배치367'!$B$7:$B$373,A142,'05_상품별배치367'!$K$7:$K$373,"&gt;0")</f>
        <v>0</v>
      </c>
      <c r="Q142" s="6">
        <f>SUMIFS('05_상품별배치367'!$K$7:$K$373,'05_상품별배치367'!$B$7:$B$373,A142)</f>
        <v>0</v>
      </c>
      <c r="R142" s="6">
        <f>IF(Z142="",'06_집기치수20'!N17,Z142)</f>
        <v>865</v>
      </c>
      <c r="S142" s="6">
        <f>IF(AA142="",'06_집기치수20'!O17,AA142)</f>
        <v>270</v>
      </c>
      <c r="T142" s="6">
        <v>100</v>
      </c>
      <c r="U142" s="6">
        <f>IF(AB142="",'06_집기치수20'!P17,AB142-'06_집기치수20'!I17)</f>
        <v>80</v>
      </c>
      <c r="V142" s="6" t="str">
        <f>IF(Q142=0,"",IF(COUNTIFS('05_상품별배치367'!$B$7:$B$373,A142,'05_상품별배치367'!$T$7:$T$373,"입력 대기")&gt;0,"",SUMIFS('05_상품별배치367'!$S$7:$S$373,'05_상품별배치367'!$B$7:$B$373,A142)))</f>
        <v/>
      </c>
      <c r="W142" s="6" t="str">
        <f>IF(Q142=0,"미진열",IF(COUNTIFS('05_상품별배치367'!$B$7:$B$373,A142,'05_상품별배치367'!$T$7:$T$373,"치수 초과")&gt;0,"치수 초과",IF(COUNTIFS('05_상품별배치367'!$B$7:$B$373,A142,'05_상품별배치367'!$T$7:$T$373,"입력 대기")&gt;0,"치수 입력 대기",IF(V142&gt;R142,"폭 합계 초과","도면/실측 범위 내·현장확인"))))</f>
        <v>미진열</v>
      </c>
      <c r="X142" s="6"/>
      <c r="Y142" s="6" t="s">
        <v>555</v>
      </c>
      <c r="Z142" s="15"/>
      <c r="AA142" s="15"/>
      <c r="AB142" s="15"/>
    </row>
    <row r="143" spans="1:28" ht="33" customHeight="1">
      <c r="A143" s="6" t="s">
        <v>1035</v>
      </c>
      <c r="B143" s="6" t="s">
        <v>263</v>
      </c>
      <c r="C143" s="6" t="s">
        <v>202</v>
      </c>
      <c r="D143" s="7">
        <v>2</v>
      </c>
      <c r="E143" s="6" t="s">
        <v>27</v>
      </c>
      <c r="F143" s="6" t="s">
        <v>267</v>
      </c>
      <c r="G143" s="6" t="s">
        <v>1034</v>
      </c>
      <c r="H143" s="6" t="s">
        <v>1036</v>
      </c>
      <c r="I143" s="6" t="s">
        <v>1037</v>
      </c>
      <c r="J143" s="6" t="s">
        <v>551</v>
      </c>
      <c r="K143" s="14" t="s">
        <v>559</v>
      </c>
      <c r="L143" s="15"/>
      <c r="M143" s="15"/>
      <c r="N143" s="6" t="s">
        <v>560</v>
      </c>
      <c r="O143" s="6" t="s">
        <v>859</v>
      </c>
      <c r="P143" s="6">
        <f>COUNTIFS('05_상품별배치367'!$B$7:$B$373,A143,'05_상품별배치367'!$K$7:$K$373,"&gt;0")</f>
        <v>2</v>
      </c>
      <c r="Q143" s="6">
        <f>SUMIFS('05_상품별배치367'!$K$7:$K$373,'05_상품별배치367'!$B$7:$B$373,A143)</f>
        <v>3</v>
      </c>
      <c r="R143" s="6">
        <f>IF(Z143="",'06_집기치수20'!N18,Z143)</f>
        <v>865</v>
      </c>
      <c r="S143" s="6">
        <f>IF(AA143="",'06_집기치수20'!O18,AA143)</f>
        <v>270</v>
      </c>
      <c r="T143" s="6">
        <v>220</v>
      </c>
      <c r="U143" s="6">
        <f>IF(AB143="",'06_집기치수20'!P18,AB143-'06_집기치수20'!I18)</f>
        <v>200</v>
      </c>
      <c r="V143" s="6" t="str">
        <f>IF(Q143=0,"",IF(COUNTIFS('05_상품별배치367'!$B$7:$B$373,A143,'05_상품별배치367'!$T$7:$T$373,"입력 대기")&gt;0,"",SUMIFS('05_상품별배치367'!$S$7:$S$373,'05_상품별배치367'!$B$7:$B$373,A143)))</f>
        <v/>
      </c>
      <c r="W143" s="6" t="str">
        <f>IF(Q143=0,"미진열",IF(COUNTIFS('05_상품별배치367'!$B$7:$B$373,A143,'05_상품별배치367'!$T$7:$T$373,"치수 초과")&gt;0,"치수 초과",IF(COUNTIFS('05_상품별배치367'!$B$7:$B$373,A143,'05_상품별배치367'!$T$7:$T$373,"입력 대기")&gt;0,"치수 입력 대기",IF(V143&gt;R143,"폭 합계 초과","도면/실측 범위 내·현장확인"))))</f>
        <v>치수 입력 대기</v>
      </c>
      <c r="X143" s="6" t="s">
        <v>1038</v>
      </c>
      <c r="Y143" s="6" t="s">
        <v>555</v>
      </c>
      <c r="Z143" s="15"/>
      <c r="AA143" s="15"/>
      <c r="AB143" s="15"/>
    </row>
    <row r="144" spans="1:28" ht="33" customHeight="1">
      <c r="A144" s="8" t="s">
        <v>1039</v>
      </c>
      <c r="B144" s="8" t="s">
        <v>263</v>
      </c>
      <c r="C144" s="8" t="s">
        <v>202</v>
      </c>
      <c r="D144" s="9">
        <v>3</v>
      </c>
      <c r="E144" s="8" t="s">
        <v>27</v>
      </c>
      <c r="F144" s="8" t="s">
        <v>268</v>
      </c>
      <c r="G144" s="8" t="s">
        <v>1034</v>
      </c>
      <c r="H144" s="8" t="s">
        <v>1040</v>
      </c>
      <c r="I144" s="8" t="s">
        <v>1041</v>
      </c>
      <c r="J144" s="8" t="s">
        <v>551</v>
      </c>
      <c r="K144" s="14" t="s">
        <v>559</v>
      </c>
      <c r="L144" s="15"/>
      <c r="M144" s="15"/>
      <c r="N144" s="8" t="s">
        <v>560</v>
      </c>
      <c r="O144" s="8" t="s">
        <v>859</v>
      </c>
      <c r="P144" s="6">
        <f>COUNTIFS('05_상품별배치367'!$B$7:$B$373,A144,'05_상품별배치367'!$K$7:$K$373,"&gt;0")</f>
        <v>2</v>
      </c>
      <c r="Q144" s="6">
        <f>SUMIFS('05_상품별배치367'!$K$7:$K$373,'05_상품별배치367'!$B$7:$B$373,A144)</f>
        <v>2</v>
      </c>
      <c r="R144" s="6">
        <f>IF(Z144="",'06_집기치수20'!N19,Z144)</f>
        <v>865</v>
      </c>
      <c r="S144" s="6">
        <f>IF(AA144="",'06_집기치수20'!O19,AA144)</f>
        <v>270</v>
      </c>
      <c r="T144" s="6">
        <v>220</v>
      </c>
      <c r="U144" s="6">
        <f>IF(AB144="",'06_집기치수20'!P19,AB144-'06_집기치수20'!I19)</f>
        <v>200</v>
      </c>
      <c r="V144" s="6" t="str">
        <f>IF(Q144=0,"",IF(COUNTIFS('05_상품별배치367'!$B$7:$B$373,A144,'05_상품별배치367'!$T$7:$T$373,"입력 대기")&gt;0,"",SUMIFS('05_상품별배치367'!$S$7:$S$373,'05_상품별배치367'!$B$7:$B$373,A144)))</f>
        <v/>
      </c>
      <c r="W144" s="6" t="str">
        <f>IF(Q144=0,"미진열",IF(COUNTIFS('05_상품별배치367'!$B$7:$B$373,A144,'05_상품별배치367'!$T$7:$T$373,"치수 초과")&gt;0,"치수 초과",IF(COUNTIFS('05_상품별배치367'!$B$7:$B$373,A144,'05_상품별배치367'!$T$7:$T$373,"입력 대기")&gt;0,"치수 입력 대기",IF(V144&gt;R144,"폭 합계 초과","도면/실측 범위 내·현장확인"))))</f>
        <v>치수 입력 대기</v>
      </c>
      <c r="X144" s="6" t="s">
        <v>1042</v>
      </c>
      <c r="Y144" s="6" t="s">
        <v>555</v>
      </c>
      <c r="Z144" s="15"/>
      <c r="AA144" s="15"/>
      <c r="AB144" s="15"/>
    </row>
    <row r="145" spans="1:28" ht="33" customHeight="1">
      <c r="A145" s="6" t="s">
        <v>1043</v>
      </c>
      <c r="B145" s="6" t="s">
        <v>263</v>
      </c>
      <c r="C145" s="6" t="s">
        <v>202</v>
      </c>
      <c r="D145" s="7">
        <v>4</v>
      </c>
      <c r="E145" s="6" t="s">
        <v>27</v>
      </c>
      <c r="F145" s="6" t="s">
        <v>269</v>
      </c>
      <c r="G145" s="6" t="s">
        <v>1034</v>
      </c>
      <c r="H145" s="6" t="s">
        <v>1044</v>
      </c>
      <c r="I145" s="6" t="s">
        <v>1045</v>
      </c>
      <c r="J145" s="6" t="s">
        <v>551</v>
      </c>
      <c r="K145" s="14" t="s">
        <v>559</v>
      </c>
      <c r="L145" s="15"/>
      <c r="M145" s="15"/>
      <c r="N145" s="6" t="s">
        <v>560</v>
      </c>
      <c r="O145" s="6" t="s">
        <v>859</v>
      </c>
      <c r="P145" s="6">
        <f>COUNTIFS('05_상품별배치367'!$B$7:$B$373,A145,'05_상품별배치367'!$K$7:$K$373,"&gt;0")</f>
        <v>1</v>
      </c>
      <c r="Q145" s="6">
        <f>SUMIFS('05_상품별배치367'!$K$7:$K$373,'05_상품별배치367'!$B$7:$B$373,A145)</f>
        <v>1</v>
      </c>
      <c r="R145" s="6">
        <f>IF(Z145="",'06_집기치수20'!N20,Z145)</f>
        <v>865</v>
      </c>
      <c r="S145" s="6">
        <f>IF(AA145="",'06_집기치수20'!O20,AA145)</f>
        <v>270</v>
      </c>
      <c r="T145" s="6">
        <v>220</v>
      </c>
      <c r="U145" s="6">
        <f>IF(AB145="",'06_집기치수20'!P20,AB145-'06_집기치수20'!I20)</f>
        <v>200</v>
      </c>
      <c r="V145" s="6" t="str">
        <f>IF(Q145=0,"",IF(COUNTIFS('05_상품별배치367'!$B$7:$B$373,A145,'05_상품별배치367'!$T$7:$T$373,"입력 대기")&gt;0,"",SUMIFS('05_상품별배치367'!$S$7:$S$373,'05_상품별배치367'!$B$7:$B$373,A145)))</f>
        <v/>
      </c>
      <c r="W145" s="6" t="str">
        <f>IF(Q145=0,"미진열",IF(COUNTIFS('05_상품별배치367'!$B$7:$B$373,A145,'05_상품별배치367'!$T$7:$T$373,"치수 초과")&gt;0,"치수 초과",IF(COUNTIFS('05_상품별배치367'!$B$7:$B$373,A145,'05_상품별배치367'!$T$7:$T$373,"입력 대기")&gt;0,"치수 입력 대기",IF(V145&gt;R145,"폭 합계 초과","도면/실측 범위 내·현장확인"))))</f>
        <v>치수 입력 대기</v>
      </c>
      <c r="X145" s="6" t="s">
        <v>1046</v>
      </c>
      <c r="Y145" s="6" t="s">
        <v>555</v>
      </c>
      <c r="Z145" s="15"/>
      <c r="AA145" s="15"/>
      <c r="AB145" s="15"/>
    </row>
    <row r="146" spans="1:28" ht="33" customHeight="1">
      <c r="A146" s="8" t="s">
        <v>1047</v>
      </c>
      <c r="B146" s="8" t="s">
        <v>263</v>
      </c>
      <c r="C146" s="8" t="s">
        <v>202</v>
      </c>
      <c r="D146" s="9">
        <v>5</v>
      </c>
      <c r="E146" s="8" t="s">
        <v>27</v>
      </c>
      <c r="F146" s="8" t="s">
        <v>270</v>
      </c>
      <c r="G146" s="8" t="s">
        <v>1034</v>
      </c>
      <c r="H146" s="8"/>
      <c r="I146" s="8"/>
      <c r="J146" s="8" t="s">
        <v>551</v>
      </c>
      <c r="K146" s="14" t="s">
        <v>568</v>
      </c>
      <c r="L146" s="15"/>
      <c r="M146" s="15"/>
      <c r="N146" s="8" t="s">
        <v>560</v>
      </c>
      <c r="O146" s="8" t="s">
        <v>859</v>
      </c>
      <c r="P146" s="6">
        <f>COUNTIFS('05_상품별배치367'!$B$7:$B$373,A146,'05_상품별배치367'!$K$7:$K$373,"&gt;0")</f>
        <v>0</v>
      </c>
      <c r="Q146" s="6">
        <f>SUMIFS('05_상품별배치367'!$K$7:$K$373,'05_상품별배치367'!$B$7:$B$373,A146)</f>
        <v>0</v>
      </c>
      <c r="R146" s="6">
        <f>IF(Z146="",'06_집기치수20'!N21,Z146)</f>
        <v>865</v>
      </c>
      <c r="S146" s="6">
        <f>IF(AA146="",'06_집기치수20'!O21,AA146)</f>
        <v>270</v>
      </c>
      <c r="T146" s="6">
        <v>220</v>
      </c>
      <c r="U146" s="6">
        <f>IF(AB146="",'06_집기치수20'!P21,AB146-'06_집기치수20'!I21)</f>
        <v>200</v>
      </c>
      <c r="V146" s="6" t="str">
        <f>IF(Q146=0,"",IF(COUNTIFS('05_상품별배치367'!$B$7:$B$373,A146,'05_상품별배치367'!$T$7:$T$373,"입력 대기")&gt;0,"",SUMIFS('05_상품별배치367'!$S$7:$S$373,'05_상품별배치367'!$B$7:$B$373,A146)))</f>
        <v/>
      </c>
      <c r="W146" s="6" t="str">
        <f>IF(Q146=0,"미진열",IF(COUNTIFS('05_상품별배치367'!$B$7:$B$373,A146,'05_상품별배치367'!$T$7:$T$373,"치수 초과")&gt;0,"치수 초과",IF(COUNTIFS('05_상품별배치367'!$B$7:$B$373,A146,'05_상품별배치367'!$T$7:$T$373,"입력 대기")&gt;0,"치수 입력 대기",IF(V146&gt;R146,"폭 합계 초과","도면/실측 범위 내·현장확인"))))</f>
        <v>미진열</v>
      </c>
      <c r="X146" s="6"/>
      <c r="Y146" s="6" t="s">
        <v>555</v>
      </c>
      <c r="Z146" s="15"/>
      <c r="AA146" s="15"/>
      <c r="AB146" s="15"/>
    </row>
    <row r="147" spans="1:28" ht="33" customHeight="1">
      <c r="A147" s="6" t="s">
        <v>1048</v>
      </c>
      <c r="B147" s="6" t="s">
        <v>272</v>
      </c>
      <c r="C147" s="6" t="s">
        <v>202</v>
      </c>
      <c r="D147" s="7">
        <v>1</v>
      </c>
      <c r="E147" s="6" t="s">
        <v>39</v>
      </c>
      <c r="F147" s="6" t="s">
        <v>276</v>
      </c>
      <c r="G147" s="6" t="s">
        <v>1049</v>
      </c>
      <c r="H147" s="6"/>
      <c r="I147" s="6"/>
      <c r="J147" s="6" t="s">
        <v>551</v>
      </c>
      <c r="K147" s="14" t="s">
        <v>552</v>
      </c>
      <c r="L147" s="15"/>
      <c r="M147" s="15"/>
      <c r="N147" s="6" t="s">
        <v>647</v>
      </c>
      <c r="O147" s="6" t="s">
        <v>859</v>
      </c>
      <c r="P147" s="6">
        <f>COUNTIFS('05_상품별배치367'!$B$7:$B$373,A147,'05_상품별배치367'!$K$7:$K$373,"&gt;0")</f>
        <v>0</v>
      </c>
      <c r="Q147" s="6">
        <f>SUMIFS('05_상품별배치367'!$K$7:$K$373,'05_상품별배치367'!$B$7:$B$373,A147)</f>
        <v>0</v>
      </c>
      <c r="R147" s="6">
        <f>IF(Z147="",'06_집기치수20'!N17,Z147)</f>
        <v>865</v>
      </c>
      <c r="S147" s="6">
        <f>IF(AA147="",'06_집기치수20'!O17,AA147)</f>
        <v>270</v>
      </c>
      <c r="T147" s="6">
        <v>100</v>
      </c>
      <c r="U147" s="6">
        <f>IF(AB147="",'06_집기치수20'!P17,AB147-'06_집기치수20'!I17)</f>
        <v>80</v>
      </c>
      <c r="V147" s="6" t="str">
        <f>IF(Q147=0,"",IF(COUNTIFS('05_상품별배치367'!$B$7:$B$373,A147,'05_상품별배치367'!$T$7:$T$373,"입력 대기")&gt;0,"",SUMIFS('05_상품별배치367'!$S$7:$S$373,'05_상품별배치367'!$B$7:$B$373,A147)))</f>
        <v/>
      </c>
      <c r="W147" s="6" t="str">
        <f>IF(Q147=0,"미진열",IF(COUNTIFS('05_상품별배치367'!$B$7:$B$373,A147,'05_상품별배치367'!$T$7:$T$373,"치수 초과")&gt;0,"치수 초과",IF(COUNTIFS('05_상품별배치367'!$B$7:$B$373,A147,'05_상품별배치367'!$T$7:$T$373,"입력 대기")&gt;0,"치수 입력 대기",IF(V147&gt;R147,"폭 합계 초과","도면/실측 범위 내·현장확인"))))</f>
        <v>미진열</v>
      </c>
      <c r="X147" s="6"/>
      <c r="Y147" s="6" t="s">
        <v>555</v>
      </c>
      <c r="Z147" s="15"/>
      <c r="AA147" s="15"/>
      <c r="AB147" s="15"/>
    </row>
    <row r="148" spans="1:28" ht="33" customHeight="1">
      <c r="A148" s="8" t="s">
        <v>1050</v>
      </c>
      <c r="B148" s="8" t="s">
        <v>272</v>
      </c>
      <c r="C148" s="8" t="s">
        <v>202</v>
      </c>
      <c r="D148" s="9">
        <v>2</v>
      </c>
      <c r="E148" s="8" t="s">
        <v>39</v>
      </c>
      <c r="F148" s="8" t="s">
        <v>277</v>
      </c>
      <c r="G148" s="8" t="s">
        <v>1049</v>
      </c>
      <c r="H148" s="8" t="s">
        <v>1051</v>
      </c>
      <c r="I148" s="8" t="s">
        <v>1052</v>
      </c>
      <c r="J148" s="8" t="s">
        <v>551</v>
      </c>
      <c r="K148" s="14" t="s">
        <v>559</v>
      </c>
      <c r="L148" s="15"/>
      <c r="M148" s="15"/>
      <c r="N148" s="8" t="s">
        <v>560</v>
      </c>
      <c r="O148" s="8" t="s">
        <v>859</v>
      </c>
      <c r="P148" s="6">
        <f>COUNTIFS('05_상품별배치367'!$B$7:$B$373,A148,'05_상품별배치367'!$K$7:$K$373,"&gt;0")</f>
        <v>2</v>
      </c>
      <c r="Q148" s="6">
        <f>SUMIFS('05_상품별배치367'!$K$7:$K$373,'05_상품별배치367'!$B$7:$B$373,A148)</f>
        <v>2</v>
      </c>
      <c r="R148" s="6">
        <f>IF(Z148="",'06_집기치수20'!N18,Z148)</f>
        <v>865</v>
      </c>
      <c r="S148" s="6">
        <f>IF(AA148="",'06_집기치수20'!O18,AA148)</f>
        <v>270</v>
      </c>
      <c r="T148" s="6">
        <v>220</v>
      </c>
      <c r="U148" s="6">
        <f>IF(AB148="",'06_집기치수20'!P18,AB148-'06_집기치수20'!I18)</f>
        <v>200</v>
      </c>
      <c r="V148" s="6" t="str">
        <f>IF(Q148=0,"",IF(COUNTIFS('05_상품별배치367'!$B$7:$B$373,A148,'05_상품별배치367'!$T$7:$T$373,"입력 대기")&gt;0,"",SUMIFS('05_상품별배치367'!$S$7:$S$373,'05_상품별배치367'!$B$7:$B$373,A148)))</f>
        <v/>
      </c>
      <c r="W148" s="6" t="str">
        <f>IF(Q148=0,"미진열",IF(COUNTIFS('05_상품별배치367'!$B$7:$B$373,A148,'05_상품별배치367'!$T$7:$T$373,"치수 초과")&gt;0,"치수 초과",IF(COUNTIFS('05_상품별배치367'!$B$7:$B$373,A148,'05_상품별배치367'!$T$7:$T$373,"입력 대기")&gt;0,"치수 입력 대기",IF(V148&gt;R148,"폭 합계 초과","도면/실측 범위 내·현장확인"))))</f>
        <v>치수 입력 대기</v>
      </c>
      <c r="X148" s="6" t="s">
        <v>1053</v>
      </c>
      <c r="Y148" s="6" t="s">
        <v>555</v>
      </c>
      <c r="Z148" s="15"/>
      <c r="AA148" s="15"/>
      <c r="AB148" s="15"/>
    </row>
    <row r="149" spans="1:28" ht="33" customHeight="1">
      <c r="A149" s="6" t="s">
        <v>1054</v>
      </c>
      <c r="B149" s="6" t="s">
        <v>272</v>
      </c>
      <c r="C149" s="6" t="s">
        <v>202</v>
      </c>
      <c r="D149" s="7">
        <v>3</v>
      </c>
      <c r="E149" s="6" t="s">
        <v>39</v>
      </c>
      <c r="F149" s="6" t="s">
        <v>278</v>
      </c>
      <c r="G149" s="6" t="s">
        <v>482</v>
      </c>
      <c r="H149" s="6" t="s">
        <v>1055</v>
      </c>
      <c r="I149" s="6" t="s">
        <v>1056</v>
      </c>
      <c r="J149" s="6" t="s">
        <v>551</v>
      </c>
      <c r="K149" s="14" t="s">
        <v>559</v>
      </c>
      <c r="L149" s="15"/>
      <c r="M149" s="15"/>
      <c r="N149" s="6" t="s">
        <v>560</v>
      </c>
      <c r="O149" s="6" t="s">
        <v>859</v>
      </c>
      <c r="P149" s="6">
        <f>COUNTIFS('05_상품별배치367'!$B$7:$B$373,A149,'05_상품별배치367'!$K$7:$K$373,"&gt;0")</f>
        <v>2</v>
      </c>
      <c r="Q149" s="6">
        <f>SUMIFS('05_상품별배치367'!$K$7:$K$373,'05_상품별배치367'!$B$7:$B$373,A149)</f>
        <v>2</v>
      </c>
      <c r="R149" s="6">
        <f>IF(Z149="",'06_집기치수20'!N19,Z149)</f>
        <v>865</v>
      </c>
      <c r="S149" s="6">
        <f>IF(AA149="",'06_집기치수20'!O19,AA149)</f>
        <v>270</v>
      </c>
      <c r="T149" s="6">
        <v>220</v>
      </c>
      <c r="U149" s="6">
        <f>IF(AB149="",'06_집기치수20'!P19,AB149-'06_집기치수20'!I19)</f>
        <v>200</v>
      </c>
      <c r="V149" s="6" t="str">
        <f>IF(Q149=0,"",IF(COUNTIFS('05_상품별배치367'!$B$7:$B$373,A149,'05_상품별배치367'!$T$7:$T$373,"입력 대기")&gt;0,"",SUMIFS('05_상품별배치367'!$S$7:$S$373,'05_상품별배치367'!$B$7:$B$373,A149)))</f>
        <v/>
      </c>
      <c r="W149" s="6" t="str">
        <f>IF(Q149=0,"미진열",IF(COUNTIFS('05_상품별배치367'!$B$7:$B$373,A149,'05_상품별배치367'!$T$7:$T$373,"치수 초과")&gt;0,"치수 초과",IF(COUNTIFS('05_상품별배치367'!$B$7:$B$373,A149,'05_상품별배치367'!$T$7:$T$373,"입력 대기")&gt;0,"치수 입력 대기",IF(V149&gt;R149,"폭 합계 초과","도면/실측 범위 내·현장확인"))))</f>
        <v>치수 입력 대기</v>
      </c>
      <c r="X149" s="6" t="s">
        <v>1057</v>
      </c>
      <c r="Y149" s="6" t="s">
        <v>555</v>
      </c>
      <c r="Z149" s="15"/>
      <c r="AA149" s="15"/>
      <c r="AB149" s="15"/>
    </row>
    <row r="150" spans="1:28" ht="33" customHeight="1">
      <c r="A150" s="8" t="s">
        <v>1058</v>
      </c>
      <c r="B150" s="8" t="s">
        <v>272</v>
      </c>
      <c r="C150" s="8" t="s">
        <v>202</v>
      </c>
      <c r="D150" s="9">
        <v>4</v>
      </c>
      <c r="E150" s="8" t="s">
        <v>39</v>
      </c>
      <c r="F150" s="8" t="s">
        <v>279</v>
      </c>
      <c r="G150" s="8" t="s">
        <v>482</v>
      </c>
      <c r="H150" s="8" t="s">
        <v>1059</v>
      </c>
      <c r="I150" s="8" t="s">
        <v>1060</v>
      </c>
      <c r="J150" s="8" t="s">
        <v>551</v>
      </c>
      <c r="K150" s="14" t="s">
        <v>559</v>
      </c>
      <c r="L150" s="15"/>
      <c r="M150" s="15"/>
      <c r="N150" s="8" t="s">
        <v>560</v>
      </c>
      <c r="O150" s="8" t="s">
        <v>859</v>
      </c>
      <c r="P150" s="6">
        <f>COUNTIFS('05_상품별배치367'!$B$7:$B$373,A150,'05_상품별배치367'!$K$7:$K$373,"&gt;0")</f>
        <v>1</v>
      </c>
      <c r="Q150" s="6">
        <f>SUMIFS('05_상품별배치367'!$K$7:$K$373,'05_상품별배치367'!$B$7:$B$373,A150)</f>
        <v>1</v>
      </c>
      <c r="R150" s="6">
        <f>IF(Z150="",'06_집기치수20'!N20,Z150)</f>
        <v>865</v>
      </c>
      <c r="S150" s="6">
        <f>IF(AA150="",'06_집기치수20'!O20,AA150)</f>
        <v>270</v>
      </c>
      <c r="T150" s="6">
        <v>220</v>
      </c>
      <c r="U150" s="6">
        <f>IF(AB150="",'06_집기치수20'!P20,AB150-'06_집기치수20'!I20)</f>
        <v>200</v>
      </c>
      <c r="V150" s="6" t="str">
        <f>IF(Q150=0,"",IF(COUNTIFS('05_상품별배치367'!$B$7:$B$373,A150,'05_상품별배치367'!$T$7:$T$373,"입력 대기")&gt;0,"",SUMIFS('05_상품별배치367'!$S$7:$S$373,'05_상품별배치367'!$B$7:$B$373,A150)))</f>
        <v/>
      </c>
      <c r="W150" s="6" t="str">
        <f>IF(Q150=0,"미진열",IF(COUNTIFS('05_상품별배치367'!$B$7:$B$373,A150,'05_상품별배치367'!$T$7:$T$373,"치수 초과")&gt;0,"치수 초과",IF(COUNTIFS('05_상품별배치367'!$B$7:$B$373,A150,'05_상품별배치367'!$T$7:$T$373,"입력 대기")&gt;0,"치수 입력 대기",IF(V150&gt;R150,"폭 합계 초과","도면/실측 범위 내·현장확인"))))</f>
        <v>치수 입력 대기</v>
      </c>
      <c r="X150" s="6" t="s">
        <v>1061</v>
      </c>
      <c r="Y150" s="6" t="s">
        <v>555</v>
      </c>
      <c r="Z150" s="15"/>
      <c r="AA150" s="15"/>
      <c r="AB150" s="15"/>
    </row>
    <row r="151" spans="1:28" ht="33" customHeight="1">
      <c r="A151" s="6" t="s">
        <v>1062</v>
      </c>
      <c r="B151" s="6" t="s">
        <v>272</v>
      </c>
      <c r="C151" s="6" t="s">
        <v>202</v>
      </c>
      <c r="D151" s="7">
        <v>5</v>
      </c>
      <c r="E151" s="6" t="s">
        <v>39</v>
      </c>
      <c r="F151" s="6" t="s">
        <v>280</v>
      </c>
      <c r="G151" s="6" t="s">
        <v>1049</v>
      </c>
      <c r="H151" s="6" t="s">
        <v>1063</v>
      </c>
      <c r="I151" s="6" t="s">
        <v>1064</v>
      </c>
      <c r="J151" s="6" t="s">
        <v>551</v>
      </c>
      <c r="K151" s="14" t="s">
        <v>559</v>
      </c>
      <c r="L151" s="15"/>
      <c r="M151" s="15"/>
      <c r="N151" s="6" t="s">
        <v>560</v>
      </c>
      <c r="O151" s="6" t="s">
        <v>859</v>
      </c>
      <c r="P151" s="6">
        <f>COUNTIFS('05_상품별배치367'!$B$7:$B$373,A151,'05_상품별배치367'!$K$7:$K$373,"&gt;0")</f>
        <v>1</v>
      </c>
      <c r="Q151" s="6">
        <f>SUMIFS('05_상품별배치367'!$K$7:$K$373,'05_상품별배치367'!$B$7:$B$373,A151)</f>
        <v>1</v>
      </c>
      <c r="R151" s="6">
        <f>IF(Z151="",'06_집기치수20'!N21,Z151)</f>
        <v>865</v>
      </c>
      <c r="S151" s="6">
        <f>IF(AA151="",'06_집기치수20'!O21,AA151)</f>
        <v>270</v>
      </c>
      <c r="T151" s="6">
        <v>220</v>
      </c>
      <c r="U151" s="6">
        <f>IF(AB151="",'06_집기치수20'!P21,AB151-'06_집기치수20'!I21)</f>
        <v>200</v>
      </c>
      <c r="V151" s="6" t="str">
        <f>IF(Q151=0,"",IF(COUNTIFS('05_상품별배치367'!$B$7:$B$373,A151,'05_상품별배치367'!$T$7:$T$373,"입력 대기")&gt;0,"",SUMIFS('05_상품별배치367'!$S$7:$S$373,'05_상품별배치367'!$B$7:$B$373,A151)))</f>
        <v/>
      </c>
      <c r="W151" s="6" t="str">
        <f>IF(Q151=0,"미진열",IF(COUNTIFS('05_상품별배치367'!$B$7:$B$373,A151,'05_상품별배치367'!$T$7:$T$373,"치수 초과")&gt;0,"치수 초과",IF(COUNTIFS('05_상품별배치367'!$B$7:$B$373,A151,'05_상품별배치367'!$T$7:$T$373,"입력 대기")&gt;0,"치수 입력 대기",IF(V151&gt;R151,"폭 합계 초과","도면/실측 범위 내·현장확인"))))</f>
        <v>치수 입력 대기</v>
      </c>
      <c r="X151" s="6" t="s">
        <v>1065</v>
      </c>
      <c r="Y151" s="6" t="s">
        <v>555</v>
      </c>
      <c r="Z151" s="15"/>
      <c r="AA151" s="15"/>
      <c r="AB151" s="15"/>
    </row>
    <row r="152" spans="1:28" ht="33" customHeight="1">
      <c r="A152" s="8" t="s">
        <v>1066</v>
      </c>
      <c r="B152" s="8" t="s">
        <v>282</v>
      </c>
      <c r="C152" s="8" t="s">
        <v>174</v>
      </c>
      <c r="D152" s="9">
        <v>1</v>
      </c>
      <c r="E152" s="8" t="s">
        <v>27</v>
      </c>
      <c r="F152" s="8" t="s">
        <v>285</v>
      </c>
      <c r="G152" s="8" t="s">
        <v>492</v>
      </c>
      <c r="H152" s="8"/>
      <c r="I152" s="8"/>
      <c r="J152" s="8" t="s">
        <v>551</v>
      </c>
      <c r="K152" s="14" t="s">
        <v>552</v>
      </c>
      <c r="L152" s="15"/>
      <c r="M152" s="15"/>
      <c r="N152" s="8" t="s">
        <v>647</v>
      </c>
      <c r="O152" s="8" t="s">
        <v>859</v>
      </c>
      <c r="P152" s="6">
        <f>COUNTIFS('05_상품별배치367'!$B$7:$B$373,A152,'05_상품별배치367'!$K$7:$K$373,"&gt;0")</f>
        <v>0</v>
      </c>
      <c r="Q152" s="6">
        <f>SUMIFS('05_상품별배치367'!$K$7:$K$373,'05_상품별배치367'!$B$7:$B$373,A152)</f>
        <v>0</v>
      </c>
      <c r="R152" s="6">
        <f>IF(Z152="",'06_집기치수20'!N17,Z152)</f>
        <v>865</v>
      </c>
      <c r="S152" s="6">
        <f>IF(AA152="",'06_집기치수20'!O17,AA152)</f>
        <v>270</v>
      </c>
      <c r="T152" s="6">
        <v>100</v>
      </c>
      <c r="U152" s="6">
        <f>IF(AB152="",'06_집기치수20'!P17,AB152-'06_집기치수20'!I17)</f>
        <v>80</v>
      </c>
      <c r="V152" s="6" t="str">
        <f>IF(Q152=0,"",IF(COUNTIFS('05_상품별배치367'!$B$7:$B$373,A152,'05_상품별배치367'!$T$7:$T$373,"입력 대기")&gt;0,"",SUMIFS('05_상품별배치367'!$S$7:$S$373,'05_상품별배치367'!$B$7:$B$373,A152)))</f>
        <v/>
      </c>
      <c r="W152" s="6" t="str">
        <f>IF(Q152=0,"미진열",IF(COUNTIFS('05_상품별배치367'!$B$7:$B$373,A152,'05_상품별배치367'!$T$7:$T$373,"치수 초과")&gt;0,"치수 초과",IF(COUNTIFS('05_상품별배치367'!$B$7:$B$373,A152,'05_상품별배치367'!$T$7:$T$373,"입력 대기")&gt;0,"치수 입력 대기",IF(V152&gt;R152,"폭 합계 초과","도면/실측 범위 내·현장확인"))))</f>
        <v>미진열</v>
      </c>
      <c r="X152" s="6"/>
      <c r="Y152" s="6" t="s">
        <v>555</v>
      </c>
      <c r="Z152" s="15"/>
      <c r="AA152" s="15"/>
      <c r="AB152" s="15"/>
    </row>
    <row r="153" spans="1:28" ht="33" customHeight="1">
      <c r="A153" s="6" t="s">
        <v>1067</v>
      </c>
      <c r="B153" s="6" t="s">
        <v>282</v>
      </c>
      <c r="C153" s="6" t="s">
        <v>174</v>
      </c>
      <c r="D153" s="7">
        <v>2</v>
      </c>
      <c r="E153" s="6" t="s">
        <v>27</v>
      </c>
      <c r="F153" s="6" t="s">
        <v>286</v>
      </c>
      <c r="G153" s="6" t="s">
        <v>492</v>
      </c>
      <c r="H153" s="6" t="s">
        <v>1068</v>
      </c>
      <c r="I153" s="6" t="s">
        <v>1069</v>
      </c>
      <c r="J153" s="6" t="s">
        <v>551</v>
      </c>
      <c r="K153" s="14" t="s">
        <v>559</v>
      </c>
      <c r="L153" s="15"/>
      <c r="M153" s="15"/>
      <c r="N153" s="6" t="s">
        <v>560</v>
      </c>
      <c r="O153" s="6" t="s">
        <v>859</v>
      </c>
      <c r="P153" s="6">
        <f>COUNTIFS('05_상품별배치367'!$B$7:$B$373,A153,'05_상품별배치367'!$K$7:$K$373,"&gt;0")</f>
        <v>2</v>
      </c>
      <c r="Q153" s="6">
        <f>SUMIFS('05_상품별배치367'!$K$7:$K$373,'05_상품별배치367'!$B$7:$B$373,A153)</f>
        <v>4</v>
      </c>
      <c r="R153" s="6">
        <f>IF(Z153="",'06_집기치수20'!N18,Z153)</f>
        <v>865</v>
      </c>
      <c r="S153" s="6">
        <f>IF(AA153="",'06_집기치수20'!O18,AA153)</f>
        <v>270</v>
      </c>
      <c r="T153" s="6">
        <v>220</v>
      </c>
      <c r="U153" s="6">
        <f>IF(AB153="",'06_집기치수20'!P18,AB153-'06_집기치수20'!I18)</f>
        <v>200</v>
      </c>
      <c r="V153" s="6" t="str">
        <f>IF(Q153=0,"",IF(COUNTIFS('05_상품별배치367'!$B$7:$B$373,A153,'05_상품별배치367'!$T$7:$T$373,"입력 대기")&gt;0,"",SUMIFS('05_상품별배치367'!$S$7:$S$373,'05_상품별배치367'!$B$7:$B$373,A153)))</f>
        <v/>
      </c>
      <c r="W153" s="6" t="str">
        <f>IF(Q153=0,"미진열",IF(COUNTIFS('05_상품별배치367'!$B$7:$B$373,A153,'05_상품별배치367'!$T$7:$T$373,"치수 초과")&gt;0,"치수 초과",IF(COUNTIFS('05_상품별배치367'!$B$7:$B$373,A153,'05_상품별배치367'!$T$7:$T$373,"입력 대기")&gt;0,"치수 입력 대기",IF(V153&gt;R153,"폭 합계 초과","도면/실측 범위 내·현장확인"))))</f>
        <v>치수 입력 대기</v>
      </c>
      <c r="X153" s="6" t="s">
        <v>1070</v>
      </c>
      <c r="Y153" s="6" t="s">
        <v>555</v>
      </c>
      <c r="Z153" s="15"/>
      <c r="AA153" s="15"/>
      <c r="AB153" s="15"/>
    </row>
    <row r="154" spans="1:28" ht="33" customHeight="1">
      <c r="A154" s="8" t="s">
        <v>1071</v>
      </c>
      <c r="B154" s="8" t="s">
        <v>282</v>
      </c>
      <c r="C154" s="8" t="s">
        <v>174</v>
      </c>
      <c r="D154" s="9">
        <v>3</v>
      </c>
      <c r="E154" s="8" t="s">
        <v>27</v>
      </c>
      <c r="F154" s="8" t="s">
        <v>287</v>
      </c>
      <c r="G154" s="8" t="s">
        <v>492</v>
      </c>
      <c r="H154" s="8" t="s">
        <v>1072</v>
      </c>
      <c r="I154" s="8" t="s">
        <v>1073</v>
      </c>
      <c r="J154" s="8" t="s">
        <v>551</v>
      </c>
      <c r="K154" s="14" t="s">
        <v>559</v>
      </c>
      <c r="L154" s="15"/>
      <c r="M154" s="15"/>
      <c r="N154" s="8" t="s">
        <v>560</v>
      </c>
      <c r="O154" s="8" t="s">
        <v>859</v>
      </c>
      <c r="P154" s="6">
        <f>COUNTIFS('05_상품별배치367'!$B$7:$B$373,A154,'05_상품별배치367'!$K$7:$K$373,"&gt;0")</f>
        <v>2</v>
      </c>
      <c r="Q154" s="6">
        <f>SUMIFS('05_상품별배치367'!$K$7:$K$373,'05_상품별배치367'!$B$7:$B$373,A154)</f>
        <v>2</v>
      </c>
      <c r="R154" s="6">
        <f>IF(Z154="",'06_집기치수20'!N19,Z154)</f>
        <v>865</v>
      </c>
      <c r="S154" s="6">
        <f>IF(AA154="",'06_집기치수20'!O19,AA154)</f>
        <v>270</v>
      </c>
      <c r="T154" s="6">
        <v>220</v>
      </c>
      <c r="U154" s="6">
        <f>IF(AB154="",'06_집기치수20'!P19,AB154-'06_집기치수20'!I19)</f>
        <v>200</v>
      </c>
      <c r="V154" s="6" t="str">
        <f>IF(Q154=0,"",IF(COUNTIFS('05_상품별배치367'!$B$7:$B$373,A154,'05_상품별배치367'!$T$7:$T$373,"입력 대기")&gt;0,"",SUMIFS('05_상품별배치367'!$S$7:$S$373,'05_상품별배치367'!$B$7:$B$373,A154)))</f>
        <v/>
      </c>
      <c r="W154" s="6" t="str">
        <f>IF(Q154=0,"미진열",IF(COUNTIFS('05_상품별배치367'!$B$7:$B$373,A154,'05_상품별배치367'!$T$7:$T$373,"치수 초과")&gt;0,"치수 초과",IF(COUNTIFS('05_상품별배치367'!$B$7:$B$373,A154,'05_상품별배치367'!$T$7:$T$373,"입력 대기")&gt;0,"치수 입력 대기",IF(V154&gt;R154,"폭 합계 초과","도면/실측 범위 내·현장확인"))))</f>
        <v>치수 입력 대기</v>
      </c>
      <c r="X154" s="6" t="s">
        <v>1074</v>
      </c>
      <c r="Y154" s="6" t="s">
        <v>555</v>
      </c>
      <c r="Z154" s="15"/>
      <c r="AA154" s="15"/>
      <c r="AB154" s="15"/>
    </row>
    <row r="155" spans="1:28" ht="33" customHeight="1">
      <c r="A155" s="6" t="s">
        <v>1075</v>
      </c>
      <c r="B155" s="6" t="s">
        <v>282</v>
      </c>
      <c r="C155" s="6" t="s">
        <v>174</v>
      </c>
      <c r="D155" s="7">
        <v>4</v>
      </c>
      <c r="E155" s="6" t="s">
        <v>27</v>
      </c>
      <c r="F155" s="6" t="s">
        <v>288</v>
      </c>
      <c r="G155" s="6" t="s">
        <v>288</v>
      </c>
      <c r="H155" s="6" t="s">
        <v>1076</v>
      </c>
      <c r="I155" s="6" t="s">
        <v>1077</v>
      </c>
      <c r="J155" s="6" t="s">
        <v>551</v>
      </c>
      <c r="K155" s="14" t="s">
        <v>559</v>
      </c>
      <c r="L155" s="15"/>
      <c r="M155" s="15"/>
      <c r="N155" s="6" t="s">
        <v>560</v>
      </c>
      <c r="O155" s="6" t="s">
        <v>859</v>
      </c>
      <c r="P155" s="6">
        <f>COUNTIFS('05_상품별배치367'!$B$7:$B$373,A155,'05_상품별배치367'!$K$7:$K$373,"&gt;0")</f>
        <v>1</v>
      </c>
      <c r="Q155" s="6">
        <f>SUMIFS('05_상품별배치367'!$K$7:$K$373,'05_상품별배치367'!$B$7:$B$373,A155)</f>
        <v>1</v>
      </c>
      <c r="R155" s="6">
        <f>IF(Z155="",'06_집기치수20'!N20,Z155)</f>
        <v>865</v>
      </c>
      <c r="S155" s="6">
        <f>IF(AA155="",'06_집기치수20'!O20,AA155)</f>
        <v>270</v>
      </c>
      <c r="T155" s="6">
        <v>220</v>
      </c>
      <c r="U155" s="6">
        <f>IF(AB155="",'06_집기치수20'!P20,AB155-'06_집기치수20'!I20)</f>
        <v>200</v>
      </c>
      <c r="V155" s="6" t="str">
        <f>IF(Q155=0,"",IF(COUNTIFS('05_상품별배치367'!$B$7:$B$373,A155,'05_상품별배치367'!$T$7:$T$373,"입력 대기")&gt;0,"",SUMIFS('05_상품별배치367'!$S$7:$S$373,'05_상품별배치367'!$B$7:$B$373,A155)))</f>
        <v/>
      </c>
      <c r="W155" s="6" t="str">
        <f>IF(Q155=0,"미진열",IF(COUNTIFS('05_상품별배치367'!$B$7:$B$373,A155,'05_상품별배치367'!$T$7:$T$373,"치수 초과")&gt;0,"치수 초과",IF(COUNTIFS('05_상품별배치367'!$B$7:$B$373,A155,'05_상품별배치367'!$T$7:$T$373,"입력 대기")&gt;0,"치수 입력 대기",IF(V155&gt;R155,"폭 합계 초과","도면/실측 범위 내·현장확인"))))</f>
        <v>치수 입력 대기</v>
      </c>
      <c r="X155" s="6" t="s">
        <v>1078</v>
      </c>
      <c r="Y155" s="6" t="s">
        <v>555</v>
      </c>
      <c r="Z155" s="15"/>
      <c r="AA155" s="15"/>
      <c r="AB155" s="15"/>
    </row>
    <row r="156" spans="1:28" ht="33" customHeight="1">
      <c r="A156" s="8" t="s">
        <v>1079</v>
      </c>
      <c r="B156" s="8" t="s">
        <v>282</v>
      </c>
      <c r="C156" s="8" t="s">
        <v>174</v>
      </c>
      <c r="D156" s="9">
        <v>5</v>
      </c>
      <c r="E156" s="8" t="s">
        <v>27</v>
      </c>
      <c r="F156" s="8" t="s">
        <v>289</v>
      </c>
      <c r="G156" s="8" t="s">
        <v>492</v>
      </c>
      <c r="H156" s="8"/>
      <c r="I156" s="8"/>
      <c r="J156" s="8" t="s">
        <v>551</v>
      </c>
      <c r="K156" s="14" t="s">
        <v>568</v>
      </c>
      <c r="L156" s="15"/>
      <c r="M156" s="15"/>
      <c r="N156" s="8" t="s">
        <v>560</v>
      </c>
      <c r="O156" s="8" t="s">
        <v>859</v>
      </c>
      <c r="P156" s="6">
        <f>COUNTIFS('05_상품별배치367'!$B$7:$B$373,A156,'05_상품별배치367'!$K$7:$K$373,"&gt;0")</f>
        <v>0</v>
      </c>
      <c r="Q156" s="6">
        <f>SUMIFS('05_상품별배치367'!$K$7:$K$373,'05_상품별배치367'!$B$7:$B$373,A156)</f>
        <v>0</v>
      </c>
      <c r="R156" s="6">
        <f>IF(Z156="",'06_집기치수20'!N21,Z156)</f>
        <v>865</v>
      </c>
      <c r="S156" s="6">
        <f>IF(AA156="",'06_집기치수20'!O21,AA156)</f>
        <v>270</v>
      </c>
      <c r="T156" s="6">
        <v>220</v>
      </c>
      <c r="U156" s="6">
        <f>IF(AB156="",'06_집기치수20'!P21,AB156-'06_집기치수20'!I21)</f>
        <v>200</v>
      </c>
      <c r="V156" s="6" t="str">
        <f>IF(Q156=0,"",IF(COUNTIFS('05_상품별배치367'!$B$7:$B$373,A156,'05_상품별배치367'!$T$7:$T$373,"입력 대기")&gt;0,"",SUMIFS('05_상품별배치367'!$S$7:$S$373,'05_상품별배치367'!$B$7:$B$373,A156)))</f>
        <v/>
      </c>
      <c r="W156" s="6" t="str">
        <f>IF(Q156=0,"미진열",IF(COUNTIFS('05_상품별배치367'!$B$7:$B$373,A156,'05_상품별배치367'!$T$7:$T$373,"치수 초과")&gt;0,"치수 초과",IF(COUNTIFS('05_상품별배치367'!$B$7:$B$373,A156,'05_상품별배치367'!$T$7:$T$373,"입력 대기")&gt;0,"치수 입력 대기",IF(V156&gt;R156,"폭 합계 초과","도면/실측 범위 내·현장확인"))))</f>
        <v>미진열</v>
      </c>
      <c r="X156" s="6"/>
      <c r="Y156" s="6" t="s">
        <v>555</v>
      </c>
      <c r="Z156" s="15"/>
      <c r="AA156" s="15"/>
      <c r="AB156" s="15"/>
    </row>
    <row r="157" spans="1:28" ht="33" customHeight="1">
      <c r="A157" s="6" t="s">
        <v>1080</v>
      </c>
      <c r="B157" s="6" t="s">
        <v>290</v>
      </c>
      <c r="C157" s="6" t="s">
        <v>174</v>
      </c>
      <c r="D157" s="7">
        <v>1</v>
      </c>
      <c r="E157" s="6" t="s">
        <v>39</v>
      </c>
      <c r="F157" s="6" t="s">
        <v>294</v>
      </c>
      <c r="G157" s="6" t="s">
        <v>1081</v>
      </c>
      <c r="H157" s="6"/>
      <c r="I157" s="6"/>
      <c r="J157" s="6" t="s">
        <v>551</v>
      </c>
      <c r="K157" s="14" t="s">
        <v>552</v>
      </c>
      <c r="L157" s="15"/>
      <c r="M157" s="15"/>
      <c r="N157" s="6" t="s">
        <v>647</v>
      </c>
      <c r="O157" s="6" t="s">
        <v>859</v>
      </c>
      <c r="P157" s="6">
        <f>COUNTIFS('05_상품별배치367'!$B$7:$B$373,A157,'05_상품별배치367'!$K$7:$K$373,"&gt;0")</f>
        <v>0</v>
      </c>
      <c r="Q157" s="6">
        <f>SUMIFS('05_상품별배치367'!$K$7:$K$373,'05_상품별배치367'!$B$7:$B$373,A157)</f>
        <v>0</v>
      </c>
      <c r="R157" s="6">
        <f>IF(Z157="",'06_집기치수20'!N17,Z157)</f>
        <v>865</v>
      </c>
      <c r="S157" s="6">
        <f>IF(AA157="",'06_집기치수20'!O17,AA157)</f>
        <v>270</v>
      </c>
      <c r="T157" s="6">
        <v>100</v>
      </c>
      <c r="U157" s="6">
        <f>IF(AB157="",'06_집기치수20'!P17,AB157-'06_집기치수20'!I17)</f>
        <v>80</v>
      </c>
      <c r="V157" s="6" t="str">
        <f>IF(Q157=0,"",IF(COUNTIFS('05_상품별배치367'!$B$7:$B$373,A157,'05_상품별배치367'!$T$7:$T$373,"입력 대기")&gt;0,"",SUMIFS('05_상품별배치367'!$S$7:$S$373,'05_상품별배치367'!$B$7:$B$373,A157)))</f>
        <v/>
      </c>
      <c r="W157" s="6" t="str">
        <f>IF(Q157=0,"미진열",IF(COUNTIFS('05_상품별배치367'!$B$7:$B$373,A157,'05_상품별배치367'!$T$7:$T$373,"치수 초과")&gt;0,"치수 초과",IF(COUNTIFS('05_상품별배치367'!$B$7:$B$373,A157,'05_상품별배치367'!$T$7:$T$373,"입력 대기")&gt;0,"치수 입력 대기",IF(V157&gt;R157,"폭 합계 초과","도면/실측 범위 내·현장확인"))))</f>
        <v>미진열</v>
      </c>
      <c r="X157" s="6"/>
      <c r="Y157" s="6" t="s">
        <v>555</v>
      </c>
      <c r="Z157" s="15"/>
      <c r="AA157" s="15"/>
      <c r="AB157" s="15"/>
    </row>
    <row r="158" spans="1:28" ht="46" customHeight="1">
      <c r="A158" s="8" t="s">
        <v>1082</v>
      </c>
      <c r="B158" s="8" t="s">
        <v>290</v>
      </c>
      <c r="C158" s="8" t="s">
        <v>174</v>
      </c>
      <c r="D158" s="9">
        <v>2</v>
      </c>
      <c r="E158" s="8" t="s">
        <v>39</v>
      </c>
      <c r="F158" s="8" t="s">
        <v>295</v>
      </c>
      <c r="G158" s="8" t="s">
        <v>1081</v>
      </c>
      <c r="H158" s="8" t="s">
        <v>1083</v>
      </c>
      <c r="I158" s="8" t="s">
        <v>1084</v>
      </c>
      <c r="J158" s="8" t="s">
        <v>551</v>
      </c>
      <c r="K158" s="14" t="s">
        <v>559</v>
      </c>
      <c r="L158" s="15"/>
      <c r="M158" s="15"/>
      <c r="N158" s="8" t="s">
        <v>560</v>
      </c>
      <c r="O158" s="8" t="s">
        <v>859</v>
      </c>
      <c r="P158" s="6">
        <f>COUNTIFS('05_상품별배치367'!$B$7:$B$373,A158,'05_상품별배치367'!$K$7:$K$373,"&gt;0")</f>
        <v>3</v>
      </c>
      <c r="Q158" s="6">
        <f>SUMIFS('05_상품별배치367'!$K$7:$K$373,'05_상품별배치367'!$B$7:$B$373,A158)</f>
        <v>3</v>
      </c>
      <c r="R158" s="6">
        <f>IF(Z158="",'06_집기치수20'!N18,Z158)</f>
        <v>865</v>
      </c>
      <c r="S158" s="6">
        <f>IF(AA158="",'06_집기치수20'!O18,AA158)</f>
        <v>270</v>
      </c>
      <c r="T158" s="6">
        <v>220</v>
      </c>
      <c r="U158" s="6">
        <f>IF(AB158="",'06_집기치수20'!P18,AB158-'06_집기치수20'!I18)</f>
        <v>200</v>
      </c>
      <c r="V158" s="6" t="str">
        <f>IF(Q158=0,"",IF(COUNTIFS('05_상품별배치367'!$B$7:$B$373,A158,'05_상품별배치367'!$T$7:$T$373,"입력 대기")&gt;0,"",SUMIFS('05_상품별배치367'!$S$7:$S$373,'05_상품별배치367'!$B$7:$B$373,A158)))</f>
        <v/>
      </c>
      <c r="W158" s="6" t="str">
        <f>IF(Q158=0,"미진열",IF(COUNTIFS('05_상품별배치367'!$B$7:$B$373,A158,'05_상품별배치367'!$T$7:$T$373,"치수 초과")&gt;0,"치수 초과",IF(COUNTIFS('05_상품별배치367'!$B$7:$B$373,A158,'05_상품별배치367'!$T$7:$T$373,"입력 대기")&gt;0,"치수 입력 대기",IF(V158&gt;R158,"폭 합계 초과","도면/실측 범위 내·현장확인"))))</f>
        <v>치수 입력 대기</v>
      </c>
      <c r="X158" s="6" t="s">
        <v>1085</v>
      </c>
      <c r="Y158" s="6" t="s">
        <v>555</v>
      </c>
      <c r="Z158" s="15"/>
      <c r="AA158" s="15"/>
      <c r="AB158" s="15"/>
    </row>
    <row r="159" spans="1:28" ht="33" customHeight="1">
      <c r="A159" s="6" t="s">
        <v>1086</v>
      </c>
      <c r="B159" s="6" t="s">
        <v>290</v>
      </c>
      <c r="C159" s="6" t="s">
        <v>174</v>
      </c>
      <c r="D159" s="7">
        <v>3</v>
      </c>
      <c r="E159" s="6" t="s">
        <v>39</v>
      </c>
      <c r="F159" s="6" t="s">
        <v>296</v>
      </c>
      <c r="G159" s="6" t="s">
        <v>1081</v>
      </c>
      <c r="H159" s="6" t="s">
        <v>1087</v>
      </c>
      <c r="I159" s="6" t="s">
        <v>1088</v>
      </c>
      <c r="J159" s="6" t="s">
        <v>551</v>
      </c>
      <c r="K159" s="14" t="s">
        <v>559</v>
      </c>
      <c r="L159" s="15"/>
      <c r="M159" s="15"/>
      <c r="N159" s="6" t="s">
        <v>560</v>
      </c>
      <c r="O159" s="6" t="s">
        <v>859</v>
      </c>
      <c r="P159" s="6">
        <f>COUNTIFS('05_상품별배치367'!$B$7:$B$373,A159,'05_상품별배치367'!$K$7:$K$373,"&gt;0")</f>
        <v>2</v>
      </c>
      <c r="Q159" s="6">
        <f>SUMIFS('05_상품별배치367'!$K$7:$K$373,'05_상품별배치367'!$B$7:$B$373,A159)</f>
        <v>2</v>
      </c>
      <c r="R159" s="6">
        <f>IF(Z159="",'06_집기치수20'!N19,Z159)</f>
        <v>865</v>
      </c>
      <c r="S159" s="6">
        <f>IF(AA159="",'06_집기치수20'!O19,AA159)</f>
        <v>270</v>
      </c>
      <c r="T159" s="6">
        <v>220</v>
      </c>
      <c r="U159" s="6">
        <f>IF(AB159="",'06_집기치수20'!P19,AB159-'06_집기치수20'!I19)</f>
        <v>200</v>
      </c>
      <c r="V159" s="6" t="str">
        <f>IF(Q159=0,"",IF(COUNTIFS('05_상품별배치367'!$B$7:$B$373,A159,'05_상품별배치367'!$T$7:$T$373,"입력 대기")&gt;0,"",SUMIFS('05_상품별배치367'!$S$7:$S$373,'05_상품별배치367'!$B$7:$B$373,A159)))</f>
        <v/>
      </c>
      <c r="W159" s="6" t="str">
        <f>IF(Q159=0,"미진열",IF(COUNTIFS('05_상품별배치367'!$B$7:$B$373,A159,'05_상품별배치367'!$T$7:$T$373,"치수 초과")&gt;0,"치수 초과",IF(COUNTIFS('05_상품별배치367'!$B$7:$B$373,A159,'05_상품별배치367'!$T$7:$T$373,"입력 대기")&gt;0,"치수 입력 대기",IF(V159&gt;R159,"폭 합계 초과","도면/실측 범위 내·현장확인"))))</f>
        <v>치수 입력 대기</v>
      </c>
      <c r="X159" s="6" t="s">
        <v>1089</v>
      </c>
      <c r="Y159" s="6" t="s">
        <v>555</v>
      </c>
      <c r="Z159" s="15"/>
      <c r="AA159" s="15"/>
      <c r="AB159" s="15"/>
    </row>
    <row r="160" spans="1:28" ht="33" customHeight="1">
      <c r="A160" s="8" t="s">
        <v>1090</v>
      </c>
      <c r="B160" s="8" t="s">
        <v>290</v>
      </c>
      <c r="C160" s="8" t="s">
        <v>174</v>
      </c>
      <c r="D160" s="9">
        <v>4</v>
      </c>
      <c r="E160" s="8" t="s">
        <v>39</v>
      </c>
      <c r="F160" s="8" t="s">
        <v>297</v>
      </c>
      <c r="G160" s="8" t="s">
        <v>1081</v>
      </c>
      <c r="H160" s="8" t="s">
        <v>1091</v>
      </c>
      <c r="I160" s="8" t="s">
        <v>1092</v>
      </c>
      <c r="J160" s="8" t="s">
        <v>551</v>
      </c>
      <c r="K160" s="14" t="s">
        <v>559</v>
      </c>
      <c r="L160" s="15"/>
      <c r="M160" s="15"/>
      <c r="N160" s="8" t="s">
        <v>560</v>
      </c>
      <c r="O160" s="8" t="s">
        <v>859</v>
      </c>
      <c r="P160" s="6">
        <f>COUNTIFS('05_상품별배치367'!$B$7:$B$373,A160,'05_상품별배치367'!$K$7:$K$373,"&gt;0")</f>
        <v>2</v>
      </c>
      <c r="Q160" s="6">
        <f>SUMIFS('05_상품별배치367'!$K$7:$K$373,'05_상품별배치367'!$B$7:$B$373,A160)</f>
        <v>2</v>
      </c>
      <c r="R160" s="6">
        <f>IF(Z160="",'06_집기치수20'!N20,Z160)</f>
        <v>865</v>
      </c>
      <c r="S160" s="6">
        <f>IF(AA160="",'06_집기치수20'!O20,AA160)</f>
        <v>270</v>
      </c>
      <c r="T160" s="6">
        <v>220</v>
      </c>
      <c r="U160" s="6">
        <f>IF(AB160="",'06_집기치수20'!P20,AB160-'06_집기치수20'!I20)</f>
        <v>200</v>
      </c>
      <c r="V160" s="6" t="str">
        <f>IF(Q160=0,"",IF(COUNTIFS('05_상품별배치367'!$B$7:$B$373,A160,'05_상품별배치367'!$T$7:$T$373,"입력 대기")&gt;0,"",SUMIFS('05_상품별배치367'!$S$7:$S$373,'05_상품별배치367'!$B$7:$B$373,A160)))</f>
        <v/>
      </c>
      <c r="W160" s="6" t="str">
        <f>IF(Q160=0,"미진열",IF(COUNTIFS('05_상품별배치367'!$B$7:$B$373,A160,'05_상품별배치367'!$T$7:$T$373,"치수 초과")&gt;0,"치수 초과",IF(COUNTIFS('05_상품별배치367'!$B$7:$B$373,A160,'05_상품별배치367'!$T$7:$T$373,"입력 대기")&gt;0,"치수 입력 대기",IF(V160&gt;R160,"폭 합계 초과","도면/실측 범위 내·현장확인"))))</f>
        <v>치수 입력 대기</v>
      </c>
      <c r="X160" s="6" t="s">
        <v>1093</v>
      </c>
      <c r="Y160" s="6" t="s">
        <v>555</v>
      </c>
      <c r="Z160" s="15"/>
      <c r="AA160" s="15"/>
      <c r="AB160" s="15"/>
    </row>
    <row r="161" spans="1:28" ht="33" customHeight="1">
      <c r="A161" s="6" t="s">
        <v>1094</v>
      </c>
      <c r="B161" s="6" t="s">
        <v>290</v>
      </c>
      <c r="C161" s="6" t="s">
        <v>174</v>
      </c>
      <c r="D161" s="7">
        <v>5</v>
      </c>
      <c r="E161" s="6" t="s">
        <v>39</v>
      </c>
      <c r="F161" s="6" t="s">
        <v>298</v>
      </c>
      <c r="G161" s="6" t="s">
        <v>1081</v>
      </c>
      <c r="H161" s="6" t="s">
        <v>1095</v>
      </c>
      <c r="I161" s="6" t="s">
        <v>1096</v>
      </c>
      <c r="J161" s="6" t="s">
        <v>551</v>
      </c>
      <c r="K161" s="14" t="s">
        <v>559</v>
      </c>
      <c r="L161" s="15"/>
      <c r="M161" s="15"/>
      <c r="N161" s="6" t="s">
        <v>560</v>
      </c>
      <c r="O161" s="6" t="s">
        <v>859</v>
      </c>
      <c r="P161" s="6">
        <f>COUNTIFS('05_상품별배치367'!$B$7:$B$373,A161,'05_상품별배치367'!$K$7:$K$373,"&gt;0")</f>
        <v>1</v>
      </c>
      <c r="Q161" s="6">
        <f>SUMIFS('05_상품별배치367'!$K$7:$K$373,'05_상품별배치367'!$B$7:$B$373,A161)</f>
        <v>1</v>
      </c>
      <c r="R161" s="6">
        <f>IF(Z161="",'06_집기치수20'!N21,Z161)</f>
        <v>865</v>
      </c>
      <c r="S161" s="6">
        <f>IF(AA161="",'06_집기치수20'!O21,AA161)</f>
        <v>270</v>
      </c>
      <c r="T161" s="6">
        <v>220</v>
      </c>
      <c r="U161" s="6">
        <f>IF(AB161="",'06_집기치수20'!P21,AB161-'06_집기치수20'!I21)</f>
        <v>200</v>
      </c>
      <c r="V161" s="6" t="str">
        <f>IF(Q161=0,"",IF(COUNTIFS('05_상품별배치367'!$B$7:$B$373,A161,'05_상품별배치367'!$T$7:$T$373,"입력 대기")&gt;0,"",SUMIFS('05_상품별배치367'!$S$7:$S$373,'05_상품별배치367'!$B$7:$B$373,A161)))</f>
        <v/>
      </c>
      <c r="W161" s="6" t="str">
        <f>IF(Q161=0,"미진열",IF(COUNTIFS('05_상품별배치367'!$B$7:$B$373,A161,'05_상품별배치367'!$T$7:$T$373,"치수 초과")&gt;0,"치수 초과",IF(COUNTIFS('05_상품별배치367'!$B$7:$B$373,A161,'05_상품별배치367'!$T$7:$T$373,"입력 대기")&gt;0,"치수 입력 대기",IF(V161&gt;R161,"폭 합계 초과","도면/실측 범위 내·현장확인"))))</f>
        <v>치수 입력 대기</v>
      </c>
      <c r="X161" s="6" t="s">
        <v>1097</v>
      </c>
      <c r="Y161" s="6" t="s">
        <v>555</v>
      </c>
      <c r="Z161" s="15"/>
      <c r="AA161" s="15"/>
      <c r="AB161" s="15"/>
    </row>
    <row r="162" spans="1:28" ht="33" customHeight="1">
      <c r="A162" s="8" t="s">
        <v>1098</v>
      </c>
      <c r="B162" s="8" t="s">
        <v>299</v>
      </c>
      <c r="C162" s="8" t="s">
        <v>174</v>
      </c>
      <c r="D162" s="9">
        <v>1</v>
      </c>
      <c r="E162" s="8" t="s">
        <v>39</v>
      </c>
      <c r="F162" s="8" t="s">
        <v>302</v>
      </c>
      <c r="G162" s="8" t="s">
        <v>493</v>
      </c>
      <c r="H162" s="8"/>
      <c r="I162" s="8"/>
      <c r="J162" s="8" t="s">
        <v>551</v>
      </c>
      <c r="K162" s="14" t="s">
        <v>552</v>
      </c>
      <c r="L162" s="15"/>
      <c r="M162" s="15"/>
      <c r="N162" s="8" t="s">
        <v>647</v>
      </c>
      <c r="O162" s="8" t="s">
        <v>859</v>
      </c>
      <c r="P162" s="6">
        <f>COUNTIFS('05_상품별배치367'!$B$7:$B$373,A162,'05_상품별배치367'!$K$7:$K$373,"&gt;0")</f>
        <v>0</v>
      </c>
      <c r="Q162" s="6">
        <f>SUMIFS('05_상품별배치367'!$K$7:$K$373,'05_상품별배치367'!$B$7:$B$373,A162)</f>
        <v>0</v>
      </c>
      <c r="R162" s="6">
        <f>IF(Z162="",'06_집기치수20'!N17,Z162)</f>
        <v>865</v>
      </c>
      <c r="S162" s="6">
        <f>IF(AA162="",'06_집기치수20'!O17,AA162)</f>
        <v>270</v>
      </c>
      <c r="T162" s="6">
        <v>100</v>
      </c>
      <c r="U162" s="6">
        <f>IF(AB162="",'06_집기치수20'!P17,AB162-'06_집기치수20'!I17)</f>
        <v>80</v>
      </c>
      <c r="V162" s="6" t="str">
        <f>IF(Q162=0,"",IF(COUNTIFS('05_상품별배치367'!$B$7:$B$373,A162,'05_상품별배치367'!$T$7:$T$373,"입력 대기")&gt;0,"",SUMIFS('05_상품별배치367'!$S$7:$S$373,'05_상품별배치367'!$B$7:$B$373,A162)))</f>
        <v/>
      </c>
      <c r="W162" s="6" t="str">
        <f>IF(Q162=0,"미진열",IF(COUNTIFS('05_상품별배치367'!$B$7:$B$373,A162,'05_상품별배치367'!$T$7:$T$373,"치수 초과")&gt;0,"치수 초과",IF(COUNTIFS('05_상품별배치367'!$B$7:$B$373,A162,'05_상품별배치367'!$T$7:$T$373,"입력 대기")&gt;0,"치수 입력 대기",IF(V162&gt;R162,"폭 합계 초과","도면/실측 범위 내·현장확인"))))</f>
        <v>미진열</v>
      </c>
      <c r="X162" s="6"/>
      <c r="Y162" s="6" t="s">
        <v>555</v>
      </c>
      <c r="Z162" s="15"/>
      <c r="AA162" s="15"/>
      <c r="AB162" s="15"/>
    </row>
    <row r="163" spans="1:28" ht="33" customHeight="1">
      <c r="A163" s="6" t="s">
        <v>1099</v>
      </c>
      <c r="B163" s="6" t="s">
        <v>299</v>
      </c>
      <c r="C163" s="6" t="s">
        <v>174</v>
      </c>
      <c r="D163" s="7">
        <v>2</v>
      </c>
      <c r="E163" s="6" t="s">
        <v>39</v>
      </c>
      <c r="F163" s="6" t="s">
        <v>303</v>
      </c>
      <c r="G163" s="6" t="s">
        <v>493</v>
      </c>
      <c r="H163" s="6" t="s">
        <v>1100</v>
      </c>
      <c r="I163" s="6" t="s">
        <v>1101</v>
      </c>
      <c r="J163" s="6" t="s">
        <v>551</v>
      </c>
      <c r="K163" s="14" t="s">
        <v>559</v>
      </c>
      <c r="L163" s="15"/>
      <c r="M163" s="15"/>
      <c r="N163" s="6" t="s">
        <v>560</v>
      </c>
      <c r="O163" s="6" t="s">
        <v>859</v>
      </c>
      <c r="P163" s="6">
        <f>COUNTIFS('05_상품별배치367'!$B$7:$B$373,A163,'05_상품별배치367'!$K$7:$K$373,"&gt;0")</f>
        <v>2</v>
      </c>
      <c r="Q163" s="6">
        <f>SUMIFS('05_상품별배치367'!$K$7:$K$373,'05_상품별배치367'!$B$7:$B$373,A163)</f>
        <v>2</v>
      </c>
      <c r="R163" s="6">
        <f>IF(Z163="",'06_집기치수20'!N18,Z163)</f>
        <v>865</v>
      </c>
      <c r="S163" s="6">
        <f>IF(AA163="",'06_집기치수20'!O18,AA163)</f>
        <v>270</v>
      </c>
      <c r="T163" s="6">
        <v>220</v>
      </c>
      <c r="U163" s="6">
        <f>IF(AB163="",'06_집기치수20'!P18,AB163-'06_집기치수20'!I18)</f>
        <v>200</v>
      </c>
      <c r="V163" s="6" t="str">
        <f>IF(Q163=0,"",IF(COUNTIFS('05_상품별배치367'!$B$7:$B$373,A163,'05_상품별배치367'!$T$7:$T$373,"입력 대기")&gt;0,"",SUMIFS('05_상품별배치367'!$S$7:$S$373,'05_상품별배치367'!$B$7:$B$373,A163)))</f>
        <v/>
      </c>
      <c r="W163" s="6" t="str">
        <f>IF(Q163=0,"미진열",IF(COUNTIFS('05_상품별배치367'!$B$7:$B$373,A163,'05_상품별배치367'!$T$7:$T$373,"치수 초과")&gt;0,"치수 초과",IF(COUNTIFS('05_상품별배치367'!$B$7:$B$373,A163,'05_상품별배치367'!$T$7:$T$373,"입력 대기")&gt;0,"치수 입력 대기",IF(V163&gt;R163,"폭 합계 초과","도면/실측 범위 내·현장확인"))))</f>
        <v>치수 입력 대기</v>
      </c>
      <c r="X163" s="6" t="s">
        <v>1102</v>
      </c>
      <c r="Y163" s="6" t="s">
        <v>555</v>
      </c>
      <c r="Z163" s="15"/>
      <c r="AA163" s="15"/>
      <c r="AB163" s="15"/>
    </row>
    <row r="164" spans="1:28" ht="33" customHeight="1">
      <c r="A164" s="8" t="s">
        <v>1103</v>
      </c>
      <c r="B164" s="8" t="s">
        <v>299</v>
      </c>
      <c r="C164" s="8" t="s">
        <v>174</v>
      </c>
      <c r="D164" s="9">
        <v>3</v>
      </c>
      <c r="E164" s="8" t="s">
        <v>39</v>
      </c>
      <c r="F164" s="8" t="s">
        <v>304</v>
      </c>
      <c r="G164" s="8" t="s">
        <v>493</v>
      </c>
      <c r="H164" s="8" t="s">
        <v>1104</v>
      </c>
      <c r="I164" s="8" t="s">
        <v>1105</v>
      </c>
      <c r="J164" s="8" t="s">
        <v>551</v>
      </c>
      <c r="K164" s="14" t="s">
        <v>559</v>
      </c>
      <c r="L164" s="15"/>
      <c r="M164" s="15"/>
      <c r="N164" s="8" t="s">
        <v>560</v>
      </c>
      <c r="O164" s="8" t="s">
        <v>859</v>
      </c>
      <c r="P164" s="6">
        <f>COUNTIFS('05_상품별배치367'!$B$7:$B$373,A164,'05_상품별배치367'!$K$7:$K$373,"&gt;0")</f>
        <v>2</v>
      </c>
      <c r="Q164" s="6">
        <f>SUMIFS('05_상품별배치367'!$K$7:$K$373,'05_상품별배치367'!$B$7:$B$373,A164)</f>
        <v>2</v>
      </c>
      <c r="R164" s="6">
        <f>IF(Z164="",'06_집기치수20'!N19,Z164)</f>
        <v>865</v>
      </c>
      <c r="S164" s="6">
        <f>IF(AA164="",'06_집기치수20'!O19,AA164)</f>
        <v>270</v>
      </c>
      <c r="T164" s="6">
        <v>220</v>
      </c>
      <c r="U164" s="6">
        <f>IF(AB164="",'06_집기치수20'!P19,AB164-'06_집기치수20'!I19)</f>
        <v>200</v>
      </c>
      <c r="V164" s="6" t="str">
        <f>IF(Q164=0,"",IF(COUNTIFS('05_상품별배치367'!$B$7:$B$373,A164,'05_상품별배치367'!$T$7:$T$373,"입력 대기")&gt;0,"",SUMIFS('05_상품별배치367'!$S$7:$S$373,'05_상품별배치367'!$B$7:$B$373,A164)))</f>
        <v/>
      </c>
      <c r="W164" s="6" t="str">
        <f>IF(Q164=0,"미진열",IF(COUNTIFS('05_상품별배치367'!$B$7:$B$373,A164,'05_상품별배치367'!$T$7:$T$373,"치수 초과")&gt;0,"치수 초과",IF(COUNTIFS('05_상품별배치367'!$B$7:$B$373,A164,'05_상품별배치367'!$T$7:$T$373,"입력 대기")&gt;0,"치수 입력 대기",IF(V164&gt;R164,"폭 합계 초과","도면/실측 범위 내·현장확인"))))</f>
        <v>치수 입력 대기</v>
      </c>
      <c r="X164" s="6" t="s">
        <v>1106</v>
      </c>
      <c r="Y164" s="6" t="s">
        <v>555</v>
      </c>
      <c r="Z164" s="15"/>
      <c r="AA164" s="15"/>
      <c r="AB164" s="15"/>
    </row>
    <row r="165" spans="1:28" ht="33" customHeight="1">
      <c r="A165" s="6" t="s">
        <v>1107</v>
      </c>
      <c r="B165" s="6" t="s">
        <v>299</v>
      </c>
      <c r="C165" s="6" t="s">
        <v>174</v>
      </c>
      <c r="D165" s="7">
        <v>4</v>
      </c>
      <c r="E165" s="6" t="s">
        <v>39</v>
      </c>
      <c r="F165" s="6" t="s">
        <v>305</v>
      </c>
      <c r="G165" s="6" t="s">
        <v>493</v>
      </c>
      <c r="H165" s="6" t="s">
        <v>1108</v>
      </c>
      <c r="I165" s="6" t="s">
        <v>1109</v>
      </c>
      <c r="J165" s="6" t="s">
        <v>551</v>
      </c>
      <c r="K165" s="14" t="s">
        <v>559</v>
      </c>
      <c r="L165" s="15"/>
      <c r="M165" s="15"/>
      <c r="N165" s="6" t="s">
        <v>560</v>
      </c>
      <c r="O165" s="6" t="s">
        <v>859</v>
      </c>
      <c r="P165" s="6">
        <f>COUNTIFS('05_상품별배치367'!$B$7:$B$373,A165,'05_상품별배치367'!$K$7:$K$373,"&gt;0")</f>
        <v>2</v>
      </c>
      <c r="Q165" s="6">
        <f>SUMIFS('05_상품별배치367'!$K$7:$K$373,'05_상품별배치367'!$B$7:$B$373,A165)</f>
        <v>2</v>
      </c>
      <c r="R165" s="6">
        <f>IF(Z165="",'06_집기치수20'!N20,Z165)</f>
        <v>865</v>
      </c>
      <c r="S165" s="6">
        <f>IF(AA165="",'06_집기치수20'!O20,AA165)</f>
        <v>270</v>
      </c>
      <c r="T165" s="6">
        <v>220</v>
      </c>
      <c r="U165" s="6">
        <f>IF(AB165="",'06_집기치수20'!P20,AB165-'06_집기치수20'!I20)</f>
        <v>200</v>
      </c>
      <c r="V165" s="6" t="str">
        <f>IF(Q165=0,"",IF(COUNTIFS('05_상품별배치367'!$B$7:$B$373,A165,'05_상품별배치367'!$T$7:$T$373,"입력 대기")&gt;0,"",SUMIFS('05_상품별배치367'!$S$7:$S$373,'05_상품별배치367'!$B$7:$B$373,A165)))</f>
        <v/>
      </c>
      <c r="W165" s="6" t="str">
        <f>IF(Q165=0,"미진열",IF(COUNTIFS('05_상품별배치367'!$B$7:$B$373,A165,'05_상품별배치367'!$T$7:$T$373,"치수 초과")&gt;0,"치수 초과",IF(COUNTIFS('05_상품별배치367'!$B$7:$B$373,A165,'05_상품별배치367'!$T$7:$T$373,"입력 대기")&gt;0,"치수 입력 대기",IF(V165&gt;R165,"폭 합계 초과","도면/실측 범위 내·현장확인"))))</f>
        <v>치수 입력 대기</v>
      </c>
      <c r="X165" s="6" t="s">
        <v>1110</v>
      </c>
      <c r="Y165" s="6" t="s">
        <v>555</v>
      </c>
      <c r="Z165" s="15"/>
      <c r="AA165" s="15"/>
      <c r="AB165" s="15"/>
    </row>
    <row r="166" spans="1:28" ht="33" customHeight="1">
      <c r="A166" s="8" t="s">
        <v>1111</v>
      </c>
      <c r="B166" s="8" t="s">
        <v>299</v>
      </c>
      <c r="C166" s="8" t="s">
        <v>174</v>
      </c>
      <c r="D166" s="9">
        <v>5</v>
      </c>
      <c r="E166" s="8" t="s">
        <v>39</v>
      </c>
      <c r="F166" s="8" t="s">
        <v>306</v>
      </c>
      <c r="G166" s="8" t="s">
        <v>493</v>
      </c>
      <c r="H166" s="8" t="s">
        <v>1112</v>
      </c>
      <c r="I166" s="8" t="s">
        <v>1113</v>
      </c>
      <c r="J166" s="8" t="s">
        <v>551</v>
      </c>
      <c r="K166" s="14" t="s">
        <v>559</v>
      </c>
      <c r="L166" s="15"/>
      <c r="M166" s="15"/>
      <c r="N166" s="8" t="s">
        <v>560</v>
      </c>
      <c r="O166" s="8" t="s">
        <v>859</v>
      </c>
      <c r="P166" s="6">
        <f>COUNTIFS('05_상품별배치367'!$B$7:$B$373,A166,'05_상품별배치367'!$K$7:$K$373,"&gt;0")</f>
        <v>1</v>
      </c>
      <c r="Q166" s="6">
        <f>SUMIFS('05_상품별배치367'!$K$7:$K$373,'05_상품별배치367'!$B$7:$B$373,A166)</f>
        <v>1</v>
      </c>
      <c r="R166" s="6">
        <f>IF(Z166="",'06_집기치수20'!N21,Z166)</f>
        <v>865</v>
      </c>
      <c r="S166" s="6">
        <f>IF(AA166="",'06_집기치수20'!O21,AA166)</f>
        <v>270</v>
      </c>
      <c r="T166" s="6">
        <v>220</v>
      </c>
      <c r="U166" s="6">
        <f>IF(AB166="",'06_집기치수20'!P21,AB166-'06_집기치수20'!I21)</f>
        <v>200</v>
      </c>
      <c r="V166" s="6" t="str">
        <f>IF(Q166=0,"",IF(COUNTIFS('05_상품별배치367'!$B$7:$B$373,A166,'05_상품별배치367'!$T$7:$T$373,"입력 대기")&gt;0,"",SUMIFS('05_상품별배치367'!$S$7:$S$373,'05_상품별배치367'!$B$7:$B$373,A166)))</f>
        <v/>
      </c>
      <c r="W166" s="6" t="str">
        <f>IF(Q166=0,"미진열",IF(COUNTIFS('05_상품별배치367'!$B$7:$B$373,A166,'05_상품별배치367'!$T$7:$T$373,"치수 초과")&gt;0,"치수 초과",IF(COUNTIFS('05_상품별배치367'!$B$7:$B$373,A166,'05_상품별배치367'!$T$7:$T$373,"입력 대기")&gt;0,"치수 입력 대기",IF(V166&gt;R166,"폭 합계 초과","도면/실측 범위 내·현장확인"))))</f>
        <v>치수 입력 대기</v>
      </c>
      <c r="X166" s="6" t="s">
        <v>1114</v>
      </c>
      <c r="Y166" s="6" t="s">
        <v>555</v>
      </c>
      <c r="Z166" s="15"/>
      <c r="AA166" s="15"/>
      <c r="AB166" s="15"/>
    </row>
    <row r="167" spans="1:28" ht="33" customHeight="1">
      <c r="A167" s="6" t="s">
        <v>1115</v>
      </c>
      <c r="B167" s="6" t="s">
        <v>307</v>
      </c>
      <c r="C167" s="6" t="s">
        <v>202</v>
      </c>
      <c r="D167" s="7">
        <v>1</v>
      </c>
      <c r="E167" s="6" t="s">
        <v>81</v>
      </c>
      <c r="F167" s="6" t="s">
        <v>310</v>
      </c>
      <c r="G167" s="6" t="s">
        <v>498</v>
      </c>
      <c r="H167" s="6"/>
      <c r="I167" s="6"/>
      <c r="J167" s="6" t="s">
        <v>551</v>
      </c>
      <c r="K167" s="14" t="s">
        <v>552</v>
      </c>
      <c r="L167" s="15"/>
      <c r="M167" s="15"/>
      <c r="N167" s="6" t="s">
        <v>647</v>
      </c>
      <c r="O167" s="6" t="s">
        <v>859</v>
      </c>
      <c r="P167" s="6">
        <f>COUNTIFS('05_상품별배치367'!$B$7:$B$373,A167,'05_상품별배치367'!$K$7:$K$373,"&gt;0")</f>
        <v>0</v>
      </c>
      <c r="Q167" s="6">
        <f>SUMIFS('05_상품별배치367'!$K$7:$K$373,'05_상품별배치367'!$B$7:$B$373,A167)</f>
        <v>0</v>
      </c>
      <c r="R167" s="6">
        <f>IF(Z167="",'06_집기치수20'!N17,Z167)</f>
        <v>865</v>
      </c>
      <c r="S167" s="6">
        <f>IF(AA167="",'06_집기치수20'!O17,AA167)</f>
        <v>270</v>
      </c>
      <c r="T167" s="6">
        <v>100</v>
      </c>
      <c r="U167" s="6">
        <f>IF(AB167="",'06_집기치수20'!P17,AB167-'06_집기치수20'!I17)</f>
        <v>80</v>
      </c>
      <c r="V167" s="6" t="str">
        <f>IF(Q167=0,"",IF(COUNTIFS('05_상품별배치367'!$B$7:$B$373,A167,'05_상품별배치367'!$T$7:$T$373,"입력 대기")&gt;0,"",SUMIFS('05_상품별배치367'!$S$7:$S$373,'05_상품별배치367'!$B$7:$B$373,A167)))</f>
        <v/>
      </c>
      <c r="W167" s="6" t="str">
        <f>IF(Q167=0,"미진열",IF(COUNTIFS('05_상품별배치367'!$B$7:$B$373,A167,'05_상품별배치367'!$T$7:$T$373,"치수 초과")&gt;0,"치수 초과",IF(COUNTIFS('05_상품별배치367'!$B$7:$B$373,A167,'05_상품별배치367'!$T$7:$T$373,"입력 대기")&gt;0,"치수 입력 대기",IF(V167&gt;R167,"폭 합계 초과","도면/실측 범위 내·현장확인"))))</f>
        <v>미진열</v>
      </c>
      <c r="X167" s="6"/>
      <c r="Y167" s="6" t="s">
        <v>555</v>
      </c>
      <c r="Z167" s="15"/>
      <c r="AA167" s="15"/>
      <c r="AB167" s="15"/>
    </row>
    <row r="168" spans="1:28" ht="33" customHeight="1">
      <c r="A168" s="8" t="s">
        <v>1116</v>
      </c>
      <c r="B168" s="8" t="s">
        <v>307</v>
      </c>
      <c r="C168" s="8" t="s">
        <v>202</v>
      </c>
      <c r="D168" s="9">
        <v>2</v>
      </c>
      <c r="E168" s="8" t="s">
        <v>81</v>
      </c>
      <c r="F168" s="8" t="s">
        <v>311</v>
      </c>
      <c r="G168" s="8" t="s">
        <v>498</v>
      </c>
      <c r="H168" s="8" t="s">
        <v>1117</v>
      </c>
      <c r="I168" s="8" t="s">
        <v>1118</v>
      </c>
      <c r="J168" s="8" t="s">
        <v>551</v>
      </c>
      <c r="K168" s="14" t="s">
        <v>559</v>
      </c>
      <c r="L168" s="15"/>
      <c r="M168" s="15"/>
      <c r="N168" s="8" t="s">
        <v>560</v>
      </c>
      <c r="O168" s="8" t="s">
        <v>859</v>
      </c>
      <c r="P168" s="6">
        <f>COUNTIFS('05_상품별배치367'!$B$7:$B$373,A168,'05_상품별배치367'!$K$7:$K$373,"&gt;0")</f>
        <v>2</v>
      </c>
      <c r="Q168" s="6">
        <f>SUMIFS('05_상품별배치367'!$K$7:$K$373,'05_상품별배치367'!$B$7:$B$373,A168)</f>
        <v>2</v>
      </c>
      <c r="R168" s="6">
        <f>IF(Z168="",'06_집기치수20'!N18,Z168)</f>
        <v>865</v>
      </c>
      <c r="S168" s="6">
        <f>IF(AA168="",'06_집기치수20'!O18,AA168)</f>
        <v>270</v>
      </c>
      <c r="T168" s="6">
        <v>220</v>
      </c>
      <c r="U168" s="6">
        <f>IF(AB168="",'06_집기치수20'!P18,AB168-'06_집기치수20'!I18)</f>
        <v>200</v>
      </c>
      <c r="V168" s="6" t="str">
        <f>IF(Q168=0,"",IF(COUNTIFS('05_상품별배치367'!$B$7:$B$373,A168,'05_상품별배치367'!$T$7:$T$373,"입력 대기")&gt;0,"",SUMIFS('05_상품별배치367'!$S$7:$S$373,'05_상품별배치367'!$B$7:$B$373,A168)))</f>
        <v/>
      </c>
      <c r="W168" s="6" t="str">
        <f>IF(Q168=0,"미진열",IF(COUNTIFS('05_상품별배치367'!$B$7:$B$373,A168,'05_상품별배치367'!$T$7:$T$373,"치수 초과")&gt;0,"치수 초과",IF(COUNTIFS('05_상품별배치367'!$B$7:$B$373,A168,'05_상품별배치367'!$T$7:$T$373,"입력 대기")&gt;0,"치수 입력 대기",IF(V168&gt;R168,"폭 합계 초과","도면/실측 범위 내·현장확인"))))</f>
        <v>치수 입력 대기</v>
      </c>
      <c r="X168" s="6" t="s">
        <v>1119</v>
      </c>
      <c r="Y168" s="6" t="s">
        <v>555</v>
      </c>
      <c r="Z168" s="15"/>
      <c r="AA168" s="15"/>
      <c r="AB168" s="15"/>
    </row>
    <row r="169" spans="1:28" ht="33" customHeight="1">
      <c r="A169" s="6" t="s">
        <v>1120</v>
      </c>
      <c r="B169" s="6" t="s">
        <v>307</v>
      </c>
      <c r="C169" s="6" t="s">
        <v>202</v>
      </c>
      <c r="D169" s="7">
        <v>3</v>
      </c>
      <c r="E169" s="6" t="s">
        <v>81</v>
      </c>
      <c r="F169" s="6" t="s">
        <v>312</v>
      </c>
      <c r="G169" s="6" t="s">
        <v>498</v>
      </c>
      <c r="H169" s="6" t="s">
        <v>1121</v>
      </c>
      <c r="I169" s="6" t="s">
        <v>1122</v>
      </c>
      <c r="J169" s="6" t="s">
        <v>551</v>
      </c>
      <c r="K169" s="14" t="s">
        <v>559</v>
      </c>
      <c r="L169" s="15"/>
      <c r="M169" s="15"/>
      <c r="N169" s="6" t="s">
        <v>560</v>
      </c>
      <c r="O169" s="6" t="s">
        <v>859</v>
      </c>
      <c r="P169" s="6">
        <f>COUNTIFS('05_상품별배치367'!$B$7:$B$373,A169,'05_상품별배치367'!$K$7:$K$373,"&gt;0")</f>
        <v>1</v>
      </c>
      <c r="Q169" s="6">
        <f>SUMIFS('05_상품별배치367'!$K$7:$K$373,'05_상품별배치367'!$B$7:$B$373,A169)</f>
        <v>1</v>
      </c>
      <c r="R169" s="6">
        <f>IF(Z169="",'06_집기치수20'!N19,Z169)</f>
        <v>865</v>
      </c>
      <c r="S169" s="6">
        <f>IF(AA169="",'06_집기치수20'!O19,AA169)</f>
        <v>270</v>
      </c>
      <c r="T169" s="6">
        <v>220</v>
      </c>
      <c r="U169" s="6">
        <f>IF(AB169="",'06_집기치수20'!P19,AB169-'06_집기치수20'!I19)</f>
        <v>200</v>
      </c>
      <c r="V169" s="6" t="str">
        <f>IF(Q169=0,"",IF(COUNTIFS('05_상품별배치367'!$B$7:$B$373,A169,'05_상품별배치367'!$T$7:$T$373,"입력 대기")&gt;0,"",SUMIFS('05_상품별배치367'!$S$7:$S$373,'05_상품별배치367'!$B$7:$B$373,A169)))</f>
        <v/>
      </c>
      <c r="W169" s="6" t="str">
        <f>IF(Q169=0,"미진열",IF(COUNTIFS('05_상품별배치367'!$B$7:$B$373,A169,'05_상품별배치367'!$T$7:$T$373,"치수 초과")&gt;0,"치수 초과",IF(COUNTIFS('05_상품별배치367'!$B$7:$B$373,A169,'05_상품별배치367'!$T$7:$T$373,"입력 대기")&gt;0,"치수 입력 대기",IF(V169&gt;R169,"폭 합계 초과","도면/실측 범위 내·현장확인"))))</f>
        <v>치수 입력 대기</v>
      </c>
      <c r="X169" s="6" t="s">
        <v>1123</v>
      </c>
      <c r="Y169" s="6" t="s">
        <v>555</v>
      </c>
      <c r="Z169" s="15"/>
      <c r="AA169" s="15"/>
      <c r="AB169" s="15"/>
    </row>
    <row r="170" spans="1:28" ht="33" customHeight="1">
      <c r="A170" s="8" t="s">
        <v>1124</v>
      </c>
      <c r="B170" s="8" t="s">
        <v>307</v>
      </c>
      <c r="C170" s="8" t="s">
        <v>202</v>
      </c>
      <c r="D170" s="9">
        <v>4</v>
      </c>
      <c r="E170" s="8" t="s">
        <v>81</v>
      </c>
      <c r="F170" s="8" t="s">
        <v>313</v>
      </c>
      <c r="G170" s="8" t="s">
        <v>497</v>
      </c>
      <c r="H170" s="8" t="s">
        <v>1125</v>
      </c>
      <c r="I170" s="8" t="s">
        <v>1126</v>
      </c>
      <c r="J170" s="8" t="s">
        <v>551</v>
      </c>
      <c r="K170" s="14" t="s">
        <v>559</v>
      </c>
      <c r="L170" s="15"/>
      <c r="M170" s="15"/>
      <c r="N170" s="8" t="s">
        <v>560</v>
      </c>
      <c r="O170" s="8" t="s">
        <v>859</v>
      </c>
      <c r="P170" s="6">
        <f>COUNTIFS('05_상품별배치367'!$B$7:$B$373,A170,'05_상품별배치367'!$K$7:$K$373,"&gt;0")</f>
        <v>2</v>
      </c>
      <c r="Q170" s="6">
        <f>SUMIFS('05_상품별배치367'!$K$7:$K$373,'05_상품별배치367'!$B$7:$B$373,A170)</f>
        <v>2</v>
      </c>
      <c r="R170" s="6">
        <f>IF(Z170="",'06_집기치수20'!N20,Z170)</f>
        <v>865</v>
      </c>
      <c r="S170" s="6">
        <f>IF(AA170="",'06_집기치수20'!O20,AA170)</f>
        <v>270</v>
      </c>
      <c r="T170" s="6">
        <v>220</v>
      </c>
      <c r="U170" s="6">
        <f>IF(AB170="",'06_집기치수20'!P20,AB170-'06_집기치수20'!I20)</f>
        <v>200</v>
      </c>
      <c r="V170" s="6" t="str">
        <f>IF(Q170=0,"",IF(COUNTIFS('05_상품별배치367'!$B$7:$B$373,A170,'05_상품별배치367'!$T$7:$T$373,"입력 대기")&gt;0,"",SUMIFS('05_상품별배치367'!$S$7:$S$373,'05_상품별배치367'!$B$7:$B$373,A170)))</f>
        <v/>
      </c>
      <c r="W170" s="6" t="str">
        <f>IF(Q170=0,"미진열",IF(COUNTIFS('05_상품별배치367'!$B$7:$B$373,A170,'05_상품별배치367'!$T$7:$T$373,"치수 초과")&gt;0,"치수 초과",IF(COUNTIFS('05_상품별배치367'!$B$7:$B$373,A170,'05_상품별배치367'!$T$7:$T$373,"입력 대기")&gt;0,"치수 입력 대기",IF(V170&gt;R170,"폭 합계 초과","도면/실측 범위 내·현장확인"))))</f>
        <v>치수 입력 대기</v>
      </c>
      <c r="X170" s="6" t="s">
        <v>1127</v>
      </c>
      <c r="Y170" s="6" t="s">
        <v>555</v>
      </c>
      <c r="Z170" s="15"/>
      <c r="AA170" s="15"/>
      <c r="AB170" s="15"/>
    </row>
    <row r="171" spans="1:28" ht="33" customHeight="1">
      <c r="A171" s="6" t="s">
        <v>1128</v>
      </c>
      <c r="B171" s="6" t="s">
        <v>307</v>
      </c>
      <c r="C171" s="6" t="s">
        <v>202</v>
      </c>
      <c r="D171" s="7">
        <v>5</v>
      </c>
      <c r="E171" s="6" t="s">
        <v>81</v>
      </c>
      <c r="F171" s="6" t="s">
        <v>314</v>
      </c>
      <c r="G171" s="6" t="s">
        <v>1129</v>
      </c>
      <c r="H171" s="6" t="s">
        <v>1130</v>
      </c>
      <c r="I171" s="6" t="s">
        <v>1131</v>
      </c>
      <c r="J171" s="6" t="s">
        <v>551</v>
      </c>
      <c r="K171" s="14" t="s">
        <v>559</v>
      </c>
      <c r="L171" s="15"/>
      <c r="M171" s="15"/>
      <c r="N171" s="6" t="s">
        <v>560</v>
      </c>
      <c r="O171" s="6" t="s">
        <v>859</v>
      </c>
      <c r="P171" s="6">
        <f>COUNTIFS('05_상품별배치367'!$B$7:$B$373,A171,'05_상품별배치367'!$K$7:$K$373,"&gt;0")</f>
        <v>2</v>
      </c>
      <c r="Q171" s="6">
        <f>SUMIFS('05_상품별배치367'!$K$7:$K$373,'05_상품별배치367'!$B$7:$B$373,A171)</f>
        <v>2</v>
      </c>
      <c r="R171" s="6">
        <f>IF(Z171="",'06_집기치수20'!N21,Z171)</f>
        <v>865</v>
      </c>
      <c r="S171" s="6">
        <f>IF(AA171="",'06_집기치수20'!O21,AA171)</f>
        <v>270</v>
      </c>
      <c r="T171" s="6">
        <v>220</v>
      </c>
      <c r="U171" s="6">
        <f>IF(AB171="",'06_집기치수20'!P21,AB171-'06_집기치수20'!I21)</f>
        <v>200</v>
      </c>
      <c r="V171" s="6" t="str">
        <f>IF(Q171=0,"",IF(COUNTIFS('05_상품별배치367'!$B$7:$B$373,A171,'05_상품별배치367'!$T$7:$T$373,"입력 대기")&gt;0,"",SUMIFS('05_상품별배치367'!$S$7:$S$373,'05_상품별배치367'!$B$7:$B$373,A171)))</f>
        <v/>
      </c>
      <c r="W171" s="6" t="str">
        <f>IF(Q171=0,"미진열",IF(COUNTIFS('05_상품별배치367'!$B$7:$B$373,A171,'05_상품별배치367'!$T$7:$T$373,"치수 초과")&gt;0,"치수 초과",IF(COUNTIFS('05_상품별배치367'!$B$7:$B$373,A171,'05_상품별배치367'!$T$7:$T$373,"입력 대기")&gt;0,"치수 입력 대기",IF(V171&gt;R171,"폭 합계 초과","도면/실측 범위 내·현장확인"))))</f>
        <v>치수 입력 대기</v>
      </c>
      <c r="X171" s="6" t="s">
        <v>1132</v>
      </c>
      <c r="Y171" s="6" t="s">
        <v>555</v>
      </c>
      <c r="Z171" s="15"/>
      <c r="AA171" s="15"/>
      <c r="AB171" s="15"/>
    </row>
    <row r="172" spans="1:28" ht="33" customHeight="1">
      <c r="A172" s="8" t="s">
        <v>1133</v>
      </c>
      <c r="B172" s="8" t="s">
        <v>315</v>
      </c>
      <c r="C172" s="8" t="s">
        <v>202</v>
      </c>
      <c r="D172" s="9">
        <v>1</v>
      </c>
      <c r="E172" s="8" t="s">
        <v>81</v>
      </c>
      <c r="F172" s="8" t="s">
        <v>318</v>
      </c>
      <c r="G172" s="8" t="s">
        <v>1134</v>
      </c>
      <c r="H172" s="8" t="s">
        <v>1135</v>
      </c>
      <c r="I172" s="8" t="s">
        <v>1136</v>
      </c>
      <c r="J172" s="8" t="s">
        <v>551</v>
      </c>
      <c r="K172" s="14" t="s">
        <v>559</v>
      </c>
      <c r="L172" s="15"/>
      <c r="M172" s="15"/>
      <c r="N172" s="8" t="s">
        <v>647</v>
      </c>
      <c r="O172" s="8" t="s">
        <v>859</v>
      </c>
      <c r="P172" s="6">
        <f>COUNTIFS('05_상품별배치367'!$B$7:$B$373,A172,'05_상품별배치367'!$K$7:$K$373,"&gt;0")</f>
        <v>2</v>
      </c>
      <c r="Q172" s="6">
        <f>SUMIFS('05_상품별배치367'!$K$7:$K$373,'05_상품별배치367'!$B$7:$B$373,A172)</f>
        <v>2</v>
      </c>
      <c r="R172" s="6">
        <f>IF(Z172="",'06_집기치수20'!N17,Z172)</f>
        <v>865</v>
      </c>
      <c r="S172" s="6">
        <f>IF(AA172="",'06_집기치수20'!O17,AA172)</f>
        <v>270</v>
      </c>
      <c r="T172" s="6">
        <v>100</v>
      </c>
      <c r="U172" s="6">
        <f>IF(AB172="",'06_집기치수20'!P17,AB172-'06_집기치수20'!I17)</f>
        <v>80</v>
      </c>
      <c r="V172" s="6" t="str">
        <f>IF(Q172=0,"",IF(COUNTIFS('05_상품별배치367'!$B$7:$B$373,A172,'05_상품별배치367'!$T$7:$T$373,"입력 대기")&gt;0,"",SUMIFS('05_상품별배치367'!$S$7:$S$373,'05_상품별배치367'!$B$7:$B$373,A172)))</f>
        <v/>
      </c>
      <c r="W172" s="6" t="str">
        <f>IF(Q172=0,"미진열",IF(COUNTIFS('05_상품별배치367'!$B$7:$B$373,A172,'05_상품별배치367'!$T$7:$T$373,"치수 초과")&gt;0,"치수 초과",IF(COUNTIFS('05_상품별배치367'!$B$7:$B$373,A172,'05_상품별배치367'!$T$7:$T$373,"입력 대기")&gt;0,"치수 입력 대기",IF(V172&gt;R172,"폭 합계 초과","도면/실측 범위 내·현장확인"))))</f>
        <v>치수 입력 대기</v>
      </c>
      <c r="X172" s="6" t="s">
        <v>1137</v>
      </c>
      <c r="Y172" s="6" t="s">
        <v>555</v>
      </c>
      <c r="Z172" s="15"/>
      <c r="AA172" s="15"/>
      <c r="AB172" s="15"/>
    </row>
    <row r="173" spans="1:28" ht="33" customHeight="1">
      <c r="A173" s="6" t="s">
        <v>1138</v>
      </c>
      <c r="B173" s="6" t="s">
        <v>315</v>
      </c>
      <c r="C173" s="6" t="s">
        <v>202</v>
      </c>
      <c r="D173" s="7">
        <v>2</v>
      </c>
      <c r="E173" s="6" t="s">
        <v>81</v>
      </c>
      <c r="F173" s="6" t="s">
        <v>319</v>
      </c>
      <c r="G173" s="6" t="s">
        <v>1134</v>
      </c>
      <c r="H173" s="6" t="s">
        <v>1139</v>
      </c>
      <c r="I173" s="6" t="s">
        <v>1140</v>
      </c>
      <c r="J173" s="6" t="s">
        <v>551</v>
      </c>
      <c r="K173" s="14" t="s">
        <v>559</v>
      </c>
      <c r="L173" s="15"/>
      <c r="M173" s="15"/>
      <c r="N173" s="6" t="s">
        <v>560</v>
      </c>
      <c r="O173" s="6" t="s">
        <v>859</v>
      </c>
      <c r="P173" s="6">
        <f>COUNTIFS('05_상품별배치367'!$B$7:$B$373,A173,'05_상품별배치367'!$K$7:$K$373,"&gt;0")</f>
        <v>1</v>
      </c>
      <c r="Q173" s="6">
        <f>SUMIFS('05_상품별배치367'!$K$7:$K$373,'05_상품별배치367'!$B$7:$B$373,A173)</f>
        <v>1</v>
      </c>
      <c r="R173" s="6">
        <f>IF(Z173="",'06_집기치수20'!N18,Z173)</f>
        <v>865</v>
      </c>
      <c r="S173" s="6">
        <f>IF(AA173="",'06_집기치수20'!O18,AA173)</f>
        <v>270</v>
      </c>
      <c r="T173" s="6">
        <v>220</v>
      </c>
      <c r="U173" s="6">
        <f>IF(AB173="",'06_집기치수20'!P18,AB173-'06_집기치수20'!I18)</f>
        <v>200</v>
      </c>
      <c r="V173" s="6" t="str">
        <f>IF(Q173=0,"",IF(COUNTIFS('05_상품별배치367'!$B$7:$B$373,A173,'05_상품별배치367'!$T$7:$T$373,"입력 대기")&gt;0,"",SUMIFS('05_상품별배치367'!$S$7:$S$373,'05_상품별배치367'!$B$7:$B$373,A173)))</f>
        <v/>
      </c>
      <c r="W173" s="6" t="str">
        <f>IF(Q173=0,"미진열",IF(COUNTIFS('05_상품별배치367'!$B$7:$B$373,A173,'05_상품별배치367'!$T$7:$T$373,"치수 초과")&gt;0,"치수 초과",IF(COUNTIFS('05_상품별배치367'!$B$7:$B$373,A173,'05_상품별배치367'!$T$7:$T$373,"입력 대기")&gt;0,"치수 입력 대기",IF(V173&gt;R173,"폭 합계 초과","도면/실측 범위 내·현장확인"))))</f>
        <v>치수 입력 대기</v>
      </c>
      <c r="X173" s="6" t="s">
        <v>1141</v>
      </c>
      <c r="Y173" s="6" t="s">
        <v>555</v>
      </c>
      <c r="Z173" s="15"/>
      <c r="AA173" s="15"/>
      <c r="AB173" s="15"/>
    </row>
    <row r="174" spans="1:28" ht="33" customHeight="1">
      <c r="A174" s="8" t="s">
        <v>1142</v>
      </c>
      <c r="B174" s="8" t="s">
        <v>315</v>
      </c>
      <c r="C174" s="8" t="s">
        <v>202</v>
      </c>
      <c r="D174" s="9">
        <v>3</v>
      </c>
      <c r="E174" s="8" t="s">
        <v>81</v>
      </c>
      <c r="F174" s="8" t="s">
        <v>320</v>
      </c>
      <c r="G174" s="8" t="s">
        <v>1143</v>
      </c>
      <c r="H174" s="8" t="s">
        <v>1144</v>
      </c>
      <c r="I174" s="8" t="s">
        <v>1145</v>
      </c>
      <c r="J174" s="8" t="s">
        <v>551</v>
      </c>
      <c r="K174" s="14" t="s">
        <v>559</v>
      </c>
      <c r="L174" s="15"/>
      <c r="M174" s="15"/>
      <c r="N174" s="8" t="s">
        <v>560</v>
      </c>
      <c r="O174" s="8" t="s">
        <v>859</v>
      </c>
      <c r="P174" s="6">
        <f>COUNTIFS('05_상품별배치367'!$B$7:$B$373,A174,'05_상품별배치367'!$K$7:$K$373,"&gt;0")</f>
        <v>2</v>
      </c>
      <c r="Q174" s="6">
        <f>SUMIFS('05_상품별배치367'!$K$7:$K$373,'05_상품별배치367'!$B$7:$B$373,A174)</f>
        <v>2</v>
      </c>
      <c r="R174" s="6">
        <f>IF(Z174="",'06_집기치수20'!N19,Z174)</f>
        <v>865</v>
      </c>
      <c r="S174" s="6">
        <f>IF(AA174="",'06_집기치수20'!O19,AA174)</f>
        <v>270</v>
      </c>
      <c r="T174" s="6">
        <v>220</v>
      </c>
      <c r="U174" s="6">
        <f>IF(AB174="",'06_집기치수20'!P19,AB174-'06_집기치수20'!I19)</f>
        <v>200</v>
      </c>
      <c r="V174" s="6" t="str">
        <f>IF(Q174=0,"",IF(COUNTIFS('05_상품별배치367'!$B$7:$B$373,A174,'05_상품별배치367'!$T$7:$T$373,"입력 대기")&gt;0,"",SUMIFS('05_상품별배치367'!$S$7:$S$373,'05_상품별배치367'!$B$7:$B$373,A174)))</f>
        <v/>
      </c>
      <c r="W174" s="6" t="str">
        <f>IF(Q174=0,"미진열",IF(COUNTIFS('05_상품별배치367'!$B$7:$B$373,A174,'05_상품별배치367'!$T$7:$T$373,"치수 초과")&gt;0,"치수 초과",IF(COUNTIFS('05_상품별배치367'!$B$7:$B$373,A174,'05_상품별배치367'!$T$7:$T$373,"입력 대기")&gt;0,"치수 입력 대기",IF(V174&gt;R174,"폭 합계 초과","도면/실측 범위 내·현장확인"))))</f>
        <v>치수 입력 대기</v>
      </c>
      <c r="X174" s="6" t="s">
        <v>1146</v>
      </c>
      <c r="Y174" s="6" t="s">
        <v>555</v>
      </c>
      <c r="Z174" s="15"/>
      <c r="AA174" s="15"/>
      <c r="AB174" s="15"/>
    </row>
    <row r="175" spans="1:28" ht="33" customHeight="1">
      <c r="A175" s="6" t="s">
        <v>1147</v>
      </c>
      <c r="B175" s="6" t="s">
        <v>315</v>
      </c>
      <c r="C175" s="6" t="s">
        <v>202</v>
      </c>
      <c r="D175" s="7">
        <v>4</v>
      </c>
      <c r="E175" s="6" t="s">
        <v>81</v>
      </c>
      <c r="F175" s="6" t="s">
        <v>321</v>
      </c>
      <c r="G175" s="6" t="s">
        <v>1143</v>
      </c>
      <c r="H175" s="6" t="s">
        <v>1148</v>
      </c>
      <c r="I175" s="6" t="s">
        <v>1149</v>
      </c>
      <c r="J175" s="6" t="s">
        <v>551</v>
      </c>
      <c r="K175" s="14" t="s">
        <v>559</v>
      </c>
      <c r="L175" s="15"/>
      <c r="M175" s="15"/>
      <c r="N175" s="6" t="s">
        <v>560</v>
      </c>
      <c r="O175" s="6" t="s">
        <v>859</v>
      </c>
      <c r="P175" s="6">
        <f>COUNTIFS('05_상품별배치367'!$B$7:$B$373,A175,'05_상품별배치367'!$K$7:$K$373,"&gt;0")</f>
        <v>2</v>
      </c>
      <c r="Q175" s="6">
        <f>SUMIFS('05_상품별배치367'!$K$7:$K$373,'05_상품별배치367'!$B$7:$B$373,A175)</f>
        <v>2</v>
      </c>
      <c r="R175" s="6">
        <f>IF(Z175="",'06_집기치수20'!N20,Z175)</f>
        <v>865</v>
      </c>
      <c r="S175" s="6">
        <f>IF(AA175="",'06_집기치수20'!O20,AA175)</f>
        <v>270</v>
      </c>
      <c r="T175" s="6">
        <v>220</v>
      </c>
      <c r="U175" s="6">
        <f>IF(AB175="",'06_집기치수20'!P20,AB175-'06_집기치수20'!I20)</f>
        <v>200</v>
      </c>
      <c r="V175" s="6" t="str">
        <f>IF(Q175=0,"",IF(COUNTIFS('05_상품별배치367'!$B$7:$B$373,A175,'05_상품별배치367'!$T$7:$T$373,"입력 대기")&gt;0,"",SUMIFS('05_상품별배치367'!$S$7:$S$373,'05_상품별배치367'!$B$7:$B$373,A175)))</f>
        <v/>
      </c>
      <c r="W175" s="6" t="str">
        <f>IF(Q175=0,"미진열",IF(COUNTIFS('05_상품별배치367'!$B$7:$B$373,A175,'05_상품별배치367'!$T$7:$T$373,"치수 초과")&gt;0,"치수 초과",IF(COUNTIFS('05_상품별배치367'!$B$7:$B$373,A175,'05_상품별배치367'!$T$7:$T$373,"입력 대기")&gt;0,"치수 입력 대기",IF(V175&gt;R175,"폭 합계 초과","도면/실측 범위 내·현장확인"))))</f>
        <v>치수 입력 대기</v>
      </c>
      <c r="X175" s="6" t="s">
        <v>1150</v>
      </c>
      <c r="Y175" s="6" t="s">
        <v>555</v>
      </c>
      <c r="Z175" s="15"/>
      <c r="AA175" s="15"/>
      <c r="AB175" s="15"/>
    </row>
    <row r="176" spans="1:28" ht="33" customHeight="1">
      <c r="A176" s="8" t="s">
        <v>1151</v>
      </c>
      <c r="B176" s="8" t="s">
        <v>315</v>
      </c>
      <c r="C176" s="8" t="s">
        <v>202</v>
      </c>
      <c r="D176" s="9">
        <v>5</v>
      </c>
      <c r="E176" s="8" t="s">
        <v>81</v>
      </c>
      <c r="F176" s="8" t="s">
        <v>322</v>
      </c>
      <c r="G176" s="8" t="s">
        <v>1152</v>
      </c>
      <c r="H176" s="8" t="s">
        <v>1153</v>
      </c>
      <c r="I176" s="8" t="s">
        <v>1154</v>
      </c>
      <c r="J176" s="8" t="s">
        <v>551</v>
      </c>
      <c r="K176" s="14" t="s">
        <v>559</v>
      </c>
      <c r="L176" s="15"/>
      <c r="M176" s="15"/>
      <c r="N176" s="8" t="s">
        <v>560</v>
      </c>
      <c r="O176" s="8" t="s">
        <v>859</v>
      </c>
      <c r="P176" s="6">
        <f>COUNTIFS('05_상품별배치367'!$B$7:$B$373,A176,'05_상품별배치367'!$K$7:$K$373,"&gt;0")</f>
        <v>2</v>
      </c>
      <c r="Q176" s="6">
        <f>SUMIFS('05_상품별배치367'!$K$7:$K$373,'05_상품별배치367'!$B$7:$B$373,A176)</f>
        <v>2</v>
      </c>
      <c r="R176" s="6">
        <f>IF(Z176="",'06_집기치수20'!N21,Z176)</f>
        <v>865</v>
      </c>
      <c r="S176" s="6">
        <f>IF(AA176="",'06_집기치수20'!O21,AA176)</f>
        <v>270</v>
      </c>
      <c r="T176" s="6">
        <v>220</v>
      </c>
      <c r="U176" s="6">
        <f>IF(AB176="",'06_집기치수20'!P21,AB176-'06_집기치수20'!I21)</f>
        <v>200</v>
      </c>
      <c r="V176" s="6" t="str">
        <f>IF(Q176=0,"",IF(COUNTIFS('05_상품별배치367'!$B$7:$B$373,A176,'05_상품별배치367'!$T$7:$T$373,"입력 대기")&gt;0,"",SUMIFS('05_상품별배치367'!$S$7:$S$373,'05_상품별배치367'!$B$7:$B$373,A176)))</f>
        <v/>
      </c>
      <c r="W176" s="6" t="str">
        <f>IF(Q176=0,"미진열",IF(COUNTIFS('05_상품별배치367'!$B$7:$B$373,A176,'05_상품별배치367'!$T$7:$T$373,"치수 초과")&gt;0,"치수 초과",IF(COUNTIFS('05_상품별배치367'!$B$7:$B$373,A176,'05_상품별배치367'!$T$7:$T$373,"입력 대기")&gt;0,"치수 입력 대기",IF(V176&gt;R176,"폭 합계 초과","도면/실측 범위 내·현장확인"))))</f>
        <v>치수 입력 대기</v>
      </c>
      <c r="X176" s="6" t="s">
        <v>1155</v>
      </c>
      <c r="Y176" s="6" t="s">
        <v>555</v>
      </c>
      <c r="Z176" s="15"/>
      <c r="AA176" s="15"/>
      <c r="AB176" s="15"/>
    </row>
    <row r="177" spans="1:28" ht="33" customHeight="1">
      <c r="A177" s="6" t="s">
        <v>1156</v>
      </c>
      <c r="B177" s="6" t="s">
        <v>323</v>
      </c>
      <c r="C177" s="6" t="s">
        <v>202</v>
      </c>
      <c r="D177" s="7">
        <v>1</v>
      </c>
      <c r="E177" s="6" t="s">
        <v>81</v>
      </c>
      <c r="F177" s="6" t="s">
        <v>326</v>
      </c>
      <c r="G177" s="6" t="s">
        <v>1157</v>
      </c>
      <c r="H177" s="6"/>
      <c r="I177" s="6"/>
      <c r="J177" s="6" t="s">
        <v>551</v>
      </c>
      <c r="K177" s="14" t="s">
        <v>552</v>
      </c>
      <c r="L177" s="15"/>
      <c r="M177" s="15"/>
      <c r="N177" s="6" t="s">
        <v>647</v>
      </c>
      <c r="O177" s="6" t="s">
        <v>859</v>
      </c>
      <c r="P177" s="6">
        <f>COUNTIFS('05_상품별배치367'!$B$7:$B$373,A177,'05_상품별배치367'!$K$7:$K$373,"&gt;0")</f>
        <v>0</v>
      </c>
      <c r="Q177" s="6">
        <f>SUMIFS('05_상품별배치367'!$K$7:$K$373,'05_상품별배치367'!$B$7:$B$373,A177)</f>
        <v>0</v>
      </c>
      <c r="R177" s="6">
        <f>IF(Z177="",'06_집기치수20'!N17,Z177)</f>
        <v>865</v>
      </c>
      <c r="S177" s="6">
        <f>IF(AA177="",'06_집기치수20'!O17,AA177)</f>
        <v>270</v>
      </c>
      <c r="T177" s="6">
        <v>100</v>
      </c>
      <c r="U177" s="6">
        <f>IF(AB177="",'06_집기치수20'!P17,AB177-'06_집기치수20'!I17)</f>
        <v>80</v>
      </c>
      <c r="V177" s="6" t="str">
        <f>IF(Q177=0,"",IF(COUNTIFS('05_상품별배치367'!$B$7:$B$373,A177,'05_상품별배치367'!$T$7:$T$373,"입력 대기")&gt;0,"",SUMIFS('05_상품별배치367'!$S$7:$S$373,'05_상품별배치367'!$B$7:$B$373,A177)))</f>
        <v/>
      </c>
      <c r="W177" s="6" t="str">
        <f>IF(Q177=0,"미진열",IF(COUNTIFS('05_상품별배치367'!$B$7:$B$373,A177,'05_상품별배치367'!$T$7:$T$373,"치수 초과")&gt;0,"치수 초과",IF(COUNTIFS('05_상품별배치367'!$B$7:$B$373,A177,'05_상품별배치367'!$T$7:$T$373,"입력 대기")&gt;0,"치수 입력 대기",IF(V177&gt;R177,"폭 합계 초과","도면/실측 범위 내·현장확인"))))</f>
        <v>미진열</v>
      </c>
      <c r="X177" s="6"/>
      <c r="Y177" s="6" t="s">
        <v>555</v>
      </c>
      <c r="Z177" s="15"/>
      <c r="AA177" s="15"/>
      <c r="AB177" s="15"/>
    </row>
    <row r="178" spans="1:28" ht="33" customHeight="1">
      <c r="A178" s="8" t="s">
        <v>1158</v>
      </c>
      <c r="B178" s="8" t="s">
        <v>323</v>
      </c>
      <c r="C178" s="8" t="s">
        <v>202</v>
      </c>
      <c r="D178" s="9">
        <v>2</v>
      </c>
      <c r="E178" s="8" t="s">
        <v>81</v>
      </c>
      <c r="F178" s="8" t="s">
        <v>327</v>
      </c>
      <c r="G178" s="8" t="s">
        <v>1157</v>
      </c>
      <c r="H178" s="8" t="s">
        <v>1159</v>
      </c>
      <c r="I178" s="8" t="s">
        <v>1160</v>
      </c>
      <c r="J178" s="8" t="s">
        <v>551</v>
      </c>
      <c r="K178" s="14" t="s">
        <v>559</v>
      </c>
      <c r="L178" s="15"/>
      <c r="M178" s="15"/>
      <c r="N178" s="8" t="s">
        <v>560</v>
      </c>
      <c r="O178" s="8" t="s">
        <v>859</v>
      </c>
      <c r="P178" s="6">
        <f>COUNTIFS('05_상품별배치367'!$B$7:$B$373,A178,'05_상품별배치367'!$K$7:$K$373,"&gt;0")</f>
        <v>2</v>
      </c>
      <c r="Q178" s="6">
        <f>SUMIFS('05_상품별배치367'!$K$7:$K$373,'05_상품별배치367'!$B$7:$B$373,A178)</f>
        <v>2</v>
      </c>
      <c r="R178" s="6">
        <f>IF(Z178="",'06_집기치수20'!N18,Z178)</f>
        <v>865</v>
      </c>
      <c r="S178" s="6">
        <f>IF(AA178="",'06_집기치수20'!O18,AA178)</f>
        <v>270</v>
      </c>
      <c r="T178" s="6">
        <v>220</v>
      </c>
      <c r="U178" s="6">
        <f>IF(AB178="",'06_집기치수20'!P18,AB178-'06_집기치수20'!I18)</f>
        <v>200</v>
      </c>
      <c r="V178" s="6" t="str">
        <f>IF(Q178=0,"",IF(COUNTIFS('05_상품별배치367'!$B$7:$B$373,A178,'05_상품별배치367'!$T$7:$T$373,"입력 대기")&gt;0,"",SUMIFS('05_상품별배치367'!$S$7:$S$373,'05_상품별배치367'!$B$7:$B$373,A178)))</f>
        <v/>
      </c>
      <c r="W178" s="6" t="str">
        <f>IF(Q178=0,"미진열",IF(COUNTIFS('05_상품별배치367'!$B$7:$B$373,A178,'05_상품별배치367'!$T$7:$T$373,"치수 초과")&gt;0,"치수 초과",IF(COUNTIFS('05_상품별배치367'!$B$7:$B$373,A178,'05_상품별배치367'!$T$7:$T$373,"입력 대기")&gt;0,"치수 입력 대기",IF(V178&gt;R178,"폭 합계 초과","도면/실측 범위 내·현장확인"))))</f>
        <v>치수 입력 대기</v>
      </c>
      <c r="X178" s="6" t="s">
        <v>1161</v>
      </c>
      <c r="Y178" s="6" t="s">
        <v>555</v>
      </c>
      <c r="Z178" s="15"/>
      <c r="AA178" s="15"/>
      <c r="AB178" s="15"/>
    </row>
    <row r="179" spans="1:28" ht="33" customHeight="1">
      <c r="A179" s="6" t="s">
        <v>1162</v>
      </c>
      <c r="B179" s="6" t="s">
        <v>323</v>
      </c>
      <c r="C179" s="6" t="s">
        <v>202</v>
      </c>
      <c r="D179" s="7">
        <v>3</v>
      </c>
      <c r="E179" s="6" t="s">
        <v>81</v>
      </c>
      <c r="F179" s="6" t="s">
        <v>328</v>
      </c>
      <c r="G179" s="6" t="s">
        <v>1163</v>
      </c>
      <c r="H179" s="6" t="s">
        <v>1164</v>
      </c>
      <c r="I179" s="6" t="s">
        <v>1165</v>
      </c>
      <c r="J179" s="6" t="s">
        <v>551</v>
      </c>
      <c r="K179" s="14" t="s">
        <v>846</v>
      </c>
      <c r="L179" s="15"/>
      <c r="M179" s="15"/>
      <c r="N179" s="6" t="s">
        <v>560</v>
      </c>
      <c r="O179" s="6" t="s">
        <v>859</v>
      </c>
      <c r="P179" s="6">
        <f>COUNTIFS('05_상품별배치367'!$B$7:$B$373,A179,'05_상품별배치367'!$K$7:$K$373,"&gt;0")</f>
        <v>2</v>
      </c>
      <c r="Q179" s="6">
        <f>SUMIFS('05_상품별배치367'!$K$7:$K$373,'05_상품별배치367'!$B$7:$B$373,A179)</f>
        <v>2</v>
      </c>
      <c r="R179" s="6">
        <f>IF(Z179="",'06_집기치수20'!N19,Z179)</f>
        <v>865</v>
      </c>
      <c r="S179" s="6">
        <f>IF(AA179="",'06_집기치수20'!O19,AA179)</f>
        <v>270</v>
      </c>
      <c r="T179" s="6">
        <v>220</v>
      </c>
      <c r="U179" s="6">
        <f>IF(AB179="",'06_집기치수20'!P19,AB179-'06_집기치수20'!I19)</f>
        <v>200</v>
      </c>
      <c r="V179" s="6" t="str">
        <f>IF(Q179=0,"",IF(COUNTIFS('05_상품별배치367'!$B$7:$B$373,A179,'05_상품별배치367'!$T$7:$T$373,"입력 대기")&gt;0,"",SUMIFS('05_상품별배치367'!$S$7:$S$373,'05_상품별배치367'!$B$7:$B$373,A179)))</f>
        <v/>
      </c>
      <c r="W179" s="6" t="str">
        <f>IF(Q179=0,"미진열",IF(COUNTIFS('05_상품별배치367'!$B$7:$B$373,A179,'05_상품별배치367'!$T$7:$T$373,"치수 초과")&gt;0,"치수 초과",IF(COUNTIFS('05_상품별배치367'!$B$7:$B$373,A179,'05_상품별배치367'!$T$7:$T$373,"입력 대기")&gt;0,"치수 입력 대기",IF(V179&gt;R179,"폭 합계 초과","도면/실측 범위 내·현장확인"))))</f>
        <v>치수 입력 대기</v>
      </c>
      <c r="X179" s="6" t="s">
        <v>1166</v>
      </c>
      <c r="Y179" s="6" t="s">
        <v>555</v>
      </c>
      <c r="Z179" s="15"/>
      <c r="AA179" s="15"/>
      <c r="AB179" s="15"/>
    </row>
    <row r="180" spans="1:28" ht="33" customHeight="1">
      <c r="A180" s="8" t="s">
        <v>1167</v>
      </c>
      <c r="B180" s="8" t="s">
        <v>323</v>
      </c>
      <c r="C180" s="8" t="s">
        <v>202</v>
      </c>
      <c r="D180" s="9">
        <v>4</v>
      </c>
      <c r="E180" s="8" t="s">
        <v>81</v>
      </c>
      <c r="F180" s="8" t="s">
        <v>329</v>
      </c>
      <c r="G180" s="8" t="s">
        <v>1163</v>
      </c>
      <c r="H180" s="8" t="s">
        <v>1168</v>
      </c>
      <c r="I180" s="8" t="s">
        <v>1169</v>
      </c>
      <c r="J180" s="8" t="s">
        <v>551</v>
      </c>
      <c r="K180" s="14" t="s">
        <v>846</v>
      </c>
      <c r="L180" s="15"/>
      <c r="M180" s="15"/>
      <c r="N180" s="8" t="s">
        <v>560</v>
      </c>
      <c r="O180" s="8" t="s">
        <v>859</v>
      </c>
      <c r="P180" s="6">
        <f>COUNTIFS('05_상품별배치367'!$B$7:$B$373,A180,'05_상품별배치367'!$K$7:$K$373,"&gt;0")</f>
        <v>1</v>
      </c>
      <c r="Q180" s="6">
        <f>SUMIFS('05_상품별배치367'!$K$7:$K$373,'05_상품별배치367'!$B$7:$B$373,A180)</f>
        <v>1</v>
      </c>
      <c r="R180" s="6">
        <f>IF(Z180="",'06_집기치수20'!N20,Z180)</f>
        <v>865</v>
      </c>
      <c r="S180" s="6">
        <f>IF(AA180="",'06_집기치수20'!O20,AA180)</f>
        <v>270</v>
      </c>
      <c r="T180" s="6">
        <v>220</v>
      </c>
      <c r="U180" s="6">
        <f>IF(AB180="",'06_집기치수20'!P20,AB180-'06_집기치수20'!I20)</f>
        <v>200</v>
      </c>
      <c r="V180" s="6" t="str">
        <f>IF(Q180=0,"",IF(COUNTIFS('05_상품별배치367'!$B$7:$B$373,A180,'05_상품별배치367'!$T$7:$T$373,"입력 대기")&gt;0,"",SUMIFS('05_상품별배치367'!$S$7:$S$373,'05_상품별배치367'!$B$7:$B$373,A180)))</f>
        <v/>
      </c>
      <c r="W180" s="6" t="str">
        <f>IF(Q180=0,"미진열",IF(COUNTIFS('05_상품별배치367'!$B$7:$B$373,A180,'05_상품별배치367'!$T$7:$T$373,"치수 초과")&gt;0,"치수 초과",IF(COUNTIFS('05_상품별배치367'!$B$7:$B$373,A180,'05_상품별배치367'!$T$7:$T$373,"입력 대기")&gt;0,"치수 입력 대기",IF(V180&gt;R180,"폭 합계 초과","도면/실측 범위 내·현장확인"))))</f>
        <v>치수 입력 대기</v>
      </c>
      <c r="X180" s="6" t="s">
        <v>1170</v>
      </c>
      <c r="Y180" s="6" t="s">
        <v>555</v>
      </c>
      <c r="Z180" s="15"/>
      <c r="AA180" s="15"/>
      <c r="AB180" s="15"/>
    </row>
    <row r="181" spans="1:28" ht="33" customHeight="1">
      <c r="A181" s="6" t="s">
        <v>1171</v>
      </c>
      <c r="B181" s="6" t="s">
        <v>323</v>
      </c>
      <c r="C181" s="6" t="s">
        <v>202</v>
      </c>
      <c r="D181" s="7">
        <v>5</v>
      </c>
      <c r="E181" s="6" t="s">
        <v>81</v>
      </c>
      <c r="F181" s="6" t="s">
        <v>330</v>
      </c>
      <c r="G181" s="6" t="s">
        <v>1172</v>
      </c>
      <c r="H181" s="6" t="s">
        <v>1173</v>
      </c>
      <c r="I181" s="6" t="s">
        <v>1174</v>
      </c>
      <c r="J181" s="6" t="s">
        <v>551</v>
      </c>
      <c r="K181" s="14" t="s">
        <v>559</v>
      </c>
      <c r="L181" s="15"/>
      <c r="M181" s="15"/>
      <c r="N181" s="6" t="s">
        <v>560</v>
      </c>
      <c r="O181" s="6" t="s">
        <v>859</v>
      </c>
      <c r="P181" s="6">
        <f>COUNTIFS('05_상품별배치367'!$B$7:$B$373,A181,'05_상품별배치367'!$K$7:$K$373,"&gt;0")</f>
        <v>2</v>
      </c>
      <c r="Q181" s="6">
        <f>SUMIFS('05_상품별배치367'!$K$7:$K$373,'05_상품별배치367'!$B$7:$B$373,A181)</f>
        <v>2</v>
      </c>
      <c r="R181" s="6">
        <f>IF(Z181="",'06_집기치수20'!N21,Z181)</f>
        <v>865</v>
      </c>
      <c r="S181" s="6">
        <f>IF(AA181="",'06_집기치수20'!O21,AA181)</f>
        <v>270</v>
      </c>
      <c r="T181" s="6">
        <v>220</v>
      </c>
      <c r="U181" s="6">
        <f>IF(AB181="",'06_집기치수20'!P21,AB181-'06_집기치수20'!I21)</f>
        <v>200</v>
      </c>
      <c r="V181" s="6" t="str">
        <f>IF(Q181=0,"",IF(COUNTIFS('05_상품별배치367'!$B$7:$B$373,A181,'05_상품별배치367'!$T$7:$T$373,"입력 대기")&gt;0,"",SUMIFS('05_상품별배치367'!$S$7:$S$373,'05_상품별배치367'!$B$7:$B$373,A181)))</f>
        <v/>
      </c>
      <c r="W181" s="6" t="str">
        <f>IF(Q181=0,"미진열",IF(COUNTIFS('05_상품별배치367'!$B$7:$B$373,A181,'05_상품별배치367'!$T$7:$T$373,"치수 초과")&gt;0,"치수 초과",IF(COUNTIFS('05_상품별배치367'!$B$7:$B$373,A181,'05_상품별배치367'!$T$7:$T$373,"입력 대기")&gt;0,"치수 입력 대기",IF(V181&gt;R181,"폭 합계 초과","도면/실측 범위 내·현장확인"))))</f>
        <v>치수 입력 대기</v>
      </c>
      <c r="X181" s="6" t="s">
        <v>1175</v>
      </c>
      <c r="Y181" s="6" t="s">
        <v>555</v>
      </c>
      <c r="Z181" s="15"/>
      <c r="AA181" s="15"/>
      <c r="AB181" s="15"/>
    </row>
    <row r="182" spans="1:28" ht="33" customHeight="1">
      <c r="A182" s="8" t="s">
        <v>1176</v>
      </c>
      <c r="B182" s="8" t="s">
        <v>332</v>
      </c>
      <c r="C182" s="8" t="s">
        <v>174</v>
      </c>
      <c r="D182" s="9">
        <v>1</v>
      </c>
      <c r="E182" s="8" t="s">
        <v>60</v>
      </c>
      <c r="F182" s="8" t="s">
        <v>336</v>
      </c>
      <c r="G182" s="8" t="s">
        <v>150</v>
      </c>
      <c r="H182" s="8"/>
      <c r="I182" s="8"/>
      <c r="J182" s="8" t="s">
        <v>551</v>
      </c>
      <c r="K182" s="14" t="s">
        <v>552</v>
      </c>
      <c r="L182" s="15"/>
      <c r="M182" s="15"/>
      <c r="N182" s="8" t="s">
        <v>647</v>
      </c>
      <c r="O182" s="8" t="s">
        <v>859</v>
      </c>
      <c r="P182" s="6">
        <f>COUNTIFS('05_상품별배치367'!$B$7:$B$373,A182,'05_상품별배치367'!$K$7:$K$373,"&gt;0")</f>
        <v>0</v>
      </c>
      <c r="Q182" s="6">
        <f>SUMIFS('05_상품별배치367'!$K$7:$K$373,'05_상품별배치367'!$B$7:$B$373,A182)</f>
        <v>0</v>
      </c>
      <c r="R182" s="6">
        <f>IF(Z182="",'06_집기치수20'!N17,Z182)</f>
        <v>865</v>
      </c>
      <c r="S182" s="6">
        <f>IF(AA182="",'06_집기치수20'!O17,AA182)</f>
        <v>270</v>
      </c>
      <c r="T182" s="6">
        <v>100</v>
      </c>
      <c r="U182" s="6">
        <f>IF(AB182="",'06_집기치수20'!P17,AB182-'06_집기치수20'!I17)</f>
        <v>80</v>
      </c>
      <c r="V182" s="6" t="str">
        <f>IF(Q182=0,"",IF(COUNTIFS('05_상품별배치367'!$B$7:$B$373,A182,'05_상품별배치367'!$T$7:$T$373,"입력 대기")&gt;0,"",SUMIFS('05_상품별배치367'!$S$7:$S$373,'05_상품별배치367'!$B$7:$B$373,A182)))</f>
        <v/>
      </c>
      <c r="W182" s="6" t="str">
        <f>IF(Q182=0,"미진열",IF(COUNTIFS('05_상품별배치367'!$B$7:$B$373,A182,'05_상품별배치367'!$T$7:$T$373,"치수 초과")&gt;0,"치수 초과",IF(COUNTIFS('05_상품별배치367'!$B$7:$B$373,A182,'05_상품별배치367'!$T$7:$T$373,"입력 대기")&gt;0,"치수 입력 대기",IF(V182&gt;R182,"폭 합계 초과","도면/실측 범위 내·현장확인"))))</f>
        <v>미진열</v>
      </c>
      <c r="X182" s="6"/>
      <c r="Y182" s="6" t="s">
        <v>555</v>
      </c>
      <c r="Z182" s="15"/>
      <c r="AA182" s="15"/>
      <c r="AB182" s="15"/>
    </row>
    <row r="183" spans="1:28" ht="33" customHeight="1">
      <c r="A183" s="6" t="s">
        <v>1177</v>
      </c>
      <c r="B183" s="6" t="s">
        <v>332</v>
      </c>
      <c r="C183" s="6" t="s">
        <v>174</v>
      </c>
      <c r="D183" s="7">
        <v>2</v>
      </c>
      <c r="E183" s="6" t="s">
        <v>60</v>
      </c>
      <c r="F183" s="6" t="s">
        <v>337</v>
      </c>
      <c r="G183" s="6" t="s">
        <v>150</v>
      </c>
      <c r="H183" s="6" t="s">
        <v>1178</v>
      </c>
      <c r="I183" s="6" t="s">
        <v>1179</v>
      </c>
      <c r="J183" s="6" t="s">
        <v>551</v>
      </c>
      <c r="K183" s="14" t="s">
        <v>559</v>
      </c>
      <c r="L183" s="15"/>
      <c r="M183" s="15"/>
      <c r="N183" s="6" t="s">
        <v>560</v>
      </c>
      <c r="O183" s="6" t="s">
        <v>859</v>
      </c>
      <c r="P183" s="6">
        <f>COUNTIFS('05_상품별배치367'!$B$7:$B$373,A183,'05_상품별배치367'!$K$7:$K$373,"&gt;0")</f>
        <v>1</v>
      </c>
      <c r="Q183" s="6">
        <f>SUMIFS('05_상품별배치367'!$K$7:$K$373,'05_상품별배치367'!$B$7:$B$373,A183)</f>
        <v>1</v>
      </c>
      <c r="R183" s="6">
        <f>IF(Z183="",'06_집기치수20'!N18,Z183)</f>
        <v>865</v>
      </c>
      <c r="S183" s="6">
        <f>IF(AA183="",'06_집기치수20'!O18,AA183)</f>
        <v>270</v>
      </c>
      <c r="T183" s="6">
        <v>220</v>
      </c>
      <c r="U183" s="6">
        <f>IF(AB183="",'06_집기치수20'!P18,AB183-'06_집기치수20'!I18)</f>
        <v>200</v>
      </c>
      <c r="V183" s="6" t="str">
        <f>IF(Q183=0,"",IF(COUNTIFS('05_상품별배치367'!$B$7:$B$373,A183,'05_상품별배치367'!$T$7:$T$373,"입력 대기")&gt;0,"",SUMIFS('05_상품별배치367'!$S$7:$S$373,'05_상품별배치367'!$B$7:$B$373,A183)))</f>
        <v/>
      </c>
      <c r="W183" s="6" t="str">
        <f>IF(Q183=0,"미진열",IF(COUNTIFS('05_상품별배치367'!$B$7:$B$373,A183,'05_상품별배치367'!$T$7:$T$373,"치수 초과")&gt;0,"치수 초과",IF(COUNTIFS('05_상품별배치367'!$B$7:$B$373,A183,'05_상품별배치367'!$T$7:$T$373,"입력 대기")&gt;0,"치수 입력 대기",IF(V183&gt;R183,"폭 합계 초과","도면/실측 범위 내·현장확인"))))</f>
        <v>치수 입력 대기</v>
      </c>
      <c r="X183" s="6" t="s">
        <v>1180</v>
      </c>
      <c r="Y183" s="6" t="s">
        <v>555</v>
      </c>
      <c r="Z183" s="15"/>
      <c r="AA183" s="15"/>
      <c r="AB183" s="15"/>
    </row>
    <row r="184" spans="1:28" ht="46" customHeight="1">
      <c r="A184" s="8" t="s">
        <v>1181</v>
      </c>
      <c r="B184" s="8" t="s">
        <v>332</v>
      </c>
      <c r="C184" s="8" t="s">
        <v>174</v>
      </c>
      <c r="D184" s="9">
        <v>3</v>
      </c>
      <c r="E184" s="8" t="s">
        <v>60</v>
      </c>
      <c r="F184" s="8" t="s">
        <v>338</v>
      </c>
      <c r="G184" s="8" t="s">
        <v>150</v>
      </c>
      <c r="H184" s="8" t="s">
        <v>1182</v>
      </c>
      <c r="I184" s="8" t="s">
        <v>1183</v>
      </c>
      <c r="J184" s="8" t="s">
        <v>551</v>
      </c>
      <c r="K184" s="14" t="s">
        <v>559</v>
      </c>
      <c r="L184" s="15"/>
      <c r="M184" s="15"/>
      <c r="N184" s="8" t="s">
        <v>560</v>
      </c>
      <c r="O184" s="8" t="s">
        <v>859</v>
      </c>
      <c r="P184" s="6">
        <f>COUNTIFS('05_상품별배치367'!$B$7:$B$373,A184,'05_상품별배치367'!$K$7:$K$373,"&gt;0")</f>
        <v>3</v>
      </c>
      <c r="Q184" s="6">
        <f>SUMIFS('05_상품별배치367'!$K$7:$K$373,'05_상품별배치367'!$B$7:$B$373,A184)</f>
        <v>4</v>
      </c>
      <c r="R184" s="6">
        <f>IF(Z184="",'06_집기치수20'!N19,Z184)</f>
        <v>865</v>
      </c>
      <c r="S184" s="6">
        <f>IF(AA184="",'06_집기치수20'!O19,AA184)</f>
        <v>270</v>
      </c>
      <c r="T184" s="6">
        <v>220</v>
      </c>
      <c r="U184" s="6">
        <f>IF(AB184="",'06_집기치수20'!P19,AB184-'06_집기치수20'!I19)</f>
        <v>200</v>
      </c>
      <c r="V184" s="6" t="str">
        <f>IF(Q184=0,"",IF(COUNTIFS('05_상품별배치367'!$B$7:$B$373,A184,'05_상품별배치367'!$T$7:$T$373,"입력 대기")&gt;0,"",SUMIFS('05_상품별배치367'!$S$7:$S$373,'05_상품별배치367'!$B$7:$B$373,A184)))</f>
        <v/>
      </c>
      <c r="W184" s="6" t="str">
        <f>IF(Q184=0,"미진열",IF(COUNTIFS('05_상품별배치367'!$B$7:$B$373,A184,'05_상품별배치367'!$T$7:$T$373,"치수 초과")&gt;0,"치수 초과",IF(COUNTIFS('05_상품별배치367'!$B$7:$B$373,A184,'05_상품별배치367'!$T$7:$T$373,"입력 대기")&gt;0,"치수 입력 대기",IF(V184&gt;R184,"폭 합계 초과","도면/실측 범위 내·현장확인"))))</f>
        <v>치수 입력 대기</v>
      </c>
      <c r="X184" s="6" t="s">
        <v>1184</v>
      </c>
      <c r="Y184" s="6" t="s">
        <v>555</v>
      </c>
      <c r="Z184" s="15"/>
      <c r="AA184" s="15"/>
      <c r="AB184" s="15"/>
    </row>
    <row r="185" spans="1:28" ht="33" customHeight="1">
      <c r="A185" s="6" t="s">
        <v>1185</v>
      </c>
      <c r="B185" s="6" t="s">
        <v>332</v>
      </c>
      <c r="C185" s="6" t="s">
        <v>174</v>
      </c>
      <c r="D185" s="7">
        <v>4</v>
      </c>
      <c r="E185" s="6" t="s">
        <v>60</v>
      </c>
      <c r="F185" s="6" t="s">
        <v>339</v>
      </c>
      <c r="G185" s="6" t="s">
        <v>339</v>
      </c>
      <c r="H185" s="6" t="s">
        <v>1186</v>
      </c>
      <c r="I185" s="6" t="s">
        <v>1187</v>
      </c>
      <c r="J185" s="6" t="s">
        <v>551</v>
      </c>
      <c r="K185" s="14" t="s">
        <v>559</v>
      </c>
      <c r="L185" s="15"/>
      <c r="M185" s="15"/>
      <c r="N185" s="6" t="s">
        <v>560</v>
      </c>
      <c r="O185" s="6" t="s">
        <v>859</v>
      </c>
      <c r="P185" s="6">
        <f>COUNTIFS('05_상품별배치367'!$B$7:$B$373,A185,'05_상품별배치367'!$K$7:$K$373,"&gt;0")</f>
        <v>2</v>
      </c>
      <c r="Q185" s="6">
        <f>SUMIFS('05_상품별배치367'!$K$7:$K$373,'05_상품별배치367'!$B$7:$B$373,A185)</f>
        <v>2</v>
      </c>
      <c r="R185" s="6">
        <f>IF(Z185="",'06_집기치수20'!N20,Z185)</f>
        <v>865</v>
      </c>
      <c r="S185" s="6">
        <f>IF(AA185="",'06_집기치수20'!O20,AA185)</f>
        <v>270</v>
      </c>
      <c r="T185" s="6">
        <v>220</v>
      </c>
      <c r="U185" s="6">
        <f>IF(AB185="",'06_집기치수20'!P20,AB185-'06_집기치수20'!I20)</f>
        <v>200</v>
      </c>
      <c r="V185" s="6" t="str">
        <f>IF(Q185=0,"",IF(COUNTIFS('05_상품별배치367'!$B$7:$B$373,A185,'05_상품별배치367'!$T$7:$T$373,"입력 대기")&gt;0,"",SUMIFS('05_상품별배치367'!$S$7:$S$373,'05_상품별배치367'!$B$7:$B$373,A185)))</f>
        <v/>
      </c>
      <c r="W185" s="6" t="str">
        <f>IF(Q185=0,"미진열",IF(COUNTIFS('05_상품별배치367'!$B$7:$B$373,A185,'05_상품별배치367'!$T$7:$T$373,"치수 초과")&gt;0,"치수 초과",IF(COUNTIFS('05_상품별배치367'!$B$7:$B$373,A185,'05_상품별배치367'!$T$7:$T$373,"입력 대기")&gt;0,"치수 입력 대기",IF(V185&gt;R185,"폭 합계 초과","도면/실측 범위 내·현장확인"))))</f>
        <v>치수 입력 대기</v>
      </c>
      <c r="X185" s="6" t="s">
        <v>1188</v>
      </c>
      <c r="Y185" s="6" t="s">
        <v>555</v>
      </c>
      <c r="Z185" s="15"/>
      <c r="AA185" s="15"/>
      <c r="AB185" s="15"/>
    </row>
    <row r="186" spans="1:28" ht="33" customHeight="1">
      <c r="A186" s="8" t="s">
        <v>1189</v>
      </c>
      <c r="B186" s="8" t="s">
        <v>332</v>
      </c>
      <c r="C186" s="8" t="s">
        <v>174</v>
      </c>
      <c r="D186" s="9">
        <v>5</v>
      </c>
      <c r="E186" s="8" t="s">
        <v>60</v>
      </c>
      <c r="F186" s="8" t="s">
        <v>340</v>
      </c>
      <c r="G186" s="8" t="s">
        <v>150</v>
      </c>
      <c r="H186" s="8" t="s">
        <v>1190</v>
      </c>
      <c r="I186" s="8" t="s">
        <v>1191</v>
      </c>
      <c r="J186" s="8" t="s">
        <v>551</v>
      </c>
      <c r="K186" s="14" t="s">
        <v>559</v>
      </c>
      <c r="L186" s="15"/>
      <c r="M186" s="15"/>
      <c r="N186" s="8" t="s">
        <v>560</v>
      </c>
      <c r="O186" s="8" t="s">
        <v>859</v>
      </c>
      <c r="P186" s="6">
        <f>COUNTIFS('05_상품별배치367'!$B$7:$B$373,A186,'05_상품별배치367'!$K$7:$K$373,"&gt;0")</f>
        <v>1</v>
      </c>
      <c r="Q186" s="6">
        <f>SUMIFS('05_상품별배치367'!$K$7:$K$373,'05_상품별배치367'!$B$7:$B$373,A186)</f>
        <v>1</v>
      </c>
      <c r="R186" s="6">
        <f>IF(Z186="",'06_집기치수20'!N21,Z186)</f>
        <v>865</v>
      </c>
      <c r="S186" s="6">
        <f>IF(AA186="",'06_집기치수20'!O21,AA186)</f>
        <v>270</v>
      </c>
      <c r="T186" s="6">
        <v>220</v>
      </c>
      <c r="U186" s="6">
        <f>IF(AB186="",'06_집기치수20'!P21,AB186-'06_집기치수20'!I21)</f>
        <v>200</v>
      </c>
      <c r="V186" s="6" t="str">
        <f>IF(Q186=0,"",IF(COUNTIFS('05_상품별배치367'!$B$7:$B$373,A186,'05_상품별배치367'!$T$7:$T$373,"입력 대기")&gt;0,"",SUMIFS('05_상품별배치367'!$S$7:$S$373,'05_상품별배치367'!$B$7:$B$373,A186)))</f>
        <v/>
      </c>
      <c r="W186" s="6" t="str">
        <f>IF(Q186=0,"미진열",IF(COUNTIFS('05_상품별배치367'!$B$7:$B$373,A186,'05_상품별배치367'!$T$7:$T$373,"치수 초과")&gt;0,"치수 초과",IF(COUNTIFS('05_상품별배치367'!$B$7:$B$373,A186,'05_상품별배치367'!$T$7:$T$373,"입력 대기")&gt;0,"치수 입력 대기",IF(V186&gt;R186,"폭 합계 초과","도면/실측 범위 내·현장확인"))))</f>
        <v>치수 입력 대기</v>
      </c>
      <c r="X186" s="6" t="s">
        <v>1192</v>
      </c>
      <c r="Y186" s="6" t="s">
        <v>555</v>
      </c>
      <c r="Z186" s="15"/>
      <c r="AA186" s="15"/>
      <c r="AB186" s="15"/>
    </row>
    <row r="187" spans="1:28" ht="33" customHeight="1">
      <c r="A187" s="6" t="s">
        <v>1193</v>
      </c>
      <c r="B187" s="6" t="s">
        <v>341</v>
      </c>
      <c r="C187" s="6" t="s">
        <v>174</v>
      </c>
      <c r="D187" s="7">
        <v>1</v>
      </c>
      <c r="E187" s="6" t="s">
        <v>60</v>
      </c>
      <c r="F187" s="6" t="s">
        <v>344</v>
      </c>
      <c r="G187" s="6" t="s">
        <v>504</v>
      </c>
      <c r="H187" s="6"/>
      <c r="I187" s="6"/>
      <c r="J187" s="6" t="s">
        <v>551</v>
      </c>
      <c r="K187" s="14" t="s">
        <v>552</v>
      </c>
      <c r="L187" s="15"/>
      <c r="M187" s="15"/>
      <c r="N187" s="6" t="s">
        <v>647</v>
      </c>
      <c r="O187" s="6" t="s">
        <v>859</v>
      </c>
      <c r="P187" s="6">
        <f>COUNTIFS('05_상품별배치367'!$B$7:$B$373,A187,'05_상품별배치367'!$K$7:$K$373,"&gt;0")</f>
        <v>0</v>
      </c>
      <c r="Q187" s="6">
        <f>SUMIFS('05_상품별배치367'!$K$7:$K$373,'05_상품별배치367'!$B$7:$B$373,A187)</f>
        <v>0</v>
      </c>
      <c r="R187" s="6">
        <f>IF(Z187="",'06_집기치수20'!N17,Z187)</f>
        <v>865</v>
      </c>
      <c r="S187" s="6">
        <f>IF(AA187="",'06_집기치수20'!O17,AA187)</f>
        <v>270</v>
      </c>
      <c r="T187" s="6">
        <v>100</v>
      </c>
      <c r="U187" s="6">
        <f>IF(AB187="",'06_집기치수20'!P17,AB187-'06_집기치수20'!I17)</f>
        <v>80</v>
      </c>
      <c r="V187" s="6" t="str">
        <f>IF(Q187=0,"",IF(COUNTIFS('05_상품별배치367'!$B$7:$B$373,A187,'05_상품별배치367'!$T$7:$T$373,"입력 대기")&gt;0,"",SUMIFS('05_상품별배치367'!$S$7:$S$373,'05_상품별배치367'!$B$7:$B$373,A187)))</f>
        <v/>
      </c>
      <c r="W187" s="6" t="str">
        <f>IF(Q187=0,"미진열",IF(COUNTIFS('05_상품별배치367'!$B$7:$B$373,A187,'05_상품별배치367'!$T$7:$T$373,"치수 초과")&gt;0,"치수 초과",IF(COUNTIFS('05_상품별배치367'!$B$7:$B$373,A187,'05_상품별배치367'!$T$7:$T$373,"입력 대기")&gt;0,"치수 입력 대기",IF(V187&gt;R187,"폭 합계 초과","도면/실측 범위 내·현장확인"))))</f>
        <v>미진열</v>
      </c>
      <c r="X187" s="6"/>
      <c r="Y187" s="6" t="s">
        <v>555</v>
      </c>
      <c r="Z187" s="15"/>
      <c r="AA187" s="15"/>
      <c r="AB187" s="15"/>
    </row>
    <row r="188" spans="1:28" ht="33" customHeight="1">
      <c r="A188" s="8" t="s">
        <v>1194</v>
      </c>
      <c r="B188" s="8" t="s">
        <v>341</v>
      </c>
      <c r="C188" s="8" t="s">
        <v>174</v>
      </c>
      <c r="D188" s="9">
        <v>2</v>
      </c>
      <c r="E188" s="8" t="s">
        <v>60</v>
      </c>
      <c r="F188" s="8" t="s">
        <v>345</v>
      </c>
      <c r="G188" s="8" t="s">
        <v>504</v>
      </c>
      <c r="H188" s="8" t="s">
        <v>1195</v>
      </c>
      <c r="I188" s="8" t="s">
        <v>1196</v>
      </c>
      <c r="J188" s="8" t="s">
        <v>551</v>
      </c>
      <c r="K188" s="14" t="s">
        <v>559</v>
      </c>
      <c r="L188" s="15"/>
      <c r="M188" s="15"/>
      <c r="N188" s="8" t="s">
        <v>560</v>
      </c>
      <c r="O188" s="8" t="s">
        <v>859</v>
      </c>
      <c r="P188" s="6">
        <f>COUNTIFS('05_상품별배치367'!$B$7:$B$373,A188,'05_상품별배치367'!$K$7:$K$373,"&gt;0")</f>
        <v>2</v>
      </c>
      <c r="Q188" s="6">
        <f>SUMIFS('05_상품별배치367'!$K$7:$K$373,'05_상품별배치367'!$B$7:$B$373,A188)</f>
        <v>3</v>
      </c>
      <c r="R188" s="6">
        <f>IF(Z188="",'06_집기치수20'!N18,Z188)</f>
        <v>865</v>
      </c>
      <c r="S188" s="6">
        <f>IF(AA188="",'06_집기치수20'!O18,AA188)</f>
        <v>270</v>
      </c>
      <c r="T188" s="6">
        <v>220</v>
      </c>
      <c r="U188" s="6">
        <f>IF(AB188="",'06_집기치수20'!P18,AB188-'06_집기치수20'!I18)</f>
        <v>200</v>
      </c>
      <c r="V188" s="6" t="str">
        <f>IF(Q188=0,"",IF(COUNTIFS('05_상품별배치367'!$B$7:$B$373,A188,'05_상품별배치367'!$T$7:$T$373,"입력 대기")&gt;0,"",SUMIFS('05_상품별배치367'!$S$7:$S$373,'05_상품별배치367'!$B$7:$B$373,A188)))</f>
        <v/>
      </c>
      <c r="W188" s="6" t="str">
        <f>IF(Q188=0,"미진열",IF(COUNTIFS('05_상품별배치367'!$B$7:$B$373,A188,'05_상품별배치367'!$T$7:$T$373,"치수 초과")&gt;0,"치수 초과",IF(COUNTIFS('05_상품별배치367'!$B$7:$B$373,A188,'05_상품별배치367'!$T$7:$T$373,"입력 대기")&gt;0,"치수 입력 대기",IF(V188&gt;R188,"폭 합계 초과","도면/실측 범위 내·현장확인"))))</f>
        <v>치수 입력 대기</v>
      </c>
      <c r="X188" s="6" t="s">
        <v>1197</v>
      </c>
      <c r="Y188" s="6" t="s">
        <v>555</v>
      </c>
      <c r="Z188" s="15"/>
      <c r="AA188" s="15"/>
      <c r="AB188" s="15"/>
    </row>
    <row r="189" spans="1:28" ht="33" customHeight="1">
      <c r="A189" s="6" t="s">
        <v>1198</v>
      </c>
      <c r="B189" s="6" t="s">
        <v>341</v>
      </c>
      <c r="C189" s="6" t="s">
        <v>174</v>
      </c>
      <c r="D189" s="7">
        <v>3</v>
      </c>
      <c r="E189" s="6" t="s">
        <v>60</v>
      </c>
      <c r="F189" s="6" t="s">
        <v>346</v>
      </c>
      <c r="G189" s="6" t="s">
        <v>504</v>
      </c>
      <c r="H189" s="6" t="s">
        <v>1199</v>
      </c>
      <c r="I189" s="6" t="s">
        <v>1200</v>
      </c>
      <c r="J189" s="6" t="s">
        <v>551</v>
      </c>
      <c r="K189" s="14" t="s">
        <v>559</v>
      </c>
      <c r="L189" s="15"/>
      <c r="M189" s="15"/>
      <c r="N189" s="6" t="s">
        <v>560</v>
      </c>
      <c r="O189" s="6" t="s">
        <v>859</v>
      </c>
      <c r="P189" s="6">
        <f>COUNTIFS('05_상품별배치367'!$B$7:$B$373,A189,'05_상품별배치367'!$K$7:$K$373,"&gt;0")</f>
        <v>1</v>
      </c>
      <c r="Q189" s="6">
        <f>SUMIFS('05_상품별배치367'!$K$7:$K$373,'05_상품별배치367'!$B$7:$B$373,A189)</f>
        <v>1</v>
      </c>
      <c r="R189" s="6">
        <f>IF(Z189="",'06_집기치수20'!N19,Z189)</f>
        <v>865</v>
      </c>
      <c r="S189" s="6">
        <f>IF(AA189="",'06_집기치수20'!O19,AA189)</f>
        <v>270</v>
      </c>
      <c r="T189" s="6">
        <v>220</v>
      </c>
      <c r="U189" s="6">
        <f>IF(AB189="",'06_집기치수20'!P19,AB189-'06_집기치수20'!I19)</f>
        <v>200</v>
      </c>
      <c r="V189" s="6" t="str">
        <f>IF(Q189=0,"",IF(COUNTIFS('05_상품별배치367'!$B$7:$B$373,A189,'05_상품별배치367'!$T$7:$T$373,"입력 대기")&gt;0,"",SUMIFS('05_상품별배치367'!$S$7:$S$373,'05_상품별배치367'!$B$7:$B$373,A189)))</f>
        <v/>
      </c>
      <c r="W189" s="6" t="str">
        <f>IF(Q189=0,"미진열",IF(COUNTIFS('05_상품별배치367'!$B$7:$B$373,A189,'05_상품별배치367'!$T$7:$T$373,"치수 초과")&gt;0,"치수 초과",IF(COUNTIFS('05_상품별배치367'!$B$7:$B$373,A189,'05_상품별배치367'!$T$7:$T$373,"입력 대기")&gt;0,"치수 입력 대기",IF(V189&gt;R189,"폭 합계 초과","도면/실측 범위 내·현장확인"))))</f>
        <v>치수 입력 대기</v>
      </c>
      <c r="X189" s="6" t="s">
        <v>1201</v>
      </c>
      <c r="Y189" s="6" t="s">
        <v>555</v>
      </c>
      <c r="Z189" s="15"/>
      <c r="AA189" s="15"/>
      <c r="AB189" s="15"/>
    </row>
    <row r="190" spans="1:28" ht="33" customHeight="1">
      <c r="A190" s="8" t="s">
        <v>1202</v>
      </c>
      <c r="B190" s="8" t="s">
        <v>341</v>
      </c>
      <c r="C190" s="8" t="s">
        <v>174</v>
      </c>
      <c r="D190" s="9">
        <v>4</v>
      </c>
      <c r="E190" s="8" t="s">
        <v>60</v>
      </c>
      <c r="F190" s="8" t="s">
        <v>347</v>
      </c>
      <c r="G190" s="8" t="s">
        <v>347</v>
      </c>
      <c r="H190" s="8" t="s">
        <v>1203</v>
      </c>
      <c r="I190" s="8" t="s">
        <v>1204</v>
      </c>
      <c r="J190" s="8" t="s">
        <v>551</v>
      </c>
      <c r="K190" s="14" t="s">
        <v>559</v>
      </c>
      <c r="L190" s="15"/>
      <c r="M190" s="15"/>
      <c r="N190" s="8" t="s">
        <v>560</v>
      </c>
      <c r="O190" s="8" t="s">
        <v>859</v>
      </c>
      <c r="P190" s="6">
        <f>COUNTIFS('05_상품별배치367'!$B$7:$B$373,A190,'05_상품별배치367'!$K$7:$K$373,"&gt;0")</f>
        <v>2</v>
      </c>
      <c r="Q190" s="6">
        <f>SUMIFS('05_상품별배치367'!$K$7:$K$373,'05_상품별배치367'!$B$7:$B$373,A190)</f>
        <v>2</v>
      </c>
      <c r="R190" s="6">
        <f>IF(Z190="",'06_집기치수20'!N20,Z190)</f>
        <v>865</v>
      </c>
      <c r="S190" s="6">
        <f>IF(AA190="",'06_집기치수20'!O20,AA190)</f>
        <v>270</v>
      </c>
      <c r="T190" s="6">
        <v>220</v>
      </c>
      <c r="U190" s="6">
        <f>IF(AB190="",'06_집기치수20'!P20,AB190-'06_집기치수20'!I20)</f>
        <v>200</v>
      </c>
      <c r="V190" s="6" t="str">
        <f>IF(Q190=0,"",IF(COUNTIFS('05_상품별배치367'!$B$7:$B$373,A190,'05_상품별배치367'!$T$7:$T$373,"입력 대기")&gt;0,"",SUMIFS('05_상품별배치367'!$S$7:$S$373,'05_상품별배치367'!$B$7:$B$373,A190)))</f>
        <v/>
      </c>
      <c r="W190" s="6" t="str">
        <f>IF(Q190=0,"미진열",IF(COUNTIFS('05_상품별배치367'!$B$7:$B$373,A190,'05_상품별배치367'!$T$7:$T$373,"치수 초과")&gt;0,"치수 초과",IF(COUNTIFS('05_상품별배치367'!$B$7:$B$373,A190,'05_상품별배치367'!$T$7:$T$373,"입력 대기")&gt;0,"치수 입력 대기",IF(V190&gt;R190,"폭 합계 초과","도면/실측 범위 내·현장확인"))))</f>
        <v>치수 입력 대기</v>
      </c>
      <c r="X190" s="6" t="s">
        <v>1205</v>
      </c>
      <c r="Y190" s="6" t="s">
        <v>555</v>
      </c>
      <c r="Z190" s="15"/>
      <c r="AA190" s="15"/>
      <c r="AB190" s="15"/>
    </row>
    <row r="191" spans="1:28" ht="33" customHeight="1">
      <c r="A191" s="6" t="s">
        <v>1206</v>
      </c>
      <c r="B191" s="6" t="s">
        <v>341</v>
      </c>
      <c r="C191" s="6" t="s">
        <v>174</v>
      </c>
      <c r="D191" s="7">
        <v>5</v>
      </c>
      <c r="E191" s="6" t="s">
        <v>60</v>
      </c>
      <c r="F191" s="6" t="s">
        <v>348</v>
      </c>
      <c r="G191" s="6" t="s">
        <v>348</v>
      </c>
      <c r="H191" s="6" t="s">
        <v>1207</v>
      </c>
      <c r="I191" s="6" t="s">
        <v>1208</v>
      </c>
      <c r="J191" s="6" t="s">
        <v>551</v>
      </c>
      <c r="K191" s="14" t="s">
        <v>559</v>
      </c>
      <c r="L191" s="15"/>
      <c r="M191" s="15"/>
      <c r="N191" s="6" t="s">
        <v>560</v>
      </c>
      <c r="O191" s="6" t="s">
        <v>859</v>
      </c>
      <c r="P191" s="6">
        <f>COUNTIFS('05_상품별배치367'!$B$7:$B$373,A191,'05_상품별배치367'!$K$7:$K$373,"&gt;0")</f>
        <v>2</v>
      </c>
      <c r="Q191" s="6">
        <f>SUMIFS('05_상품별배치367'!$K$7:$K$373,'05_상품별배치367'!$B$7:$B$373,A191)</f>
        <v>2</v>
      </c>
      <c r="R191" s="6">
        <f>IF(Z191="",'06_집기치수20'!N21,Z191)</f>
        <v>865</v>
      </c>
      <c r="S191" s="6">
        <f>IF(AA191="",'06_집기치수20'!O21,AA191)</f>
        <v>270</v>
      </c>
      <c r="T191" s="6">
        <v>220</v>
      </c>
      <c r="U191" s="6">
        <f>IF(AB191="",'06_집기치수20'!P21,AB191-'06_집기치수20'!I21)</f>
        <v>200</v>
      </c>
      <c r="V191" s="6" t="str">
        <f>IF(Q191=0,"",IF(COUNTIFS('05_상품별배치367'!$B$7:$B$373,A191,'05_상품별배치367'!$T$7:$T$373,"입력 대기")&gt;0,"",SUMIFS('05_상품별배치367'!$S$7:$S$373,'05_상품별배치367'!$B$7:$B$373,A191)))</f>
        <v/>
      </c>
      <c r="W191" s="6" t="str">
        <f>IF(Q191=0,"미진열",IF(COUNTIFS('05_상품별배치367'!$B$7:$B$373,A191,'05_상품별배치367'!$T$7:$T$373,"치수 초과")&gt;0,"치수 초과",IF(COUNTIFS('05_상품별배치367'!$B$7:$B$373,A191,'05_상품별배치367'!$T$7:$T$373,"입력 대기")&gt;0,"치수 입력 대기",IF(V191&gt;R191,"폭 합계 초과","도면/실측 범위 내·현장확인"))))</f>
        <v>치수 입력 대기</v>
      </c>
      <c r="X191" s="6" t="s">
        <v>1209</v>
      </c>
      <c r="Y191" s="6" t="s">
        <v>555</v>
      </c>
      <c r="Z191" s="15"/>
      <c r="AA191" s="15"/>
      <c r="AB191" s="15"/>
    </row>
    <row r="192" spans="1:28" ht="33" customHeight="1">
      <c r="A192" s="8" t="s">
        <v>1210</v>
      </c>
      <c r="B192" s="8" t="s">
        <v>349</v>
      </c>
      <c r="C192" s="8" t="s">
        <v>202</v>
      </c>
      <c r="D192" s="9">
        <v>1</v>
      </c>
      <c r="E192" s="8" t="s">
        <v>60</v>
      </c>
      <c r="F192" s="8" t="s">
        <v>353</v>
      </c>
      <c r="G192" s="8" t="s">
        <v>151</v>
      </c>
      <c r="H192" s="8"/>
      <c r="I192" s="8"/>
      <c r="J192" s="8" t="s">
        <v>551</v>
      </c>
      <c r="K192" s="14" t="s">
        <v>552</v>
      </c>
      <c r="L192" s="15"/>
      <c r="M192" s="15"/>
      <c r="N192" s="8" t="s">
        <v>647</v>
      </c>
      <c r="O192" s="8" t="s">
        <v>859</v>
      </c>
      <c r="P192" s="6">
        <f>COUNTIFS('05_상품별배치367'!$B$7:$B$373,A192,'05_상품별배치367'!$K$7:$K$373,"&gt;0")</f>
        <v>0</v>
      </c>
      <c r="Q192" s="6">
        <f>SUMIFS('05_상품별배치367'!$K$7:$K$373,'05_상품별배치367'!$B$7:$B$373,A192)</f>
        <v>0</v>
      </c>
      <c r="R192" s="6">
        <f>IF(Z192="",'06_집기치수20'!N17,Z192)</f>
        <v>865</v>
      </c>
      <c r="S192" s="6">
        <f>IF(AA192="",'06_집기치수20'!O17,AA192)</f>
        <v>270</v>
      </c>
      <c r="T192" s="6">
        <v>100</v>
      </c>
      <c r="U192" s="6">
        <f>IF(AB192="",'06_집기치수20'!P17,AB192-'06_집기치수20'!I17)</f>
        <v>80</v>
      </c>
      <c r="V192" s="6" t="str">
        <f>IF(Q192=0,"",IF(COUNTIFS('05_상품별배치367'!$B$7:$B$373,A192,'05_상품별배치367'!$T$7:$T$373,"입력 대기")&gt;0,"",SUMIFS('05_상품별배치367'!$S$7:$S$373,'05_상품별배치367'!$B$7:$B$373,A192)))</f>
        <v/>
      </c>
      <c r="W192" s="6" t="str">
        <f>IF(Q192=0,"미진열",IF(COUNTIFS('05_상품별배치367'!$B$7:$B$373,A192,'05_상품별배치367'!$T$7:$T$373,"치수 초과")&gt;0,"치수 초과",IF(COUNTIFS('05_상품별배치367'!$B$7:$B$373,A192,'05_상품별배치367'!$T$7:$T$373,"입력 대기")&gt;0,"치수 입력 대기",IF(V192&gt;R192,"폭 합계 초과","도면/실측 범위 내·현장확인"))))</f>
        <v>미진열</v>
      </c>
      <c r="X192" s="6"/>
      <c r="Y192" s="6" t="s">
        <v>555</v>
      </c>
      <c r="Z192" s="15"/>
      <c r="AA192" s="15"/>
      <c r="AB192" s="15"/>
    </row>
    <row r="193" spans="1:28" ht="33" customHeight="1">
      <c r="A193" s="6" t="s">
        <v>1211</v>
      </c>
      <c r="B193" s="6" t="s">
        <v>349</v>
      </c>
      <c r="C193" s="6" t="s">
        <v>202</v>
      </c>
      <c r="D193" s="7">
        <v>2</v>
      </c>
      <c r="E193" s="6" t="s">
        <v>60</v>
      </c>
      <c r="F193" s="6" t="s">
        <v>354</v>
      </c>
      <c r="G193" s="6" t="s">
        <v>151</v>
      </c>
      <c r="H193" s="6" t="s">
        <v>1212</v>
      </c>
      <c r="I193" s="6" t="s">
        <v>1213</v>
      </c>
      <c r="J193" s="6" t="s">
        <v>551</v>
      </c>
      <c r="K193" s="14" t="s">
        <v>559</v>
      </c>
      <c r="L193" s="15"/>
      <c r="M193" s="15"/>
      <c r="N193" s="6" t="s">
        <v>560</v>
      </c>
      <c r="O193" s="6" t="s">
        <v>859</v>
      </c>
      <c r="P193" s="6">
        <f>COUNTIFS('05_상품별배치367'!$B$7:$B$373,A193,'05_상품별배치367'!$K$7:$K$373,"&gt;0")</f>
        <v>2</v>
      </c>
      <c r="Q193" s="6">
        <f>SUMIFS('05_상품별배치367'!$K$7:$K$373,'05_상품별배치367'!$B$7:$B$373,A193)</f>
        <v>3</v>
      </c>
      <c r="R193" s="6">
        <f>IF(Z193="",'06_집기치수20'!N18,Z193)</f>
        <v>865</v>
      </c>
      <c r="S193" s="6">
        <f>IF(AA193="",'06_집기치수20'!O18,AA193)</f>
        <v>270</v>
      </c>
      <c r="T193" s="6">
        <v>220</v>
      </c>
      <c r="U193" s="6">
        <f>IF(AB193="",'06_집기치수20'!P18,AB193-'06_집기치수20'!I18)</f>
        <v>200</v>
      </c>
      <c r="V193" s="6" t="str">
        <f>IF(Q193=0,"",IF(COUNTIFS('05_상품별배치367'!$B$7:$B$373,A193,'05_상품별배치367'!$T$7:$T$373,"입력 대기")&gt;0,"",SUMIFS('05_상품별배치367'!$S$7:$S$373,'05_상품별배치367'!$B$7:$B$373,A193)))</f>
        <v/>
      </c>
      <c r="W193" s="6" t="str">
        <f>IF(Q193=0,"미진열",IF(COUNTIFS('05_상품별배치367'!$B$7:$B$373,A193,'05_상품별배치367'!$T$7:$T$373,"치수 초과")&gt;0,"치수 초과",IF(COUNTIFS('05_상품별배치367'!$B$7:$B$373,A193,'05_상품별배치367'!$T$7:$T$373,"입력 대기")&gt;0,"치수 입력 대기",IF(V193&gt;R193,"폭 합계 초과","도면/실측 범위 내·현장확인"))))</f>
        <v>치수 입력 대기</v>
      </c>
      <c r="X193" s="6" t="s">
        <v>1214</v>
      </c>
      <c r="Y193" s="6" t="s">
        <v>555</v>
      </c>
      <c r="Z193" s="15"/>
      <c r="AA193" s="15"/>
      <c r="AB193" s="15"/>
    </row>
    <row r="194" spans="1:28" ht="33" customHeight="1">
      <c r="A194" s="8" t="s">
        <v>1215</v>
      </c>
      <c r="B194" s="8" t="s">
        <v>349</v>
      </c>
      <c r="C194" s="8" t="s">
        <v>202</v>
      </c>
      <c r="D194" s="9">
        <v>3</v>
      </c>
      <c r="E194" s="8" t="s">
        <v>60</v>
      </c>
      <c r="F194" s="8" t="s">
        <v>355</v>
      </c>
      <c r="G194" s="8" t="s">
        <v>151</v>
      </c>
      <c r="H194" s="8" t="s">
        <v>1216</v>
      </c>
      <c r="I194" s="8" t="s">
        <v>1217</v>
      </c>
      <c r="J194" s="8" t="s">
        <v>551</v>
      </c>
      <c r="K194" s="14" t="s">
        <v>559</v>
      </c>
      <c r="L194" s="15"/>
      <c r="M194" s="15"/>
      <c r="N194" s="8" t="s">
        <v>560</v>
      </c>
      <c r="O194" s="8" t="s">
        <v>859</v>
      </c>
      <c r="P194" s="6">
        <f>COUNTIFS('05_상품별배치367'!$B$7:$B$373,A194,'05_상품별배치367'!$K$7:$K$373,"&gt;0")</f>
        <v>1</v>
      </c>
      <c r="Q194" s="6">
        <f>SUMIFS('05_상품별배치367'!$K$7:$K$373,'05_상품별배치367'!$B$7:$B$373,A194)</f>
        <v>1</v>
      </c>
      <c r="R194" s="6">
        <f>IF(Z194="",'06_집기치수20'!N19,Z194)</f>
        <v>865</v>
      </c>
      <c r="S194" s="6">
        <f>IF(AA194="",'06_집기치수20'!O19,AA194)</f>
        <v>270</v>
      </c>
      <c r="T194" s="6">
        <v>220</v>
      </c>
      <c r="U194" s="6">
        <f>IF(AB194="",'06_집기치수20'!P19,AB194-'06_집기치수20'!I19)</f>
        <v>200</v>
      </c>
      <c r="V194" s="6" t="str">
        <f>IF(Q194=0,"",IF(COUNTIFS('05_상품별배치367'!$B$7:$B$373,A194,'05_상품별배치367'!$T$7:$T$373,"입력 대기")&gt;0,"",SUMIFS('05_상품별배치367'!$S$7:$S$373,'05_상품별배치367'!$B$7:$B$373,A194)))</f>
        <v/>
      </c>
      <c r="W194" s="6" t="str">
        <f>IF(Q194=0,"미진열",IF(COUNTIFS('05_상품별배치367'!$B$7:$B$373,A194,'05_상품별배치367'!$T$7:$T$373,"치수 초과")&gt;0,"치수 초과",IF(COUNTIFS('05_상품별배치367'!$B$7:$B$373,A194,'05_상품별배치367'!$T$7:$T$373,"입력 대기")&gt;0,"치수 입력 대기",IF(V194&gt;R194,"폭 합계 초과","도면/실측 범위 내·현장확인"))))</f>
        <v>치수 입력 대기</v>
      </c>
      <c r="X194" s="6" t="s">
        <v>1218</v>
      </c>
      <c r="Y194" s="6" t="s">
        <v>555</v>
      </c>
      <c r="Z194" s="15"/>
      <c r="AA194" s="15"/>
      <c r="AB194" s="15"/>
    </row>
    <row r="195" spans="1:28" ht="33" customHeight="1">
      <c r="A195" s="6" t="s">
        <v>1219</v>
      </c>
      <c r="B195" s="6" t="s">
        <v>349</v>
      </c>
      <c r="C195" s="6" t="s">
        <v>202</v>
      </c>
      <c r="D195" s="7">
        <v>4</v>
      </c>
      <c r="E195" s="6" t="s">
        <v>60</v>
      </c>
      <c r="F195" s="6" t="s">
        <v>356</v>
      </c>
      <c r="G195" s="6" t="s">
        <v>1220</v>
      </c>
      <c r="H195" s="6" t="s">
        <v>1221</v>
      </c>
      <c r="I195" s="6" t="s">
        <v>1222</v>
      </c>
      <c r="J195" s="6" t="s">
        <v>551</v>
      </c>
      <c r="K195" s="14" t="s">
        <v>559</v>
      </c>
      <c r="L195" s="15"/>
      <c r="M195" s="15"/>
      <c r="N195" s="6" t="s">
        <v>560</v>
      </c>
      <c r="O195" s="6" t="s">
        <v>859</v>
      </c>
      <c r="P195" s="6">
        <f>COUNTIFS('05_상품별배치367'!$B$7:$B$373,A195,'05_상품별배치367'!$K$7:$K$373,"&gt;0")</f>
        <v>2</v>
      </c>
      <c r="Q195" s="6">
        <f>SUMIFS('05_상품별배치367'!$K$7:$K$373,'05_상품별배치367'!$B$7:$B$373,A195)</f>
        <v>2</v>
      </c>
      <c r="R195" s="6">
        <f>IF(Z195="",'06_집기치수20'!N20,Z195)</f>
        <v>865</v>
      </c>
      <c r="S195" s="6">
        <f>IF(AA195="",'06_집기치수20'!O20,AA195)</f>
        <v>270</v>
      </c>
      <c r="T195" s="6">
        <v>220</v>
      </c>
      <c r="U195" s="6">
        <f>IF(AB195="",'06_집기치수20'!P20,AB195-'06_집기치수20'!I20)</f>
        <v>200</v>
      </c>
      <c r="V195" s="6" t="str">
        <f>IF(Q195=0,"",IF(COUNTIFS('05_상품별배치367'!$B$7:$B$373,A195,'05_상품별배치367'!$T$7:$T$373,"입력 대기")&gt;0,"",SUMIFS('05_상품별배치367'!$S$7:$S$373,'05_상품별배치367'!$B$7:$B$373,A195)))</f>
        <v/>
      </c>
      <c r="W195" s="6" t="str">
        <f>IF(Q195=0,"미진열",IF(COUNTIFS('05_상품별배치367'!$B$7:$B$373,A195,'05_상품별배치367'!$T$7:$T$373,"치수 초과")&gt;0,"치수 초과",IF(COUNTIFS('05_상품별배치367'!$B$7:$B$373,A195,'05_상품별배치367'!$T$7:$T$373,"입력 대기")&gt;0,"치수 입력 대기",IF(V195&gt;R195,"폭 합계 초과","도면/실측 범위 내·현장확인"))))</f>
        <v>치수 입력 대기</v>
      </c>
      <c r="X195" s="6" t="s">
        <v>1223</v>
      </c>
      <c r="Y195" s="6" t="s">
        <v>555</v>
      </c>
      <c r="Z195" s="15"/>
      <c r="AA195" s="15"/>
      <c r="AB195" s="15"/>
    </row>
    <row r="196" spans="1:28" ht="33" customHeight="1">
      <c r="A196" s="8" t="s">
        <v>1224</v>
      </c>
      <c r="B196" s="8" t="s">
        <v>349</v>
      </c>
      <c r="C196" s="8" t="s">
        <v>202</v>
      </c>
      <c r="D196" s="9">
        <v>5</v>
      </c>
      <c r="E196" s="8" t="s">
        <v>60</v>
      </c>
      <c r="F196" s="8" t="s">
        <v>357</v>
      </c>
      <c r="G196" s="8" t="s">
        <v>1220</v>
      </c>
      <c r="H196" s="8" t="s">
        <v>1225</v>
      </c>
      <c r="I196" s="8" t="s">
        <v>1226</v>
      </c>
      <c r="J196" s="8" t="s">
        <v>551</v>
      </c>
      <c r="K196" s="14" t="s">
        <v>559</v>
      </c>
      <c r="L196" s="15"/>
      <c r="M196" s="15"/>
      <c r="N196" s="8" t="s">
        <v>560</v>
      </c>
      <c r="O196" s="8" t="s">
        <v>859</v>
      </c>
      <c r="P196" s="6">
        <f>COUNTIFS('05_상품별배치367'!$B$7:$B$373,A196,'05_상품별배치367'!$K$7:$K$373,"&gt;0")</f>
        <v>2</v>
      </c>
      <c r="Q196" s="6">
        <f>SUMIFS('05_상품별배치367'!$K$7:$K$373,'05_상품별배치367'!$B$7:$B$373,A196)</f>
        <v>2</v>
      </c>
      <c r="R196" s="6">
        <f>IF(Z196="",'06_집기치수20'!N21,Z196)</f>
        <v>865</v>
      </c>
      <c r="S196" s="6">
        <f>IF(AA196="",'06_집기치수20'!O21,AA196)</f>
        <v>270</v>
      </c>
      <c r="T196" s="6">
        <v>220</v>
      </c>
      <c r="U196" s="6">
        <f>IF(AB196="",'06_집기치수20'!P21,AB196-'06_집기치수20'!I21)</f>
        <v>200</v>
      </c>
      <c r="V196" s="6" t="str">
        <f>IF(Q196=0,"",IF(COUNTIFS('05_상품별배치367'!$B$7:$B$373,A196,'05_상품별배치367'!$T$7:$T$373,"입력 대기")&gt;0,"",SUMIFS('05_상품별배치367'!$S$7:$S$373,'05_상품별배치367'!$B$7:$B$373,A196)))</f>
        <v/>
      </c>
      <c r="W196" s="6" t="str">
        <f>IF(Q196=0,"미진열",IF(COUNTIFS('05_상품별배치367'!$B$7:$B$373,A196,'05_상품별배치367'!$T$7:$T$373,"치수 초과")&gt;0,"치수 초과",IF(COUNTIFS('05_상품별배치367'!$B$7:$B$373,A196,'05_상품별배치367'!$T$7:$T$373,"입력 대기")&gt;0,"치수 입력 대기",IF(V196&gt;R196,"폭 합계 초과","도면/실측 범위 내·현장확인"))))</f>
        <v>치수 입력 대기</v>
      </c>
      <c r="X196" s="6" t="s">
        <v>1227</v>
      </c>
      <c r="Y196" s="6" t="s">
        <v>555</v>
      </c>
      <c r="Z196" s="15"/>
      <c r="AA196" s="15"/>
      <c r="AB196" s="15"/>
    </row>
    <row r="197" spans="1:28" ht="33" customHeight="1">
      <c r="A197" s="6" t="s">
        <v>1228</v>
      </c>
      <c r="B197" s="6" t="s">
        <v>358</v>
      </c>
      <c r="C197" s="6" t="s">
        <v>202</v>
      </c>
      <c r="D197" s="7">
        <v>1</v>
      </c>
      <c r="E197" s="6" t="s">
        <v>60</v>
      </c>
      <c r="F197" s="6" t="s">
        <v>361</v>
      </c>
      <c r="G197" s="6" t="s">
        <v>505</v>
      </c>
      <c r="H197" s="6"/>
      <c r="I197" s="6"/>
      <c r="J197" s="6" t="s">
        <v>551</v>
      </c>
      <c r="K197" s="14" t="s">
        <v>552</v>
      </c>
      <c r="L197" s="15"/>
      <c r="M197" s="15"/>
      <c r="N197" s="6" t="s">
        <v>647</v>
      </c>
      <c r="O197" s="6" t="s">
        <v>859</v>
      </c>
      <c r="P197" s="6">
        <f>COUNTIFS('05_상품별배치367'!$B$7:$B$373,A197,'05_상품별배치367'!$K$7:$K$373,"&gt;0")</f>
        <v>0</v>
      </c>
      <c r="Q197" s="6">
        <f>SUMIFS('05_상품별배치367'!$K$7:$K$373,'05_상품별배치367'!$B$7:$B$373,A197)</f>
        <v>0</v>
      </c>
      <c r="R197" s="6">
        <f>IF(Z197="",'06_집기치수20'!N17,Z197)</f>
        <v>865</v>
      </c>
      <c r="S197" s="6">
        <f>IF(AA197="",'06_집기치수20'!O17,AA197)</f>
        <v>270</v>
      </c>
      <c r="T197" s="6">
        <v>100</v>
      </c>
      <c r="U197" s="6">
        <f>IF(AB197="",'06_집기치수20'!P17,AB197-'06_집기치수20'!I17)</f>
        <v>80</v>
      </c>
      <c r="V197" s="6" t="str">
        <f>IF(Q197=0,"",IF(COUNTIFS('05_상품별배치367'!$B$7:$B$373,A197,'05_상품별배치367'!$T$7:$T$373,"입력 대기")&gt;0,"",SUMIFS('05_상품별배치367'!$S$7:$S$373,'05_상품별배치367'!$B$7:$B$373,A197)))</f>
        <v/>
      </c>
      <c r="W197" s="6" t="str">
        <f>IF(Q197=0,"미진열",IF(COUNTIFS('05_상품별배치367'!$B$7:$B$373,A197,'05_상품별배치367'!$T$7:$T$373,"치수 초과")&gt;0,"치수 초과",IF(COUNTIFS('05_상품별배치367'!$B$7:$B$373,A197,'05_상품별배치367'!$T$7:$T$373,"입력 대기")&gt;0,"치수 입력 대기",IF(V197&gt;R197,"폭 합계 초과","도면/실측 범위 내·현장확인"))))</f>
        <v>미진열</v>
      </c>
      <c r="X197" s="6"/>
      <c r="Y197" s="6" t="s">
        <v>555</v>
      </c>
      <c r="Z197" s="15"/>
      <c r="AA197" s="15"/>
      <c r="AB197" s="15"/>
    </row>
    <row r="198" spans="1:28" ht="33" customHeight="1">
      <c r="A198" s="8" t="s">
        <v>1229</v>
      </c>
      <c r="B198" s="8" t="s">
        <v>358</v>
      </c>
      <c r="C198" s="8" t="s">
        <v>202</v>
      </c>
      <c r="D198" s="9">
        <v>2</v>
      </c>
      <c r="E198" s="8" t="s">
        <v>60</v>
      </c>
      <c r="F198" s="8" t="s">
        <v>362</v>
      </c>
      <c r="G198" s="8" t="s">
        <v>505</v>
      </c>
      <c r="H198" s="8" t="s">
        <v>1230</v>
      </c>
      <c r="I198" s="8" t="s">
        <v>1231</v>
      </c>
      <c r="J198" s="8" t="s">
        <v>551</v>
      </c>
      <c r="K198" s="14" t="s">
        <v>559</v>
      </c>
      <c r="L198" s="15"/>
      <c r="M198" s="15"/>
      <c r="N198" s="8" t="s">
        <v>560</v>
      </c>
      <c r="O198" s="8" t="s">
        <v>859</v>
      </c>
      <c r="P198" s="6">
        <f>COUNTIFS('05_상품별배치367'!$B$7:$B$373,A198,'05_상품별배치367'!$K$7:$K$373,"&gt;0")</f>
        <v>2</v>
      </c>
      <c r="Q198" s="6">
        <f>SUMIFS('05_상품별배치367'!$K$7:$K$373,'05_상품별배치367'!$B$7:$B$373,A198)</f>
        <v>2</v>
      </c>
      <c r="R198" s="6">
        <f>IF(Z198="",'06_집기치수20'!N18,Z198)</f>
        <v>865</v>
      </c>
      <c r="S198" s="6">
        <f>IF(AA198="",'06_집기치수20'!O18,AA198)</f>
        <v>270</v>
      </c>
      <c r="T198" s="6">
        <v>220</v>
      </c>
      <c r="U198" s="6">
        <f>IF(AB198="",'06_집기치수20'!P18,AB198-'06_집기치수20'!I18)</f>
        <v>200</v>
      </c>
      <c r="V198" s="6" t="str">
        <f>IF(Q198=0,"",IF(COUNTIFS('05_상품별배치367'!$B$7:$B$373,A198,'05_상품별배치367'!$T$7:$T$373,"입력 대기")&gt;0,"",SUMIFS('05_상품별배치367'!$S$7:$S$373,'05_상품별배치367'!$B$7:$B$373,A198)))</f>
        <v/>
      </c>
      <c r="W198" s="6" t="str">
        <f>IF(Q198=0,"미진열",IF(COUNTIFS('05_상품별배치367'!$B$7:$B$373,A198,'05_상품별배치367'!$T$7:$T$373,"치수 초과")&gt;0,"치수 초과",IF(COUNTIFS('05_상품별배치367'!$B$7:$B$373,A198,'05_상품별배치367'!$T$7:$T$373,"입력 대기")&gt;0,"치수 입력 대기",IF(V198&gt;R198,"폭 합계 초과","도면/실측 범위 내·현장확인"))))</f>
        <v>치수 입력 대기</v>
      </c>
      <c r="X198" s="6" t="s">
        <v>1232</v>
      </c>
      <c r="Y198" s="6" t="s">
        <v>555</v>
      </c>
      <c r="Z198" s="15"/>
      <c r="AA198" s="15"/>
      <c r="AB198" s="15"/>
    </row>
    <row r="199" spans="1:28" ht="33" customHeight="1">
      <c r="A199" s="6" t="s">
        <v>1233</v>
      </c>
      <c r="B199" s="6" t="s">
        <v>358</v>
      </c>
      <c r="C199" s="6" t="s">
        <v>202</v>
      </c>
      <c r="D199" s="7">
        <v>3</v>
      </c>
      <c r="E199" s="6" t="s">
        <v>60</v>
      </c>
      <c r="F199" s="6" t="s">
        <v>363</v>
      </c>
      <c r="G199" s="6" t="s">
        <v>1234</v>
      </c>
      <c r="H199" s="6" t="s">
        <v>1235</v>
      </c>
      <c r="I199" s="6" t="s">
        <v>1236</v>
      </c>
      <c r="J199" s="6" t="s">
        <v>551</v>
      </c>
      <c r="K199" s="14" t="s">
        <v>559</v>
      </c>
      <c r="L199" s="15"/>
      <c r="M199" s="15"/>
      <c r="N199" s="6" t="s">
        <v>560</v>
      </c>
      <c r="O199" s="6" t="s">
        <v>859</v>
      </c>
      <c r="P199" s="6">
        <f>COUNTIFS('05_상품별배치367'!$B$7:$B$373,A199,'05_상품별배치367'!$K$7:$K$373,"&gt;0")</f>
        <v>2</v>
      </c>
      <c r="Q199" s="6">
        <f>SUMIFS('05_상품별배치367'!$K$7:$K$373,'05_상품별배치367'!$B$7:$B$373,A199)</f>
        <v>2</v>
      </c>
      <c r="R199" s="6">
        <f>IF(Z199="",'06_집기치수20'!N19,Z199)</f>
        <v>865</v>
      </c>
      <c r="S199" s="6">
        <f>IF(AA199="",'06_집기치수20'!O19,AA199)</f>
        <v>270</v>
      </c>
      <c r="T199" s="6">
        <v>220</v>
      </c>
      <c r="U199" s="6">
        <f>IF(AB199="",'06_집기치수20'!P19,AB199-'06_집기치수20'!I19)</f>
        <v>200</v>
      </c>
      <c r="V199" s="6" t="str">
        <f>IF(Q199=0,"",IF(COUNTIFS('05_상품별배치367'!$B$7:$B$373,A199,'05_상품별배치367'!$T$7:$T$373,"입력 대기")&gt;0,"",SUMIFS('05_상품별배치367'!$S$7:$S$373,'05_상품별배치367'!$B$7:$B$373,A199)))</f>
        <v/>
      </c>
      <c r="W199" s="6" t="str">
        <f>IF(Q199=0,"미진열",IF(COUNTIFS('05_상품별배치367'!$B$7:$B$373,A199,'05_상품별배치367'!$T$7:$T$373,"치수 초과")&gt;0,"치수 초과",IF(COUNTIFS('05_상품별배치367'!$B$7:$B$373,A199,'05_상품별배치367'!$T$7:$T$373,"입력 대기")&gt;0,"치수 입력 대기",IF(V199&gt;R199,"폭 합계 초과","도면/실측 범위 내·현장확인"))))</f>
        <v>치수 입력 대기</v>
      </c>
      <c r="X199" s="6" t="s">
        <v>1237</v>
      </c>
      <c r="Y199" s="6" t="s">
        <v>555</v>
      </c>
      <c r="Z199" s="15"/>
      <c r="AA199" s="15"/>
      <c r="AB199" s="15"/>
    </row>
    <row r="200" spans="1:28" ht="33" customHeight="1">
      <c r="A200" s="8" t="s">
        <v>1238</v>
      </c>
      <c r="B200" s="8" t="s">
        <v>358</v>
      </c>
      <c r="C200" s="8" t="s">
        <v>202</v>
      </c>
      <c r="D200" s="9">
        <v>4</v>
      </c>
      <c r="E200" s="8" t="s">
        <v>60</v>
      </c>
      <c r="F200" s="8" t="s">
        <v>364</v>
      </c>
      <c r="G200" s="8" t="s">
        <v>1239</v>
      </c>
      <c r="H200" s="8" t="s">
        <v>1240</v>
      </c>
      <c r="I200" s="8" t="s">
        <v>1241</v>
      </c>
      <c r="J200" s="8" t="s">
        <v>551</v>
      </c>
      <c r="K200" s="14" t="s">
        <v>559</v>
      </c>
      <c r="L200" s="15"/>
      <c r="M200" s="15"/>
      <c r="N200" s="8" t="s">
        <v>560</v>
      </c>
      <c r="O200" s="8" t="s">
        <v>859</v>
      </c>
      <c r="P200" s="6">
        <f>COUNTIFS('05_상품별배치367'!$B$7:$B$373,A200,'05_상품별배치367'!$K$7:$K$373,"&gt;0")</f>
        <v>2</v>
      </c>
      <c r="Q200" s="6">
        <f>SUMIFS('05_상품별배치367'!$K$7:$K$373,'05_상품별배치367'!$B$7:$B$373,A200)</f>
        <v>2</v>
      </c>
      <c r="R200" s="6">
        <f>IF(Z200="",'06_집기치수20'!N20,Z200)</f>
        <v>865</v>
      </c>
      <c r="S200" s="6">
        <f>IF(AA200="",'06_집기치수20'!O20,AA200)</f>
        <v>270</v>
      </c>
      <c r="T200" s="6">
        <v>220</v>
      </c>
      <c r="U200" s="6">
        <f>IF(AB200="",'06_집기치수20'!P20,AB200-'06_집기치수20'!I20)</f>
        <v>200</v>
      </c>
      <c r="V200" s="6" t="str">
        <f>IF(Q200=0,"",IF(COUNTIFS('05_상품별배치367'!$B$7:$B$373,A200,'05_상품별배치367'!$T$7:$T$373,"입력 대기")&gt;0,"",SUMIFS('05_상품별배치367'!$S$7:$S$373,'05_상품별배치367'!$B$7:$B$373,A200)))</f>
        <v/>
      </c>
      <c r="W200" s="6" t="str">
        <f>IF(Q200=0,"미진열",IF(COUNTIFS('05_상품별배치367'!$B$7:$B$373,A200,'05_상품별배치367'!$T$7:$T$373,"치수 초과")&gt;0,"치수 초과",IF(COUNTIFS('05_상품별배치367'!$B$7:$B$373,A200,'05_상품별배치367'!$T$7:$T$373,"입력 대기")&gt;0,"치수 입력 대기",IF(V200&gt;R200,"폭 합계 초과","도면/실측 범위 내·현장확인"))))</f>
        <v>치수 입력 대기</v>
      </c>
      <c r="X200" s="6" t="s">
        <v>1242</v>
      </c>
      <c r="Y200" s="6" t="s">
        <v>555</v>
      </c>
      <c r="Z200" s="15"/>
      <c r="AA200" s="15"/>
      <c r="AB200" s="15"/>
    </row>
    <row r="201" spans="1:28" ht="46" customHeight="1">
      <c r="A201" s="6" t="s">
        <v>1243</v>
      </c>
      <c r="B201" s="6" t="s">
        <v>358</v>
      </c>
      <c r="C201" s="6" t="s">
        <v>202</v>
      </c>
      <c r="D201" s="7">
        <v>5</v>
      </c>
      <c r="E201" s="6" t="s">
        <v>60</v>
      </c>
      <c r="F201" s="6" t="s">
        <v>365</v>
      </c>
      <c r="G201" s="6" t="s">
        <v>1244</v>
      </c>
      <c r="H201" s="6" t="s">
        <v>1245</v>
      </c>
      <c r="I201" s="6" t="s">
        <v>1246</v>
      </c>
      <c r="J201" s="6" t="s">
        <v>551</v>
      </c>
      <c r="K201" s="14" t="s">
        <v>559</v>
      </c>
      <c r="L201" s="15"/>
      <c r="M201" s="15"/>
      <c r="N201" s="6" t="s">
        <v>560</v>
      </c>
      <c r="O201" s="6" t="s">
        <v>859</v>
      </c>
      <c r="P201" s="6">
        <f>COUNTIFS('05_상품별배치367'!$B$7:$B$373,A201,'05_상품별배치367'!$K$7:$K$373,"&gt;0")</f>
        <v>3</v>
      </c>
      <c r="Q201" s="6">
        <f>SUMIFS('05_상품별배치367'!$K$7:$K$373,'05_상품별배치367'!$B$7:$B$373,A201)</f>
        <v>3</v>
      </c>
      <c r="R201" s="6">
        <f>IF(Z201="",'06_집기치수20'!N21,Z201)</f>
        <v>865</v>
      </c>
      <c r="S201" s="6">
        <f>IF(AA201="",'06_집기치수20'!O21,AA201)</f>
        <v>270</v>
      </c>
      <c r="T201" s="6">
        <v>220</v>
      </c>
      <c r="U201" s="6">
        <f>IF(AB201="",'06_집기치수20'!P21,AB201-'06_집기치수20'!I21)</f>
        <v>200</v>
      </c>
      <c r="V201" s="6" t="str">
        <f>IF(Q201=0,"",IF(COUNTIFS('05_상품별배치367'!$B$7:$B$373,A201,'05_상품별배치367'!$T$7:$T$373,"입력 대기")&gt;0,"",SUMIFS('05_상품별배치367'!$S$7:$S$373,'05_상품별배치367'!$B$7:$B$373,A201)))</f>
        <v/>
      </c>
      <c r="W201" s="6" t="str">
        <f>IF(Q201=0,"미진열",IF(COUNTIFS('05_상품별배치367'!$B$7:$B$373,A201,'05_상품별배치367'!$T$7:$T$373,"치수 초과")&gt;0,"치수 초과",IF(COUNTIFS('05_상품별배치367'!$B$7:$B$373,A201,'05_상품별배치367'!$T$7:$T$373,"입력 대기")&gt;0,"치수 입력 대기",IF(V201&gt;R201,"폭 합계 초과","도면/실측 범위 내·현장확인"))))</f>
        <v>치수 입력 대기</v>
      </c>
      <c r="X201" s="6" t="s">
        <v>1247</v>
      </c>
      <c r="Y201" s="6" t="s">
        <v>555</v>
      </c>
      <c r="Z201" s="15"/>
      <c r="AA201" s="15"/>
      <c r="AB201" s="15"/>
    </row>
    <row r="202" spans="1:28" ht="33" customHeight="1">
      <c r="A202" s="8" t="s">
        <v>1248</v>
      </c>
      <c r="B202" s="8" t="s">
        <v>366</v>
      </c>
      <c r="C202" s="8" t="s">
        <v>174</v>
      </c>
      <c r="D202" s="9">
        <v>1</v>
      </c>
      <c r="E202" s="8" t="s">
        <v>39</v>
      </c>
      <c r="F202" s="8" t="s">
        <v>370</v>
      </c>
      <c r="G202" s="8" t="s">
        <v>1249</v>
      </c>
      <c r="H202" s="8"/>
      <c r="I202" s="8"/>
      <c r="J202" s="8" t="s">
        <v>551</v>
      </c>
      <c r="K202" s="14" t="s">
        <v>552</v>
      </c>
      <c r="L202" s="15"/>
      <c r="M202" s="15"/>
      <c r="N202" s="8" t="s">
        <v>647</v>
      </c>
      <c r="O202" s="8" t="s">
        <v>859</v>
      </c>
      <c r="P202" s="6">
        <f>COUNTIFS('05_상품별배치367'!$B$7:$B$373,A202,'05_상품별배치367'!$K$7:$K$373,"&gt;0")</f>
        <v>0</v>
      </c>
      <c r="Q202" s="6">
        <f>SUMIFS('05_상품별배치367'!$K$7:$K$373,'05_상품별배치367'!$B$7:$B$373,A202)</f>
        <v>0</v>
      </c>
      <c r="R202" s="6">
        <f>IF(Z202="",'06_집기치수20'!N17,Z202)</f>
        <v>865</v>
      </c>
      <c r="S202" s="6">
        <f>IF(AA202="",'06_집기치수20'!O17,AA202)</f>
        <v>270</v>
      </c>
      <c r="T202" s="6">
        <v>100</v>
      </c>
      <c r="U202" s="6">
        <f>IF(AB202="",'06_집기치수20'!P17,AB202-'06_집기치수20'!I17)</f>
        <v>80</v>
      </c>
      <c r="V202" s="6" t="str">
        <f>IF(Q202=0,"",IF(COUNTIFS('05_상품별배치367'!$B$7:$B$373,A202,'05_상품별배치367'!$T$7:$T$373,"입력 대기")&gt;0,"",SUMIFS('05_상품별배치367'!$S$7:$S$373,'05_상품별배치367'!$B$7:$B$373,A202)))</f>
        <v/>
      </c>
      <c r="W202" s="6" t="str">
        <f>IF(Q202=0,"미진열",IF(COUNTIFS('05_상품별배치367'!$B$7:$B$373,A202,'05_상품별배치367'!$T$7:$T$373,"치수 초과")&gt;0,"치수 초과",IF(COUNTIFS('05_상품별배치367'!$B$7:$B$373,A202,'05_상품별배치367'!$T$7:$T$373,"입력 대기")&gt;0,"치수 입력 대기",IF(V202&gt;R202,"폭 합계 초과","도면/실측 범위 내·현장확인"))))</f>
        <v>미진열</v>
      </c>
      <c r="X202" s="6"/>
      <c r="Y202" s="6" t="s">
        <v>555</v>
      </c>
      <c r="Z202" s="15"/>
      <c r="AA202" s="15"/>
      <c r="AB202" s="15"/>
    </row>
    <row r="203" spans="1:28" ht="33" customHeight="1">
      <c r="A203" s="6" t="s">
        <v>1250</v>
      </c>
      <c r="B203" s="6" t="s">
        <v>366</v>
      </c>
      <c r="C203" s="6" t="s">
        <v>174</v>
      </c>
      <c r="D203" s="7">
        <v>2</v>
      </c>
      <c r="E203" s="6" t="s">
        <v>39</v>
      </c>
      <c r="F203" s="6" t="s">
        <v>371</v>
      </c>
      <c r="G203" s="6" t="s">
        <v>156</v>
      </c>
      <c r="H203" s="6" t="s">
        <v>814</v>
      </c>
      <c r="I203" s="6" t="s">
        <v>815</v>
      </c>
      <c r="J203" s="6" t="s">
        <v>551</v>
      </c>
      <c r="K203" s="14" t="s">
        <v>559</v>
      </c>
      <c r="L203" s="15"/>
      <c r="M203" s="15"/>
      <c r="N203" s="6" t="s">
        <v>560</v>
      </c>
      <c r="O203" s="6" t="s">
        <v>859</v>
      </c>
      <c r="P203" s="6">
        <f>COUNTIFS('05_상품별배치367'!$B$7:$B$373,A203,'05_상품별배치367'!$K$7:$K$373,"&gt;0")</f>
        <v>1</v>
      </c>
      <c r="Q203" s="6">
        <f>SUMIFS('05_상품별배치367'!$K$7:$K$373,'05_상품별배치367'!$B$7:$B$373,A203)</f>
        <v>2</v>
      </c>
      <c r="R203" s="6">
        <f>IF(Z203="",'06_집기치수20'!N18,Z203)</f>
        <v>865</v>
      </c>
      <c r="S203" s="6">
        <f>IF(AA203="",'06_집기치수20'!O18,AA203)</f>
        <v>270</v>
      </c>
      <c r="T203" s="6">
        <v>220</v>
      </c>
      <c r="U203" s="6">
        <f>IF(AB203="",'06_집기치수20'!P18,AB203-'06_집기치수20'!I18)</f>
        <v>200</v>
      </c>
      <c r="V203" s="6" t="str">
        <f>IF(Q203=0,"",IF(COUNTIFS('05_상품별배치367'!$B$7:$B$373,A203,'05_상품별배치367'!$T$7:$T$373,"입력 대기")&gt;0,"",SUMIFS('05_상품별배치367'!$S$7:$S$373,'05_상품별배치367'!$B$7:$B$373,A203)))</f>
        <v/>
      </c>
      <c r="W203" s="6" t="str">
        <f>IF(Q203=0,"미진열",IF(COUNTIFS('05_상품별배치367'!$B$7:$B$373,A203,'05_상품별배치367'!$T$7:$T$373,"치수 초과")&gt;0,"치수 초과",IF(COUNTIFS('05_상품별배치367'!$B$7:$B$373,A203,'05_상품별배치367'!$T$7:$T$373,"입력 대기")&gt;0,"치수 입력 대기",IF(V203&gt;R203,"폭 합계 초과","도면/실측 범위 내·현장확인"))))</f>
        <v>치수 입력 대기</v>
      </c>
      <c r="X203" s="6" t="s">
        <v>1251</v>
      </c>
      <c r="Y203" s="6" t="s">
        <v>555</v>
      </c>
      <c r="Z203" s="15"/>
      <c r="AA203" s="15"/>
      <c r="AB203" s="15"/>
    </row>
    <row r="204" spans="1:28" ht="33" customHeight="1">
      <c r="A204" s="8" t="s">
        <v>1252</v>
      </c>
      <c r="B204" s="8" t="s">
        <v>366</v>
      </c>
      <c r="C204" s="8" t="s">
        <v>174</v>
      </c>
      <c r="D204" s="9">
        <v>3</v>
      </c>
      <c r="E204" s="8" t="s">
        <v>39</v>
      </c>
      <c r="F204" s="8" t="s">
        <v>372</v>
      </c>
      <c r="G204" s="8" t="s">
        <v>161</v>
      </c>
      <c r="H204" s="8" t="s">
        <v>829</v>
      </c>
      <c r="I204" s="8" t="s">
        <v>830</v>
      </c>
      <c r="J204" s="8" t="s">
        <v>551</v>
      </c>
      <c r="K204" s="14" t="s">
        <v>559</v>
      </c>
      <c r="L204" s="15"/>
      <c r="M204" s="15"/>
      <c r="N204" s="8" t="s">
        <v>560</v>
      </c>
      <c r="O204" s="8" t="s">
        <v>859</v>
      </c>
      <c r="P204" s="6">
        <f>COUNTIFS('05_상품별배치367'!$B$7:$B$373,A204,'05_상품별배치367'!$K$7:$K$373,"&gt;0")</f>
        <v>1</v>
      </c>
      <c r="Q204" s="6">
        <f>SUMIFS('05_상품별배치367'!$K$7:$K$373,'05_상품별배치367'!$B$7:$B$373,A204)</f>
        <v>2</v>
      </c>
      <c r="R204" s="6">
        <f>IF(Z204="",'06_집기치수20'!N19,Z204)</f>
        <v>865</v>
      </c>
      <c r="S204" s="6">
        <f>IF(AA204="",'06_집기치수20'!O19,AA204)</f>
        <v>270</v>
      </c>
      <c r="T204" s="6">
        <v>220</v>
      </c>
      <c r="U204" s="6">
        <f>IF(AB204="",'06_집기치수20'!P19,AB204-'06_집기치수20'!I19)</f>
        <v>200</v>
      </c>
      <c r="V204" s="6" t="str">
        <f>IF(Q204=0,"",IF(COUNTIFS('05_상품별배치367'!$B$7:$B$373,A204,'05_상품별배치367'!$T$7:$T$373,"입력 대기")&gt;0,"",SUMIFS('05_상품별배치367'!$S$7:$S$373,'05_상품별배치367'!$B$7:$B$373,A204)))</f>
        <v/>
      </c>
      <c r="W204" s="6" t="str">
        <f>IF(Q204=0,"미진열",IF(COUNTIFS('05_상품별배치367'!$B$7:$B$373,A204,'05_상품별배치367'!$T$7:$T$373,"치수 초과")&gt;0,"치수 초과",IF(COUNTIFS('05_상품별배치367'!$B$7:$B$373,A204,'05_상품별배치367'!$T$7:$T$373,"입력 대기")&gt;0,"치수 입력 대기",IF(V204&gt;R204,"폭 합계 초과","도면/실측 범위 내·현장확인"))))</f>
        <v>치수 입력 대기</v>
      </c>
      <c r="X204" s="6" t="s">
        <v>1253</v>
      </c>
      <c r="Y204" s="6" t="s">
        <v>555</v>
      </c>
      <c r="Z204" s="15"/>
      <c r="AA204" s="15"/>
      <c r="AB204" s="15"/>
    </row>
    <row r="205" spans="1:28" ht="33" customHeight="1">
      <c r="A205" s="6" t="s">
        <v>1254</v>
      </c>
      <c r="B205" s="6" t="s">
        <v>366</v>
      </c>
      <c r="C205" s="6" t="s">
        <v>174</v>
      </c>
      <c r="D205" s="7">
        <v>4</v>
      </c>
      <c r="E205" s="6" t="s">
        <v>39</v>
      </c>
      <c r="F205" s="6" t="s">
        <v>373</v>
      </c>
      <c r="G205" s="6" t="s">
        <v>156</v>
      </c>
      <c r="H205" s="6" t="s">
        <v>1255</v>
      </c>
      <c r="I205" s="6" t="s">
        <v>1256</v>
      </c>
      <c r="J205" s="6" t="s">
        <v>551</v>
      </c>
      <c r="K205" s="14" t="s">
        <v>559</v>
      </c>
      <c r="L205" s="15"/>
      <c r="M205" s="15"/>
      <c r="N205" s="6" t="s">
        <v>560</v>
      </c>
      <c r="O205" s="6" t="s">
        <v>859</v>
      </c>
      <c r="P205" s="6">
        <f>COUNTIFS('05_상품별배치367'!$B$7:$B$373,A205,'05_상품별배치367'!$K$7:$K$373,"&gt;0")</f>
        <v>1</v>
      </c>
      <c r="Q205" s="6">
        <f>SUMIFS('05_상품별배치367'!$K$7:$K$373,'05_상품별배치367'!$B$7:$B$373,A205)</f>
        <v>1</v>
      </c>
      <c r="R205" s="6">
        <f>IF(Z205="",'06_집기치수20'!N20,Z205)</f>
        <v>865</v>
      </c>
      <c r="S205" s="6">
        <f>IF(AA205="",'06_집기치수20'!O20,AA205)</f>
        <v>270</v>
      </c>
      <c r="T205" s="6">
        <v>220</v>
      </c>
      <c r="U205" s="6">
        <f>IF(AB205="",'06_집기치수20'!P20,AB205-'06_집기치수20'!I20)</f>
        <v>200</v>
      </c>
      <c r="V205" s="6" t="str">
        <f>IF(Q205=0,"",IF(COUNTIFS('05_상품별배치367'!$B$7:$B$373,A205,'05_상품별배치367'!$T$7:$T$373,"입력 대기")&gt;0,"",SUMIFS('05_상품별배치367'!$S$7:$S$373,'05_상품별배치367'!$B$7:$B$373,A205)))</f>
        <v/>
      </c>
      <c r="W205" s="6" t="str">
        <f>IF(Q205=0,"미진열",IF(COUNTIFS('05_상품별배치367'!$B$7:$B$373,A205,'05_상품별배치367'!$T$7:$T$373,"치수 초과")&gt;0,"치수 초과",IF(COUNTIFS('05_상품별배치367'!$B$7:$B$373,A205,'05_상품별배치367'!$T$7:$T$373,"입력 대기")&gt;0,"치수 입력 대기",IF(V205&gt;R205,"폭 합계 초과","도면/실측 범위 내·현장확인"))))</f>
        <v>치수 입력 대기</v>
      </c>
      <c r="X205" s="6" t="s">
        <v>1257</v>
      </c>
      <c r="Y205" s="6" t="s">
        <v>555</v>
      </c>
      <c r="Z205" s="15"/>
      <c r="AA205" s="15"/>
      <c r="AB205" s="15"/>
    </row>
    <row r="206" spans="1:28" ht="33" customHeight="1">
      <c r="A206" s="8" t="s">
        <v>1258</v>
      </c>
      <c r="B206" s="8" t="s">
        <v>366</v>
      </c>
      <c r="C206" s="8" t="s">
        <v>174</v>
      </c>
      <c r="D206" s="9">
        <v>5</v>
      </c>
      <c r="E206" s="8" t="s">
        <v>39</v>
      </c>
      <c r="F206" s="8" t="s">
        <v>374</v>
      </c>
      <c r="G206" s="8" t="s">
        <v>842</v>
      </c>
      <c r="H206" s="8" t="s">
        <v>1259</v>
      </c>
      <c r="I206" s="8" t="s">
        <v>1260</v>
      </c>
      <c r="J206" s="8" t="s">
        <v>551</v>
      </c>
      <c r="K206" s="14" t="s">
        <v>846</v>
      </c>
      <c r="L206" s="15"/>
      <c r="M206" s="15"/>
      <c r="N206" s="8" t="s">
        <v>560</v>
      </c>
      <c r="O206" s="8" t="s">
        <v>859</v>
      </c>
      <c r="P206" s="6">
        <f>COUNTIFS('05_상품별배치367'!$B$7:$B$373,A206,'05_상품별배치367'!$K$7:$K$373,"&gt;0")</f>
        <v>1</v>
      </c>
      <c r="Q206" s="6">
        <f>SUMIFS('05_상품별배치367'!$K$7:$K$373,'05_상품별배치367'!$B$7:$B$373,A206)</f>
        <v>1</v>
      </c>
      <c r="R206" s="6">
        <f>IF(Z206="",'06_집기치수20'!N21,Z206)</f>
        <v>865</v>
      </c>
      <c r="S206" s="6">
        <f>IF(AA206="",'06_집기치수20'!O21,AA206)</f>
        <v>270</v>
      </c>
      <c r="T206" s="6">
        <v>220</v>
      </c>
      <c r="U206" s="6">
        <f>IF(AB206="",'06_집기치수20'!P21,AB206-'06_집기치수20'!I21)</f>
        <v>200</v>
      </c>
      <c r="V206" s="6" t="str">
        <f>IF(Q206=0,"",IF(COUNTIFS('05_상품별배치367'!$B$7:$B$373,A206,'05_상품별배치367'!$T$7:$T$373,"입력 대기")&gt;0,"",SUMIFS('05_상품별배치367'!$S$7:$S$373,'05_상품별배치367'!$B$7:$B$373,A206)))</f>
        <v/>
      </c>
      <c r="W206" s="6" t="str">
        <f>IF(Q206=0,"미진열",IF(COUNTIFS('05_상품별배치367'!$B$7:$B$373,A206,'05_상품별배치367'!$T$7:$T$373,"치수 초과")&gt;0,"치수 초과",IF(COUNTIFS('05_상품별배치367'!$B$7:$B$373,A206,'05_상품별배치367'!$T$7:$T$373,"입력 대기")&gt;0,"치수 입력 대기",IF(V206&gt;R206,"폭 합계 초과","도면/실측 범위 내·현장확인"))))</f>
        <v>치수 입력 대기</v>
      </c>
      <c r="X206" s="6" t="s">
        <v>1261</v>
      </c>
      <c r="Y206" s="6" t="s">
        <v>555</v>
      </c>
      <c r="Z206" s="15"/>
      <c r="AA206" s="15"/>
      <c r="AB206" s="15"/>
    </row>
    <row r="207" spans="1:28" ht="33" customHeight="1">
      <c r="A207" s="6" t="s">
        <v>1262</v>
      </c>
      <c r="B207" s="6" t="s">
        <v>376</v>
      </c>
      <c r="C207" s="6" t="s">
        <v>174</v>
      </c>
      <c r="D207" s="7">
        <v>1</v>
      </c>
      <c r="E207" s="6" t="s">
        <v>39</v>
      </c>
      <c r="F207" s="6" t="s">
        <v>380</v>
      </c>
      <c r="G207" s="6" t="s">
        <v>1263</v>
      </c>
      <c r="H207" s="6"/>
      <c r="I207" s="6"/>
      <c r="J207" s="6" t="s">
        <v>551</v>
      </c>
      <c r="K207" s="14" t="s">
        <v>552</v>
      </c>
      <c r="L207" s="15"/>
      <c r="M207" s="15"/>
      <c r="N207" s="6" t="s">
        <v>1264</v>
      </c>
      <c r="O207" s="6" t="s">
        <v>859</v>
      </c>
      <c r="P207" s="6">
        <f>COUNTIFS('05_상품별배치367'!$B$7:$B$373,A207,'05_상품별배치367'!$K$7:$K$373,"&gt;0")</f>
        <v>0</v>
      </c>
      <c r="Q207" s="6">
        <f>SUMIFS('05_상품별배치367'!$K$7:$K$373,'05_상품별배치367'!$B$7:$B$373,A207)</f>
        <v>0</v>
      </c>
      <c r="R207" s="6">
        <f>IF(Z207="",'06_집기치수20'!N17,Z207)</f>
        <v>865</v>
      </c>
      <c r="S207" s="6">
        <f>IF(AA207="",'06_집기치수20'!O17,AA207)</f>
        <v>270</v>
      </c>
      <c r="T207" s="6">
        <v>100</v>
      </c>
      <c r="U207" s="6">
        <f>IF(AB207="",'06_집기치수20'!P17,AB207-'06_집기치수20'!I17)</f>
        <v>80</v>
      </c>
      <c r="V207" s="6" t="str">
        <f>IF(Q207=0,"",IF(COUNTIFS('05_상품별배치367'!$B$7:$B$373,A207,'05_상품별배치367'!$T$7:$T$373,"입력 대기")&gt;0,"",SUMIFS('05_상품별배치367'!$S$7:$S$373,'05_상품별배치367'!$B$7:$B$373,A207)))</f>
        <v/>
      </c>
      <c r="W207" s="6" t="str">
        <f>IF(Q207=0,"미진열",IF(COUNTIFS('05_상품별배치367'!$B$7:$B$373,A207,'05_상품별배치367'!$T$7:$T$373,"치수 초과")&gt;0,"치수 초과",IF(COUNTIFS('05_상품별배치367'!$B$7:$B$373,A207,'05_상품별배치367'!$T$7:$T$373,"입력 대기")&gt;0,"치수 입력 대기",IF(V207&gt;R207,"폭 합계 초과","도면/실측 범위 내·현장확인"))))</f>
        <v>미진열</v>
      </c>
      <c r="X207" s="6"/>
      <c r="Y207" s="6" t="s">
        <v>1265</v>
      </c>
      <c r="Z207" s="15"/>
      <c r="AA207" s="15"/>
      <c r="AB207" s="15"/>
    </row>
    <row r="208" spans="1:28" ht="33" customHeight="1">
      <c r="A208" s="8" t="s">
        <v>1266</v>
      </c>
      <c r="B208" s="8" t="s">
        <v>376</v>
      </c>
      <c r="C208" s="8" t="s">
        <v>174</v>
      </c>
      <c r="D208" s="9">
        <v>2</v>
      </c>
      <c r="E208" s="8" t="s">
        <v>39</v>
      </c>
      <c r="F208" s="8" t="s">
        <v>381</v>
      </c>
      <c r="G208" s="8" t="s">
        <v>1263</v>
      </c>
      <c r="H208" s="8" t="s">
        <v>1267</v>
      </c>
      <c r="I208" s="8" t="s">
        <v>1268</v>
      </c>
      <c r="J208" s="8" t="s">
        <v>551</v>
      </c>
      <c r="K208" s="14" t="s">
        <v>559</v>
      </c>
      <c r="L208" s="15"/>
      <c r="M208" s="15"/>
      <c r="N208" s="8" t="s">
        <v>1269</v>
      </c>
      <c r="O208" s="8" t="s">
        <v>859</v>
      </c>
      <c r="P208" s="6">
        <f>COUNTIFS('05_상품별배치367'!$B$7:$B$373,A208,'05_상품별배치367'!$K$7:$K$373,"&gt;0")</f>
        <v>2</v>
      </c>
      <c r="Q208" s="6">
        <f>SUMIFS('05_상품별배치367'!$K$7:$K$373,'05_상품별배치367'!$B$7:$B$373,A208)</f>
        <v>2</v>
      </c>
      <c r="R208" s="6">
        <f>IF(Z208="",'06_집기치수20'!N18,Z208)</f>
        <v>865</v>
      </c>
      <c r="S208" s="6">
        <f>IF(AA208="",'06_집기치수20'!O18,AA208)</f>
        <v>270</v>
      </c>
      <c r="T208" s="6">
        <v>220</v>
      </c>
      <c r="U208" s="6">
        <f>IF(AB208="",'06_집기치수20'!P18,AB208-'06_집기치수20'!I18)</f>
        <v>200</v>
      </c>
      <c r="V208" s="6" t="str">
        <f>IF(Q208=0,"",IF(COUNTIFS('05_상품별배치367'!$B$7:$B$373,A208,'05_상품별배치367'!$T$7:$T$373,"입력 대기")&gt;0,"",SUMIFS('05_상품별배치367'!$S$7:$S$373,'05_상품별배치367'!$B$7:$B$373,A208)))</f>
        <v/>
      </c>
      <c r="W208" s="6" t="str">
        <f>IF(Q208=0,"미진열",IF(COUNTIFS('05_상품별배치367'!$B$7:$B$373,A208,'05_상품별배치367'!$T$7:$T$373,"치수 초과")&gt;0,"치수 초과",IF(COUNTIFS('05_상품별배치367'!$B$7:$B$373,A208,'05_상품별배치367'!$T$7:$T$373,"입력 대기")&gt;0,"치수 입력 대기",IF(V208&gt;R208,"폭 합계 초과","도면/실측 범위 내·현장확인"))))</f>
        <v>치수 입력 대기</v>
      </c>
      <c r="X208" s="6" t="s">
        <v>1270</v>
      </c>
      <c r="Y208" s="6" t="s">
        <v>1265</v>
      </c>
      <c r="Z208" s="15"/>
      <c r="AA208" s="15"/>
      <c r="AB208" s="15"/>
    </row>
    <row r="209" spans="1:28" ht="33" customHeight="1">
      <c r="A209" s="6" t="s">
        <v>1271</v>
      </c>
      <c r="B209" s="6" t="s">
        <v>376</v>
      </c>
      <c r="C209" s="6" t="s">
        <v>174</v>
      </c>
      <c r="D209" s="7">
        <v>3</v>
      </c>
      <c r="E209" s="6" t="s">
        <v>39</v>
      </c>
      <c r="F209" s="6" t="s">
        <v>382</v>
      </c>
      <c r="G209" s="6" t="s">
        <v>1263</v>
      </c>
      <c r="H209" s="6" t="s">
        <v>1272</v>
      </c>
      <c r="I209" s="6" t="s">
        <v>1273</v>
      </c>
      <c r="J209" s="6" t="s">
        <v>551</v>
      </c>
      <c r="K209" s="14" t="s">
        <v>559</v>
      </c>
      <c r="L209" s="15"/>
      <c r="M209" s="15"/>
      <c r="N209" s="6" t="s">
        <v>1269</v>
      </c>
      <c r="O209" s="6" t="s">
        <v>859</v>
      </c>
      <c r="P209" s="6">
        <f>COUNTIFS('05_상품별배치367'!$B$7:$B$373,A209,'05_상품별배치367'!$K$7:$K$373,"&gt;0")</f>
        <v>2</v>
      </c>
      <c r="Q209" s="6">
        <f>SUMIFS('05_상품별배치367'!$K$7:$K$373,'05_상품별배치367'!$B$7:$B$373,A209)</f>
        <v>2</v>
      </c>
      <c r="R209" s="6">
        <f>IF(Z209="",'06_집기치수20'!N19,Z209)</f>
        <v>865</v>
      </c>
      <c r="S209" s="6">
        <f>IF(AA209="",'06_집기치수20'!O19,AA209)</f>
        <v>270</v>
      </c>
      <c r="T209" s="6">
        <v>220</v>
      </c>
      <c r="U209" s="6">
        <f>IF(AB209="",'06_집기치수20'!P19,AB209-'06_집기치수20'!I19)</f>
        <v>200</v>
      </c>
      <c r="V209" s="6" t="str">
        <f>IF(Q209=0,"",IF(COUNTIFS('05_상품별배치367'!$B$7:$B$373,A209,'05_상품별배치367'!$T$7:$T$373,"입력 대기")&gt;0,"",SUMIFS('05_상품별배치367'!$S$7:$S$373,'05_상품별배치367'!$B$7:$B$373,A209)))</f>
        <v/>
      </c>
      <c r="W209" s="6" t="str">
        <f>IF(Q209=0,"미진열",IF(COUNTIFS('05_상품별배치367'!$B$7:$B$373,A209,'05_상품별배치367'!$T$7:$T$373,"치수 초과")&gt;0,"치수 초과",IF(COUNTIFS('05_상품별배치367'!$B$7:$B$373,A209,'05_상품별배치367'!$T$7:$T$373,"입력 대기")&gt;0,"치수 입력 대기",IF(V209&gt;R209,"폭 합계 초과","도면/실측 범위 내·현장확인"))))</f>
        <v>치수 입력 대기</v>
      </c>
      <c r="X209" s="6" t="s">
        <v>1274</v>
      </c>
      <c r="Y209" s="6" t="s">
        <v>1265</v>
      </c>
      <c r="Z209" s="15"/>
      <c r="AA209" s="15"/>
      <c r="AB209" s="15"/>
    </row>
    <row r="210" spans="1:28" ht="33" customHeight="1">
      <c r="A210" s="8" t="s">
        <v>1275</v>
      </c>
      <c r="B210" s="8" t="s">
        <v>376</v>
      </c>
      <c r="C210" s="8" t="s">
        <v>174</v>
      </c>
      <c r="D210" s="9">
        <v>4</v>
      </c>
      <c r="E210" s="8" t="s">
        <v>39</v>
      </c>
      <c r="F210" s="8" t="s">
        <v>383</v>
      </c>
      <c r="G210" s="8" t="s">
        <v>1276</v>
      </c>
      <c r="H210" s="8" t="s">
        <v>1277</v>
      </c>
      <c r="I210" s="8" t="s">
        <v>1278</v>
      </c>
      <c r="J210" s="8" t="s">
        <v>551</v>
      </c>
      <c r="K210" s="14" t="s">
        <v>846</v>
      </c>
      <c r="L210" s="15"/>
      <c r="M210" s="15"/>
      <c r="N210" s="8" t="s">
        <v>1269</v>
      </c>
      <c r="O210" s="8" t="s">
        <v>859</v>
      </c>
      <c r="P210" s="6">
        <f>COUNTIFS('05_상품별배치367'!$B$7:$B$373,A210,'05_상품별배치367'!$K$7:$K$373,"&gt;0")</f>
        <v>1</v>
      </c>
      <c r="Q210" s="6">
        <f>SUMIFS('05_상품별배치367'!$K$7:$K$373,'05_상품별배치367'!$B$7:$B$373,A210)</f>
        <v>1</v>
      </c>
      <c r="R210" s="6">
        <f>IF(Z210="",'06_집기치수20'!N20,Z210)</f>
        <v>865</v>
      </c>
      <c r="S210" s="6">
        <f>IF(AA210="",'06_집기치수20'!O20,AA210)</f>
        <v>270</v>
      </c>
      <c r="T210" s="6">
        <v>220</v>
      </c>
      <c r="U210" s="6">
        <f>IF(AB210="",'06_집기치수20'!P20,AB210-'06_집기치수20'!I20)</f>
        <v>200</v>
      </c>
      <c r="V210" s="6" t="str">
        <f>IF(Q210=0,"",IF(COUNTIFS('05_상품별배치367'!$B$7:$B$373,A210,'05_상품별배치367'!$T$7:$T$373,"입력 대기")&gt;0,"",SUMIFS('05_상품별배치367'!$S$7:$S$373,'05_상품별배치367'!$B$7:$B$373,A210)))</f>
        <v/>
      </c>
      <c r="W210" s="6" t="str">
        <f>IF(Q210=0,"미진열",IF(COUNTIFS('05_상품별배치367'!$B$7:$B$373,A210,'05_상품별배치367'!$T$7:$T$373,"치수 초과")&gt;0,"치수 초과",IF(COUNTIFS('05_상품별배치367'!$B$7:$B$373,A210,'05_상품별배치367'!$T$7:$T$373,"입력 대기")&gt;0,"치수 입력 대기",IF(V210&gt;R210,"폭 합계 초과","도면/실측 범위 내·현장확인"))))</f>
        <v>치수 입력 대기</v>
      </c>
      <c r="X210" s="6" t="s">
        <v>1279</v>
      </c>
      <c r="Y210" s="6" t="s">
        <v>1265</v>
      </c>
      <c r="Z210" s="15"/>
      <c r="AA210" s="15"/>
      <c r="AB210" s="15"/>
    </row>
    <row r="211" spans="1:28" ht="33" customHeight="1">
      <c r="A211" s="6" t="s">
        <v>1280</v>
      </c>
      <c r="B211" s="6" t="s">
        <v>376</v>
      </c>
      <c r="C211" s="6" t="s">
        <v>174</v>
      </c>
      <c r="D211" s="7">
        <v>5</v>
      </c>
      <c r="E211" s="6" t="s">
        <v>39</v>
      </c>
      <c r="F211" s="6" t="s">
        <v>384</v>
      </c>
      <c r="G211" s="6" t="s">
        <v>1263</v>
      </c>
      <c r="H211" s="6" t="s">
        <v>1281</v>
      </c>
      <c r="I211" s="6" t="s">
        <v>1282</v>
      </c>
      <c r="J211" s="6" t="s">
        <v>551</v>
      </c>
      <c r="K211" s="14" t="s">
        <v>559</v>
      </c>
      <c r="L211" s="15"/>
      <c r="M211" s="15"/>
      <c r="N211" s="6" t="s">
        <v>1269</v>
      </c>
      <c r="O211" s="6" t="s">
        <v>859</v>
      </c>
      <c r="P211" s="6">
        <f>COUNTIFS('05_상품별배치367'!$B$7:$B$373,A211,'05_상품별배치367'!$K$7:$K$373,"&gt;0")</f>
        <v>1</v>
      </c>
      <c r="Q211" s="6">
        <f>SUMIFS('05_상품별배치367'!$K$7:$K$373,'05_상품별배치367'!$B$7:$B$373,A211)</f>
        <v>1</v>
      </c>
      <c r="R211" s="6">
        <f>IF(Z211="",'06_집기치수20'!N21,Z211)</f>
        <v>865</v>
      </c>
      <c r="S211" s="6">
        <f>IF(AA211="",'06_집기치수20'!O21,AA211)</f>
        <v>270</v>
      </c>
      <c r="T211" s="6">
        <v>220</v>
      </c>
      <c r="U211" s="6">
        <f>IF(AB211="",'06_집기치수20'!P21,AB211-'06_집기치수20'!I21)</f>
        <v>200</v>
      </c>
      <c r="V211" s="6" t="str">
        <f>IF(Q211=0,"",IF(COUNTIFS('05_상품별배치367'!$B$7:$B$373,A211,'05_상품별배치367'!$T$7:$T$373,"입력 대기")&gt;0,"",SUMIFS('05_상품별배치367'!$S$7:$S$373,'05_상품별배치367'!$B$7:$B$373,A211)))</f>
        <v/>
      </c>
      <c r="W211" s="6" t="str">
        <f>IF(Q211=0,"미진열",IF(COUNTIFS('05_상품별배치367'!$B$7:$B$373,A211,'05_상품별배치367'!$T$7:$T$373,"치수 초과")&gt;0,"치수 초과",IF(COUNTIFS('05_상품별배치367'!$B$7:$B$373,A211,'05_상품별배치367'!$T$7:$T$373,"입력 대기")&gt;0,"치수 입력 대기",IF(V211&gt;R211,"폭 합계 초과","도면/실측 범위 내·현장확인"))))</f>
        <v>치수 입력 대기</v>
      </c>
      <c r="X211" s="6" t="s">
        <v>1283</v>
      </c>
      <c r="Y211" s="6" t="s">
        <v>1265</v>
      </c>
      <c r="Z211" s="15"/>
      <c r="AA211" s="15"/>
      <c r="AB211" s="15"/>
    </row>
    <row r="212" spans="1:28" ht="33" customHeight="1">
      <c r="A212" s="8" t="s">
        <v>1284</v>
      </c>
      <c r="B212" s="8" t="s">
        <v>386</v>
      </c>
      <c r="C212" s="8" t="s">
        <v>174</v>
      </c>
      <c r="D212" s="9">
        <v>1</v>
      </c>
      <c r="E212" s="8" t="s">
        <v>39</v>
      </c>
      <c r="F212" s="8" t="s">
        <v>390</v>
      </c>
      <c r="G212" s="8" t="s">
        <v>156</v>
      </c>
      <c r="H212" s="8"/>
      <c r="I212" s="8"/>
      <c r="J212" s="8" t="s">
        <v>551</v>
      </c>
      <c r="K212" s="14" t="s">
        <v>552</v>
      </c>
      <c r="L212" s="15"/>
      <c r="M212" s="15"/>
      <c r="N212" s="8" t="s">
        <v>1264</v>
      </c>
      <c r="O212" s="8" t="s">
        <v>859</v>
      </c>
      <c r="P212" s="6">
        <f>COUNTIFS('05_상품별배치367'!$B$7:$B$373,A212,'05_상품별배치367'!$K$7:$K$373,"&gt;0")</f>
        <v>0</v>
      </c>
      <c r="Q212" s="6">
        <f>SUMIFS('05_상품별배치367'!$K$7:$K$373,'05_상품별배치367'!$B$7:$B$373,A212)</f>
        <v>0</v>
      </c>
      <c r="R212" s="6">
        <f>IF(Z212="",'06_집기치수20'!N17,Z212)</f>
        <v>865</v>
      </c>
      <c r="S212" s="6">
        <f>IF(AA212="",'06_집기치수20'!O17,AA212)</f>
        <v>270</v>
      </c>
      <c r="T212" s="6">
        <v>100</v>
      </c>
      <c r="U212" s="6">
        <f>IF(AB212="",'06_집기치수20'!P17,AB212-'06_집기치수20'!I17)</f>
        <v>80</v>
      </c>
      <c r="V212" s="6" t="str">
        <f>IF(Q212=0,"",IF(COUNTIFS('05_상품별배치367'!$B$7:$B$373,A212,'05_상품별배치367'!$T$7:$T$373,"입력 대기")&gt;0,"",SUMIFS('05_상품별배치367'!$S$7:$S$373,'05_상품별배치367'!$B$7:$B$373,A212)))</f>
        <v/>
      </c>
      <c r="W212" s="6" t="str">
        <f>IF(Q212=0,"미진열",IF(COUNTIFS('05_상품별배치367'!$B$7:$B$373,A212,'05_상품별배치367'!$T$7:$T$373,"치수 초과")&gt;0,"치수 초과",IF(COUNTIFS('05_상품별배치367'!$B$7:$B$373,A212,'05_상품별배치367'!$T$7:$T$373,"입력 대기")&gt;0,"치수 입력 대기",IF(V212&gt;R212,"폭 합계 초과","도면/실측 범위 내·현장확인"))))</f>
        <v>미진열</v>
      </c>
      <c r="X212" s="6"/>
      <c r="Y212" s="6" t="s">
        <v>1265</v>
      </c>
      <c r="Z212" s="15"/>
      <c r="AA212" s="15"/>
      <c r="AB212" s="15"/>
    </row>
    <row r="213" spans="1:28" ht="33" customHeight="1">
      <c r="A213" s="6" t="s">
        <v>1285</v>
      </c>
      <c r="B213" s="6" t="s">
        <v>386</v>
      </c>
      <c r="C213" s="6" t="s">
        <v>174</v>
      </c>
      <c r="D213" s="7">
        <v>2</v>
      </c>
      <c r="E213" s="6" t="s">
        <v>39</v>
      </c>
      <c r="F213" s="6" t="s">
        <v>391</v>
      </c>
      <c r="G213" s="6" t="s">
        <v>156</v>
      </c>
      <c r="H213" s="6" t="s">
        <v>1286</v>
      </c>
      <c r="I213" s="6" t="s">
        <v>1287</v>
      </c>
      <c r="J213" s="6" t="s">
        <v>551</v>
      </c>
      <c r="K213" s="14" t="s">
        <v>559</v>
      </c>
      <c r="L213" s="15"/>
      <c r="M213" s="15"/>
      <c r="N213" s="6" t="s">
        <v>1269</v>
      </c>
      <c r="O213" s="6" t="s">
        <v>859</v>
      </c>
      <c r="P213" s="6">
        <f>COUNTIFS('05_상품별배치367'!$B$7:$B$373,A213,'05_상품별배치367'!$K$7:$K$373,"&gt;0")</f>
        <v>2</v>
      </c>
      <c r="Q213" s="6">
        <f>SUMIFS('05_상품별배치367'!$K$7:$K$373,'05_상품별배치367'!$B$7:$B$373,A213)</f>
        <v>3</v>
      </c>
      <c r="R213" s="6">
        <f>IF(Z213="",'06_집기치수20'!N18,Z213)</f>
        <v>865</v>
      </c>
      <c r="S213" s="6">
        <f>IF(AA213="",'06_집기치수20'!O18,AA213)</f>
        <v>270</v>
      </c>
      <c r="T213" s="6">
        <v>220</v>
      </c>
      <c r="U213" s="6">
        <f>IF(AB213="",'06_집기치수20'!P18,AB213-'06_집기치수20'!I18)</f>
        <v>200</v>
      </c>
      <c r="V213" s="6" t="str">
        <f>IF(Q213=0,"",IF(COUNTIFS('05_상품별배치367'!$B$7:$B$373,A213,'05_상품별배치367'!$T$7:$T$373,"입력 대기")&gt;0,"",SUMIFS('05_상품별배치367'!$S$7:$S$373,'05_상품별배치367'!$B$7:$B$373,A213)))</f>
        <v/>
      </c>
      <c r="W213" s="6" t="str">
        <f>IF(Q213=0,"미진열",IF(COUNTIFS('05_상품별배치367'!$B$7:$B$373,A213,'05_상품별배치367'!$T$7:$T$373,"치수 초과")&gt;0,"치수 초과",IF(COUNTIFS('05_상품별배치367'!$B$7:$B$373,A213,'05_상품별배치367'!$T$7:$T$373,"입력 대기")&gt;0,"치수 입력 대기",IF(V213&gt;R213,"폭 합계 초과","도면/실측 범위 내·현장확인"))))</f>
        <v>치수 입력 대기</v>
      </c>
      <c r="X213" s="6" t="s">
        <v>1288</v>
      </c>
      <c r="Y213" s="6" t="s">
        <v>1265</v>
      </c>
      <c r="Z213" s="15"/>
      <c r="AA213" s="15"/>
      <c r="AB213" s="15"/>
    </row>
    <row r="214" spans="1:28" ht="33" customHeight="1">
      <c r="A214" s="8" t="s">
        <v>1289</v>
      </c>
      <c r="B214" s="8" t="s">
        <v>386</v>
      </c>
      <c r="C214" s="8" t="s">
        <v>174</v>
      </c>
      <c r="D214" s="9">
        <v>3</v>
      </c>
      <c r="E214" s="8" t="s">
        <v>39</v>
      </c>
      <c r="F214" s="8" t="s">
        <v>304</v>
      </c>
      <c r="G214" s="8" t="s">
        <v>156</v>
      </c>
      <c r="H214" s="8" t="s">
        <v>1290</v>
      </c>
      <c r="I214" s="8" t="s">
        <v>1291</v>
      </c>
      <c r="J214" s="8" t="s">
        <v>551</v>
      </c>
      <c r="K214" s="14" t="s">
        <v>559</v>
      </c>
      <c r="L214" s="15"/>
      <c r="M214" s="15"/>
      <c r="N214" s="8" t="s">
        <v>1269</v>
      </c>
      <c r="O214" s="8" t="s">
        <v>859</v>
      </c>
      <c r="P214" s="6">
        <f>COUNTIFS('05_상품별배치367'!$B$7:$B$373,A214,'05_상품별배치367'!$K$7:$K$373,"&gt;0")</f>
        <v>2</v>
      </c>
      <c r="Q214" s="6">
        <f>SUMIFS('05_상품별배치367'!$K$7:$K$373,'05_상품별배치367'!$B$7:$B$373,A214)</f>
        <v>3</v>
      </c>
      <c r="R214" s="6">
        <f>IF(Z214="",'06_집기치수20'!N19,Z214)</f>
        <v>865</v>
      </c>
      <c r="S214" s="6">
        <f>IF(AA214="",'06_집기치수20'!O19,AA214)</f>
        <v>270</v>
      </c>
      <c r="T214" s="6">
        <v>220</v>
      </c>
      <c r="U214" s="6">
        <f>IF(AB214="",'06_집기치수20'!P19,AB214-'06_집기치수20'!I19)</f>
        <v>200</v>
      </c>
      <c r="V214" s="6" t="str">
        <f>IF(Q214=0,"",IF(COUNTIFS('05_상품별배치367'!$B$7:$B$373,A214,'05_상품별배치367'!$T$7:$T$373,"입력 대기")&gt;0,"",SUMIFS('05_상품별배치367'!$S$7:$S$373,'05_상품별배치367'!$B$7:$B$373,A214)))</f>
        <v/>
      </c>
      <c r="W214" s="6" t="str">
        <f>IF(Q214=0,"미진열",IF(COUNTIFS('05_상품별배치367'!$B$7:$B$373,A214,'05_상품별배치367'!$T$7:$T$373,"치수 초과")&gt;0,"치수 초과",IF(COUNTIFS('05_상품별배치367'!$B$7:$B$373,A214,'05_상품별배치367'!$T$7:$T$373,"입력 대기")&gt;0,"치수 입력 대기",IF(V214&gt;R214,"폭 합계 초과","도면/실측 범위 내·현장확인"))))</f>
        <v>치수 입력 대기</v>
      </c>
      <c r="X214" s="6" t="s">
        <v>1292</v>
      </c>
      <c r="Y214" s="6" t="s">
        <v>1265</v>
      </c>
      <c r="Z214" s="15"/>
      <c r="AA214" s="15"/>
      <c r="AB214" s="15"/>
    </row>
    <row r="215" spans="1:28" ht="33" customHeight="1">
      <c r="A215" s="6" t="s">
        <v>1293</v>
      </c>
      <c r="B215" s="6" t="s">
        <v>386</v>
      </c>
      <c r="C215" s="6" t="s">
        <v>174</v>
      </c>
      <c r="D215" s="7">
        <v>4</v>
      </c>
      <c r="E215" s="6" t="s">
        <v>39</v>
      </c>
      <c r="F215" s="6" t="s">
        <v>392</v>
      </c>
      <c r="G215" s="6" t="s">
        <v>156</v>
      </c>
      <c r="H215" s="6" t="s">
        <v>1294</v>
      </c>
      <c r="I215" s="6" t="s">
        <v>1295</v>
      </c>
      <c r="J215" s="6" t="s">
        <v>551</v>
      </c>
      <c r="K215" s="14" t="s">
        <v>559</v>
      </c>
      <c r="L215" s="15"/>
      <c r="M215" s="15"/>
      <c r="N215" s="6" t="s">
        <v>1269</v>
      </c>
      <c r="O215" s="6" t="s">
        <v>859</v>
      </c>
      <c r="P215" s="6">
        <f>COUNTIFS('05_상품별배치367'!$B$7:$B$373,A215,'05_상품별배치367'!$K$7:$K$373,"&gt;0")</f>
        <v>2</v>
      </c>
      <c r="Q215" s="6">
        <f>SUMIFS('05_상품별배치367'!$K$7:$K$373,'05_상품별배치367'!$B$7:$B$373,A215)</f>
        <v>2</v>
      </c>
      <c r="R215" s="6">
        <f>IF(Z215="",'06_집기치수20'!N20,Z215)</f>
        <v>865</v>
      </c>
      <c r="S215" s="6">
        <f>IF(AA215="",'06_집기치수20'!O20,AA215)</f>
        <v>270</v>
      </c>
      <c r="T215" s="6">
        <v>220</v>
      </c>
      <c r="U215" s="6">
        <f>IF(AB215="",'06_집기치수20'!P20,AB215-'06_집기치수20'!I20)</f>
        <v>200</v>
      </c>
      <c r="V215" s="6" t="str">
        <f>IF(Q215=0,"",IF(COUNTIFS('05_상품별배치367'!$B$7:$B$373,A215,'05_상품별배치367'!$T$7:$T$373,"입력 대기")&gt;0,"",SUMIFS('05_상품별배치367'!$S$7:$S$373,'05_상품별배치367'!$B$7:$B$373,A215)))</f>
        <v/>
      </c>
      <c r="W215" s="6" t="str">
        <f>IF(Q215=0,"미진열",IF(COUNTIFS('05_상품별배치367'!$B$7:$B$373,A215,'05_상품별배치367'!$T$7:$T$373,"치수 초과")&gt;0,"치수 초과",IF(COUNTIFS('05_상품별배치367'!$B$7:$B$373,A215,'05_상품별배치367'!$T$7:$T$373,"입력 대기")&gt;0,"치수 입력 대기",IF(V215&gt;R215,"폭 합계 초과","도면/실측 범위 내·현장확인"))))</f>
        <v>치수 입력 대기</v>
      </c>
      <c r="X215" s="6" t="s">
        <v>1296</v>
      </c>
      <c r="Y215" s="6" t="s">
        <v>1265</v>
      </c>
      <c r="Z215" s="15"/>
      <c r="AA215" s="15"/>
      <c r="AB215" s="15"/>
    </row>
    <row r="216" spans="1:28" ht="33" customHeight="1">
      <c r="A216" s="8" t="s">
        <v>1297</v>
      </c>
      <c r="B216" s="8" t="s">
        <v>386</v>
      </c>
      <c r="C216" s="8" t="s">
        <v>174</v>
      </c>
      <c r="D216" s="9">
        <v>5</v>
      </c>
      <c r="E216" s="8" t="s">
        <v>39</v>
      </c>
      <c r="F216" s="8" t="s">
        <v>393</v>
      </c>
      <c r="G216" s="8" t="s">
        <v>1276</v>
      </c>
      <c r="H216" s="8" t="s">
        <v>1298</v>
      </c>
      <c r="I216" s="8" t="s">
        <v>1299</v>
      </c>
      <c r="J216" s="8" t="s">
        <v>551</v>
      </c>
      <c r="K216" s="14" t="s">
        <v>559</v>
      </c>
      <c r="L216" s="15"/>
      <c r="M216" s="15"/>
      <c r="N216" s="8" t="s">
        <v>1269</v>
      </c>
      <c r="O216" s="8" t="s">
        <v>859</v>
      </c>
      <c r="P216" s="6">
        <f>COUNTIFS('05_상품별배치367'!$B$7:$B$373,A216,'05_상품별배치367'!$K$7:$K$373,"&gt;0")</f>
        <v>1</v>
      </c>
      <c r="Q216" s="6">
        <f>SUMIFS('05_상품별배치367'!$K$7:$K$373,'05_상품별배치367'!$B$7:$B$373,A216)</f>
        <v>1</v>
      </c>
      <c r="R216" s="6">
        <f>IF(Z216="",'06_집기치수20'!N21,Z216)</f>
        <v>865</v>
      </c>
      <c r="S216" s="6">
        <f>IF(AA216="",'06_집기치수20'!O21,AA216)</f>
        <v>270</v>
      </c>
      <c r="T216" s="6">
        <v>220</v>
      </c>
      <c r="U216" s="6">
        <f>IF(AB216="",'06_집기치수20'!P21,AB216-'06_집기치수20'!I21)</f>
        <v>200</v>
      </c>
      <c r="V216" s="6" t="str">
        <f>IF(Q216=0,"",IF(COUNTIFS('05_상품별배치367'!$B$7:$B$373,A216,'05_상품별배치367'!$T$7:$T$373,"입력 대기")&gt;0,"",SUMIFS('05_상품별배치367'!$S$7:$S$373,'05_상품별배치367'!$B$7:$B$373,A216)))</f>
        <v/>
      </c>
      <c r="W216" s="6" t="str">
        <f>IF(Q216=0,"미진열",IF(COUNTIFS('05_상품별배치367'!$B$7:$B$373,A216,'05_상품별배치367'!$T$7:$T$373,"치수 초과")&gt;0,"치수 초과",IF(COUNTIFS('05_상품별배치367'!$B$7:$B$373,A216,'05_상품별배치367'!$T$7:$T$373,"입력 대기")&gt;0,"치수 입력 대기",IF(V216&gt;R216,"폭 합계 초과","도면/실측 범위 내·현장확인"))))</f>
        <v>치수 입력 대기</v>
      </c>
      <c r="X216" s="6" t="s">
        <v>1300</v>
      </c>
      <c r="Y216" s="6" t="s">
        <v>1265</v>
      </c>
      <c r="Z216" s="15"/>
      <c r="AA216" s="15"/>
      <c r="AB216" s="15"/>
    </row>
    <row r="217" spans="1:28" ht="33" customHeight="1">
      <c r="A217" s="6" t="s">
        <v>1301</v>
      </c>
      <c r="B217" s="6" t="s">
        <v>395</v>
      </c>
      <c r="C217" s="6" t="s">
        <v>202</v>
      </c>
      <c r="D217" s="7">
        <v>1</v>
      </c>
      <c r="E217" s="6" t="s">
        <v>39</v>
      </c>
      <c r="F217" s="6" t="s">
        <v>399</v>
      </c>
      <c r="G217" s="6" t="s">
        <v>161</v>
      </c>
      <c r="H217" s="6"/>
      <c r="I217" s="6"/>
      <c r="J217" s="6" t="s">
        <v>551</v>
      </c>
      <c r="K217" s="14" t="s">
        <v>552</v>
      </c>
      <c r="L217" s="15"/>
      <c r="M217" s="15"/>
      <c r="N217" s="6" t="s">
        <v>647</v>
      </c>
      <c r="O217" s="6" t="s">
        <v>859</v>
      </c>
      <c r="P217" s="6">
        <f>COUNTIFS('05_상품별배치367'!$B$7:$B$373,A217,'05_상품별배치367'!$K$7:$K$373,"&gt;0")</f>
        <v>0</v>
      </c>
      <c r="Q217" s="6">
        <f>SUMIFS('05_상품별배치367'!$K$7:$K$373,'05_상품별배치367'!$B$7:$B$373,A217)</f>
        <v>0</v>
      </c>
      <c r="R217" s="6">
        <f>IF(Z217="",'06_집기치수20'!N17,Z217)</f>
        <v>865</v>
      </c>
      <c r="S217" s="6">
        <f>IF(AA217="",'06_집기치수20'!O17,AA217)</f>
        <v>270</v>
      </c>
      <c r="T217" s="6">
        <v>100</v>
      </c>
      <c r="U217" s="6">
        <f>IF(AB217="",'06_집기치수20'!P17,AB217-'06_집기치수20'!I17)</f>
        <v>80</v>
      </c>
      <c r="V217" s="6" t="str">
        <f>IF(Q217=0,"",IF(COUNTIFS('05_상품별배치367'!$B$7:$B$373,A217,'05_상품별배치367'!$T$7:$T$373,"입력 대기")&gt;0,"",SUMIFS('05_상품별배치367'!$S$7:$S$373,'05_상품별배치367'!$B$7:$B$373,A217)))</f>
        <v/>
      </c>
      <c r="W217" s="6" t="str">
        <f>IF(Q217=0,"미진열",IF(COUNTIFS('05_상품별배치367'!$B$7:$B$373,A217,'05_상품별배치367'!$T$7:$T$373,"치수 초과")&gt;0,"치수 초과",IF(COUNTIFS('05_상품별배치367'!$B$7:$B$373,A217,'05_상품별배치367'!$T$7:$T$373,"입력 대기")&gt;0,"치수 입력 대기",IF(V217&gt;R217,"폭 합계 초과","도면/실측 범위 내·현장확인"))))</f>
        <v>미진열</v>
      </c>
      <c r="X217" s="6"/>
      <c r="Y217" s="6" t="s">
        <v>555</v>
      </c>
      <c r="Z217" s="15"/>
      <c r="AA217" s="15"/>
      <c r="AB217" s="15"/>
    </row>
    <row r="218" spans="1:28" ht="46" customHeight="1">
      <c r="A218" s="8" t="s">
        <v>1302</v>
      </c>
      <c r="B218" s="8" t="s">
        <v>395</v>
      </c>
      <c r="C218" s="8" t="s">
        <v>202</v>
      </c>
      <c r="D218" s="9">
        <v>2</v>
      </c>
      <c r="E218" s="8" t="s">
        <v>39</v>
      </c>
      <c r="F218" s="8" t="s">
        <v>400</v>
      </c>
      <c r="G218" s="8" t="s">
        <v>161</v>
      </c>
      <c r="H218" s="8" t="s">
        <v>1303</v>
      </c>
      <c r="I218" s="8" t="s">
        <v>1304</v>
      </c>
      <c r="J218" s="8" t="s">
        <v>551</v>
      </c>
      <c r="K218" s="14" t="s">
        <v>559</v>
      </c>
      <c r="L218" s="15"/>
      <c r="M218" s="15"/>
      <c r="N218" s="8" t="s">
        <v>560</v>
      </c>
      <c r="O218" s="8" t="s">
        <v>859</v>
      </c>
      <c r="P218" s="6">
        <f>COUNTIFS('05_상품별배치367'!$B$7:$B$373,A218,'05_상품별배치367'!$K$7:$K$373,"&gt;0")</f>
        <v>3</v>
      </c>
      <c r="Q218" s="6">
        <f>SUMIFS('05_상품별배치367'!$K$7:$K$373,'05_상품별배치367'!$B$7:$B$373,A218)</f>
        <v>3</v>
      </c>
      <c r="R218" s="6">
        <f>IF(Z218="",'06_집기치수20'!N18,Z218)</f>
        <v>865</v>
      </c>
      <c r="S218" s="6">
        <f>IF(AA218="",'06_집기치수20'!O18,AA218)</f>
        <v>270</v>
      </c>
      <c r="T218" s="6">
        <v>220</v>
      </c>
      <c r="U218" s="6">
        <f>IF(AB218="",'06_집기치수20'!P18,AB218-'06_집기치수20'!I18)</f>
        <v>200</v>
      </c>
      <c r="V218" s="6" t="str">
        <f>IF(Q218=0,"",IF(COUNTIFS('05_상품별배치367'!$B$7:$B$373,A218,'05_상품별배치367'!$T$7:$T$373,"입력 대기")&gt;0,"",SUMIFS('05_상품별배치367'!$S$7:$S$373,'05_상품별배치367'!$B$7:$B$373,A218)))</f>
        <v/>
      </c>
      <c r="W218" s="6" t="str">
        <f>IF(Q218=0,"미진열",IF(COUNTIFS('05_상품별배치367'!$B$7:$B$373,A218,'05_상품별배치367'!$T$7:$T$373,"치수 초과")&gt;0,"치수 초과",IF(COUNTIFS('05_상품별배치367'!$B$7:$B$373,A218,'05_상품별배치367'!$T$7:$T$373,"입력 대기")&gt;0,"치수 입력 대기",IF(V218&gt;R218,"폭 합계 초과","도면/실측 범위 내·현장확인"))))</f>
        <v>치수 입력 대기</v>
      </c>
      <c r="X218" s="6" t="s">
        <v>1305</v>
      </c>
      <c r="Y218" s="6" t="s">
        <v>555</v>
      </c>
      <c r="Z218" s="15"/>
      <c r="AA218" s="15"/>
      <c r="AB218" s="15"/>
    </row>
    <row r="219" spans="1:28" ht="33" customHeight="1">
      <c r="A219" s="6" t="s">
        <v>1306</v>
      </c>
      <c r="B219" s="6" t="s">
        <v>395</v>
      </c>
      <c r="C219" s="6" t="s">
        <v>202</v>
      </c>
      <c r="D219" s="7">
        <v>3</v>
      </c>
      <c r="E219" s="6" t="s">
        <v>39</v>
      </c>
      <c r="F219" s="6" t="s">
        <v>401</v>
      </c>
      <c r="G219" s="6" t="s">
        <v>161</v>
      </c>
      <c r="H219" s="6" t="s">
        <v>597</v>
      </c>
      <c r="I219" s="6" t="s">
        <v>598</v>
      </c>
      <c r="J219" s="6" t="s">
        <v>551</v>
      </c>
      <c r="K219" s="14" t="s">
        <v>559</v>
      </c>
      <c r="L219" s="15"/>
      <c r="M219" s="15"/>
      <c r="N219" s="6" t="s">
        <v>560</v>
      </c>
      <c r="O219" s="6" t="s">
        <v>859</v>
      </c>
      <c r="P219" s="6">
        <f>COUNTIFS('05_상품별배치367'!$B$7:$B$373,A219,'05_상품별배치367'!$K$7:$K$373,"&gt;0")</f>
        <v>1</v>
      </c>
      <c r="Q219" s="6">
        <f>SUMIFS('05_상품별배치367'!$K$7:$K$373,'05_상품별배치367'!$B$7:$B$373,A219)</f>
        <v>1</v>
      </c>
      <c r="R219" s="6">
        <f>IF(Z219="",'06_집기치수20'!N19,Z219)</f>
        <v>865</v>
      </c>
      <c r="S219" s="6">
        <f>IF(AA219="",'06_집기치수20'!O19,AA219)</f>
        <v>270</v>
      </c>
      <c r="T219" s="6">
        <v>220</v>
      </c>
      <c r="U219" s="6">
        <f>IF(AB219="",'06_집기치수20'!P19,AB219-'06_집기치수20'!I19)</f>
        <v>200</v>
      </c>
      <c r="V219" s="6" t="str">
        <f>IF(Q219=0,"",IF(COUNTIFS('05_상품별배치367'!$B$7:$B$373,A219,'05_상품별배치367'!$T$7:$T$373,"입력 대기")&gt;0,"",SUMIFS('05_상품별배치367'!$S$7:$S$373,'05_상품별배치367'!$B$7:$B$373,A219)))</f>
        <v/>
      </c>
      <c r="W219" s="6" t="str">
        <f>IF(Q219=0,"미진열",IF(COUNTIFS('05_상품별배치367'!$B$7:$B$373,A219,'05_상품별배치367'!$T$7:$T$373,"치수 초과")&gt;0,"치수 초과",IF(COUNTIFS('05_상품별배치367'!$B$7:$B$373,A219,'05_상품별배치367'!$T$7:$T$373,"입력 대기")&gt;0,"치수 입력 대기",IF(V219&gt;R219,"폭 합계 초과","도면/실측 범위 내·현장확인"))))</f>
        <v>치수 입력 대기</v>
      </c>
      <c r="X219" s="6" t="s">
        <v>599</v>
      </c>
      <c r="Y219" s="6" t="s">
        <v>555</v>
      </c>
      <c r="Z219" s="15"/>
      <c r="AA219" s="15"/>
      <c r="AB219" s="15"/>
    </row>
    <row r="220" spans="1:28" ht="33" customHeight="1">
      <c r="A220" s="8" t="s">
        <v>1307</v>
      </c>
      <c r="B220" s="8" t="s">
        <v>395</v>
      </c>
      <c r="C220" s="8" t="s">
        <v>202</v>
      </c>
      <c r="D220" s="9">
        <v>4</v>
      </c>
      <c r="E220" s="8" t="s">
        <v>39</v>
      </c>
      <c r="F220" s="8" t="s">
        <v>402</v>
      </c>
      <c r="G220" s="8" t="s">
        <v>161</v>
      </c>
      <c r="H220" s="8" t="s">
        <v>1308</v>
      </c>
      <c r="I220" s="8" t="s">
        <v>1309</v>
      </c>
      <c r="J220" s="8" t="s">
        <v>551</v>
      </c>
      <c r="K220" s="14" t="s">
        <v>559</v>
      </c>
      <c r="L220" s="15"/>
      <c r="M220" s="15"/>
      <c r="N220" s="8" t="s">
        <v>560</v>
      </c>
      <c r="O220" s="8" t="s">
        <v>859</v>
      </c>
      <c r="P220" s="6">
        <f>COUNTIFS('05_상품별배치367'!$B$7:$B$373,A220,'05_상품별배치367'!$K$7:$K$373,"&gt;0")</f>
        <v>1</v>
      </c>
      <c r="Q220" s="6">
        <f>SUMIFS('05_상품별배치367'!$K$7:$K$373,'05_상품별배치367'!$B$7:$B$373,A220)</f>
        <v>1</v>
      </c>
      <c r="R220" s="6">
        <f>IF(Z220="",'06_집기치수20'!N20,Z220)</f>
        <v>865</v>
      </c>
      <c r="S220" s="6">
        <f>IF(AA220="",'06_집기치수20'!O20,AA220)</f>
        <v>270</v>
      </c>
      <c r="T220" s="6">
        <v>220</v>
      </c>
      <c r="U220" s="6">
        <f>IF(AB220="",'06_집기치수20'!P20,AB220-'06_집기치수20'!I20)</f>
        <v>200</v>
      </c>
      <c r="V220" s="6" t="str">
        <f>IF(Q220=0,"",IF(COUNTIFS('05_상품별배치367'!$B$7:$B$373,A220,'05_상품별배치367'!$T$7:$T$373,"입력 대기")&gt;0,"",SUMIFS('05_상품별배치367'!$S$7:$S$373,'05_상품별배치367'!$B$7:$B$373,A220)))</f>
        <v/>
      </c>
      <c r="W220" s="6" t="str">
        <f>IF(Q220=0,"미진열",IF(COUNTIFS('05_상품별배치367'!$B$7:$B$373,A220,'05_상품별배치367'!$T$7:$T$373,"치수 초과")&gt;0,"치수 초과",IF(COUNTIFS('05_상품별배치367'!$B$7:$B$373,A220,'05_상품별배치367'!$T$7:$T$373,"입력 대기")&gt;0,"치수 입력 대기",IF(V220&gt;R220,"폭 합계 초과","도면/실측 범위 내·현장확인"))))</f>
        <v>치수 입력 대기</v>
      </c>
      <c r="X220" s="6" t="s">
        <v>1310</v>
      </c>
      <c r="Y220" s="6" t="s">
        <v>555</v>
      </c>
      <c r="Z220" s="15"/>
      <c r="AA220" s="15"/>
      <c r="AB220" s="15"/>
    </row>
    <row r="221" spans="1:28" ht="33" customHeight="1">
      <c r="A221" s="6" t="s">
        <v>1311</v>
      </c>
      <c r="B221" s="6" t="s">
        <v>395</v>
      </c>
      <c r="C221" s="6" t="s">
        <v>202</v>
      </c>
      <c r="D221" s="7">
        <v>5</v>
      </c>
      <c r="E221" s="6" t="s">
        <v>39</v>
      </c>
      <c r="F221" s="6" t="s">
        <v>403</v>
      </c>
      <c r="G221" s="6" t="s">
        <v>161</v>
      </c>
      <c r="H221" s="6"/>
      <c r="I221" s="6"/>
      <c r="J221" s="6" t="s">
        <v>551</v>
      </c>
      <c r="K221" s="14" t="s">
        <v>568</v>
      </c>
      <c r="L221" s="15"/>
      <c r="M221" s="15"/>
      <c r="N221" s="6" t="s">
        <v>560</v>
      </c>
      <c r="O221" s="6" t="s">
        <v>859</v>
      </c>
      <c r="P221" s="6">
        <f>COUNTIFS('05_상품별배치367'!$B$7:$B$373,A221,'05_상품별배치367'!$K$7:$K$373,"&gt;0")</f>
        <v>0</v>
      </c>
      <c r="Q221" s="6">
        <f>SUMIFS('05_상품별배치367'!$K$7:$K$373,'05_상품별배치367'!$B$7:$B$373,A221)</f>
        <v>0</v>
      </c>
      <c r="R221" s="6">
        <f>IF(Z221="",'06_집기치수20'!N21,Z221)</f>
        <v>865</v>
      </c>
      <c r="S221" s="6">
        <f>IF(AA221="",'06_집기치수20'!O21,AA221)</f>
        <v>270</v>
      </c>
      <c r="T221" s="6">
        <v>220</v>
      </c>
      <c r="U221" s="6">
        <f>IF(AB221="",'06_집기치수20'!P21,AB221-'06_집기치수20'!I21)</f>
        <v>200</v>
      </c>
      <c r="V221" s="6" t="str">
        <f>IF(Q221=0,"",IF(COUNTIFS('05_상품별배치367'!$B$7:$B$373,A221,'05_상품별배치367'!$T$7:$T$373,"입력 대기")&gt;0,"",SUMIFS('05_상품별배치367'!$S$7:$S$373,'05_상품별배치367'!$B$7:$B$373,A221)))</f>
        <v/>
      </c>
      <c r="W221" s="6" t="str">
        <f>IF(Q221=0,"미진열",IF(COUNTIFS('05_상품별배치367'!$B$7:$B$373,A221,'05_상품별배치367'!$T$7:$T$373,"치수 초과")&gt;0,"치수 초과",IF(COUNTIFS('05_상품별배치367'!$B$7:$B$373,A221,'05_상품별배치367'!$T$7:$T$373,"입력 대기")&gt;0,"치수 입력 대기",IF(V221&gt;R221,"폭 합계 초과","도면/실측 범위 내·현장확인"))))</f>
        <v>미진열</v>
      </c>
      <c r="X221" s="6"/>
      <c r="Y221" s="6" t="s">
        <v>555</v>
      </c>
      <c r="Z221" s="15"/>
      <c r="AA221" s="15"/>
      <c r="AB221" s="15"/>
    </row>
    <row r="222" spans="1:28" ht="33" customHeight="1">
      <c r="A222" s="8" t="s">
        <v>1312</v>
      </c>
      <c r="B222" s="8" t="s">
        <v>404</v>
      </c>
      <c r="C222" s="8" t="s">
        <v>202</v>
      </c>
      <c r="D222" s="9">
        <v>1</v>
      </c>
      <c r="E222" s="8" t="s">
        <v>39</v>
      </c>
      <c r="F222" s="8" t="s">
        <v>408</v>
      </c>
      <c r="G222" s="8" t="s">
        <v>162</v>
      </c>
      <c r="H222" s="8"/>
      <c r="I222" s="8"/>
      <c r="J222" s="8" t="s">
        <v>551</v>
      </c>
      <c r="K222" s="14" t="s">
        <v>552</v>
      </c>
      <c r="L222" s="15"/>
      <c r="M222" s="15"/>
      <c r="N222" s="8" t="s">
        <v>647</v>
      </c>
      <c r="O222" s="8" t="s">
        <v>859</v>
      </c>
      <c r="P222" s="6">
        <f>COUNTIFS('05_상품별배치367'!$B$7:$B$373,A222,'05_상품별배치367'!$K$7:$K$373,"&gt;0")</f>
        <v>0</v>
      </c>
      <c r="Q222" s="6">
        <f>SUMIFS('05_상품별배치367'!$K$7:$K$373,'05_상품별배치367'!$B$7:$B$373,A222)</f>
        <v>0</v>
      </c>
      <c r="R222" s="6">
        <f>IF(Z222="",'06_집기치수20'!N17,Z222)</f>
        <v>865</v>
      </c>
      <c r="S222" s="6">
        <f>IF(AA222="",'06_집기치수20'!O17,AA222)</f>
        <v>270</v>
      </c>
      <c r="T222" s="6">
        <v>100</v>
      </c>
      <c r="U222" s="6">
        <f>IF(AB222="",'06_집기치수20'!P17,AB222-'06_집기치수20'!I17)</f>
        <v>80</v>
      </c>
      <c r="V222" s="6" t="str">
        <f>IF(Q222=0,"",IF(COUNTIFS('05_상품별배치367'!$B$7:$B$373,A222,'05_상품별배치367'!$T$7:$T$373,"입력 대기")&gt;0,"",SUMIFS('05_상품별배치367'!$S$7:$S$373,'05_상품별배치367'!$B$7:$B$373,A222)))</f>
        <v/>
      </c>
      <c r="W222" s="6" t="str">
        <f>IF(Q222=0,"미진열",IF(COUNTIFS('05_상품별배치367'!$B$7:$B$373,A222,'05_상품별배치367'!$T$7:$T$373,"치수 초과")&gt;0,"치수 초과",IF(COUNTIFS('05_상품별배치367'!$B$7:$B$373,A222,'05_상품별배치367'!$T$7:$T$373,"입력 대기")&gt;0,"치수 입력 대기",IF(V222&gt;R222,"폭 합계 초과","도면/실측 범위 내·현장확인"))))</f>
        <v>미진열</v>
      </c>
      <c r="X222" s="6"/>
      <c r="Y222" s="6" t="s">
        <v>555</v>
      </c>
      <c r="Z222" s="15"/>
      <c r="AA222" s="15"/>
      <c r="AB222" s="15"/>
    </row>
    <row r="223" spans="1:28" ht="33" customHeight="1">
      <c r="A223" s="6" t="s">
        <v>1313</v>
      </c>
      <c r="B223" s="6" t="s">
        <v>404</v>
      </c>
      <c r="C223" s="6" t="s">
        <v>202</v>
      </c>
      <c r="D223" s="7">
        <v>2</v>
      </c>
      <c r="E223" s="6" t="s">
        <v>39</v>
      </c>
      <c r="F223" s="6" t="s">
        <v>409</v>
      </c>
      <c r="G223" s="6" t="s">
        <v>162</v>
      </c>
      <c r="H223" s="6" t="s">
        <v>1314</v>
      </c>
      <c r="I223" s="6" t="s">
        <v>1315</v>
      </c>
      <c r="J223" s="6" t="s">
        <v>551</v>
      </c>
      <c r="K223" s="14" t="s">
        <v>559</v>
      </c>
      <c r="L223" s="15"/>
      <c r="M223" s="15"/>
      <c r="N223" s="6" t="s">
        <v>560</v>
      </c>
      <c r="O223" s="6" t="s">
        <v>859</v>
      </c>
      <c r="P223" s="6">
        <f>COUNTIFS('05_상품별배치367'!$B$7:$B$373,A223,'05_상품별배치367'!$K$7:$K$373,"&gt;0")</f>
        <v>2</v>
      </c>
      <c r="Q223" s="6">
        <f>SUMIFS('05_상품별배치367'!$K$7:$K$373,'05_상품별배치367'!$B$7:$B$373,A223)</f>
        <v>4</v>
      </c>
      <c r="R223" s="6">
        <f>IF(Z223="",'06_집기치수20'!N18,Z223)</f>
        <v>865</v>
      </c>
      <c r="S223" s="6">
        <f>IF(AA223="",'06_집기치수20'!O18,AA223)</f>
        <v>270</v>
      </c>
      <c r="T223" s="6">
        <v>220</v>
      </c>
      <c r="U223" s="6">
        <f>IF(AB223="",'06_집기치수20'!P18,AB223-'06_집기치수20'!I18)</f>
        <v>200</v>
      </c>
      <c r="V223" s="6" t="str">
        <f>IF(Q223=0,"",IF(COUNTIFS('05_상품별배치367'!$B$7:$B$373,A223,'05_상품별배치367'!$T$7:$T$373,"입력 대기")&gt;0,"",SUMIFS('05_상품별배치367'!$S$7:$S$373,'05_상품별배치367'!$B$7:$B$373,A223)))</f>
        <v/>
      </c>
      <c r="W223" s="6" t="str">
        <f>IF(Q223=0,"미진열",IF(COUNTIFS('05_상품별배치367'!$B$7:$B$373,A223,'05_상품별배치367'!$T$7:$T$373,"치수 초과")&gt;0,"치수 초과",IF(COUNTIFS('05_상품별배치367'!$B$7:$B$373,A223,'05_상품별배치367'!$T$7:$T$373,"입력 대기")&gt;0,"치수 입력 대기",IF(V223&gt;R223,"폭 합계 초과","도면/실측 범위 내·현장확인"))))</f>
        <v>치수 입력 대기</v>
      </c>
      <c r="X223" s="6" t="s">
        <v>1316</v>
      </c>
      <c r="Y223" s="6" t="s">
        <v>555</v>
      </c>
      <c r="Z223" s="15"/>
      <c r="AA223" s="15"/>
      <c r="AB223" s="15"/>
    </row>
    <row r="224" spans="1:28" ht="46" customHeight="1">
      <c r="A224" s="8" t="s">
        <v>1317</v>
      </c>
      <c r="B224" s="8" t="s">
        <v>404</v>
      </c>
      <c r="C224" s="8" t="s">
        <v>202</v>
      </c>
      <c r="D224" s="9">
        <v>3</v>
      </c>
      <c r="E224" s="8" t="s">
        <v>39</v>
      </c>
      <c r="F224" s="8" t="s">
        <v>410</v>
      </c>
      <c r="G224" s="8" t="s">
        <v>162</v>
      </c>
      <c r="H224" s="8" t="s">
        <v>1318</v>
      </c>
      <c r="I224" s="8" t="s">
        <v>1319</v>
      </c>
      <c r="J224" s="8" t="s">
        <v>551</v>
      </c>
      <c r="K224" s="14" t="s">
        <v>559</v>
      </c>
      <c r="L224" s="15"/>
      <c r="M224" s="15"/>
      <c r="N224" s="8" t="s">
        <v>560</v>
      </c>
      <c r="O224" s="8" t="s">
        <v>859</v>
      </c>
      <c r="P224" s="6">
        <f>COUNTIFS('05_상품별배치367'!$B$7:$B$373,A224,'05_상품별배치367'!$K$7:$K$373,"&gt;0")</f>
        <v>3</v>
      </c>
      <c r="Q224" s="6">
        <f>SUMIFS('05_상품별배치367'!$K$7:$K$373,'05_상품별배치367'!$B$7:$B$373,A224)</f>
        <v>3</v>
      </c>
      <c r="R224" s="6">
        <f>IF(Z224="",'06_집기치수20'!N19,Z224)</f>
        <v>865</v>
      </c>
      <c r="S224" s="6">
        <f>IF(AA224="",'06_집기치수20'!O19,AA224)</f>
        <v>270</v>
      </c>
      <c r="T224" s="6">
        <v>220</v>
      </c>
      <c r="U224" s="6">
        <f>IF(AB224="",'06_집기치수20'!P19,AB224-'06_집기치수20'!I19)</f>
        <v>200</v>
      </c>
      <c r="V224" s="6" t="str">
        <f>IF(Q224=0,"",IF(COUNTIFS('05_상품별배치367'!$B$7:$B$373,A224,'05_상품별배치367'!$T$7:$T$373,"입력 대기")&gt;0,"",SUMIFS('05_상품별배치367'!$S$7:$S$373,'05_상품별배치367'!$B$7:$B$373,A224)))</f>
        <v/>
      </c>
      <c r="W224" s="6" t="str">
        <f>IF(Q224=0,"미진열",IF(COUNTIFS('05_상품별배치367'!$B$7:$B$373,A224,'05_상품별배치367'!$T$7:$T$373,"치수 초과")&gt;0,"치수 초과",IF(COUNTIFS('05_상품별배치367'!$B$7:$B$373,A224,'05_상품별배치367'!$T$7:$T$373,"입력 대기")&gt;0,"치수 입력 대기",IF(V224&gt;R224,"폭 합계 초과","도면/실측 범위 내·현장확인"))))</f>
        <v>치수 입력 대기</v>
      </c>
      <c r="X224" s="6" t="s">
        <v>1320</v>
      </c>
      <c r="Y224" s="6" t="s">
        <v>555</v>
      </c>
      <c r="Z224" s="15"/>
      <c r="AA224" s="15"/>
      <c r="AB224" s="15"/>
    </row>
    <row r="225" spans="1:28" ht="33" customHeight="1">
      <c r="A225" s="6" t="s">
        <v>1321</v>
      </c>
      <c r="B225" s="6" t="s">
        <v>404</v>
      </c>
      <c r="C225" s="6" t="s">
        <v>202</v>
      </c>
      <c r="D225" s="7">
        <v>4</v>
      </c>
      <c r="E225" s="6" t="s">
        <v>39</v>
      </c>
      <c r="F225" s="6" t="s">
        <v>411</v>
      </c>
      <c r="G225" s="6" t="s">
        <v>162</v>
      </c>
      <c r="H225" s="6" t="s">
        <v>1322</v>
      </c>
      <c r="I225" s="6" t="s">
        <v>1323</v>
      </c>
      <c r="J225" s="6" t="s">
        <v>551</v>
      </c>
      <c r="K225" s="14" t="s">
        <v>559</v>
      </c>
      <c r="L225" s="15"/>
      <c r="M225" s="15"/>
      <c r="N225" s="6" t="s">
        <v>560</v>
      </c>
      <c r="O225" s="6" t="s">
        <v>859</v>
      </c>
      <c r="P225" s="6">
        <f>COUNTIFS('05_상품별배치367'!$B$7:$B$373,A225,'05_상품별배치367'!$K$7:$K$373,"&gt;0")</f>
        <v>2</v>
      </c>
      <c r="Q225" s="6">
        <f>SUMIFS('05_상품별배치367'!$K$7:$K$373,'05_상품별배치367'!$B$7:$B$373,A225)</f>
        <v>2</v>
      </c>
      <c r="R225" s="6">
        <f>IF(Z225="",'06_집기치수20'!N20,Z225)</f>
        <v>865</v>
      </c>
      <c r="S225" s="6">
        <f>IF(AA225="",'06_집기치수20'!O20,AA225)</f>
        <v>270</v>
      </c>
      <c r="T225" s="6">
        <v>220</v>
      </c>
      <c r="U225" s="6">
        <f>IF(AB225="",'06_집기치수20'!P20,AB225-'06_집기치수20'!I20)</f>
        <v>200</v>
      </c>
      <c r="V225" s="6" t="str">
        <f>IF(Q225=0,"",IF(COUNTIFS('05_상품별배치367'!$B$7:$B$373,A225,'05_상품별배치367'!$T$7:$T$373,"입력 대기")&gt;0,"",SUMIFS('05_상품별배치367'!$S$7:$S$373,'05_상품별배치367'!$B$7:$B$373,A225)))</f>
        <v/>
      </c>
      <c r="W225" s="6" t="str">
        <f>IF(Q225=0,"미진열",IF(COUNTIFS('05_상품별배치367'!$B$7:$B$373,A225,'05_상품별배치367'!$T$7:$T$373,"치수 초과")&gt;0,"치수 초과",IF(COUNTIFS('05_상품별배치367'!$B$7:$B$373,A225,'05_상품별배치367'!$T$7:$T$373,"입력 대기")&gt;0,"치수 입력 대기",IF(V225&gt;R225,"폭 합계 초과","도면/실측 범위 내·현장확인"))))</f>
        <v>치수 입력 대기</v>
      </c>
      <c r="X225" s="6" t="s">
        <v>1324</v>
      </c>
      <c r="Y225" s="6" t="s">
        <v>555</v>
      </c>
      <c r="Z225" s="15"/>
      <c r="AA225" s="15"/>
      <c r="AB225" s="15"/>
    </row>
    <row r="226" spans="1:28" ht="33" customHeight="1">
      <c r="A226" s="8" t="s">
        <v>1325</v>
      </c>
      <c r="B226" s="8" t="s">
        <v>404</v>
      </c>
      <c r="C226" s="8" t="s">
        <v>202</v>
      </c>
      <c r="D226" s="9">
        <v>5</v>
      </c>
      <c r="E226" s="8" t="s">
        <v>39</v>
      </c>
      <c r="F226" s="8" t="s">
        <v>412</v>
      </c>
      <c r="G226" s="8" t="s">
        <v>162</v>
      </c>
      <c r="H226" s="8" t="s">
        <v>1326</v>
      </c>
      <c r="I226" s="8" t="s">
        <v>1327</v>
      </c>
      <c r="J226" s="8" t="s">
        <v>551</v>
      </c>
      <c r="K226" s="14" t="s">
        <v>559</v>
      </c>
      <c r="L226" s="15"/>
      <c r="M226" s="15"/>
      <c r="N226" s="8" t="s">
        <v>560</v>
      </c>
      <c r="O226" s="8" t="s">
        <v>859</v>
      </c>
      <c r="P226" s="6">
        <f>COUNTIFS('05_상품별배치367'!$B$7:$B$373,A226,'05_상품별배치367'!$K$7:$K$373,"&gt;0")</f>
        <v>2</v>
      </c>
      <c r="Q226" s="6">
        <f>SUMIFS('05_상품별배치367'!$K$7:$K$373,'05_상품별배치367'!$B$7:$B$373,A226)</f>
        <v>2</v>
      </c>
      <c r="R226" s="6">
        <f>IF(Z226="",'06_집기치수20'!N21,Z226)</f>
        <v>865</v>
      </c>
      <c r="S226" s="6">
        <f>IF(AA226="",'06_집기치수20'!O21,AA226)</f>
        <v>270</v>
      </c>
      <c r="T226" s="6">
        <v>220</v>
      </c>
      <c r="U226" s="6">
        <f>IF(AB226="",'06_집기치수20'!P21,AB226-'06_집기치수20'!I21)</f>
        <v>200</v>
      </c>
      <c r="V226" s="6" t="str">
        <f>IF(Q226=0,"",IF(COUNTIFS('05_상품별배치367'!$B$7:$B$373,A226,'05_상품별배치367'!$T$7:$T$373,"입력 대기")&gt;0,"",SUMIFS('05_상품별배치367'!$S$7:$S$373,'05_상품별배치367'!$B$7:$B$373,A226)))</f>
        <v/>
      </c>
      <c r="W226" s="6" t="str">
        <f>IF(Q226=0,"미진열",IF(COUNTIFS('05_상품별배치367'!$B$7:$B$373,A226,'05_상품별배치367'!$T$7:$T$373,"치수 초과")&gt;0,"치수 초과",IF(COUNTIFS('05_상품별배치367'!$B$7:$B$373,A226,'05_상품별배치367'!$T$7:$T$373,"입력 대기")&gt;0,"치수 입력 대기",IF(V226&gt;R226,"폭 합계 초과","도면/실측 범위 내·현장확인"))))</f>
        <v>치수 입력 대기</v>
      </c>
      <c r="X226" s="6" t="s">
        <v>1328</v>
      </c>
      <c r="Y226" s="6" t="s">
        <v>555</v>
      </c>
      <c r="Z226" s="15"/>
      <c r="AA226" s="15"/>
      <c r="AB226" s="15"/>
    </row>
    <row r="227" spans="1:28" ht="33" customHeight="1">
      <c r="A227" s="6" t="s">
        <v>1329</v>
      </c>
      <c r="B227" s="6" t="s">
        <v>414</v>
      </c>
      <c r="C227" s="6" t="s">
        <v>202</v>
      </c>
      <c r="D227" s="7">
        <v>1</v>
      </c>
      <c r="E227" s="6" t="s">
        <v>39</v>
      </c>
      <c r="F227" s="6" t="s">
        <v>417</v>
      </c>
      <c r="G227" s="6" t="s">
        <v>163</v>
      </c>
      <c r="H227" s="6"/>
      <c r="I227" s="6"/>
      <c r="J227" s="6" t="s">
        <v>551</v>
      </c>
      <c r="K227" s="14" t="s">
        <v>552</v>
      </c>
      <c r="L227" s="15"/>
      <c r="M227" s="15"/>
      <c r="N227" s="6" t="s">
        <v>647</v>
      </c>
      <c r="O227" s="6" t="s">
        <v>859</v>
      </c>
      <c r="P227" s="6">
        <f>COUNTIFS('05_상품별배치367'!$B$7:$B$373,A227,'05_상품별배치367'!$K$7:$K$373,"&gt;0")</f>
        <v>0</v>
      </c>
      <c r="Q227" s="6">
        <f>SUMIFS('05_상품별배치367'!$K$7:$K$373,'05_상품별배치367'!$B$7:$B$373,A227)</f>
        <v>0</v>
      </c>
      <c r="R227" s="6">
        <f>IF(Z227="",'06_집기치수20'!N17,Z227)</f>
        <v>865</v>
      </c>
      <c r="S227" s="6">
        <f>IF(AA227="",'06_집기치수20'!O17,AA227)</f>
        <v>270</v>
      </c>
      <c r="T227" s="6">
        <v>100</v>
      </c>
      <c r="U227" s="6">
        <f>IF(AB227="",'06_집기치수20'!P17,AB227-'06_집기치수20'!I17)</f>
        <v>80</v>
      </c>
      <c r="V227" s="6" t="str">
        <f>IF(Q227=0,"",IF(COUNTIFS('05_상품별배치367'!$B$7:$B$373,A227,'05_상품별배치367'!$T$7:$T$373,"입력 대기")&gt;0,"",SUMIFS('05_상품별배치367'!$S$7:$S$373,'05_상품별배치367'!$B$7:$B$373,A227)))</f>
        <v/>
      </c>
      <c r="W227" s="6" t="str">
        <f>IF(Q227=0,"미진열",IF(COUNTIFS('05_상품별배치367'!$B$7:$B$373,A227,'05_상품별배치367'!$T$7:$T$373,"치수 초과")&gt;0,"치수 초과",IF(COUNTIFS('05_상품별배치367'!$B$7:$B$373,A227,'05_상품별배치367'!$T$7:$T$373,"입력 대기")&gt;0,"치수 입력 대기",IF(V227&gt;R227,"폭 합계 초과","도면/실측 범위 내·현장확인"))))</f>
        <v>미진열</v>
      </c>
      <c r="X227" s="6"/>
      <c r="Y227" s="6" t="s">
        <v>555</v>
      </c>
      <c r="Z227" s="15"/>
      <c r="AA227" s="15"/>
      <c r="AB227" s="15"/>
    </row>
    <row r="228" spans="1:28" ht="33" customHeight="1">
      <c r="A228" s="8" t="s">
        <v>1330</v>
      </c>
      <c r="B228" s="8" t="s">
        <v>414</v>
      </c>
      <c r="C228" s="8" t="s">
        <v>202</v>
      </c>
      <c r="D228" s="9">
        <v>2</v>
      </c>
      <c r="E228" s="8" t="s">
        <v>39</v>
      </c>
      <c r="F228" s="8" t="s">
        <v>418</v>
      </c>
      <c r="G228" s="8" t="s">
        <v>163</v>
      </c>
      <c r="H228" s="8" t="s">
        <v>1331</v>
      </c>
      <c r="I228" s="8" t="s">
        <v>1332</v>
      </c>
      <c r="J228" s="8" t="s">
        <v>551</v>
      </c>
      <c r="K228" s="14" t="s">
        <v>559</v>
      </c>
      <c r="L228" s="15"/>
      <c r="M228" s="15"/>
      <c r="N228" s="8" t="s">
        <v>560</v>
      </c>
      <c r="O228" s="8" t="s">
        <v>859</v>
      </c>
      <c r="P228" s="6">
        <f>COUNTIFS('05_상품별배치367'!$B$7:$B$373,A228,'05_상품별배치367'!$K$7:$K$373,"&gt;0")</f>
        <v>2</v>
      </c>
      <c r="Q228" s="6">
        <f>SUMIFS('05_상품별배치367'!$K$7:$K$373,'05_상품별배치367'!$B$7:$B$373,A228)</f>
        <v>2</v>
      </c>
      <c r="R228" s="6">
        <f>IF(Z228="",'06_집기치수20'!N18,Z228)</f>
        <v>865</v>
      </c>
      <c r="S228" s="6">
        <f>IF(AA228="",'06_집기치수20'!O18,AA228)</f>
        <v>270</v>
      </c>
      <c r="T228" s="6">
        <v>220</v>
      </c>
      <c r="U228" s="6">
        <f>IF(AB228="",'06_집기치수20'!P18,AB228-'06_집기치수20'!I18)</f>
        <v>200</v>
      </c>
      <c r="V228" s="6" t="str">
        <f>IF(Q228=0,"",IF(COUNTIFS('05_상품별배치367'!$B$7:$B$373,A228,'05_상품별배치367'!$T$7:$T$373,"입력 대기")&gt;0,"",SUMIFS('05_상품별배치367'!$S$7:$S$373,'05_상품별배치367'!$B$7:$B$373,A228)))</f>
        <v/>
      </c>
      <c r="W228" s="6" t="str">
        <f>IF(Q228=0,"미진열",IF(COUNTIFS('05_상품별배치367'!$B$7:$B$373,A228,'05_상품별배치367'!$T$7:$T$373,"치수 초과")&gt;0,"치수 초과",IF(COUNTIFS('05_상품별배치367'!$B$7:$B$373,A228,'05_상품별배치367'!$T$7:$T$373,"입력 대기")&gt;0,"치수 입력 대기",IF(V228&gt;R228,"폭 합계 초과","도면/실측 범위 내·현장확인"))))</f>
        <v>치수 입력 대기</v>
      </c>
      <c r="X228" s="6" t="s">
        <v>1333</v>
      </c>
      <c r="Y228" s="6" t="s">
        <v>555</v>
      </c>
      <c r="Z228" s="15"/>
      <c r="AA228" s="15"/>
      <c r="AB228" s="15"/>
    </row>
    <row r="229" spans="1:28" ht="33" customHeight="1">
      <c r="A229" s="6" t="s">
        <v>1334</v>
      </c>
      <c r="B229" s="6" t="s">
        <v>414</v>
      </c>
      <c r="C229" s="6" t="s">
        <v>202</v>
      </c>
      <c r="D229" s="7">
        <v>3</v>
      </c>
      <c r="E229" s="6" t="s">
        <v>39</v>
      </c>
      <c r="F229" s="6" t="s">
        <v>419</v>
      </c>
      <c r="G229" s="6" t="s">
        <v>163</v>
      </c>
      <c r="H229" s="6" t="s">
        <v>837</v>
      </c>
      <c r="I229" s="6" t="s">
        <v>838</v>
      </c>
      <c r="J229" s="6" t="s">
        <v>551</v>
      </c>
      <c r="K229" s="14" t="s">
        <v>559</v>
      </c>
      <c r="L229" s="15"/>
      <c r="M229" s="15"/>
      <c r="N229" s="6" t="s">
        <v>560</v>
      </c>
      <c r="O229" s="6" t="s">
        <v>859</v>
      </c>
      <c r="P229" s="6">
        <f>COUNTIFS('05_상품별배치367'!$B$7:$B$373,A229,'05_상품별배치367'!$K$7:$K$373,"&gt;0")</f>
        <v>1</v>
      </c>
      <c r="Q229" s="6">
        <f>SUMIFS('05_상품별배치367'!$K$7:$K$373,'05_상품별배치367'!$B$7:$B$373,A229)</f>
        <v>1</v>
      </c>
      <c r="R229" s="6">
        <f>IF(Z229="",'06_집기치수20'!N19,Z229)</f>
        <v>865</v>
      </c>
      <c r="S229" s="6">
        <f>IF(AA229="",'06_집기치수20'!O19,AA229)</f>
        <v>270</v>
      </c>
      <c r="T229" s="6">
        <v>220</v>
      </c>
      <c r="U229" s="6">
        <f>IF(AB229="",'06_집기치수20'!P19,AB229-'06_집기치수20'!I19)</f>
        <v>200</v>
      </c>
      <c r="V229" s="6" t="str">
        <f>IF(Q229=0,"",IF(COUNTIFS('05_상품별배치367'!$B$7:$B$373,A229,'05_상품별배치367'!$T$7:$T$373,"입력 대기")&gt;0,"",SUMIFS('05_상품별배치367'!$S$7:$S$373,'05_상품별배치367'!$B$7:$B$373,A229)))</f>
        <v/>
      </c>
      <c r="W229" s="6" t="str">
        <f>IF(Q229=0,"미진열",IF(COUNTIFS('05_상품별배치367'!$B$7:$B$373,A229,'05_상품별배치367'!$T$7:$T$373,"치수 초과")&gt;0,"치수 초과",IF(COUNTIFS('05_상품별배치367'!$B$7:$B$373,A229,'05_상품별배치367'!$T$7:$T$373,"입력 대기")&gt;0,"치수 입력 대기",IF(V229&gt;R229,"폭 합계 초과","도면/실측 범위 내·현장확인"))))</f>
        <v>치수 입력 대기</v>
      </c>
      <c r="X229" s="6" t="s">
        <v>839</v>
      </c>
      <c r="Y229" s="6" t="s">
        <v>555</v>
      </c>
      <c r="Z229" s="15"/>
      <c r="AA229" s="15"/>
      <c r="AB229" s="15"/>
    </row>
    <row r="230" spans="1:28" ht="33" customHeight="1">
      <c r="A230" s="8" t="s">
        <v>1335</v>
      </c>
      <c r="B230" s="8" t="s">
        <v>414</v>
      </c>
      <c r="C230" s="8" t="s">
        <v>202</v>
      </c>
      <c r="D230" s="9">
        <v>4</v>
      </c>
      <c r="E230" s="8" t="s">
        <v>39</v>
      </c>
      <c r="F230" s="8" t="s">
        <v>420</v>
      </c>
      <c r="G230" s="8" t="s">
        <v>163</v>
      </c>
      <c r="H230" s="8" t="s">
        <v>1336</v>
      </c>
      <c r="I230" s="8" t="s">
        <v>1337</v>
      </c>
      <c r="J230" s="8" t="s">
        <v>551</v>
      </c>
      <c r="K230" s="14" t="s">
        <v>559</v>
      </c>
      <c r="L230" s="15"/>
      <c r="M230" s="15"/>
      <c r="N230" s="8" t="s">
        <v>560</v>
      </c>
      <c r="O230" s="8" t="s">
        <v>859</v>
      </c>
      <c r="P230" s="6">
        <f>COUNTIFS('05_상품별배치367'!$B$7:$B$373,A230,'05_상품별배치367'!$K$7:$K$373,"&gt;0")</f>
        <v>2</v>
      </c>
      <c r="Q230" s="6">
        <f>SUMIFS('05_상품별배치367'!$K$7:$K$373,'05_상품별배치367'!$B$7:$B$373,A230)</f>
        <v>2</v>
      </c>
      <c r="R230" s="6">
        <f>IF(Z230="",'06_집기치수20'!N20,Z230)</f>
        <v>865</v>
      </c>
      <c r="S230" s="6">
        <f>IF(AA230="",'06_집기치수20'!O20,AA230)</f>
        <v>270</v>
      </c>
      <c r="T230" s="6">
        <v>220</v>
      </c>
      <c r="U230" s="6">
        <f>IF(AB230="",'06_집기치수20'!P20,AB230-'06_집기치수20'!I20)</f>
        <v>200</v>
      </c>
      <c r="V230" s="6" t="str">
        <f>IF(Q230=0,"",IF(COUNTIFS('05_상품별배치367'!$B$7:$B$373,A230,'05_상품별배치367'!$T$7:$T$373,"입력 대기")&gt;0,"",SUMIFS('05_상품별배치367'!$S$7:$S$373,'05_상품별배치367'!$B$7:$B$373,A230)))</f>
        <v/>
      </c>
      <c r="W230" s="6" t="str">
        <f>IF(Q230=0,"미진열",IF(COUNTIFS('05_상품별배치367'!$B$7:$B$373,A230,'05_상품별배치367'!$T$7:$T$373,"치수 초과")&gt;0,"치수 초과",IF(COUNTIFS('05_상품별배치367'!$B$7:$B$373,A230,'05_상품별배치367'!$T$7:$T$373,"입력 대기")&gt;0,"치수 입력 대기",IF(V230&gt;R230,"폭 합계 초과","도면/실측 범위 내·현장확인"))))</f>
        <v>치수 입력 대기</v>
      </c>
      <c r="X230" s="6" t="s">
        <v>1338</v>
      </c>
      <c r="Y230" s="6" t="s">
        <v>555</v>
      </c>
      <c r="Z230" s="15"/>
      <c r="AA230" s="15"/>
      <c r="AB230" s="15"/>
    </row>
    <row r="231" spans="1:28" ht="33" customHeight="1">
      <c r="A231" s="6" t="s">
        <v>1339</v>
      </c>
      <c r="B231" s="6" t="s">
        <v>414</v>
      </c>
      <c r="C231" s="6" t="s">
        <v>202</v>
      </c>
      <c r="D231" s="7">
        <v>5</v>
      </c>
      <c r="E231" s="6" t="s">
        <v>39</v>
      </c>
      <c r="F231" s="6" t="s">
        <v>421</v>
      </c>
      <c r="G231" s="6" t="s">
        <v>163</v>
      </c>
      <c r="H231" s="6"/>
      <c r="I231" s="6"/>
      <c r="J231" s="6" t="s">
        <v>551</v>
      </c>
      <c r="K231" s="14" t="s">
        <v>568</v>
      </c>
      <c r="L231" s="15"/>
      <c r="M231" s="15"/>
      <c r="N231" s="6" t="s">
        <v>560</v>
      </c>
      <c r="O231" s="6" t="s">
        <v>859</v>
      </c>
      <c r="P231" s="6">
        <f>COUNTIFS('05_상품별배치367'!$B$7:$B$373,A231,'05_상품별배치367'!$K$7:$K$373,"&gt;0")</f>
        <v>0</v>
      </c>
      <c r="Q231" s="6">
        <f>SUMIFS('05_상품별배치367'!$K$7:$K$373,'05_상품별배치367'!$B$7:$B$373,A231)</f>
        <v>0</v>
      </c>
      <c r="R231" s="6">
        <f>IF(Z231="",'06_집기치수20'!N21,Z231)</f>
        <v>865</v>
      </c>
      <c r="S231" s="6">
        <f>IF(AA231="",'06_집기치수20'!O21,AA231)</f>
        <v>270</v>
      </c>
      <c r="T231" s="6">
        <v>220</v>
      </c>
      <c r="U231" s="6">
        <f>IF(AB231="",'06_집기치수20'!P21,AB231-'06_집기치수20'!I21)</f>
        <v>200</v>
      </c>
      <c r="V231" s="6" t="str">
        <f>IF(Q231=0,"",IF(COUNTIFS('05_상품별배치367'!$B$7:$B$373,A231,'05_상품별배치367'!$T$7:$T$373,"입력 대기")&gt;0,"",SUMIFS('05_상품별배치367'!$S$7:$S$373,'05_상품별배치367'!$B$7:$B$373,A231)))</f>
        <v/>
      </c>
      <c r="W231" s="6" t="str">
        <f>IF(Q231=0,"미진열",IF(COUNTIFS('05_상품별배치367'!$B$7:$B$373,A231,'05_상품별배치367'!$T$7:$T$373,"치수 초과")&gt;0,"치수 초과",IF(COUNTIFS('05_상품별배치367'!$B$7:$B$373,A231,'05_상품별배치367'!$T$7:$T$373,"입력 대기")&gt;0,"치수 입력 대기",IF(V231&gt;R231,"폭 합계 초과","도면/실측 범위 내·현장확인"))))</f>
        <v>미진열</v>
      </c>
      <c r="X231" s="6"/>
      <c r="Y231" s="6" t="s">
        <v>555</v>
      </c>
      <c r="Z231" s="15"/>
      <c r="AA231" s="15"/>
      <c r="AB231" s="15"/>
    </row>
    <row r="232" spans="1:28" ht="33" customHeight="1">
      <c r="A232" s="8" t="s">
        <v>1340</v>
      </c>
      <c r="B232" s="8" t="s">
        <v>423</v>
      </c>
      <c r="C232" s="8" t="s">
        <v>174</v>
      </c>
      <c r="D232" s="9">
        <v>1</v>
      </c>
      <c r="E232" s="8" t="s">
        <v>108</v>
      </c>
      <c r="F232" s="8" t="s">
        <v>426</v>
      </c>
      <c r="G232" s="8" t="s">
        <v>1341</v>
      </c>
      <c r="H232" s="8" t="s">
        <v>1342</v>
      </c>
      <c r="I232" s="8" t="s">
        <v>1343</v>
      </c>
      <c r="J232" s="8" t="s">
        <v>551</v>
      </c>
      <c r="K232" s="14" t="s">
        <v>559</v>
      </c>
      <c r="L232" s="15"/>
      <c r="M232" s="15"/>
      <c r="N232" s="8" t="s">
        <v>647</v>
      </c>
      <c r="O232" s="8" t="s">
        <v>859</v>
      </c>
      <c r="P232" s="6">
        <f>COUNTIFS('05_상품별배치367'!$B$7:$B$373,A232,'05_상품별배치367'!$K$7:$K$373,"&gt;0")</f>
        <v>2</v>
      </c>
      <c r="Q232" s="6">
        <f>SUMIFS('05_상품별배치367'!$K$7:$K$373,'05_상품별배치367'!$B$7:$B$373,A232)</f>
        <v>3</v>
      </c>
      <c r="R232" s="6">
        <f>IF(Z232="",'06_집기치수20'!N17,Z232)</f>
        <v>865</v>
      </c>
      <c r="S232" s="6">
        <f>IF(AA232="",'06_집기치수20'!O17,AA232)</f>
        <v>270</v>
      </c>
      <c r="T232" s="6">
        <v>100</v>
      </c>
      <c r="U232" s="6">
        <f>IF(AB232="",'06_집기치수20'!P17,AB232-'06_집기치수20'!I17)</f>
        <v>80</v>
      </c>
      <c r="V232" s="6" t="str">
        <f>IF(Q232=0,"",IF(COUNTIFS('05_상품별배치367'!$B$7:$B$373,A232,'05_상품별배치367'!$T$7:$T$373,"입력 대기")&gt;0,"",SUMIFS('05_상품별배치367'!$S$7:$S$373,'05_상품별배치367'!$B$7:$B$373,A232)))</f>
        <v/>
      </c>
      <c r="W232" s="6" t="str">
        <f>IF(Q232=0,"미진열",IF(COUNTIFS('05_상품별배치367'!$B$7:$B$373,A232,'05_상품별배치367'!$T$7:$T$373,"치수 초과")&gt;0,"치수 초과",IF(COUNTIFS('05_상품별배치367'!$B$7:$B$373,A232,'05_상품별배치367'!$T$7:$T$373,"입력 대기")&gt;0,"치수 입력 대기",IF(V232&gt;R232,"폭 합계 초과","도면/실측 범위 내·현장확인"))))</f>
        <v>치수 입력 대기</v>
      </c>
      <c r="X232" s="6" t="s">
        <v>1344</v>
      </c>
      <c r="Y232" s="6" t="s">
        <v>555</v>
      </c>
      <c r="Z232" s="15"/>
      <c r="AA232" s="15"/>
      <c r="AB232" s="15"/>
    </row>
    <row r="233" spans="1:28" ht="33" customHeight="1">
      <c r="A233" s="6" t="s">
        <v>1345</v>
      </c>
      <c r="B233" s="6" t="s">
        <v>423</v>
      </c>
      <c r="C233" s="6" t="s">
        <v>174</v>
      </c>
      <c r="D233" s="7">
        <v>2</v>
      </c>
      <c r="E233" s="6" t="s">
        <v>108</v>
      </c>
      <c r="F233" s="6" t="s">
        <v>427</v>
      </c>
      <c r="G233" s="6" t="s">
        <v>514</v>
      </c>
      <c r="H233" s="6" t="s">
        <v>1346</v>
      </c>
      <c r="I233" s="6" t="s">
        <v>1347</v>
      </c>
      <c r="J233" s="6" t="s">
        <v>551</v>
      </c>
      <c r="K233" s="14" t="s">
        <v>559</v>
      </c>
      <c r="L233" s="15"/>
      <c r="M233" s="15"/>
      <c r="N233" s="6" t="s">
        <v>560</v>
      </c>
      <c r="O233" s="6" t="s">
        <v>859</v>
      </c>
      <c r="P233" s="6">
        <f>COUNTIFS('05_상품별배치367'!$B$7:$B$373,A233,'05_상품별배치367'!$K$7:$K$373,"&gt;0")</f>
        <v>2</v>
      </c>
      <c r="Q233" s="6">
        <f>SUMIFS('05_상품별배치367'!$K$7:$K$373,'05_상품별배치367'!$B$7:$B$373,A233)</f>
        <v>2</v>
      </c>
      <c r="R233" s="6">
        <f>IF(Z233="",'06_집기치수20'!N18,Z233)</f>
        <v>865</v>
      </c>
      <c r="S233" s="6">
        <f>IF(AA233="",'06_집기치수20'!O18,AA233)</f>
        <v>270</v>
      </c>
      <c r="T233" s="6">
        <v>220</v>
      </c>
      <c r="U233" s="6">
        <f>IF(AB233="",'06_집기치수20'!P18,AB233-'06_집기치수20'!I18)</f>
        <v>200</v>
      </c>
      <c r="V233" s="6" t="str">
        <f>IF(Q233=0,"",IF(COUNTIFS('05_상품별배치367'!$B$7:$B$373,A233,'05_상품별배치367'!$T$7:$T$373,"입력 대기")&gt;0,"",SUMIFS('05_상품별배치367'!$S$7:$S$373,'05_상품별배치367'!$B$7:$B$373,A233)))</f>
        <v/>
      </c>
      <c r="W233" s="6" t="str">
        <f>IF(Q233=0,"미진열",IF(COUNTIFS('05_상품별배치367'!$B$7:$B$373,A233,'05_상품별배치367'!$T$7:$T$373,"치수 초과")&gt;0,"치수 초과",IF(COUNTIFS('05_상품별배치367'!$B$7:$B$373,A233,'05_상품별배치367'!$T$7:$T$373,"입력 대기")&gt;0,"치수 입력 대기",IF(V233&gt;R233,"폭 합계 초과","도면/실측 범위 내·현장확인"))))</f>
        <v>치수 입력 대기</v>
      </c>
      <c r="X233" s="6" t="s">
        <v>1348</v>
      </c>
      <c r="Y233" s="6" t="s">
        <v>555</v>
      </c>
      <c r="Z233" s="15"/>
      <c r="AA233" s="15"/>
      <c r="AB233" s="15"/>
    </row>
    <row r="234" spans="1:28" ht="33" customHeight="1">
      <c r="A234" s="8" t="s">
        <v>1349</v>
      </c>
      <c r="B234" s="8" t="s">
        <v>423</v>
      </c>
      <c r="C234" s="8" t="s">
        <v>174</v>
      </c>
      <c r="D234" s="9">
        <v>3</v>
      </c>
      <c r="E234" s="8" t="s">
        <v>108</v>
      </c>
      <c r="F234" s="8" t="s">
        <v>428</v>
      </c>
      <c r="G234" s="8" t="s">
        <v>514</v>
      </c>
      <c r="H234" s="8" t="s">
        <v>1350</v>
      </c>
      <c r="I234" s="8" t="s">
        <v>1351</v>
      </c>
      <c r="J234" s="8" t="s">
        <v>551</v>
      </c>
      <c r="K234" s="14" t="s">
        <v>559</v>
      </c>
      <c r="L234" s="15"/>
      <c r="M234" s="15"/>
      <c r="N234" s="8" t="s">
        <v>560</v>
      </c>
      <c r="O234" s="8" t="s">
        <v>859</v>
      </c>
      <c r="P234" s="6">
        <f>COUNTIFS('05_상품별배치367'!$B$7:$B$373,A234,'05_상품별배치367'!$K$7:$K$373,"&gt;0")</f>
        <v>2</v>
      </c>
      <c r="Q234" s="6">
        <f>SUMIFS('05_상품별배치367'!$K$7:$K$373,'05_상품별배치367'!$B$7:$B$373,A234)</f>
        <v>2</v>
      </c>
      <c r="R234" s="6">
        <f>IF(Z234="",'06_집기치수20'!N19,Z234)</f>
        <v>865</v>
      </c>
      <c r="S234" s="6">
        <f>IF(AA234="",'06_집기치수20'!O19,AA234)</f>
        <v>270</v>
      </c>
      <c r="T234" s="6">
        <v>220</v>
      </c>
      <c r="U234" s="6">
        <f>IF(AB234="",'06_집기치수20'!P19,AB234-'06_집기치수20'!I19)</f>
        <v>200</v>
      </c>
      <c r="V234" s="6" t="str">
        <f>IF(Q234=0,"",IF(COUNTIFS('05_상품별배치367'!$B$7:$B$373,A234,'05_상품별배치367'!$T$7:$T$373,"입력 대기")&gt;0,"",SUMIFS('05_상품별배치367'!$S$7:$S$373,'05_상품별배치367'!$B$7:$B$373,A234)))</f>
        <v/>
      </c>
      <c r="W234" s="6" t="str">
        <f>IF(Q234=0,"미진열",IF(COUNTIFS('05_상품별배치367'!$B$7:$B$373,A234,'05_상품별배치367'!$T$7:$T$373,"치수 초과")&gt;0,"치수 초과",IF(COUNTIFS('05_상품별배치367'!$B$7:$B$373,A234,'05_상품별배치367'!$T$7:$T$373,"입력 대기")&gt;0,"치수 입력 대기",IF(V234&gt;R234,"폭 합계 초과","도면/실측 범위 내·현장확인"))))</f>
        <v>치수 입력 대기</v>
      </c>
      <c r="X234" s="6" t="s">
        <v>1352</v>
      </c>
      <c r="Y234" s="6" t="s">
        <v>555</v>
      </c>
      <c r="Z234" s="15"/>
      <c r="AA234" s="15"/>
      <c r="AB234" s="15"/>
    </row>
    <row r="235" spans="1:28" ht="33" customHeight="1">
      <c r="A235" s="6" t="s">
        <v>1353</v>
      </c>
      <c r="B235" s="6" t="s">
        <v>423</v>
      </c>
      <c r="C235" s="6" t="s">
        <v>174</v>
      </c>
      <c r="D235" s="7">
        <v>4</v>
      </c>
      <c r="E235" s="6" t="s">
        <v>108</v>
      </c>
      <c r="F235" s="6" t="s">
        <v>429</v>
      </c>
      <c r="G235" s="6" t="s">
        <v>514</v>
      </c>
      <c r="H235" s="6" t="s">
        <v>601</v>
      </c>
      <c r="I235" s="6" t="s">
        <v>602</v>
      </c>
      <c r="J235" s="6" t="s">
        <v>551</v>
      </c>
      <c r="K235" s="14" t="s">
        <v>559</v>
      </c>
      <c r="L235" s="15"/>
      <c r="M235" s="15"/>
      <c r="N235" s="6" t="s">
        <v>560</v>
      </c>
      <c r="O235" s="6" t="s">
        <v>859</v>
      </c>
      <c r="P235" s="6">
        <f>COUNTIFS('05_상품별배치367'!$B$7:$B$373,A235,'05_상품별배치367'!$K$7:$K$373,"&gt;0")</f>
        <v>1</v>
      </c>
      <c r="Q235" s="6">
        <f>SUMIFS('05_상품별배치367'!$K$7:$K$373,'05_상품별배치367'!$B$7:$B$373,A235)</f>
        <v>1</v>
      </c>
      <c r="R235" s="6">
        <f>IF(Z235="",'06_집기치수20'!N20,Z235)</f>
        <v>865</v>
      </c>
      <c r="S235" s="6">
        <f>IF(AA235="",'06_집기치수20'!O20,AA235)</f>
        <v>270</v>
      </c>
      <c r="T235" s="6">
        <v>220</v>
      </c>
      <c r="U235" s="6">
        <f>IF(AB235="",'06_집기치수20'!P20,AB235-'06_집기치수20'!I20)</f>
        <v>200</v>
      </c>
      <c r="V235" s="6" t="str">
        <f>IF(Q235=0,"",IF(COUNTIFS('05_상품별배치367'!$B$7:$B$373,A235,'05_상품별배치367'!$T$7:$T$373,"입력 대기")&gt;0,"",SUMIFS('05_상품별배치367'!$S$7:$S$373,'05_상품별배치367'!$B$7:$B$373,A235)))</f>
        <v/>
      </c>
      <c r="W235" s="6" t="str">
        <f>IF(Q235=0,"미진열",IF(COUNTIFS('05_상품별배치367'!$B$7:$B$373,A235,'05_상품별배치367'!$T$7:$T$373,"치수 초과")&gt;0,"치수 초과",IF(COUNTIFS('05_상품별배치367'!$B$7:$B$373,A235,'05_상품별배치367'!$T$7:$T$373,"입력 대기")&gt;0,"치수 입력 대기",IF(V235&gt;R235,"폭 합계 초과","도면/실측 범위 내·현장확인"))))</f>
        <v>치수 입력 대기</v>
      </c>
      <c r="X235" s="6" t="s">
        <v>603</v>
      </c>
      <c r="Y235" s="6" t="s">
        <v>555</v>
      </c>
      <c r="Z235" s="15"/>
      <c r="AA235" s="15"/>
      <c r="AB235" s="15"/>
    </row>
    <row r="236" spans="1:28" ht="33" customHeight="1">
      <c r="A236" s="8" t="s">
        <v>1354</v>
      </c>
      <c r="B236" s="8" t="s">
        <v>423</v>
      </c>
      <c r="C236" s="8" t="s">
        <v>174</v>
      </c>
      <c r="D236" s="9">
        <v>5</v>
      </c>
      <c r="E236" s="8" t="s">
        <v>108</v>
      </c>
      <c r="F236" s="8" t="s">
        <v>430</v>
      </c>
      <c r="G236" s="8" t="s">
        <v>514</v>
      </c>
      <c r="H236" s="8" t="s">
        <v>1355</v>
      </c>
      <c r="I236" s="8" t="s">
        <v>1356</v>
      </c>
      <c r="J236" s="8" t="s">
        <v>551</v>
      </c>
      <c r="K236" s="14" t="s">
        <v>559</v>
      </c>
      <c r="L236" s="15"/>
      <c r="M236" s="15"/>
      <c r="N236" s="8" t="s">
        <v>560</v>
      </c>
      <c r="O236" s="8" t="s">
        <v>859</v>
      </c>
      <c r="P236" s="6">
        <f>COUNTIFS('05_상품별배치367'!$B$7:$B$373,A236,'05_상품별배치367'!$K$7:$K$373,"&gt;0")</f>
        <v>1</v>
      </c>
      <c r="Q236" s="6">
        <f>SUMIFS('05_상품별배치367'!$K$7:$K$373,'05_상품별배치367'!$B$7:$B$373,A236)</f>
        <v>1</v>
      </c>
      <c r="R236" s="6">
        <f>IF(Z236="",'06_집기치수20'!N21,Z236)</f>
        <v>865</v>
      </c>
      <c r="S236" s="6">
        <f>IF(AA236="",'06_집기치수20'!O21,AA236)</f>
        <v>270</v>
      </c>
      <c r="T236" s="6">
        <v>220</v>
      </c>
      <c r="U236" s="6">
        <f>IF(AB236="",'06_집기치수20'!P21,AB236-'06_집기치수20'!I21)</f>
        <v>200</v>
      </c>
      <c r="V236" s="6" t="str">
        <f>IF(Q236=0,"",IF(COUNTIFS('05_상품별배치367'!$B$7:$B$373,A236,'05_상품별배치367'!$T$7:$T$373,"입력 대기")&gt;0,"",SUMIFS('05_상품별배치367'!$S$7:$S$373,'05_상품별배치367'!$B$7:$B$373,A236)))</f>
        <v/>
      </c>
      <c r="W236" s="6" t="str">
        <f>IF(Q236=0,"미진열",IF(COUNTIFS('05_상품별배치367'!$B$7:$B$373,A236,'05_상품별배치367'!$T$7:$T$373,"치수 초과")&gt;0,"치수 초과",IF(COUNTIFS('05_상품별배치367'!$B$7:$B$373,A236,'05_상품별배치367'!$T$7:$T$373,"입력 대기")&gt;0,"치수 입력 대기",IF(V236&gt;R236,"폭 합계 초과","도면/실측 범위 내·현장확인"))))</f>
        <v>치수 입력 대기</v>
      </c>
      <c r="X236" s="6" t="s">
        <v>1357</v>
      </c>
      <c r="Y236" s="6" t="s">
        <v>555</v>
      </c>
      <c r="Z236" s="15"/>
      <c r="AA236" s="15"/>
      <c r="AB236" s="15"/>
    </row>
    <row r="237" spans="1:28" ht="33" customHeight="1">
      <c r="A237" s="6" t="s">
        <v>1358</v>
      </c>
      <c r="B237" s="6" t="s">
        <v>431</v>
      </c>
      <c r="C237" s="6" t="s">
        <v>174</v>
      </c>
      <c r="D237" s="7">
        <v>1</v>
      </c>
      <c r="E237" s="6" t="s">
        <v>108</v>
      </c>
      <c r="F237" s="6" t="s">
        <v>434</v>
      </c>
      <c r="G237" s="6" t="s">
        <v>1359</v>
      </c>
      <c r="H237" s="6" t="s">
        <v>1360</v>
      </c>
      <c r="I237" s="6" t="s">
        <v>1361</v>
      </c>
      <c r="J237" s="6" t="s">
        <v>551</v>
      </c>
      <c r="K237" s="14" t="s">
        <v>559</v>
      </c>
      <c r="L237" s="15"/>
      <c r="M237" s="15"/>
      <c r="N237" s="6" t="s">
        <v>647</v>
      </c>
      <c r="O237" s="6" t="s">
        <v>859</v>
      </c>
      <c r="P237" s="6">
        <f>COUNTIFS('05_상품별배치367'!$B$7:$B$373,A237,'05_상품별배치367'!$K$7:$K$373,"&gt;0")</f>
        <v>2</v>
      </c>
      <c r="Q237" s="6">
        <f>SUMIFS('05_상품별배치367'!$K$7:$K$373,'05_상품별배치367'!$B$7:$B$373,A237)</f>
        <v>2</v>
      </c>
      <c r="R237" s="6">
        <f>IF(Z237="",'06_집기치수20'!N17,Z237)</f>
        <v>865</v>
      </c>
      <c r="S237" s="6">
        <f>IF(AA237="",'06_집기치수20'!O17,AA237)</f>
        <v>270</v>
      </c>
      <c r="T237" s="6">
        <v>100</v>
      </c>
      <c r="U237" s="6">
        <f>IF(AB237="",'06_집기치수20'!P17,AB237-'06_집기치수20'!I17)</f>
        <v>80</v>
      </c>
      <c r="V237" s="6" t="str">
        <f>IF(Q237=0,"",IF(COUNTIFS('05_상품별배치367'!$B$7:$B$373,A237,'05_상품별배치367'!$T$7:$T$373,"입력 대기")&gt;0,"",SUMIFS('05_상품별배치367'!$S$7:$S$373,'05_상품별배치367'!$B$7:$B$373,A237)))</f>
        <v/>
      </c>
      <c r="W237" s="6" t="str">
        <f>IF(Q237=0,"미진열",IF(COUNTIFS('05_상품별배치367'!$B$7:$B$373,A237,'05_상품별배치367'!$T$7:$T$373,"치수 초과")&gt;0,"치수 초과",IF(COUNTIFS('05_상품별배치367'!$B$7:$B$373,A237,'05_상품별배치367'!$T$7:$T$373,"입력 대기")&gt;0,"치수 입력 대기",IF(V237&gt;R237,"폭 합계 초과","도면/실측 범위 내·현장확인"))))</f>
        <v>치수 입력 대기</v>
      </c>
      <c r="X237" s="6" t="s">
        <v>1362</v>
      </c>
      <c r="Y237" s="6" t="s">
        <v>555</v>
      </c>
      <c r="Z237" s="15"/>
      <c r="AA237" s="15"/>
      <c r="AB237" s="15"/>
    </row>
    <row r="238" spans="1:28" ht="33" customHeight="1">
      <c r="A238" s="8" t="s">
        <v>1363</v>
      </c>
      <c r="B238" s="8" t="s">
        <v>431</v>
      </c>
      <c r="C238" s="8" t="s">
        <v>174</v>
      </c>
      <c r="D238" s="9">
        <v>2</v>
      </c>
      <c r="E238" s="8" t="s">
        <v>108</v>
      </c>
      <c r="F238" s="8" t="s">
        <v>435</v>
      </c>
      <c r="G238" s="8" t="s">
        <v>1359</v>
      </c>
      <c r="H238" s="8" t="s">
        <v>1364</v>
      </c>
      <c r="I238" s="8" t="s">
        <v>1365</v>
      </c>
      <c r="J238" s="8" t="s">
        <v>551</v>
      </c>
      <c r="K238" s="14" t="s">
        <v>559</v>
      </c>
      <c r="L238" s="15"/>
      <c r="M238" s="15"/>
      <c r="N238" s="8" t="s">
        <v>560</v>
      </c>
      <c r="O238" s="8" t="s">
        <v>859</v>
      </c>
      <c r="P238" s="6">
        <f>COUNTIFS('05_상품별배치367'!$B$7:$B$373,A238,'05_상품별배치367'!$K$7:$K$373,"&gt;0")</f>
        <v>2</v>
      </c>
      <c r="Q238" s="6">
        <f>SUMIFS('05_상품별배치367'!$K$7:$K$373,'05_상품별배치367'!$B$7:$B$373,A238)</f>
        <v>3</v>
      </c>
      <c r="R238" s="6">
        <f>IF(Z238="",'06_집기치수20'!N18,Z238)</f>
        <v>865</v>
      </c>
      <c r="S238" s="6">
        <f>IF(AA238="",'06_집기치수20'!O18,AA238)</f>
        <v>270</v>
      </c>
      <c r="T238" s="6">
        <v>220</v>
      </c>
      <c r="U238" s="6">
        <f>IF(AB238="",'06_집기치수20'!P18,AB238-'06_집기치수20'!I18)</f>
        <v>200</v>
      </c>
      <c r="V238" s="6" t="str">
        <f>IF(Q238=0,"",IF(COUNTIFS('05_상품별배치367'!$B$7:$B$373,A238,'05_상품별배치367'!$T$7:$T$373,"입력 대기")&gt;0,"",SUMIFS('05_상품별배치367'!$S$7:$S$373,'05_상품별배치367'!$B$7:$B$373,A238)))</f>
        <v/>
      </c>
      <c r="W238" s="6" t="str">
        <f>IF(Q238=0,"미진열",IF(COUNTIFS('05_상품별배치367'!$B$7:$B$373,A238,'05_상품별배치367'!$T$7:$T$373,"치수 초과")&gt;0,"치수 초과",IF(COUNTIFS('05_상품별배치367'!$B$7:$B$373,A238,'05_상품별배치367'!$T$7:$T$373,"입력 대기")&gt;0,"치수 입력 대기",IF(V238&gt;R238,"폭 합계 초과","도면/실측 범위 내·현장확인"))))</f>
        <v>치수 입력 대기</v>
      </c>
      <c r="X238" s="6" t="s">
        <v>1366</v>
      </c>
      <c r="Y238" s="6" t="s">
        <v>555</v>
      </c>
      <c r="Z238" s="15"/>
      <c r="AA238" s="15"/>
      <c r="AB238" s="15"/>
    </row>
    <row r="239" spans="1:28" ht="33" customHeight="1">
      <c r="A239" s="6" t="s">
        <v>1367</v>
      </c>
      <c r="B239" s="6" t="s">
        <v>431</v>
      </c>
      <c r="C239" s="6" t="s">
        <v>174</v>
      </c>
      <c r="D239" s="7">
        <v>3</v>
      </c>
      <c r="E239" s="6" t="s">
        <v>108</v>
      </c>
      <c r="F239" s="6" t="s">
        <v>436</v>
      </c>
      <c r="G239" s="6" t="s">
        <v>515</v>
      </c>
      <c r="H239" s="6" t="s">
        <v>1368</v>
      </c>
      <c r="I239" s="6" t="s">
        <v>1369</v>
      </c>
      <c r="J239" s="6" t="s">
        <v>551</v>
      </c>
      <c r="K239" s="14" t="s">
        <v>559</v>
      </c>
      <c r="L239" s="15"/>
      <c r="M239" s="15"/>
      <c r="N239" s="6" t="s">
        <v>560</v>
      </c>
      <c r="O239" s="6" t="s">
        <v>859</v>
      </c>
      <c r="P239" s="6">
        <f>COUNTIFS('05_상품별배치367'!$B$7:$B$373,A239,'05_상품별배치367'!$K$7:$K$373,"&gt;0")</f>
        <v>1</v>
      </c>
      <c r="Q239" s="6">
        <f>SUMIFS('05_상품별배치367'!$K$7:$K$373,'05_상품별배치367'!$B$7:$B$373,A239)</f>
        <v>1</v>
      </c>
      <c r="R239" s="6">
        <f>IF(Z239="",'06_집기치수20'!N19,Z239)</f>
        <v>865</v>
      </c>
      <c r="S239" s="6">
        <f>IF(AA239="",'06_집기치수20'!O19,AA239)</f>
        <v>270</v>
      </c>
      <c r="T239" s="6">
        <v>220</v>
      </c>
      <c r="U239" s="6">
        <f>IF(AB239="",'06_집기치수20'!P19,AB239-'06_집기치수20'!I19)</f>
        <v>200</v>
      </c>
      <c r="V239" s="6" t="str">
        <f>IF(Q239=0,"",IF(COUNTIFS('05_상품별배치367'!$B$7:$B$373,A239,'05_상품별배치367'!$T$7:$T$373,"입력 대기")&gt;0,"",SUMIFS('05_상품별배치367'!$S$7:$S$373,'05_상품별배치367'!$B$7:$B$373,A239)))</f>
        <v/>
      </c>
      <c r="W239" s="6" t="str">
        <f>IF(Q239=0,"미진열",IF(COUNTIFS('05_상품별배치367'!$B$7:$B$373,A239,'05_상품별배치367'!$T$7:$T$373,"치수 초과")&gt;0,"치수 초과",IF(COUNTIFS('05_상품별배치367'!$B$7:$B$373,A239,'05_상품별배치367'!$T$7:$T$373,"입력 대기")&gt;0,"치수 입력 대기",IF(V239&gt;R239,"폭 합계 초과","도면/실측 범위 내·현장확인"))))</f>
        <v>치수 입력 대기</v>
      </c>
      <c r="X239" s="6" t="s">
        <v>1370</v>
      </c>
      <c r="Y239" s="6" t="s">
        <v>555</v>
      </c>
      <c r="Z239" s="15"/>
      <c r="AA239" s="15"/>
      <c r="AB239" s="15"/>
    </row>
    <row r="240" spans="1:28" ht="46" customHeight="1">
      <c r="A240" s="8" t="s">
        <v>1371</v>
      </c>
      <c r="B240" s="8" t="s">
        <v>431</v>
      </c>
      <c r="C240" s="8" t="s">
        <v>174</v>
      </c>
      <c r="D240" s="9">
        <v>4</v>
      </c>
      <c r="E240" s="8" t="s">
        <v>108</v>
      </c>
      <c r="F240" s="8" t="s">
        <v>437</v>
      </c>
      <c r="G240" s="8" t="s">
        <v>515</v>
      </c>
      <c r="H240" s="8" t="s">
        <v>1372</v>
      </c>
      <c r="I240" s="8" t="s">
        <v>1373</v>
      </c>
      <c r="J240" s="8" t="s">
        <v>551</v>
      </c>
      <c r="K240" s="14" t="s">
        <v>559</v>
      </c>
      <c r="L240" s="15"/>
      <c r="M240" s="15"/>
      <c r="N240" s="8" t="s">
        <v>560</v>
      </c>
      <c r="O240" s="8" t="s">
        <v>859</v>
      </c>
      <c r="P240" s="6">
        <f>COUNTIFS('05_상품별배치367'!$B$7:$B$373,A240,'05_상품별배치367'!$K$7:$K$373,"&gt;0")</f>
        <v>3</v>
      </c>
      <c r="Q240" s="6">
        <f>SUMIFS('05_상품별배치367'!$K$7:$K$373,'05_상품별배치367'!$B$7:$B$373,A240)</f>
        <v>3</v>
      </c>
      <c r="R240" s="6">
        <f>IF(Z240="",'06_집기치수20'!N20,Z240)</f>
        <v>865</v>
      </c>
      <c r="S240" s="6">
        <f>IF(AA240="",'06_집기치수20'!O20,AA240)</f>
        <v>270</v>
      </c>
      <c r="T240" s="6">
        <v>220</v>
      </c>
      <c r="U240" s="6">
        <f>IF(AB240="",'06_집기치수20'!P20,AB240-'06_집기치수20'!I20)</f>
        <v>200</v>
      </c>
      <c r="V240" s="6" t="str">
        <f>IF(Q240=0,"",IF(COUNTIFS('05_상품별배치367'!$B$7:$B$373,A240,'05_상품별배치367'!$T$7:$T$373,"입력 대기")&gt;0,"",SUMIFS('05_상품별배치367'!$S$7:$S$373,'05_상품별배치367'!$B$7:$B$373,A240)))</f>
        <v/>
      </c>
      <c r="W240" s="6" t="str">
        <f>IF(Q240=0,"미진열",IF(COUNTIFS('05_상품별배치367'!$B$7:$B$373,A240,'05_상품별배치367'!$T$7:$T$373,"치수 초과")&gt;0,"치수 초과",IF(COUNTIFS('05_상품별배치367'!$B$7:$B$373,A240,'05_상품별배치367'!$T$7:$T$373,"입력 대기")&gt;0,"치수 입력 대기",IF(V240&gt;R240,"폭 합계 초과","도면/실측 범위 내·현장확인"))))</f>
        <v>치수 입력 대기</v>
      </c>
      <c r="X240" s="6" t="s">
        <v>1374</v>
      </c>
      <c r="Y240" s="6" t="s">
        <v>555</v>
      </c>
      <c r="Z240" s="15"/>
      <c r="AA240" s="15"/>
      <c r="AB240" s="15"/>
    </row>
    <row r="241" spans="1:28" ht="33" customHeight="1">
      <c r="A241" s="6" t="s">
        <v>1375</v>
      </c>
      <c r="B241" s="6" t="s">
        <v>431</v>
      </c>
      <c r="C241" s="6" t="s">
        <v>174</v>
      </c>
      <c r="D241" s="7">
        <v>5</v>
      </c>
      <c r="E241" s="6" t="s">
        <v>108</v>
      </c>
      <c r="F241" s="6" t="s">
        <v>438</v>
      </c>
      <c r="G241" s="6" t="s">
        <v>1376</v>
      </c>
      <c r="H241" s="6" t="s">
        <v>1377</v>
      </c>
      <c r="I241" s="6" t="s">
        <v>1378</v>
      </c>
      <c r="J241" s="6" t="s">
        <v>551</v>
      </c>
      <c r="K241" s="14" t="s">
        <v>559</v>
      </c>
      <c r="L241" s="15"/>
      <c r="M241" s="15"/>
      <c r="N241" s="6" t="s">
        <v>560</v>
      </c>
      <c r="O241" s="6" t="s">
        <v>859</v>
      </c>
      <c r="P241" s="6">
        <f>COUNTIFS('05_상품별배치367'!$B$7:$B$373,A241,'05_상품별배치367'!$K$7:$K$373,"&gt;0")</f>
        <v>2</v>
      </c>
      <c r="Q241" s="6">
        <f>SUMIFS('05_상품별배치367'!$K$7:$K$373,'05_상품별배치367'!$B$7:$B$373,A241)</f>
        <v>2</v>
      </c>
      <c r="R241" s="6">
        <f>IF(Z241="",'06_집기치수20'!N21,Z241)</f>
        <v>865</v>
      </c>
      <c r="S241" s="6">
        <f>IF(AA241="",'06_집기치수20'!O21,AA241)</f>
        <v>270</v>
      </c>
      <c r="T241" s="6">
        <v>220</v>
      </c>
      <c r="U241" s="6">
        <f>IF(AB241="",'06_집기치수20'!P21,AB241-'06_집기치수20'!I21)</f>
        <v>200</v>
      </c>
      <c r="V241" s="6" t="str">
        <f>IF(Q241=0,"",IF(COUNTIFS('05_상품별배치367'!$B$7:$B$373,A241,'05_상품별배치367'!$T$7:$T$373,"입력 대기")&gt;0,"",SUMIFS('05_상품별배치367'!$S$7:$S$373,'05_상품별배치367'!$B$7:$B$373,A241)))</f>
        <v/>
      </c>
      <c r="W241" s="6" t="str">
        <f>IF(Q241=0,"미진열",IF(COUNTIFS('05_상품별배치367'!$B$7:$B$373,A241,'05_상품별배치367'!$T$7:$T$373,"치수 초과")&gt;0,"치수 초과",IF(COUNTIFS('05_상품별배치367'!$B$7:$B$373,A241,'05_상품별배치367'!$T$7:$T$373,"입력 대기")&gt;0,"치수 입력 대기",IF(V241&gt;R241,"폭 합계 초과","도면/실측 범위 내·현장확인"))))</f>
        <v>치수 입력 대기</v>
      </c>
      <c r="X241" s="6" t="s">
        <v>1379</v>
      </c>
      <c r="Y241" s="6" t="s">
        <v>555</v>
      </c>
      <c r="Z241" s="15"/>
      <c r="AA241" s="15"/>
      <c r="AB241" s="15"/>
    </row>
    <row r="242" spans="1:28" ht="33" customHeight="1">
      <c r="A242" s="8" t="s">
        <v>1380</v>
      </c>
      <c r="B242" s="8" t="s">
        <v>439</v>
      </c>
      <c r="C242" s="8" t="s">
        <v>174</v>
      </c>
      <c r="D242" s="9">
        <v>1</v>
      </c>
      <c r="E242" s="8" t="s">
        <v>108</v>
      </c>
      <c r="F242" s="8" t="s">
        <v>442</v>
      </c>
      <c r="G242" s="8" t="s">
        <v>1381</v>
      </c>
      <c r="H242" s="8"/>
      <c r="I242" s="8"/>
      <c r="J242" s="8" t="s">
        <v>551</v>
      </c>
      <c r="K242" s="14" t="s">
        <v>552</v>
      </c>
      <c r="L242" s="15"/>
      <c r="M242" s="15"/>
      <c r="N242" s="8" t="s">
        <v>647</v>
      </c>
      <c r="O242" s="8" t="s">
        <v>859</v>
      </c>
      <c r="P242" s="6">
        <f>COUNTIFS('05_상품별배치367'!$B$7:$B$373,A242,'05_상품별배치367'!$K$7:$K$373,"&gt;0")</f>
        <v>0</v>
      </c>
      <c r="Q242" s="6">
        <f>SUMIFS('05_상품별배치367'!$K$7:$K$373,'05_상품별배치367'!$B$7:$B$373,A242)</f>
        <v>0</v>
      </c>
      <c r="R242" s="6">
        <f>IF(Z242="",'06_집기치수20'!N17,Z242)</f>
        <v>865</v>
      </c>
      <c r="S242" s="6">
        <f>IF(AA242="",'06_집기치수20'!O17,AA242)</f>
        <v>270</v>
      </c>
      <c r="T242" s="6">
        <v>100</v>
      </c>
      <c r="U242" s="6">
        <f>IF(AB242="",'06_집기치수20'!P17,AB242-'06_집기치수20'!I17)</f>
        <v>80</v>
      </c>
      <c r="V242" s="6" t="str">
        <f>IF(Q242=0,"",IF(COUNTIFS('05_상품별배치367'!$B$7:$B$373,A242,'05_상품별배치367'!$T$7:$T$373,"입력 대기")&gt;0,"",SUMIFS('05_상품별배치367'!$S$7:$S$373,'05_상품별배치367'!$B$7:$B$373,A242)))</f>
        <v/>
      </c>
      <c r="W242" s="6" t="str">
        <f>IF(Q242=0,"미진열",IF(COUNTIFS('05_상품별배치367'!$B$7:$B$373,A242,'05_상품별배치367'!$T$7:$T$373,"치수 초과")&gt;0,"치수 초과",IF(COUNTIFS('05_상품별배치367'!$B$7:$B$373,A242,'05_상품별배치367'!$T$7:$T$373,"입력 대기")&gt;0,"치수 입력 대기",IF(V242&gt;R242,"폭 합계 초과","도면/실측 범위 내·현장확인"))))</f>
        <v>미진열</v>
      </c>
      <c r="X242" s="6"/>
      <c r="Y242" s="6" t="s">
        <v>555</v>
      </c>
      <c r="Z242" s="15"/>
      <c r="AA242" s="15"/>
      <c r="AB242" s="15"/>
    </row>
    <row r="243" spans="1:28" ht="33" customHeight="1">
      <c r="A243" s="6" t="s">
        <v>1382</v>
      </c>
      <c r="B243" s="6" t="s">
        <v>439</v>
      </c>
      <c r="C243" s="6" t="s">
        <v>174</v>
      </c>
      <c r="D243" s="7">
        <v>2</v>
      </c>
      <c r="E243" s="6" t="s">
        <v>108</v>
      </c>
      <c r="F243" s="6" t="s">
        <v>443</v>
      </c>
      <c r="G243" s="6" t="s">
        <v>1381</v>
      </c>
      <c r="H243" s="6" t="s">
        <v>1383</v>
      </c>
      <c r="I243" s="6" t="s">
        <v>1384</v>
      </c>
      <c r="J243" s="6" t="s">
        <v>551</v>
      </c>
      <c r="K243" s="14" t="s">
        <v>559</v>
      </c>
      <c r="L243" s="15"/>
      <c r="M243" s="15"/>
      <c r="N243" s="6" t="s">
        <v>560</v>
      </c>
      <c r="O243" s="6" t="s">
        <v>859</v>
      </c>
      <c r="P243" s="6">
        <f>COUNTIFS('05_상품별배치367'!$B$7:$B$373,A243,'05_상품별배치367'!$K$7:$K$373,"&gt;0")</f>
        <v>1</v>
      </c>
      <c r="Q243" s="6">
        <f>SUMIFS('05_상품별배치367'!$K$7:$K$373,'05_상품별배치367'!$B$7:$B$373,A243)</f>
        <v>2</v>
      </c>
      <c r="R243" s="6">
        <f>IF(Z243="",'06_집기치수20'!N18,Z243)</f>
        <v>865</v>
      </c>
      <c r="S243" s="6">
        <f>IF(AA243="",'06_집기치수20'!O18,AA243)</f>
        <v>270</v>
      </c>
      <c r="T243" s="6">
        <v>220</v>
      </c>
      <c r="U243" s="6">
        <f>IF(AB243="",'06_집기치수20'!P18,AB243-'06_집기치수20'!I18)</f>
        <v>200</v>
      </c>
      <c r="V243" s="6" t="str">
        <f>IF(Q243=0,"",IF(COUNTIFS('05_상품별배치367'!$B$7:$B$373,A243,'05_상품별배치367'!$T$7:$T$373,"입력 대기")&gt;0,"",SUMIFS('05_상품별배치367'!$S$7:$S$373,'05_상품별배치367'!$B$7:$B$373,A243)))</f>
        <v/>
      </c>
      <c r="W243" s="6" t="str">
        <f>IF(Q243=0,"미진열",IF(COUNTIFS('05_상품별배치367'!$B$7:$B$373,A243,'05_상품별배치367'!$T$7:$T$373,"치수 초과")&gt;0,"치수 초과",IF(COUNTIFS('05_상품별배치367'!$B$7:$B$373,A243,'05_상품별배치367'!$T$7:$T$373,"입력 대기")&gt;0,"치수 입력 대기",IF(V243&gt;R243,"폭 합계 초과","도면/실측 범위 내·현장확인"))))</f>
        <v>치수 입력 대기</v>
      </c>
      <c r="X243" s="6" t="s">
        <v>1385</v>
      </c>
      <c r="Y243" s="6" t="s">
        <v>555</v>
      </c>
      <c r="Z243" s="15"/>
      <c r="AA243" s="15"/>
      <c r="AB243" s="15"/>
    </row>
    <row r="244" spans="1:28" ht="33" customHeight="1">
      <c r="A244" s="8" t="s">
        <v>1386</v>
      </c>
      <c r="B244" s="8" t="s">
        <v>439</v>
      </c>
      <c r="C244" s="8" t="s">
        <v>174</v>
      </c>
      <c r="D244" s="9">
        <v>3</v>
      </c>
      <c r="E244" s="8" t="s">
        <v>108</v>
      </c>
      <c r="F244" s="8" t="s">
        <v>444</v>
      </c>
      <c r="G244" s="8" t="s">
        <v>1381</v>
      </c>
      <c r="H244" s="8" t="s">
        <v>1387</v>
      </c>
      <c r="I244" s="8" t="s">
        <v>1388</v>
      </c>
      <c r="J244" s="8" t="s">
        <v>551</v>
      </c>
      <c r="K244" s="14" t="s">
        <v>559</v>
      </c>
      <c r="L244" s="15"/>
      <c r="M244" s="15"/>
      <c r="N244" s="8" t="s">
        <v>560</v>
      </c>
      <c r="O244" s="8" t="s">
        <v>859</v>
      </c>
      <c r="P244" s="6">
        <f>COUNTIFS('05_상품별배치367'!$B$7:$B$373,A244,'05_상품별배치367'!$K$7:$K$373,"&gt;0")</f>
        <v>2</v>
      </c>
      <c r="Q244" s="6">
        <f>SUMIFS('05_상품별배치367'!$K$7:$K$373,'05_상품별배치367'!$B$7:$B$373,A244)</f>
        <v>2</v>
      </c>
      <c r="R244" s="6">
        <f>IF(Z244="",'06_집기치수20'!N19,Z244)</f>
        <v>865</v>
      </c>
      <c r="S244" s="6">
        <f>IF(AA244="",'06_집기치수20'!O19,AA244)</f>
        <v>270</v>
      </c>
      <c r="T244" s="6">
        <v>220</v>
      </c>
      <c r="U244" s="6">
        <f>IF(AB244="",'06_집기치수20'!P19,AB244-'06_집기치수20'!I19)</f>
        <v>200</v>
      </c>
      <c r="V244" s="6" t="str">
        <f>IF(Q244=0,"",IF(COUNTIFS('05_상품별배치367'!$B$7:$B$373,A244,'05_상품별배치367'!$T$7:$T$373,"입력 대기")&gt;0,"",SUMIFS('05_상품별배치367'!$S$7:$S$373,'05_상품별배치367'!$B$7:$B$373,A244)))</f>
        <v/>
      </c>
      <c r="W244" s="6" t="str">
        <f>IF(Q244=0,"미진열",IF(COUNTIFS('05_상품별배치367'!$B$7:$B$373,A244,'05_상품별배치367'!$T$7:$T$373,"치수 초과")&gt;0,"치수 초과",IF(COUNTIFS('05_상품별배치367'!$B$7:$B$373,A244,'05_상품별배치367'!$T$7:$T$373,"입력 대기")&gt;0,"치수 입력 대기",IF(V244&gt;R244,"폭 합계 초과","도면/실측 범위 내·현장확인"))))</f>
        <v>치수 입력 대기</v>
      </c>
      <c r="X244" s="6" t="s">
        <v>1389</v>
      </c>
      <c r="Y244" s="6" t="s">
        <v>555</v>
      </c>
      <c r="Z244" s="15"/>
      <c r="AA244" s="15"/>
      <c r="AB244" s="15"/>
    </row>
    <row r="245" spans="1:28" ht="33" customHeight="1">
      <c r="A245" s="6" t="s">
        <v>1390</v>
      </c>
      <c r="B245" s="6" t="s">
        <v>439</v>
      </c>
      <c r="C245" s="6" t="s">
        <v>174</v>
      </c>
      <c r="D245" s="7">
        <v>4</v>
      </c>
      <c r="E245" s="6" t="s">
        <v>108</v>
      </c>
      <c r="F245" s="6" t="s">
        <v>445</v>
      </c>
      <c r="G245" s="6" t="s">
        <v>1381</v>
      </c>
      <c r="H245" s="6" t="s">
        <v>1391</v>
      </c>
      <c r="I245" s="6" t="s">
        <v>1392</v>
      </c>
      <c r="J245" s="6" t="s">
        <v>551</v>
      </c>
      <c r="K245" s="14" t="s">
        <v>559</v>
      </c>
      <c r="L245" s="15"/>
      <c r="M245" s="15"/>
      <c r="N245" s="6" t="s">
        <v>560</v>
      </c>
      <c r="O245" s="6" t="s">
        <v>859</v>
      </c>
      <c r="P245" s="6">
        <f>COUNTIFS('05_상품별배치367'!$B$7:$B$373,A245,'05_상품별배치367'!$K$7:$K$373,"&gt;0")</f>
        <v>1</v>
      </c>
      <c r="Q245" s="6">
        <f>SUMIFS('05_상품별배치367'!$K$7:$K$373,'05_상품별배치367'!$B$7:$B$373,A245)</f>
        <v>1</v>
      </c>
      <c r="R245" s="6">
        <f>IF(Z245="",'06_집기치수20'!N20,Z245)</f>
        <v>865</v>
      </c>
      <c r="S245" s="6">
        <f>IF(AA245="",'06_집기치수20'!O20,AA245)</f>
        <v>270</v>
      </c>
      <c r="T245" s="6">
        <v>220</v>
      </c>
      <c r="U245" s="6">
        <f>IF(AB245="",'06_집기치수20'!P20,AB245-'06_집기치수20'!I20)</f>
        <v>200</v>
      </c>
      <c r="V245" s="6" t="str">
        <f>IF(Q245=0,"",IF(COUNTIFS('05_상품별배치367'!$B$7:$B$373,A245,'05_상품별배치367'!$T$7:$T$373,"입력 대기")&gt;0,"",SUMIFS('05_상품별배치367'!$S$7:$S$373,'05_상품별배치367'!$B$7:$B$373,A245)))</f>
        <v/>
      </c>
      <c r="W245" s="6" t="str">
        <f>IF(Q245=0,"미진열",IF(COUNTIFS('05_상품별배치367'!$B$7:$B$373,A245,'05_상품별배치367'!$T$7:$T$373,"치수 초과")&gt;0,"치수 초과",IF(COUNTIFS('05_상품별배치367'!$B$7:$B$373,A245,'05_상품별배치367'!$T$7:$T$373,"입력 대기")&gt;0,"치수 입력 대기",IF(V245&gt;R245,"폭 합계 초과","도면/실측 범위 내·현장확인"))))</f>
        <v>치수 입력 대기</v>
      </c>
      <c r="X245" s="6" t="s">
        <v>1393</v>
      </c>
      <c r="Y245" s="6" t="s">
        <v>555</v>
      </c>
      <c r="Z245" s="15"/>
      <c r="AA245" s="15"/>
      <c r="AB245" s="15"/>
    </row>
    <row r="246" spans="1:28" ht="33" customHeight="1">
      <c r="A246" s="8" t="s">
        <v>1394</v>
      </c>
      <c r="B246" s="8" t="s">
        <v>439</v>
      </c>
      <c r="C246" s="8" t="s">
        <v>174</v>
      </c>
      <c r="D246" s="9">
        <v>5</v>
      </c>
      <c r="E246" s="8" t="s">
        <v>108</v>
      </c>
      <c r="F246" s="8" t="s">
        <v>446</v>
      </c>
      <c r="G246" s="8" t="s">
        <v>1381</v>
      </c>
      <c r="H246" s="8"/>
      <c r="I246" s="8"/>
      <c r="J246" s="8" t="s">
        <v>551</v>
      </c>
      <c r="K246" s="14" t="s">
        <v>568</v>
      </c>
      <c r="L246" s="15"/>
      <c r="M246" s="15"/>
      <c r="N246" s="8" t="s">
        <v>560</v>
      </c>
      <c r="O246" s="8" t="s">
        <v>859</v>
      </c>
      <c r="P246" s="6">
        <f>COUNTIFS('05_상품별배치367'!$B$7:$B$373,A246,'05_상품별배치367'!$K$7:$K$373,"&gt;0")</f>
        <v>0</v>
      </c>
      <c r="Q246" s="6">
        <f>SUMIFS('05_상품별배치367'!$K$7:$K$373,'05_상품별배치367'!$B$7:$B$373,A246)</f>
        <v>0</v>
      </c>
      <c r="R246" s="6">
        <f>IF(Z246="",'06_집기치수20'!N21,Z246)</f>
        <v>865</v>
      </c>
      <c r="S246" s="6">
        <f>IF(AA246="",'06_집기치수20'!O21,AA246)</f>
        <v>270</v>
      </c>
      <c r="T246" s="6">
        <v>220</v>
      </c>
      <c r="U246" s="6">
        <f>IF(AB246="",'06_집기치수20'!P21,AB246-'06_집기치수20'!I21)</f>
        <v>200</v>
      </c>
      <c r="V246" s="6" t="str">
        <f>IF(Q246=0,"",IF(COUNTIFS('05_상품별배치367'!$B$7:$B$373,A246,'05_상품별배치367'!$T$7:$T$373,"입력 대기")&gt;0,"",SUMIFS('05_상품별배치367'!$S$7:$S$373,'05_상품별배치367'!$B$7:$B$373,A246)))</f>
        <v/>
      </c>
      <c r="W246" s="6" t="str">
        <f>IF(Q246=0,"미진열",IF(COUNTIFS('05_상품별배치367'!$B$7:$B$373,A246,'05_상품별배치367'!$T$7:$T$373,"치수 초과")&gt;0,"치수 초과",IF(COUNTIFS('05_상품별배치367'!$B$7:$B$373,A246,'05_상품별배치367'!$T$7:$T$373,"입력 대기")&gt;0,"치수 입력 대기",IF(V246&gt;R246,"폭 합계 초과","도면/실측 범위 내·현장확인"))))</f>
        <v>미진열</v>
      </c>
      <c r="X246" s="6"/>
      <c r="Y246" s="6" t="s">
        <v>555</v>
      </c>
      <c r="Z246" s="15"/>
      <c r="AA246" s="15"/>
      <c r="AB246" s="15"/>
    </row>
    <row r="247" spans="1:28" ht="33" customHeight="1">
      <c r="A247" s="6" t="s">
        <v>1395</v>
      </c>
      <c r="B247" s="6" t="s">
        <v>447</v>
      </c>
      <c r="C247" s="6" t="s">
        <v>202</v>
      </c>
      <c r="D247" s="7">
        <v>1</v>
      </c>
      <c r="E247" s="6" t="s">
        <v>27</v>
      </c>
      <c r="F247" s="6" t="s">
        <v>450</v>
      </c>
      <c r="G247" s="6" t="s">
        <v>1396</v>
      </c>
      <c r="H247" s="6" t="s">
        <v>1397</v>
      </c>
      <c r="I247" s="6" t="s">
        <v>1398</v>
      </c>
      <c r="J247" s="6" t="s">
        <v>551</v>
      </c>
      <c r="K247" s="14" t="s">
        <v>559</v>
      </c>
      <c r="L247" s="15"/>
      <c r="M247" s="15"/>
      <c r="N247" s="6" t="s">
        <v>647</v>
      </c>
      <c r="O247" s="6" t="s">
        <v>859</v>
      </c>
      <c r="P247" s="6">
        <f>COUNTIFS('05_상품별배치367'!$B$7:$B$373,A247,'05_상품별배치367'!$K$7:$K$373,"&gt;0")</f>
        <v>2</v>
      </c>
      <c r="Q247" s="6">
        <f>SUMIFS('05_상품별배치367'!$K$7:$K$373,'05_상품별배치367'!$B$7:$B$373,A247)</f>
        <v>2</v>
      </c>
      <c r="R247" s="6">
        <f>IF(Z247="",'06_집기치수20'!N17,Z247)</f>
        <v>865</v>
      </c>
      <c r="S247" s="6">
        <f>IF(AA247="",'06_집기치수20'!O17,AA247)</f>
        <v>270</v>
      </c>
      <c r="T247" s="6">
        <v>100</v>
      </c>
      <c r="U247" s="6">
        <f>IF(AB247="",'06_집기치수20'!P17,AB247-'06_집기치수20'!I17)</f>
        <v>80</v>
      </c>
      <c r="V247" s="6" t="str">
        <f>IF(Q247=0,"",IF(COUNTIFS('05_상품별배치367'!$B$7:$B$373,A247,'05_상품별배치367'!$T$7:$T$373,"입력 대기")&gt;0,"",SUMIFS('05_상품별배치367'!$S$7:$S$373,'05_상품별배치367'!$B$7:$B$373,A247)))</f>
        <v/>
      </c>
      <c r="W247" s="6" t="str">
        <f>IF(Q247=0,"미진열",IF(COUNTIFS('05_상품별배치367'!$B$7:$B$373,A247,'05_상품별배치367'!$T$7:$T$373,"치수 초과")&gt;0,"치수 초과",IF(COUNTIFS('05_상품별배치367'!$B$7:$B$373,A247,'05_상품별배치367'!$T$7:$T$373,"입력 대기")&gt;0,"치수 입력 대기",IF(V247&gt;R247,"폭 합계 초과","도면/실측 범위 내·현장확인"))))</f>
        <v>치수 입력 대기</v>
      </c>
      <c r="X247" s="6" t="s">
        <v>1399</v>
      </c>
      <c r="Y247" s="6" t="s">
        <v>555</v>
      </c>
      <c r="Z247" s="15"/>
      <c r="AA247" s="15"/>
      <c r="AB247" s="15"/>
    </row>
    <row r="248" spans="1:28" ht="33" customHeight="1">
      <c r="A248" s="8" t="s">
        <v>1400</v>
      </c>
      <c r="B248" s="8" t="s">
        <v>447</v>
      </c>
      <c r="C248" s="8" t="s">
        <v>202</v>
      </c>
      <c r="D248" s="9">
        <v>2</v>
      </c>
      <c r="E248" s="8" t="s">
        <v>27</v>
      </c>
      <c r="F248" s="8" t="s">
        <v>451</v>
      </c>
      <c r="G248" s="8" t="s">
        <v>1401</v>
      </c>
      <c r="H248" s="8" t="s">
        <v>1402</v>
      </c>
      <c r="I248" s="8" t="s">
        <v>1403</v>
      </c>
      <c r="J248" s="8" t="s">
        <v>551</v>
      </c>
      <c r="K248" s="14" t="s">
        <v>559</v>
      </c>
      <c r="L248" s="15"/>
      <c r="M248" s="15"/>
      <c r="N248" s="8" t="s">
        <v>560</v>
      </c>
      <c r="O248" s="8" t="s">
        <v>859</v>
      </c>
      <c r="P248" s="6">
        <f>COUNTIFS('05_상품별배치367'!$B$7:$B$373,A248,'05_상품별배치367'!$K$7:$K$373,"&gt;0")</f>
        <v>2</v>
      </c>
      <c r="Q248" s="6">
        <f>SUMIFS('05_상품별배치367'!$K$7:$K$373,'05_상품별배치367'!$B$7:$B$373,A248)</f>
        <v>2</v>
      </c>
      <c r="R248" s="6">
        <f>IF(Z248="",'06_집기치수20'!N18,Z248)</f>
        <v>865</v>
      </c>
      <c r="S248" s="6">
        <f>IF(AA248="",'06_집기치수20'!O18,AA248)</f>
        <v>270</v>
      </c>
      <c r="T248" s="6">
        <v>220</v>
      </c>
      <c r="U248" s="6">
        <f>IF(AB248="",'06_집기치수20'!P18,AB248-'06_집기치수20'!I18)</f>
        <v>200</v>
      </c>
      <c r="V248" s="6" t="str">
        <f>IF(Q248=0,"",IF(COUNTIFS('05_상품별배치367'!$B$7:$B$373,A248,'05_상품별배치367'!$T$7:$T$373,"입력 대기")&gt;0,"",SUMIFS('05_상품별배치367'!$S$7:$S$373,'05_상품별배치367'!$B$7:$B$373,A248)))</f>
        <v/>
      </c>
      <c r="W248" s="6" t="str">
        <f>IF(Q248=0,"미진열",IF(COUNTIFS('05_상품별배치367'!$B$7:$B$373,A248,'05_상품별배치367'!$T$7:$T$373,"치수 초과")&gt;0,"치수 초과",IF(COUNTIFS('05_상품별배치367'!$B$7:$B$373,A248,'05_상품별배치367'!$T$7:$T$373,"입력 대기")&gt;0,"치수 입력 대기",IF(V248&gt;R248,"폭 합계 초과","도면/실측 범위 내·현장확인"))))</f>
        <v>치수 입력 대기</v>
      </c>
      <c r="X248" s="6" t="s">
        <v>1404</v>
      </c>
      <c r="Y248" s="6" t="s">
        <v>555</v>
      </c>
      <c r="Z248" s="15"/>
      <c r="AA248" s="15"/>
      <c r="AB248" s="15"/>
    </row>
    <row r="249" spans="1:28" ht="33" customHeight="1">
      <c r="A249" s="6" t="s">
        <v>1405</v>
      </c>
      <c r="B249" s="6" t="s">
        <v>447</v>
      </c>
      <c r="C249" s="6" t="s">
        <v>202</v>
      </c>
      <c r="D249" s="7">
        <v>3</v>
      </c>
      <c r="E249" s="6" t="s">
        <v>27</v>
      </c>
      <c r="F249" s="6" t="s">
        <v>452</v>
      </c>
      <c r="G249" s="6" t="s">
        <v>1401</v>
      </c>
      <c r="H249" s="6" t="s">
        <v>1406</v>
      </c>
      <c r="I249" s="6" t="s">
        <v>1407</v>
      </c>
      <c r="J249" s="6" t="s">
        <v>551</v>
      </c>
      <c r="K249" s="14" t="s">
        <v>559</v>
      </c>
      <c r="L249" s="15"/>
      <c r="M249" s="15"/>
      <c r="N249" s="6" t="s">
        <v>560</v>
      </c>
      <c r="O249" s="6" t="s">
        <v>859</v>
      </c>
      <c r="P249" s="6">
        <f>COUNTIFS('05_상품별배치367'!$B$7:$B$373,A249,'05_상품별배치367'!$K$7:$K$373,"&gt;0")</f>
        <v>2</v>
      </c>
      <c r="Q249" s="6">
        <f>SUMIFS('05_상품별배치367'!$K$7:$K$373,'05_상품별배치367'!$B$7:$B$373,A249)</f>
        <v>2</v>
      </c>
      <c r="R249" s="6">
        <f>IF(Z249="",'06_집기치수20'!N19,Z249)</f>
        <v>865</v>
      </c>
      <c r="S249" s="6">
        <f>IF(AA249="",'06_집기치수20'!O19,AA249)</f>
        <v>270</v>
      </c>
      <c r="T249" s="6">
        <v>220</v>
      </c>
      <c r="U249" s="6">
        <f>IF(AB249="",'06_집기치수20'!P19,AB249-'06_집기치수20'!I19)</f>
        <v>200</v>
      </c>
      <c r="V249" s="6" t="str">
        <f>IF(Q249=0,"",IF(COUNTIFS('05_상품별배치367'!$B$7:$B$373,A249,'05_상품별배치367'!$T$7:$T$373,"입력 대기")&gt;0,"",SUMIFS('05_상품별배치367'!$S$7:$S$373,'05_상품별배치367'!$B$7:$B$373,A249)))</f>
        <v/>
      </c>
      <c r="W249" s="6" t="str">
        <f>IF(Q249=0,"미진열",IF(COUNTIFS('05_상품별배치367'!$B$7:$B$373,A249,'05_상품별배치367'!$T$7:$T$373,"치수 초과")&gt;0,"치수 초과",IF(COUNTIFS('05_상품별배치367'!$B$7:$B$373,A249,'05_상품별배치367'!$T$7:$T$373,"입력 대기")&gt;0,"치수 입력 대기",IF(V249&gt;R249,"폭 합계 초과","도면/실측 범위 내·현장확인"))))</f>
        <v>치수 입력 대기</v>
      </c>
      <c r="X249" s="6" t="s">
        <v>1408</v>
      </c>
      <c r="Y249" s="6" t="s">
        <v>555</v>
      </c>
      <c r="Z249" s="15"/>
      <c r="AA249" s="15"/>
      <c r="AB249" s="15"/>
    </row>
    <row r="250" spans="1:28" ht="33" customHeight="1">
      <c r="A250" s="8" t="s">
        <v>1409</v>
      </c>
      <c r="B250" s="8" t="s">
        <v>447</v>
      </c>
      <c r="C250" s="8" t="s">
        <v>202</v>
      </c>
      <c r="D250" s="9">
        <v>4</v>
      </c>
      <c r="E250" s="8" t="s">
        <v>27</v>
      </c>
      <c r="F250" s="8" t="s">
        <v>453</v>
      </c>
      <c r="G250" s="8" t="s">
        <v>1410</v>
      </c>
      <c r="H250" s="8" t="s">
        <v>1411</v>
      </c>
      <c r="I250" s="8" t="s">
        <v>1412</v>
      </c>
      <c r="J250" s="8" t="s">
        <v>551</v>
      </c>
      <c r="K250" s="14" t="s">
        <v>559</v>
      </c>
      <c r="L250" s="15"/>
      <c r="M250" s="15"/>
      <c r="N250" s="8" t="s">
        <v>560</v>
      </c>
      <c r="O250" s="8" t="s">
        <v>859</v>
      </c>
      <c r="P250" s="6">
        <f>COUNTIFS('05_상품별배치367'!$B$7:$B$373,A250,'05_상품별배치367'!$K$7:$K$373,"&gt;0")</f>
        <v>2</v>
      </c>
      <c r="Q250" s="6">
        <f>SUMIFS('05_상품별배치367'!$K$7:$K$373,'05_상품별배치367'!$B$7:$B$373,A250)</f>
        <v>3</v>
      </c>
      <c r="R250" s="6">
        <f>IF(Z250="",'06_집기치수20'!N20,Z250)</f>
        <v>865</v>
      </c>
      <c r="S250" s="6">
        <f>IF(AA250="",'06_집기치수20'!O20,AA250)</f>
        <v>270</v>
      </c>
      <c r="T250" s="6">
        <v>220</v>
      </c>
      <c r="U250" s="6">
        <f>IF(AB250="",'06_집기치수20'!P20,AB250-'06_집기치수20'!I20)</f>
        <v>200</v>
      </c>
      <c r="V250" s="6" t="str">
        <f>IF(Q250=0,"",IF(COUNTIFS('05_상품별배치367'!$B$7:$B$373,A250,'05_상품별배치367'!$T$7:$T$373,"입력 대기")&gt;0,"",SUMIFS('05_상품별배치367'!$S$7:$S$373,'05_상품별배치367'!$B$7:$B$373,A250)))</f>
        <v/>
      </c>
      <c r="W250" s="6" t="str">
        <f>IF(Q250=0,"미진열",IF(COUNTIFS('05_상품별배치367'!$B$7:$B$373,A250,'05_상품별배치367'!$T$7:$T$373,"치수 초과")&gt;0,"치수 초과",IF(COUNTIFS('05_상품별배치367'!$B$7:$B$373,A250,'05_상품별배치367'!$T$7:$T$373,"입력 대기")&gt;0,"치수 입력 대기",IF(V250&gt;R250,"폭 합계 초과","도면/실측 범위 내·현장확인"))))</f>
        <v>치수 입력 대기</v>
      </c>
      <c r="X250" s="6" t="s">
        <v>1413</v>
      </c>
      <c r="Y250" s="6" t="s">
        <v>555</v>
      </c>
      <c r="Z250" s="15"/>
      <c r="AA250" s="15"/>
      <c r="AB250" s="15"/>
    </row>
    <row r="251" spans="1:28" ht="33" customHeight="1">
      <c r="A251" s="6" t="s">
        <v>1414</v>
      </c>
      <c r="B251" s="6" t="s">
        <v>447</v>
      </c>
      <c r="C251" s="6" t="s">
        <v>202</v>
      </c>
      <c r="D251" s="7">
        <v>5</v>
      </c>
      <c r="E251" s="6" t="s">
        <v>27</v>
      </c>
      <c r="F251" s="6" t="s">
        <v>454</v>
      </c>
      <c r="G251" s="6" t="s">
        <v>1396</v>
      </c>
      <c r="H251" s="6" t="s">
        <v>1415</v>
      </c>
      <c r="I251" s="6" t="s">
        <v>1416</v>
      </c>
      <c r="J251" s="6" t="s">
        <v>551</v>
      </c>
      <c r="K251" s="14" t="s">
        <v>559</v>
      </c>
      <c r="L251" s="15"/>
      <c r="M251" s="15"/>
      <c r="N251" s="6" t="s">
        <v>560</v>
      </c>
      <c r="O251" s="6" t="s">
        <v>859</v>
      </c>
      <c r="P251" s="6">
        <f>COUNTIFS('05_상품별배치367'!$B$7:$B$373,A251,'05_상품별배치367'!$K$7:$K$373,"&gt;0")</f>
        <v>1</v>
      </c>
      <c r="Q251" s="6">
        <f>SUMIFS('05_상품별배치367'!$K$7:$K$373,'05_상품별배치367'!$B$7:$B$373,A251)</f>
        <v>1</v>
      </c>
      <c r="R251" s="6">
        <f>IF(Z251="",'06_집기치수20'!N21,Z251)</f>
        <v>865</v>
      </c>
      <c r="S251" s="6">
        <f>IF(AA251="",'06_집기치수20'!O21,AA251)</f>
        <v>270</v>
      </c>
      <c r="T251" s="6">
        <v>220</v>
      </c>
      <c r="U251" s="6">
        <f>IF(AB251="",'06_집기치수20'!P21,AB251-'06_집기치수20'!I21)</f>
        <v>200</v>
      </c>
      <c r="V251" s="6" t="str">
        <f>IF(Q251=0,"",IF(COUNTIFS('05_상품별배치367'!$B$7:$B$373,A251,'05_상품별배치367'!$T$7:$T$373,"입력 대기")&gt;0,"",SUMIFS('05_상품별배치367'!$S$7:$S$373,'05_상품별배치367'!$B$7:$B$373,A251)))</f>
        <v/>
      </c>
      <c r="W251" s="6" t="str">
        <f>IF(Q251=0,"미진열",IF(COUNTIFS('05_상품별배치367'!$B$7:$B$373,A251,'05_상품별배치367'!$T$7:$T$373,"치수 초과")&gt;0,"치수 초과",IF(COUNTIFS('05_상품별배치367'!$B$7:$B$373,A251,'05_상품별배치367'!$T$7:$T$373,"입력 대기")&gt;0,"치수 입력 대기",IF(V251&gt;R251,"폭 합계 초과","도면/실측 범위 내·현장확인"))))</f>
        <v>치수 입력 대기</v>
      </c>
      <c r="X251" s="6" t="s">
        <v>1417</v>
      </c>
      <c r="Y251" s="6" t="s">
        <v>555</v>
      </c>
      <c r="Z251" s="15"/>
      <c r="AA251" s="15"/>
      <c r="AB251" s="15"/>
    </row>
    <row r="252" spans="1:28" ht="33" customHeight="1">
      <c r="A252" s="8" t="s">
        <v>1418</v>
      </c>
      <c r="B252" s="8" t="s">
        <v>455</v>
      </c>
      <c r="C252" s="8" t="s">
        <v>202</v>
      </c>
      <c r="D252" s="9">
        <v>1</v>
      </c>
      <c r="E252" s="8" t="s">
        <v>108</v>
      </c>
      <c r="F252" s="8" t="s">
        <v>458</v>
      </c>
      <c r="G252" s="8" t="s">
        <v>1419</v>
      </c>
      <c r="H252" s="8"/>
      <c r="I252" s="8"/>
      <c r="J252" s="8" t="s">
        <v>551</v>
      </c>
      <c r="K252" s="14" t="s">
        <v>552</v>
      </c>
      <c r="L252" s="15"/>
      <c r="M252" s="15"/>
      <c r="N252" s="8" t="s">
        <v>647</v>
      </c>
      <c r="O252" s="8" t="s">
        <v>859</v>
      </c>
      <c r="P252" s="6">
        <f>COUNTIFS('05_상품별배치367'!$B$7:$B$373,A252,'05_상품별배치367'!$K$7:$K$373,"&gt;0")</f>
        <v>0</v>
      </c>
      <c r="Q252" s="6">
        <f>SUMIFS('05_상품별배치367'!$K$7:$K$373,'05_상품별배치367'!$B$7:$B$373,A252)</f>
        <v>0</v>
      </c>
      <c r="R252" s="6">
        <f>IF(Z252="",'06_집기치수20'!N17,Z252)</f>
        <v>865</v>
      </c>
      <c r="S252" s="6">
        <f>IF(AA252="",'06_집기치수20'!O17,AA252)</f>
        <v>270</v>
      </c>
      <c r="T252" s="6">
        <v>100</v>
      </c>
      <c r="U252" s="6">
        <f>IF(AB252="",'06_집기치수20'!P17,AB252-'06_집기치수20'!I17)</f>
        <v>80</v>
      </c>
      <c r="V252" s="6" t="str">
        <f>IF(Q252=0,"",IF(COUNTIFS('05_상품별배치367'!$B$7:$B$373,A252,'05_상품별배치367'!$T$7:$T$373,"입력 대기")&gt;0,"",SUMIFS('05_상품별배치367'!$S$7:$S$373,'05_상품별배치367'!$B$7:$B$373,A252)))</f>
        <v/>
      </c>
      <c r="W252" s="6" t="str">
        <f>IF(Q252=0,"미진열",IF(COUNTIFS('05_상품별배치367'!$B$7:$B$373,A252,'05_상품별배치367'!$T$7:$T$373,"치수 초과")&gt;0,"치수 초과",IF(COUNTIFS('05_상품별배치367'!$B$7:$B$373,A252,'05_상품별배치367'!$T$7:$T$373,"입력 대기")&gt;0,"치수 입력 대기",IF(V252&gt;R252,"폭 합계 초과","도면/실측 범위 내·현장확인"))))</f>
        <v>미진열</v>
      </c>
      <c r="X252" s="6"/>
      <c r="Y252" s="6" t="s">
        <v>555</v>
      </c>
      <c r="Z252" s="15"/>
      <c r="AA252" s="15"/>
      <c r="AB252" s="15"/>
    </row>
    <row r="253" spans="1:28" ht="33" customHeight="1">
      <c r="A253" s="6" t="s">
        <v>1420</v>
      </c>
      <c r="B253" s="6" t="s">
        <v>455</v>
      </c>
      <c r="C253" s="6" t="s">
        <v>202</v>
      </c>
      <c r="D253" s="7">
        <v>2</v>
      </c>
      <c r="E253" s="6" t="s">
        <v>108</v>
      </c>
      <c r="F253" s="6" t="s">
        <v>459</v>
      </c>
      <c r="G253" s="6" t="s">
        <v>1421</v>
      </c>
      <c r="H253" s="6" t="s">
        <v>1422</v>
      </c>
      <c r="I253" s="6" t="s">
        <v>1423</v>
      </c>
      <c r="J253" s="6" t="s">
        <v>551</v>
      </c>
      <c r="K253" s="14" t="s">
        <v>559</v>
      </c>
      <c r="L253" s="15"/>
      <c r="M253" s="15"/>
      <c r="N253" s="6" t="s">
        <v>560</v>
      </c>
      <c r="O253" s="6" t="s">
        <v>859</v>
      </c>
      <c r="P253" s="6">
        <f>COUNTIFS('05_상품별배치367'!$B$7:$B$373,A253,'05_상품별배치367'!$K$7:$K$373,"&gt;0")</f>
        <v>2</v>
      </c>
      <c r="Q253" s="6">
        <f>SUMIFS('05_상품별배치367'!$K$7:$K$373,'05_상품별배치367'!$B$7:$B$373,A253)</f>
        <v>2</v>
      </c>
      <c r="R253" s="6">
        <f>IF(Z253="",'06_집기치수20'!N18,Z253)</f>
        <v>865</v>
      </c>
      <c r="S253" s="6">
        <f>IF(AA253="",'06_집기치수20'!O18,AA253)</f>
        <v>270</v>
      </c>
      <c r="T253" s="6">
        <v>220</v>
      </c>
      <c r="U253" s="6">
        <f>IF(AB253="",'06_집기치수20'!P18,AB253-'06_집기치수20'!I18)</f>
        <v>200</v>
      </c>
      <c r="V253" s="6" t="str">
        <f>IF(Q253=0,"",IF(COUNTIFS('05_상품별배치367'!$B$7:$B$373,A253,'05_상품별배치367'!$T$7:$T$373,"입력 대기")&gt;0,"",SUMIFS('05_상품별배치367'!$S$7:$S$373,'05_상품별배치367'!$B$7:$B$373,A253)))</f>
        <v/>
      </c>
      <c r="W253" s="6" t="str">
        <f>IF(Q253=0,"미진열",IF(COUNTIFS('05_상품별배치367'!$B$7:$B$373,A253,'05_상품별배치367'!$T$7:$T$373,"치수 초과")&gt;0,"치수 초과",IF(COUNTIFS('05_상품별배치367'!$B$7:$B$373,A253,'05_상품별배치367'!$T$7:$T$373,"입력 대기")&gt;0,"치수 입력 대기",IF(V253&gt;R253,"폭 합계 초과","도면/실측 범위 내·현장확인"))))</f>
        <v>치수 입력 대기</v>
      </c>
      <c r="X253" s="6" t="s">
        <v>1424</v>
      </c>
      <c r="Y253" s="6" t="s">
        <v>555</v>
      </c>
      <c r="Z253" s="15"/>
      <c r="AA253" s="15"/>
      <c r="AB253" s="15"/>
    </row>
    <row r="254" spans="1:28" ht="33" customHeight="1">
      <c r="A254" s="8" t="s">
        <v>1425</v>
      </c>
      <c r="B254" s="8" t="s">
        <v>455</v>
      </c>
      <c r="C254" s="8" t="s">
        <v>202</v>
      </c>
      <c r="D254" s="9">
        <v>3</v>
      </c>
      <c r="E254" s="8" t="s">
        <v>108</v>
      </c>
      <c r="F254" s="8" t="s">
        <v>460</v>
      </c>
      <c r="G254" s="8" t="s">
        <v>519</v>
      </c>
      <c r="H254" s="8" t="s">
        <v>1426</v>
      </c>
      <c r="I254" s="8" t="s">
        <v>1427</v>
      </c>
      <c r="J254" s="8" t="s">
        <v>551</v>
      </c>
      <c r="K254" s="14" t="s">
        <v>559</v>
      </c>
      <c r="L254" s="15"/>
      <c r="M254" s="15"/>
      <c r="N254" s="8" t="s">
        <v>560</v>
      </c>
      <c r="O254" s="8" t="s">
        <v>859</v>
      </c>
      <c r="P254" s="6">
        <f>COUNTIFS('05_상품별배치367'!$B$7:$B$373,A254,'05_상품별배치367'!$K$7:$K$373,"&gt;0")</f>
        <v>2</v>
      </c>
      <c r="Q254" s="6">
        <f>SUMIFS('05_상품별배치367'!$K$7:$K$373,'05_상품별배치367'!$B$7:$B$373,A254)</f>
        <v>2</v>
      </c>
      <c r="R254" s="6">
        <f>IF(Z254="",'06_집기치수20'!N19,Z254)</f>
        <v>865</v>
      </c>
      <c r="S254" s="6">
        <f>IF(AA254="",'06_집기치수20'!O19,AA254)</f>
        <v>270</v>
      </c>
      <c r="T254" s="6">
        <v>220</v>
      </c>
      <c r="U254" s="6">
        <f>IF(AB254="",'06_집기치수20'!P19,AB254-'06_집기치수20'!I19)</f>
        <v>200</v>
      </c>
      <c r="V254" s="6" t="str">
        <f>IF(Q254=0,"",IF(COUNTIFS('05_상품별배치367'!$B$7:$B$373,A254,'05_상품별배치367'!$T$7:$T$373,"입력 대기")&gt;0,"",SUMIFS('05_상품별배치367'!$S$7:$S$373,'05_상품별배치367'!$B$7:$B$373,A254)))</f>
        <v/>
      </c>
      <c r="W254" s="6" t="str">
        <f>IF(Q254=0,"미진열",IF(COUNTIFS('05_상품별배치367'!$B$7:$B$373,A254,'05_상품별배치367'!$T$7:$T$373,"치수 초과")&gt;0,"치수 초과",IF(COUNTIFS('05_상품별배치367'!$B$7:$B$373,A254,'05_상품별배치367'!$T$7:$T$373,"입력 대기")&gt;0,"치수 입력 대기",IF(V254&gt;R254,"폭 합계 초과","도면/실측 범위 내·현장확인"))))</f>
        <v>치수 입력 대기</v>
      </c>
      <c r="X254" s="6" t="s">
        <v>1428</v>
      </c>
      <c r="Y254" s="6" t="s">
        <v>555</v>
      </c>
      <c r="Z254" s="15"/>
      <c r="AA254" s="15"/>
      <c r="AB254" s="15"/>
    </row>
    <row r="255" spans="1:28" ht="33" customHeight="1">
      <c r="A255" s="6" t="s">
        <v>1429</v>
      </c>
      <c r="B255" s="6" t="s">
        <v>455</v>
      </c>
      <c r="C255" s="6" t="s">
        <v>202</v>
      </c>
      <c r="D255" s="7">
        <v>4</v>
      </c>
      <c r="E255" s="6" t="s">
        <v>108</v>
      </c>
      <c r="F255" s="6" t="s">
        <v>461</v>
      </c>
      <c r="G255" s="6" t="s">
        <v>519</v>
      </c>
      <c r="H255" s="6" t="s">
        <v>1430</v>
      </c>
      <c r="I255" s="6" t="s">
        <v>1431</v>
      </c>
      <c r="J255" s="6" t="s">
        <v>551</v>
      </c>
      <c r="K255" s="14" t="s">
        <v>559</v>
      </c>
      <c r="L255" s="15"/>
      <c r="M255" s="15"/>
      <c r="N255" s="6" t="s">
        <v>560</v>
      </c>
      <c r="O255" s="6" t="s">
        <v>859</v>
      </c>
      <c r="P255" s="6">
        <f>COUNTIFS('05_상품별배치367'!$B$7:$B$373,A255,'05_상품별배치367'!$K$7:$K$373,"&gt;0")</f>
        <v>2</v>
      </c>
      <c r="Q255" s="6">
        <f>SUMIFS('05_상품별배치367'!$K$7:$K$373,'05_상품별배치367'!$B$7:$B$373,A255)</f>
        <v>2</v>
      </c>
      <c r="R255" s="6">
        <f>IF(Z255="",'06_집기치수20'!N20,Z255)</f>
        <v>865</v>
      </c>
      <c r="S255" s="6">
        <f>IF(AA255="",'06_집기치수20'!O20,AA255)</f>
        <v>270</v>
      </c>
      <c r="T255" s="6">
        <v>220</v>
      </c>
      <c r="U255" s="6">
        <f>IF(AB255="",'06_집기치수20'!P20,AB255-'06_집기치수20'!I20)</f>
        <v>200</v>
      </c>
      <c r="V255" s="6" t="str">
        <f>IF(Q255=0,"",IF(COUNTIFS('05_상품별배치367'!$B$7:$B$373,A255,'05_상품별배치367'!$T$7:$T$373,"입력 대기")&gt;0,"",SUMIFS('05_상품별배치367'!$S$7:$S$373,'05_상품별배치367'!$B$7:$B$373,A255)))</f>
        <v/>
      </c>
      <c r="W255" s="6" t="str">
        <f>IF(Q255=0,"미진열",IF(COUNTIFS('05_상품별배치367'!$B$7:$B$373,A255,'05_상품별배치367'!$T$7:$T$373,"치수 초과")&gt;0,"치수 초과",IF(COUNTIFS('05_상품별배치367'!$B$7:$B$373,A255,'05_상품별배치367'!$T$7:$T$373,"입력 대기")&gt;0,"치수 입력 대기",IF(V255&gt;R255,"폭 합계 초과","도면/실측 범위 내·현장확인"))))</f>
        <v>치수 입력 대기</v>
      </c>
      <c r="X255" s="6" t="s">
        <v>1432</v>
      </c>
      <c r="Y255" s="6" t="s">
        <v>555</v>
      </c>
      <c r="Z255" s="15"/>
      <c r="AA255" s="15"/>
      <c r="AB255" s="15"/>
    </row>
    <row r="256" spans="1:28" ht="33" customHeight="1">
      <c r="A256" s="8" t="s">
        <v>1433</v>
      </c>
      <c r="B256" s="8" t="s">
        <v>455</v>
      </c>
      <c r="C256" s="8" t="s">
        <v>202</v>
      </c>
      <c r="D256" s="9">
        <v>5</v>
      </c>
      <c r="E256" s="8" t="s">
        <v>108</v>
      </c>
      <c r="F256" s="8" t="s">
        <v>462</v>
      </c>
      <c r="G256" s="8" t="s">
        <v>1434</v>
      </c>
      <c r="H256" s="8" t="s">
        <v>1435</v>
      </c>
      <c r="I256" s="8" t="s">
        <v>1436</v>
      </c>
      <c r="J256" s="8" t="s">
        <v>551</v>
      </c>
      <c r="K256" s="14" t="s">
        <v>559</v>
      </c>
      <c r="L256" s="15"/>
      <c r="M256" s="15"/>
      <c r="N256" s="8" t="s">
        <v>560</v>
      </c>
      <c r="O256" s="8" t="s">
        <v>859</v>
      </c>
      <c r="P256" s="6">
        <f>COUNTIFS('05_상품별배치367'!$B$7:$B$373,A256,'05_상품별배치367'!$K$7:$K$373,"&gt;0")</f>
        <v>2</v>
      </c>
      <c r="Q256" s="6">
        <f>SUMIFS('05_상품별배치367'!$K$7:$K$373,'05_상품별배치367'!$B$7:$B$373,A256)</f>
        <v>2</v>
      </c>
      <c r="R256" s="6">
        <f>IF(Z256="",'06_집기치수20'!N21,Z256)</f>
        <v>865</v>
      </c>
      <c r="S256" s="6">
        <f>IF(AA256="",'06_집기치수20'!O21,AA256)</f>
        <v>270</v>
      </c>
      <c r="T256" s="6">
        <v>220</v>
      </c>
      <c r="U256" s="6">
        <f>IF(AB256="",'06_집기치수20'!P21,AB256-'06_집기치수20'!I21)</f>
        <v>200</v>
      </c>
      <c r="V256" s="6" t="str">
        <f>IF(Q256=0,"",IF(COUNTIFS('05_상품별배치367'!$B$7:$B$373,A256,'05_상품별배치367'!$T$7:$T$373,"입력 대기")&gt;0,"",SUMIFS('05_상품별배치367'!$S$7:$S$373,'05_상품별배치367'!$B$7:$B$373,A256)))</f>
        <v/>
      </c>
      <c r="W256" s="6" t="str">
        <f>IF(Q256=0,"미진열",IF(COUNTIFS('05_상품별배치367'!$B$7:$B$373,A256,'05_상품별배치367'!$T$7:$T$373,"치수 초과")&gt;0,"치수 초과",IF(COUNTIFS('05_상품별배치367'!$B$7:$B$373,A256,'05_상품별배치367'!$T$7:$T$373,"입력 대기")&gt;0,"치수 입력 대기",IF(V256&gt;R256,"폭 합계 초과","도면/실측 범위 내·현장확인"))))</f>
        <v>치수 입력 대기</v>
      </c>
      <c r="X256" s="6" t="s">
        <v>1437</v>
      </c>
      <c r="Y256" s="6" t="s">
        <v>555</v>
      </c>
      <c r="Z256" s="15"/>
      <c r="AA256" s="15"/>
      <c r="AB256" s="15"/>
    </row>
    <row r="257" spans="1:28" ht="33" customHeight="1">
      <c r="A257" s="6" t="s">
        <v>1438</v>
      </c>
      <c r="B257" s="6" t="s">
        <v>463</v>
      </c>
      <c r="C257" s="6" t="s">
        <v>202</v>
      </c>
      <c r="D257" s="7">
        <v>1</v>
      </c>
      <c r="E257" s="6" t="s">
        <v>81</v>
      </c>
      <c r="F257" s="6" t="s">
        <v>466</v>
      </c>
      <c r="G257" s="6" t="s">
        <v>1439</v>
      </c>
      <c r="H257" s="6" t="s">
        <v>1440</v>
      </c>
      <c r="I257" s="6" t="s">
        <v>1441</v>
      </c>
      <c r="J257" s="6" t="s">
        <v>551</v>
      </c>
      <c r="K257" s="14" t="s">
        <v>559</v>
      </c>
      <c r="L257" s="15"/>
      <c r="M257" s="15"/>
      <c r="N257" s="6" t="s">
        <v>647</v>
      </c>
      <c r="O257" s="6" t="s">
        <v>859</v>
      </c>
      <c r="P257" s="6">
        <f>COUNTIFS('05_상품별배치367'!$B$7:$B$373,A257,'05_상품별배치367'!$K$7:$K$373,"&gt;0")</f>
        <v>1</v>
      </c>
      <c r="Q257" s="6">
        <f>SUMIFS('05_상품별배치367'!$K$7:$K$373,'05_상품별배치367'!$B$7:$B$373,A257)</f>
        <v>1</v>
      </c>
      <c r="R257" s="6">
        <f>IF(Z257="",'06_집기치수20'!N17,Z257)</f>
        <v>865</v>
      </c>
      <c r="S257" s="6">
        <f>IF(AA257="",'06_집기치수20'!O17,AA257)</f>
        <v>270</v>
      </c>
      <c r="T257" s="6">
        <v>100</v>
      </c>
      <c r="U257" s="6">
        <f>IF(AB257="",'06_집기치수20'!P17,AB257-'06_집기치수20'!I17)</f>
        <v>80</v>
      </c>
      <c r="V257" s="6" t="str">
        <f>IF(Q257=0,"",IF(COUNTIFS('05_상품별배치367'!$B$7:$B$373,A257,'05_상품별배치367'!$T$7:$T$373,"입력 대기")&gt;0,"",SUMIFS('05_상품별배치367'!$S$7:$S$373,'05_상품별배치367'!$B$7:$B$373,A257)))</f>
        <v/>
      </c>
      <c r="W257" s="6" t="str">
        <f>IF(Q257=0,"미진열",IF(COUNTIFS('05_상품별배치367'!$B$7:$B$373,A257,'05_상품별배치367'!$T$7:$T$373,"치수 초과")&gt;0,"치수 초과",IF(COUNTIFS('05_상품별배치367'!$B$7:$B$373,A257,'05_상품별배치367'!$T$7:$T$373,"입력 대기")&gt;0,"치수 입력 대기",IF(V257&gt;R257,"폭 합계 초과","도면/실측 범위 내·현장확인"))))</f>
        <v>치수 입력 대기</v>
      </c>
      <c r="X257" s="6" t="s">
        <v>1442</v>
      </c>
      <c r="Y257" s="6" t="s">
        <v>555</v>
      </c>
      <c r="Z257" s="15"/>
      <c r="AA257" s="15"/>
      <c r="AB257" s="15"/>
    </row>
    <row r="258" spans="1:28" ht="33" customHeight="1">
      <c r="A258" s="8" t="s">
        <v>1443</v>
      </c>
      <c r="B258" s="8" t="s">
        <v>463</v>
      </c>
      <c r="C258" s="8" t="s">
        <v>202</v>
      </c>
      <c r="D258" s="9">
        <v>2</v>
      </c>
      <c r="E258" s="8" t="s">
        <v>81</v>
      </c>
      <c r="F258" s="8" t="s">
        <v>467</v>
      </c>
      <c r="G258" s="8" t="s">
        <v>1439</v>
      </c>
      <c r="H258" s="8" t="s">
        <v>1444</v>
      </c>
      <c r="I258" s="8" t="s">
        <v>1445</v>
      </c>
      <c r="J258" s="8" t="s">
        <v>551</v>
      </c>
      <c r="K258" s="14" t="s">
        <v>559</v>
      </c>
      <c r="L258" s="15"/>
      <c r="M258" s="15"/>
      <c r="N258" s="8" t="s">
        <v>560</v>
      </c>
      <c r="O258" s="8" t="s">
        <v>859</v>
      </c>
      <c r="P258" s="6">
        <f>COUNTIFS('05_상품별배치367'!$B$7:$B$373,A258,'05_상품별배치367'!$K$7:$K$373,"&gt;0")</f>
        <v>2</v>
      </c>
      <c r="Q258" s="6">
        <f>SUMIFS('05_상품별배치367'!$K$7:$K$373,'05_상품별배치367'!$B$7:$B$373,A258)</f>
        <v>2</v>
      </c>
      <c r="R258" s="6">
        <f>IF(Z258="",'06_집기치수20'!N18,Z258)</f>
        <v>865</v>
      </c>
      <c r="S258" s="6">
        <f>IF(AA258="",'06_집기치수20'!O18,AA258)</f>
        <v>270</v>
      </c>
      <c r="T258" s="6">
        <v>220</v>
      </c>
      <c r="U258" s="6">
        <f>IF(AB258="",'06_집기치수20'!P18,AB258-'06_집기치수20'!I18)</f>
        <v>200</v>
      </c>
      <c r="V258" s="6" t="str">
        <f>IF(Q258=0,"",IF(COUNTIFS('05_상품별배치367'!$B$7:$B$373,A258,'05_상품별배치367'!$T$7:$T$373,"입력 대기")&gt;0,"",SUMIFS('05_상품별배치367'!$S$7:$S$373,'05_상품별배치367'!$B$7:$B$373,A258)))</f>
        <v/>
      </c>
      <c r="W258" s="6" t="str">
        <f>IF(Q258=0,"미진열",IF(COUNTIFS('05_상품별배치367'!$B$7:$B$373,A258,'05_상품별배치367'!$T$7:$T$373,"치수 초과")&gt;0,"치수 초과",IF(COUNTIFS('05_상품별배치367'!$B$7:$B$373,A258,'05_상품별배치367'!$T$7:$T$373,"입력 대기")&gt;0,"치수 입력 대기",IF(V258&gt;R258,"폭 합계 초과","도면/실측 범위 내·현장확인"))))</f>
        <v>치수 입력 대기</v>
      </c>
      <c r="X258" s="6" t="s">
        <v>1446</v>
      </c>
      <c r="Y258" s="6" t="s">
        <v>555</v>
      </c>
      <c r="Z258" s="15"/>
      <c r="AA258" s="15"/>
      <c r="AB258" s="15"/>
    </row>
    <row r="259" spans="1:28" ht="33" customHeight="1">
      <c r="A259" s="6" t="s">
        <v>1447</v>
      </c>
      <c r="B259" s="6" t="s">
        <v>463</v>
      </c>
      <c r="C259" s="6" t="s">
        <v>202</v>
      </c>
      <c r="D259" s="7">
        <v>3</v>
      </c>
      <c r="E259" s="6" t="s">
        <v>81</v>
      </c>
      <c r="F259" s="6" t="s">
        <v>468</v>
      </c>
      <c r="G259" s="6" t="s">
        <v>1439</v>
      </c>
      <c r="H259" s="6" t="s">
        <v>1448</v>
      </c>
      <c r="I259" s="6" t="s">
        <v>1449</v>
      </c>
      <c r="J259" s="6" t="s">
        <v>551</v>
      </c>
      <c r="K259" s="14" t="s">
        <v>559</v>
      </c>
      <c r="L259" s="15"/>
      <c r="M259" s="15"/>
      <c r="N259" s="6" t="s">
        <v>560</v>
      </c>
      <c r="O259" s="6" t="s">
        <v>859</v>
      </c>
      <c r="P259" s="6">
        <f>COUNTIFS('05_상품별배치367'!$B$7:$B$373,A259,'05_상품별배치367'!$K$7:$K$373,"&gt;0")</f>
        <v>1</v>
      </c>
      <c r="Q259" s="6">
        <f>SUMIFS('05_상품별배치367'!$K$7:$K$373,'05_상품별배치367'!$B$7:$B$373,A259)</f>
        <v>1</v>
      </c>
      <c r="R259" s="6">
        <f>IF(Z259="",'06_집기치수20'!N19,Z259)</f>
        <v>865</v>
      </c>
      <c r="S259" s="6">
        <f>IF(AA259="",'06_집기치수20'!O19,AA259)</f>
        <v>270</v>
      </c>
      <c r="T259" s="6">
        <v>220</v>
      </c>
      <c r="U259" s="6">
        <f>IF(AB259="",'06_집기치수20'!P19,AB259-'06_집기치수20'!I19)</f>
        <v>200</v>
      </c>
      <c r="V259" s="6" t="str">
        <f>IF(Q259=0,"",IF(COUNTIFS('05_상품별배치367'!$B$7:$B$373,A259,'05_상품별배치367'!$T$7:$T$373,"입력 대기")&gt;0,"",SUMIFS('05_상품별배치367'!$S$7:$S$373,'05_상품별배치367'!$B$7:$B$373,A259)))</f>
        <v/>
      </c>
      <c r="W259" s="6" t="str">
        <f>IF(Q259=0,"미진열",IF(COUNTIFS('05_상품별배치367'!$B$7:$B$373,A259,'05_상품별배치367'!$T$7:$T$373,"치수 초과")&gt;0,"치수 초과",IF(COUNTIFS('05_상품별배치367'!$B$7:$B$373,A259,'05_상품별배치367'!$T$7:$T$373,"입력 대기")&gt;0,"치수 입력 대기",IF(V259&gt;R259,"폭 합계 초과","도면/실측 범위 내·현장확인"))))</f>
        <v>치수 입력 대기</v>
      </c>
      <c r="X259" s="6" t="s">
        <v>1450</v>
      </c>
      <c r="Y259" s="6" t="s">
        <v>555</v>
      </c>
      <c r="Z259" s="15"/>
      <c r="AA259" s="15"/>
      <c r="AB259" s="15"/>
    </row>
    <row r="260" spans="1:28" ht="33" customHeight="1">
      <c r="A260" s="8" t="s">
        <v>1451</v>
      </c>
      <c r="B260" s="8" t="s">
        <v>463</v>
      </c>
      <c r="C260" s="8" t="s">
        <v>202</v>
      </c>
      <c r="D260" s="9">
        <v>4</v>
      </c>
      <c r="E260" s="8" t="s">
        <v>81</v>
      </c>
      <c r="F260" s="8" t="s">
        <v>469</v>
      </c>
      <c r="G260" s="8" t="s">
        <v>520</v>
      </c>
      <c r="H260" s="8" t="s">
        <v>1452</v>
      </c>
      <c r="I260" s="8" t="s">
        <v>1453</v>
      </c>
      <c r="J260" s="8" t="s">
        <v>551</v>
      </c>
      <c r="K260" s="14" t="s">
        <v>559</v>
      </c>
      <c r="L260" s="15"/>
      <c r="M260" s="15"/>
      <c r="N260" s="8" t="s">
        <v>560</v>
      </c>
      <c r="O260" s="8" t="s">
        <v>859</v>
      </c>
      <c r="P260" s="6">
        <f>COUNTIFS('05_상품별배치367'!$B$7:$B$373,A260,'05_상품별배치367'!$K$7:$K$373,"&gt;0")</f>
        <v>2</v>
      </c>
      <c r="Q260" s="6">
        <f>SUMIFS('05_상품별배치367'!$K$7:$K$373,'05_상품별배치367'!$B$7:$B$373,A260)</f>
        <v>2</v>
      </c>
      <c r="R260" s="6">
        <f>IF(Z260="",'06_집기치수20'!N20,Z260)</f>
        <v>865</v>
      </c>
      <c r="S260" s="6">
        <f>IF(AA260="",'06_집기치수20'!O20,AA260)</f>
        <v>270</v>
      </c>
      <c r="T260" s="6">
        <v>220</v>
      </c>
      <c r="U260" s="6">
        <f>IF(AB260="",'06_집기치수20'!P20,AB260-'06_집기치수20'!I20)</f>
        <v>200</v>
      </c>
      <c r="V260" s="6" t="str">
        <f>IF(Q260=0,"",IF(COUNTIFS('05_상품별배치367'!$B$7:$B$373,A260,'05_상품별배치367'!$T$7:$T$373,"입력 대기")&gt;0,"",SUMIFS('05_상품별배치367'!$S$7:$S$373,'05_상품별배치367'!$B$7:$B$373,A260)))</f>
        <v/>
      </c>
      <c r="W260" s="6" t="str">
        <f>IF(Q260=0,"미진열",IF(COUNTIFS('05_상품별배치367'!$B$7:$B$373,A260,'05_상품별배치367'!$T$7:$T$373,"치수 초과")&gt;0,"치수 초과",IF(COUNTIFS('05_상품별배치367'!$B$7:$B$373,A260,'05_상품별배치367'!$T$7:$T$373,"입력 대기")&gt;0,"치수 입력 대기",IF(V260&gt;R260,"폭 합계 초과","도면/실측 범위 내·현장확인"))))</f>
        <v>치수 입력 대기</v>
      </c>
      <c r="X260" s="6" t="s">
        <v>1454</v>
      </c>
      <c r="Y260" s="6" t="s">
        <v>555</v>
      </c>
      <c r="Z260" s="15"/>
      <c r="AA260" s="15"/>
      <c r="AB260" s="15"/>
    </row>
    <row r="261" spans="1:28" ht="33" customHeight="1">
      <c r="A261" s="6" t="s">
        <v>1455</v>
      </c>
      <c r="B261" s="6" t="s">
        <v>463</v>
      </c>
      <c r="C261" s="6" t="s">
        <v>202</v>
      </c>
      <c r="D261" s="7">
        <v>5</v>
      </c>
      <c r="E261" s="6" t="s">
        <v>81</v>
      </c>
      <c r="F261" s="6" t="s">
        <v>470</v>
      </c>
      <c r="G261" s="6" t="s">
        <v>1456</v>
      </c>
      <c r="H261" s="6" t="s">
        <v>1457</v>
      </c>
      <c r="I261" s="6" t="s">
        <v>1458</v>
      </c>
      <c r="J261" s="6" t="s">
        <v>551</v>
      </c>
      <c r="K261" s="14" t="s">
        <v>559</v>
      </c>
      <c r="L261" s="15"/>
      <c r="M261" s="15"/>
      <c r="N261" s="6" t="s">
        <v>560</v>
      </c>
      <c r="O261" s="6" t="s">
        <v>859</v>
      </c>
      <c r="P261" s="6">
        <f>COUNTIFS('05_상품별배치367'!$B$7:$B$373,A261,'05_상품별배치367'!$K$7:$K$373,"&gt;0")</f>
        <v>2</v>
      </c>
      <c r="Q261" s="6">
        <f>SUMIFS('05_상품별배치367'!$K$7:$K$373,'05_상품별배치367'!$B$7:$B$373,A261)</f>
        <v>2</v>
      </c>
      <c r="R261" s="6">
        <f>IF(Z261="",'06_집기치수20'!N21,Z261)</f>
        <v>865</v>
      </c>
      <c r="S261" s="6">
        <f>IF(AA261="",'06_집기치수20'!O21,AA261)</f>
        <v>270</v>
      </c>
      <c r="T261" s="6">
        <v>220</v>
      </c>
      <c r="U261" s="6">
        <f>IF(AB261="",'06_집기치수20'!P21,AB261-'06_집기치수20'!I21)</f>
        <v>200</v>
      </c>
      <c r="V261" s="6" t="str">
        <f>IF(Q261=0,"",IF(COUNTIFS('05_상품별배치367'!$B$7:$B$373,A261,'05_상품별배치367'!$T$7:$T$373,"입력 대기")&gt;0,"",SUMIFS('05_상품별배치367'!$S$7:$S$373,'05_상품별배치367'!$B$7:$B$373,A261)))</f>
        <v/>
      </c>
      <c r="W261" s="6" t="str">
        <f>IF(Q261=0,"미진열",IF(COUNTIFS('05_상품별배치367'!$B$7:$B$373,A261,'05_상품별배치367'!$T$7:$T$373,"치수 초과")&gt;0,"치수 초과",IF(COUNTIFS('05_상품별배치367'!$B$7:$B$373,A261,'05_상품별배치367'!$T$7:$T$373,"입력 대기")&gt;0,"치수 입력 대기",IF(V261&gt;R261,"폭 합계 초과","도면/실측 범위 내·현장확인"))))</f>
        <v>치수 입력 대기</v>
      </c>
      <c r="X261" s="6" t="s">
        <v>1459</v>
      </c>
      <c r="Y261" s="6" t="s">
        <v>555</v>
      </c>
      <c r="Z261" s="15"/>
      <c r="AA261" s="15"/>
      <c r="AB261" s="15"/>
    </row>
    <row r="262" spans="1:28" ht="33" customHeight="1">
      <c r="A262" s="8" t="s">
        <v>1460</v>
      </c>
      <c r="B262" s="8" t="s">
        <v>471</v>
      </c>
      <c r="C262" s="8" t="s">
        <v>472</v>
      </c>
      <c r="D262" s="9">
        <v>1</v>
      </c>
      <c r="E262" s="8" t="s">
        <v>27</v>
      </c>
      <c r="F262" s="8" t="s">
        <v>1461</v>
      </c>
      <c r="G262" s="8" t="s">
        <v>1462</v>
      </c>
      <c r="H262" s="8"/>
      <c r="I262" s="8"/>
      <c r="J262" s="8" t="s">
        <v>551</v>
      </c>
      <c r="K262" s="14" t="s">
        <v>552</v>
      </c>
      <c r="L262" s="15"/>
      <c r="M262" s="15"/>
      <c r="N262" s="8" t="s">
        <v>1463</v>
      </c>
      <c r="O262" s="8" t="s">
        <v>1464</v>
      </c>
      <c r="P262" s="6">
        <f>COUNTIFS('05_상품별배치367'!$B$7:$B$373,A262,'05_상품별배치367'!$K$7:$K$373,"&gt;0")</f>
        <v>0</v>
      </c>
      <c r="Q262" s="6">
        <f>SUMIFS('05_상품별배치367'!$K$7:$K$373,'05_상품별배치367'!$B$7:$B$373,A262)</f>
        <v>0</v>
      </c>
      <c r="R262" s="6">
        <f>IF(Z262="",'06_집기치수20'!N22,Z262)</f>
        <v>645</v>
      </c>
      <c r="S262" s="6">
        <f>IF(AA262="",'06_집기치수20'!O22,AA262)</f>
        <v>270</v>
      </c>
      <c r="T262" s="6">
        <v>100</v>
      </c>
      <c r="U262" s="6">
        <f>IF(AB262="",'06_집기치수20'!P22,AB262-'06_집기치수20'!I22)</f>
        <v>80</v>
      </c>
      <c r="V262" s="6" t="str">
        <f>IF(Q262=0,"",IF(COUNTIFS('05_상품별배치367'!$B$7:$B$373,A262,'05_상품별배치367'!$T$7:$T$373,"입력 대기")&gt;0,"",SUMIFS('05_상품별배치367'!$S$7:$S$373,'05_상품별배치367'!$B$7:$B$373,A262)))</f>
        <v/>
      </c>
      <c r="W262" s="6" t="str">
        <f>IF(Q262=0,"미진열",IF(COUNTIFS('05_상품별배치367'!$B$7:$B$373,A262,'05_상품별배치367'!$T$7:$T$373,"치수 초과")&gt;0,"치수 초과",IF(COUNTIFS('05_상품별배치367'!$B$7:$B$373,A262,'05_상품별배치367'!$T$7:$T$373,"입력 대기")&gt;0,"치수 입력 대기",IF(V262&gt;R262,"폭 합계 초과","도면/실측 범위 내·현장확인"))))</f>
        <v>미진열</v>
      </c>
      <c r="X262" s="6"/>
      <c r="Y262" s="6" t="s">
        <v>555</v>
      </c>
      <c r="Z262" s="15"/>
      <c r="AA262" s="15"/>
      <c r="AB262" s="15"/>
    </row>
    <row r="263" spans="1:28" ht="33" customHeight="1">
      <c r="A263" s="6" t="s">
        <v>1465</v>
      </c>
      <c r="B263" s="6" t="s">
        <v>471</v>
      </c>
      <c r="C263" s="6" t="s">
        <v>472</v>
      </c>
      <c r="D263" s="7">
        <v>2</v>
      </c>
      <c r="E263" s="6" t="s">
        <v>27</v>
      </c>
      <c r="F263" s="6" t="s">
        <v>1466</v>
      </c>
      <c r="G263" s="6" t="s">
        <v>858</v>
      </c>
      <c r="H263" s="6"/>
      <c r="I263" s="6"/>
      <c r="J263" s="6" t="s">
        <v>551</v>
      </c>
      <c r="K263" s="14" t="s">
        <v>552</v>
      </c>
      <c r="L263" s="15"/>
      <c r="M263" s="15"/>
      <c r="N263" s="6" t="s">
        <v>1467</v>
      </c>
      <c r="O263" s="6" t="s">
        <v>1464</v>
      </c>
      <c r="P263" s="6">
        <f>COUNTIFS('05_상품별배치367'!$B$7:$B$373,A263,'05_상품별배치367'!$K$7:$K$373,"&gt;0")</f>
        <v>0</v>
      </c>
      <c r="Q263" s="6">
        <f>SUMIFS('05_상품별배치367'!$K$7:$K$373,'05_상품별배치367'!$B$7:$B$373,A263)</f>
        <v>0</v>
      </c>
      <c r="R263" s="6">
        <f>IF(Z263="",'06_집기치수20'!N23,Z263)</f>
        <v>645</v>
      </c>
      <c r="S263" s="6">
        <f>IF(AA263="",'06_집기치수20'!O23,AA263)</f>
        <v>270</v>
      </c>
      <c r="T263" s="6">
        <v>220</v>
      </c>
      <c r="U263" s="6">
        <f>IF(AB263="",'06_집기치수20'!P23,AB263-'06_집기치수20'!I23)</f>
        <v>200</v>
      </c>
      <c r="V263" s="6" t="str">
        <f>IF(Q263=0,"",IF(COUNTIFS('05_상품별배치367'!$B$7:$B$373,A263,'05_상품별배치367'!$T$7:$T$373,"입력 대기")&gt;0,"",SUMIFS('05_상품별배치367'!$S$7:$S$373,'05_상품별배치367'!$B$7:$B$373,A263)))</f>
        <v/>
      </c>
      <c r="W263" s="6" t="str">
        <f>IF(Q263=0,"미진열",IF(COUNTIFS('05_상품별배치367'!$B$7:$B$373,A263,'05_상품별배치367'!$T$7:$T$373,"치수 초과")&gt;0,"치수 초과",IF(COUNTIFS('05_상품별배치367'!$B$7:$B$373,A263,'05_상품별배치367'!$T$7:$T$373,"입력 대기")&gt;0,"치수 입력 대기",IF(V263&gt;R263,"폭 합계 초과","도면/실측 범위 내·현장확인"))))</f>
        <v>미진열</v>
      </c>
      <c r="X263" s="6"/>
      <c r="Y263" s="6" t="s">
        <v>555</v>
      </c>
      <c r="Z263" s="15"/>
      <c r="AA263" s="15"/>
      <c r="AB263" s="15"/>
    </row>
    <row r="264" spans="1:28" ht="33" customHeight="1">
      <c r="A264" s="8" t="s">
        <v>1468</v>
      </c>
      <c r="B264" s="8" t="s">
        <v>471</v>
      </c>
      <c r="C264" s="8" t="s">
        <v>472</v>
      </c>
      <c r="D264" s="9">
        <v>3</v>
      </c>
      <c r="E264" s="8" t="s">
        <v>27</v>
      </c>
      <c r="F264" s="8" t="s">
        <v>1469</v>
      </c>
      <c r="G264" s="8" t="s">
        <v>865</v>
      </c>
      <c r="H264" s="8"/>
      <c r="I264" s="8"/>
      <c r="J264" s="8" t="s">
        <v>551</v>
      </c>
      <c r="K264" s="14" t="s">
        <v>552</v>
      </c>
      <c r="L264" s="15"/>
      <c r="M264" s="15"/>
      <c r="N264" s="8" t="s">
        <v>1467</v>
      </c>
      <c r="O264" s="8" t="s">
        <v>1464</v>
      </c>
      <c r="P264" s="6">
        <f>COUNTIFS('05_상품별배치367'!$B$7:$B$373,A264,'05_상품별배치367'!$K$7:$K$373,"&gt;0")</f>
        <v>0</v>
      </c>
      <c r="Q264" s="6">
        <f>SUMIFS('05_상품별배치367'!$K$7:$K$373,'05_상품별배치367'!$B$7:$B$373,A264)</f>
        <v>0</v>
      </c>
      <c r="R264" s="6">
        <f>IF(Z264="",'06_집기치수20'!N24,Z264)</f>
        <v>645</v>
      </c>
      <c r="S264" s="6">
        <f>IF(AA264="",'06_집기치수20'!O24,AA264)</f>
        <v>270</v>
      </c>
      <c r="T264" s="6">
        <v>220</v>
      </c>
      <c r="U264" s="6">
        <f>IF(AB264="",'06_집기치수20'!P24,AB264-'06_집기치수20'!I24)</f>
        <v>200</v>
      </c>
      <c r="V264" s="6" t="str">
        <f>IF(Q264=0,"",IF(COUNTIFS('05_상품별배치367'!$B$7:$B$373,A264,'05_상품별배치367'!$T$7:$T$373,"입력 대기")&gt;0,"",SUMIFS('05_상품별배치367'!$S$7:$S$373,'05_상품별배치367'!$B$7:$B$373,A264)))</f>
        <v/>
      </c>
      <c r="W264" s="6" t="str">
        <f>IF(Q264=0,"미진열",IF(COUNTIFS('05_상품별배치367'!$B$7:$B$373,A264,'05_상품별배치367'!$T$7:$T$373,"치수 초과")&gt;0,"치수 초과",IF(COUNTIFS('05_상품별배치367'!$B$7:$B$373,A264,'05_상품별배치367'!$T$7:$T$373,"입력 대기")&gt;0,"치수 입력 대기",IF(V264&gt;R264,"폭 합계 초과","도면/실측 범위 내·현장확인"))))</f>
        <v>미진열</v>
      </c>
      <c r="X264" s="6"/>
      <c r="Y264" s="6" t="s">
        <v>555</v>
      </c>
      <c r="Z264" s="15"/>
      <c r="AA264" s="15"/>
      <c r="AB264" s="15"/>
    </row>
    <row r="265" spans="1:28" ht="33" customHeight="1">
      <c r="A265" s="6" t="s">
        <v>1470</v>
      </c>
      <c r="B265" s="6" t="s">
        <v>471</v>
      </c>
      <c r="C265" s="6" t="s">
        <v>472</v>
      </c>
      <c r="D265" s="7">
        <v>4</v>
      </c>
      <c r="E265" s="6" t="s">
        <v>27</v>
      </c>
      <c r="F265" s="6" t="s">
        <v>1471</v>
      </c>
      <c r="G265" s="6" t="s">
        <v>858</v>
      </c>
      <c r="H265" s="6"/>
      <c r="I265" s="6"/>
      <c r="J265" s="6" t="s">
        <v>551</v>
      </c>
      <c r="K265" s="14" t="s">
        <v>568</v>
      </c>
      <c r="L265" s="15"/>
      <c r="M265" s="15"/>
      <c r="N265" s="6" t="s">
        <v>1467</v>
      </c>
      <c r="O265" s="6" t="s">
        <v>1464</v>
      </c>
      <c r="P265" s="6">
        <f>COUNTIFS('05_상품별배치367'!$B$7:$B$373,A265,'05_상품별배치367'!$K$7:$K$373,"&gt;0")</f>
        <v>0</v>
      </c>
      <c r="Q265" s="6">
        <f>SUMIFS('05_상품별배치367'!$K$7:$K$373,'05_상품별배치367'!$B$7:$B$373,A265)</f>
        <v>0</v>
      </c>
      <c r="R265" s="6">
        <f>IF(Z265="",'06_집기치수20'!N25,Z265)</f>
        <v>645</v>
      </c>
      <c r="S265" s="6">
        <f>IF(AA265="",'06_집기치수20'!O25,AA265)</f>
        <v>270</v>
      </c>
      <c r="T265" s="6">
        <v>220</v>
      </c>
      <c r="U265" s="6">
        <f>IF(AB265="",'06_집기치수20'!P25,AB265-'06_집기치수20'!I25)</f>
        <v>200</v>
      </c>
      <c r="V265" s="6" t="str">
        <f>IF(Q265=0,"",IF(COUNTIFS('05_상품별배치367'!$B$7:$B$373,A265,'05_상품별배치367'!$T$7:$T$373,"입력 대기")&gt;0,"",SUMIFS('05_상품별배치367'!$S$7:$S$373,'05_상품별배치367'!$B$7:$B$373,A265)))</f>
        <v/>
      </c>
      <c r="W265" s="6" t="str">
        <f>IF(Q265=0,"미진열",IF(COUNTIFS('05_상품별배치367'!$B$7:$B$373,A265,'05_상품별배치367'!$T$7:$T$373,"치수 초과")&gt;0,"치수 초과",IF(COUNTIFS('05_상품별배치367'!$B$7:$B$373,A265,'05_상품별배치367'!$T$7:$T$373,"입력 대기")&gt;0,"치수 입력 대기",IF(V265&gt;R265,"폭 합계 초과","도면/실측 범위 내·현장확인"))))</f>
        <v>미진열</v>
      </c>
      <c r="X265" s="6"/>
      <c r="Y265" s="6" t="s">
        <v>555</v>
      </c>
      <c r="Z265" s="15"/>
      <c r="AA265" s="15"/>
      <c r="AB265" s="15"/>
    </row>
    <row r="266" spans="1:28" ht="33" customHeight="1">
      <c r="A266" s="8" t="s">
        <v>1472</v>
      </c>
      <c r="B266" s="8" t="s">
        <v>471</v>
      </c>
      <c r="C266" s="8" t="s">
        <v>472</v>
      </c>
      <c r="D266" s="9">
        <v>5</v>
      </c>
      <c r="E266" s="8" t="s">
        <v>27</v>
      </c>
      <c r="F266" s="8" t="s">
        <v>1473</v>
      </c>
      <c r="G266" s="8" t="s">
        <v>590</v>
      </c>
      <c r="H266" s="8"/>
      <c r="I266" s="8"/>
      <c r="J266" s="8" t="s">
        <v>551</v>
      </c>
      <c r="K266" s="14" t="s">
        <v>568</v>
      </c>
      <c r="L266" s="15"/>
      <c r="M266" s="15"/>
      <c r="N266" s="8" t="s">
        <v>1467</v>
      </c>
      <c r="O266" s="8" t="s">
        <v>1464</v>
      </c>
      <c r="P266" s="6">
        <f>COUNTIFS('05_상품별배치367'!$B$7:$B$373,A266,'05_상품별배치367'!$K$7:$K$373,"&gt;0")</f>
        <v>0</v>
      </c>
      <c r="Q266" s="6">
        <f>SUMIFS('05_상품별배치367'!$K$7:$K$373,'05_상품별배치367'!$B$7:$B$373,A266)</f>
        <v>0</v>
      </c>
      <c r="R266" s="6">
        <f>IF(Z266="",'06_집기치수20'!N26,Z266)</f>
        <v>645</v>
      </c>
      <c r="S266" s="6">
        <f>IF(AA266="",'06_집기치수20'!O26,AA266)</f>
        <v>270</v>
      </c>
      <c r="T266" s="6">
        <v>220</v>
      </c>
      <c r="U266" s="6">
        <f>IF(AB266="",'06_집기치수20'!P26,AB266-'06_집기치수20'!I26)</f>
        <v>200</v>
      </c>
      <c r="V266" s="6" t="str">
        <f>IF(Q266=0,"",IF(COUNTIFS('05_상품별배치367'!$B$7:$B$373,A266,'05_상품별배치367'!$T$7:$T$373,"입력 대기")&gt;0,"",SUMIFS('05_상품별배치367'!$S$7:$S$373,'05_상품별배치367'!$B$7:$B$373,A266)))</f>
        <v/>
      </c>
      <c r="W266" s="6" t="str">
        <f>IF(Q266=0,"미진열",IF(COUNTIFS('05_상품별배치367'!$B$7:$B$373,A266,'05_상품별배치367'!$T$7:$T$373,"치수 초과")&gt;0,"치수 초과",IF(COUNTIFS('05_상품별배치367'!$B$7:$B$373,A266,'05_상품별배치367'!$T$7:$T$373,"입력 대기")&gt;0,"치수 입력 대기",IF(V266&gt;R266,"폭 합계 초과","도면/실측 범위 내·현장확인"))))</f>
        <v>미진열</v>
      </c>
      <c r="X266" s="6"/>
      <c r="Y266" s="6" t="s">
        <v>555</v>
      </c>
      <c r="Z266" s="15"/>
      <c r="AA266" s="15"/>
      <c r="AB266" s="15"/>
    </row>
    <row r="267" spans="1:28" ht="33" customHeight="1">
      <c r="A267" s="6" t="s">
        <v>1474</v>
      </c>
      <c r="B267" s="6" t="s">
        <v>477</v>
      </c>
      <c r="C267" s="6" t="s">
        <v>478</v>
      </c>
      <c r="D267" s="7">
        <v>1</v>
      </c>
      <c r="E267" s="6" t="s">
        <v>39</v>
      </c>
      <c r="F267" s="6" t="s">
        <v>120</v>
      </c>
      <c r="G267" s="6" t="s">
        <v>1475</v>
      </c>
      <c r="H267" s="6"/>
      <c r="I267" s="6"/>
      <c r="J267" s="6" t="s">
        <v>551</v>
      </c>
      <c r="K267" s="14" t="s">
        <v>552</v>
      </c>
      <c r="L267" s="15"/>
      <c r="M267" s="15"/>
      <c r="N267" s="6" t="s">
        <v>1463</v>
      </c>
      <c r="O267" s="6" t="s">
        <v>1464</v>
      </c>
      <c r="P267" s="6">
        <f>COUNTIFS('05_상품별배치367'!$B$7:$B$373,A267,'05_상품별배치367'!$K$7:$K$373,"&gt;0")</f>
        <v>0</v>
      </c>
      <c r="Q267" s="6">
        <f>SUMIFS('05_상품별배치367'!$K$7:$K$373,'05_상품별배치367'!$B$7:$B$373,A267)</f>
        <v>0</v>
      </c>
      <c r="R267" s="6">
        <f>IF(Z267="",'06_집기치수20'!N22,Z267)</f>
        <v>645</v>
      </c>
      <c r="S267" s="6">
        <f>IF(AA267="",'06_집기치수20'!O22,AA267)</f>
        <v>270</v>
      </c>
      <c r="T267" s="6">
        <v>100</v>
      </c>
      <c r="U267" s="6">
        <f>IF(AB267="",'06_집기치수20'!P22,AB267-'06_집기치수20'!I22)</f>
        <v>80</v>
      </c>
      <c r="V267" s="6" t="str">
        <f>IF(Q267=0,"",IF(COUNTIFS('05_상품별배치367'!$B$7:$B$373,A267,'05_상품별배치367'!$T$7:$T$373,"입력 대기")&gt;0,"",SUMIFS('05_상품별배치367'!$S$7:$S$373,'05_상품별배치367'!$B$7:$B$373,A267)))</f>
        <v/>
      </c>
      <c r="W267" s="6" t="str">
        <f>IF(Q267=0,"미진열",IF(COUNTIFS('05_상품별배치367'!$B$7:$B$373,A267,'05_상품별배치367'!$T$7:$T$373,"치수 초과")&gt;0,"치수 초과",IF(COUNTIFS('05_상품별배치367'!$B$7:$B$373,A267,'05_상품별배치367'!$T$7:$T$373,"입력 대기")&gt;0,"치수 입력 대기",IF(V267&gt;R267,"폭 합계 초과","도면/실측 범위 내·현장확인"))))</f>
        <v>미진열</v>
      </c>
      <c r="X267" s="6"/>
      <c r="Y267" s="6" t="s">
        <v>555</v>
      </c>
      <c r="Z267" s="15"/>
      <c r="AA267" s="15"/>
      <c r="AB267" s="15"/>
    </row>
    <row r="268" spans="1:28" ht="33" customHeight="1">
      <c r="A268" s="8" t="s">
        <v>1476</v>
      </c>
      <c r="B268" s="8" t="s">
        <v>477</v>
      </c>
      <c r="C268" s="8" t="s">
        <v>478</v>
      </c>
      <c r="D268" s="9">
        <v>2</v>
      </c>
      <c r="E268" s="8" t="s">
        <v>39</v>
      </c>
      <c r="F268" s="8" t="s">
        <v>481</v>
      </c>
      <c r="G268" s="8" t="s">
        <v>481</v>
      </c>
      <c r="H268" s="8" t="s">
        <v>1477</v>
      </c>
      <c r="I268" s="8" t="s">
        <v>1478</v>
      </c>
      <c r="J268" s="8" t="s">
        <v>551</v>
      </c>
      <c r="K268" s="14" t="s">
        <v>594</v>
      </c>
      <c r="L268" s="15"/>
      <c r="M268" s="15"/>
      <c r="N268" s="8" t="s">
        <v>1467</v>
      </c>
      <c r="O268" s="8" t="s">
        <v>1464</v>
      </c>
      <c r="P268" s="6">
        <f>COUNTIFS('05_상품별배치367'!$B$7:$B$373,A268,'05_상품별배치367'!$K$7:$K$373,"&gt;0")</f>
        <v>1</v>
      </c>
      <c r="Q268" s="6">
        <f>SUMIFS('05_상품별배치367'!$K$7:$K$373,'05_상품별배치367'!$B$7:$B$373,A268)</f>
        <v>1</v>
      </c>
      <c r="R268" s="6">
        <f>IF(Z268="",'06_집기치수20'!N23,Z268)</f>
        <v>645</v>
      </c>
      <c r="S268" s="6">
        <f>IF(AA268="",'06_집기치수20'!O23,AA268)</f>
        <v>270</v>
      </c>
      <c r="T268" s="6">
        <v>220</v>
      </c>
      <c r="U268" s="6">
        <f>IF(AB268="",'06_집기치수20'!P23,AB268-'06_집기치수20'!I23)</f>
        <v>200</v>
      </c>
      <c r="V268" s="6" t="str">
        <f>IF(Q268=0,"",IF(COUNTIFS('05_상품별배치367'!$B$7:$B$373,A268,'05_상품별배치367'!$T$7:$T$373,"입력 대기")&gt;0,"",SUMIFS('05_상품별배치367'!$S$7:$S$373,'05_상품별배치367'!$B$7:$B$373,A268)))</f>
        <v/>
      </c>
      <c r="W268" s="6" t="str">
        <f>IF(Q268=0,"미진열",IF(COUNTIFS('05_상품별배치367'!$B$7:$B$373,A268,'05_상품별배치367'!$T$7:$T$373,"치수 초과")&gt;0,"치수 초과",IF(COUNTIFS('05_상품별배치367'!$B$7:$B$373,A268,'05_상품별배치367'!$T$7:$T$373,"입력 대기")&gt;0,"치수 입력 대기",IF(V268&gt;R268,"폭 합계 초과","도면/실측 범위 내·현장확인"))))</f>
        <v>치수 입력 대기</v>
      </c>
      <c r="X268" s="6" t="s">
        <v>1479</v>
      </c>
      <c r="Y268" s="6" t="s">
        <v>555</v>
      </c>
      <c r="Z268" s="15"/>
      <c r="AA268" s="15"/>
      <c r="AB268" s="15"/>
    </row>
    <row r="269" spans="1:28" ht="33" customHeight="1">
      <c r="A269" s="6" t="s">
        <v>1480</v>
      </c>
      <c r="B269" s="6" t="s">
        <v>477</v>
      </c>
      <c r="C269" s="6" t="s">
        <v>478</v>
      </c>
      <c r="D269" s="7">
        <v>3</v>
      </c>
      <c r="E269" s="6" t="s">
        <v>39</v>
      </c>
      <c r="F269" s="6" t="s">
        <v>482</v>
      </c>
      <c r="G269" s="6" t="s">
        <v>482</v>
      </c>
      <c r="H269" s="6" t="s">
        <v>1481</v>
      </c>
      <c r="I269" s="6" t="s">
        <v>1482</v>
      </c>
      <c r="J269" s="6" t="s">
        <v>551</v>
      </c>
      <c r="K269" s="14" t="s">
        <v>594</v>
      </c>
      <c r="L269" s="15"/>
      <c r="M269" s="15"/>
      <c r="N269" s="6" t="s">
        <v>1467</v>
      </c>
      <c r="O269" s="6" t="s">
        <v>1464</v>
      </c>
      <c r="P269" s="6">
        <f>COUNTIFS('05_상품별배치367'!$B$7:$B$373,A269,'05_상품별배치367'!$K$7:$K$373,"&gt;0")</f>
        <v>1</v>
      </c>
      <c r="Q269" s="6">
        <f>SUMIFS('05_상품별배치367'!$K$7:$K$373,'05_상품별배치367'!$B$7:$B$373,A269)</f>
        <v>1</v>
      </c>
      <c r="R269" s="6">
        <f>IF(Z269="",'06_집기치수20'!N24,Z269)</f>
        <v>645</v>
      </c>
      <c r="S269" s="6">
        <f>IF(AA269="",'06_집기치수20'!O24,AA269)</f>
        <v>270</v>
      </c>
      <c r="T269" s="6">
        <v>220</v>
      </c>
      <c r="U269" s="6">
        <f>IF(AB269="",'06_집기치수20'!P24,AB269-'06_집기치수20'!I24)</f>
        <v>200</v>
      </c>
      <c r="V269" s="6" t="str">
        <f>IF(Q269=0,"",IF(COUNTIFS('05_상품별배치367'!$B$7:$B$373,A269,'05_상품별배치367'!$T$7:$T$373,"입력 대기")&gt;0,"",SUMIFS('05_상품별배치367'!$S$7:$S$373,'05_상품별배치367'!$B$7:$B$373,A269)))</f>
        <v/>
      </c>
      <c r="W269" s="6" t="str">
        <f>IF(Q269=0,"미진열",IF(COUNTIFS('05_상품별배치367'!$B$7:$B$373,A269,'05_상품별배치367'!$T$7:$T$373,"치수 초과")&gt;0,"치수 초과",IF(COUNTIFS('05_상품별배치367'!$B$7:$B$373,A269,'05_상품별배치367'!$T$7:$T$373,"입력 대기")&gt;0,"치수 입력 대기",IF(V269&gt;R269,"폭 합계 초과","도면/실측 범위 내·현장확인"))))</f>
        <v>치수 입력 대기</v>
      </c>
      <c r="X269" s="6" t="s">
        <v>1483</v>
      </c>
      <c r="Y269" s="6" t="s">
        <v>555</v>
      </c>
      <c r="Z269" s="15"/>
      <c r="AA269" s="15"/>
      <c r="AB269" s="15"/>
    </row>
    <row r="270" spans="1:28" ht="33" customHeight="1">
      <c r="A270" s="8" t="s">
        <v>1484</v>
      </c>
      <c r="B270" s="8" t="s">
        <v>477</v>
      </c>
      <c r="C270" s="8" t="s">
        <v>478</v>
      </c>
      <c r="D270" s="9">
        <v>4</v>
      </c>
      <c r="E270" s="8" t="s">
        <v>39</v>
      </c>
      <c r="F270" s="8" t="s">
        <v>123</v>
      </c>
      <c r="G270" s="8" t="s">
        <v>481</v>
      </c>
      <c r="H270" s="8"/>
      <c r="I270" s="8"/>
      <c r="J270" s="8" t="s">
        <v>551</v>
      </c>
      <c r="K270" s="14" t="s">
        <v>568</v>
      </c>
      <c r="L270" s="15"/>
      <c r="M270" s="15"/>
      <c r="N270" s="8" t="s">
        <v>1467</v>
      </c>
      <c r="O270" s="8" t="s">
        <v>1464</v>
      </c>
      <c r="P270" s="6">
        <f>COUNTIFS('05_상품별배치367'!$B$7:$B$373,A270,'05_상품별배치367'!$K$7:$K$373,"&gt;0")</f>
        <v>0</v>
      </c>
      <c r="Q270" s="6">
        <f>SUMIFS('05_상품별배치367'!$K$7:$K$373,'05_상품별배치367'!$B$7:$B$373,A270)</f>
        <v>0</v>
      </c>
      <c r="R270" s="6">
        <f>IF(Z270="",'06_집기치수20'!N25,Z270)</f>
        <v>645</v>
      </c>
      <c r="S270" s="6">
        <f>IF(AA270="",'06_집기치수20'!O25,AA270)</f>
        <v>270</v>
      </c>
      <c r="T270" s="6">
        <v>220</v>
      </c>
      <c r="U270" s="6">
        <f>IF(AB270="",'06_집기치수20'!P25,AB270-'06_집기치수20'!I25)</f>
        <v>200</v>
      </c>
      <c r="V270" s="6" t="str">
        <f>IF(Q270=0,"",IF(COUNTIFS('05_상품별배치367'!$B$7:$B$373,A270,'05_상품별배치367'!$T$7:$T$373,"입력 대기")&gt;0,"",SUMIFS('05_상품별배치367'!$S$7:$S$373,'05_상품별배치367'!$B$7:$B$373,A270)))</f>
        <v/>
      </c>
      <c r="W270" s="6" t="str">
        <f>IF(Q270=0,"미진열",IF(COUNTIFS('05_상품별배치367'!$B$7:$B$373,A270,'05_상품별배치367'!$T$7:$T$373,"치수 초과")&gt;0,"치수 초과",IF(COUNTIFS('05_상품별배치367'!$B$7:$B$373,A270,'05_상품별배치367'!$T$7:$T$373,"입력 대기")&gt;0,"치수 입력 대기",IF(V270&gt;R270,"폭 합계 초과","도면/실측 범위 내·현장확인"))))</f>
        <v>미진열</v>
      </c>
      <c r="X270" s="6"/>
      <c r="Y270" s="6" t="s">
        <v>555</v>
      </c>
      <c r="Z270" s="15"/>
      <c r="AA270" s="15"/>
      <c r="AB270" s="15"/>
    </row>
    <row r="271" spans="1:28" ht="33" customHeight="1">
      <c r="A271" s="6" t="s">
        <v>1485</v>
      </c>
      <c r="B271" s="6" t="s">
        <v>477</v>
      </c>
      <c r="C271" s="6" t="s">
        <v>478</v>
      </c>
      <c r="D271" s="7">
        <v>5</v>
      </c>
      <c r="E271" s="6" t="s">
        <v>39</v>
      </c>
      <c r="F271" s="6" t="s">
        <v>123</v>
      </c>
      <c r="G271" s="6" t="s">
        <v>590</v>
      </c>
      <c r="H271" s="6"/>
      <c r="I271" s="6"/>
      <c r="J271" s="6" t="s">
        <v>551</v>
      </c>
      <c r="K271" s="14" t="s">
        <v>568</v>
      </c>
      <c r="L271" s="15"/>
      <c r="M271" s="15"/>
      <c r="N271" s="6" t="s">
        <v>1467</v>
      </c>
      <c r="O271" s="6" t="s">
        <v>1464</v>
      </c>
      <c r="P271" s="6">
        <f>COUNTIFS('05_상품별배치367'!$B$7:$B$373,A271,'05_상품별배치367'!$K$7:$K$373,"&gt;0")</f>
        <v>0</v>
      </c>
      <c r="Q271" s="6">
        <f>SUMIFS('05_상품별배치367'!$K$7:$K$373,'05_상품별배치367'!$B$7:$B$373,A271)</f>
        <v>0</v>
      </c>
      <c r="R271" s="6">
        <f>IF(Z271="",'06_집기치수20'!N26,Z271)</f>
        <v>645</v>
      </c>
      <c r="S271" s="6">
        <f>IF(AA271="",'06_집기치수20'!O26,AA271)</f>
        <v>270</v>
      </c>
      <c r="T271" s="6">
        <v>220</v>
      </c>
      <c r="U271" s="6">
        <f>IF(AB271="",'06_집기치수20'!P26,AB271-'06_집기치수20'!I26)</f>
        <v>200</v>
      </c>
      <c r="V271" s="6" t="str">
        <f>IF(Q271=0,"",IF(COUNTIFS('05_상품별배치367'!$B$7:$B$373,A271,'05_상품별배치367'!$T$7:$T$373,"입력 대기")&gt;0,"",SUMIFS('05_상품별배치367'!$S$7:$S$373,'05_상품별배치367'!$B$7:$B$373,A271)))</f>
        <v/>
      </c>
      <c r="W271" s="6" t="str">
        <f>IF(Q271=0,"미진열",IF(COUNTIFS('05_상품별배치367'!$B$7:$B$373,A271,'05_상품별배치367'!$T$7:$T$373,"치수 초과")&gt;0,"치수 초과",IF(COUNTIFS('05_상품별배치367'!$B$7:$B$373,A271,'05_상품별배치367'!$T$7:$T$373,"입력 대기")&gt;0,"치수 입력 대기",IF(V271&gt;R271,"폭 합계 초과","도면/실측 범위 내·현장확인"))))</f>
        <v>미진열</v>
      </c>
      <c r="X271" s="6"/>
      <c r="Y271" s="6" t="s">
        <v>555</v>
      </c>
      <c r="Z271" s="15"/>
      <c r="AA271" s="15"/>
      <c r="AB271" s="15"/>
    </row>
    <row r="272" spans="1:28" ht="33" customHeight="1">
      <c r="A272" s="8" t="s">
        <v>1486</v>
      </c>
      <c r="B272" s="8" t="s">
        <v>483</v>
      </c>
      <c r="C272" s="8" t="s">
        <v>472</v>
      </c>
      <c r="D272" s="9">
        <v>1</v>
      </c>
      <c r="E272" s="8" t="s">
        <v>27</v>
      </c>
      <c r="F272" s="8" t="s">
        <v>120</v>
      </c>
      <c r="G272" s="8" t="s">
        <v>968</v>
      </c>
      <c r="H272" s="8"/>
      <c r="I272" s="8"/>
      <c r="J272" s="8" t="s">
        <v>551</v>
      </c>
      <c r="K272" s="14" t="s">
        <v>552</v>
      </c>
      <c r="L272" s="15"/>
      <c r="M272" s="15"/>
      <c r="N272" s="8" t="s">
        <v>1463</v>
      </c>
      <c r="O272" s="8" t="s">
        <v>1464</v>
      </c>
      <c r="P272" s="6">
        <f>COUNTIFS('05_상품별배치367'!$B$7:$B$373,A272,'05_상품별배치367'!$K$7:$K$373,"&gt;0")</f>
        <v>0</v>
      </c>
      <c r="Q272" s="6">
        <f>SUMIFS('05_상품별배치367'!$K$7:$K$373,'05_상품별배치367'!$B$7:$B$373,A272)</f>
        <v>0</v>
      </c>
      <c r="R272" s="6">
        <f>IF(Z272="",'06_집기치수20'!N22,Z272)</f>
        <v>645</v>
      </c>
      <c r="S272" s="6">
        <f>IF(AA272="",'06_집기치수20'!O22,AA272)</f>
        <v>270</v>
      </c>
      <c r="T272" s="6">
        <v>100</v>
      </c>
      <c r="U272" s="6">
        <f>IF(AB272="",'06_집기치수20'!P22,AB272-'06_집기치수20'!I22)</f>
        <v>80</v>
      </c>
      <c r="V272" s="6" t="str">
        <f>IF(Q272=0,"",IF(COUNTIFS('05_상품별배치367'!$B$7:$B$373,A272,'05_상품별배치367'!$T$7:$T$373,"입력 대기")&gt;0,"",SUMIFS('05_상품별배치367'!$S$7:$S$373,'05_상품별배치367'!$B$7:$B$373,A272)))</f>
        <v/>
      </c>
      <c r="W272" s="6" t="str">
        <f>IF(Q272=0,"미진열",IF(COUNTIFS('05_상품별배치367'!$B$7:$B$373,A272,'05_상품별배치367'!$T$7:$T$373,"치수 초과")&gt;0,"치수 초과",IF(COUNTIFS('05_상품별배치367'!$B$7:$B$373,A272,'05_상품별배치367'!$T$7:$T$373,"입력 대기")&gt;0,"치수 입력 대기",IF(V272&gt;R272,"폭 합계 초과","도면/실측 범위 내·현장확인"))))</f>
        <v>미진열</v>
      </c>
      <c r="X272" s="6"/>
      <c r="Y272" s="6" t="s">
        <v>555</v>
      </c>
      <c r="Z272" s="15"/>
      <c r="AA272" s="15"/>
      <c r="AB272" s="15"/>
    </row>
    <row r="273" spans="1:28" ht="33" customHeight="1">
      <c r="A273" s="6" t="s">
        <v>1487</v>
      </c>
      <c r="B273" s="6" t="s">
        <v>483</v>
      </c>
      <c r="C273" s="6" t="s">
        <v>472</v>
      </c>
      <c r="D273" s="7">
        <v>2</v>
      </c>
      <c r="E273" s="6" t="s">
        <v>27</v>
      </c>
      <c r="F273" s="6" t="s">
        <v>128</v>
      </c>
      <c r="G273" s="6" t="s">
        <v>128</v>
      </c>
      <c r="H273" s="6" t="s">
        <v>978</v>
      </c>
      <c r="I273" s="6" t="s">
        <v>979</v>
      </c>
      <c r="J273" s="6" t="s">
        <v>551</v>
      </c>
      <c r="K273" s="14" t="s">
        <v>594</v>
      </c>
      <c r="L273" s="15"/>
      <c r="M273" s="15"/>
      <c r="N273" s="6" t="s">
        <v>1467</v>
      </c>
      <c r="O273" s="6" t="s">
        <v>1464</v>
      </c>
      <c r="P273" s="6">
        <f>COUNTIFS('05_상품별배치367'!$B$7:$B$373,A273,'05_상품별배치367'!$K$7:$K$373,"&gt;0")</f>
        <v>1</v>
      </c>
      <c r="Q273" s="6">
        <f>SUMIFS('05_상품별배치367'!$K$7:$K$373,'05_상품별배치367'!$B$7:$B$373,A273)</f>
        <v>1</v>
      </c>
      <c r="R273" s="6">
        <f>IF(Z273="",'06_집기치수20'!N23,Z273)</f>
        <v>645</v>
      </c>
      <c r="S273" s="6">
        <f>IF(AA273="",'06_집기치수20'!O23,AA273)</f>
        <v>270</v>
      </c>
      <c r="T273" s="6">
        <v>220</v>
      </c>
      <c r="U273" s="6">
        <f>IF(AB273="",'06_집기치수20'!P23,AB273-'06_집기치수20'!I23)</f>
        <v>200</v>
      </c>
      <c r="V273" s="6" t="str">
        <f>IF(Q273=0,"",IF(COUNTIFS('05_상품별배치367'!$B$7:$B$373,A273,'05_상품별배치367'!$T$7:$T$373,"입력 대기")&gt;0,"",SUMIFS('05_상품별배치367'!$S$7:$S$373,'05_상품별배치367'!$B$7:$B$373,A273)))</f>
        <v/>
      </c>
      <c r="W273" s="6" t="str">
        <f>IF(Q273=0,"미진열",IF(COUNTIFS('05_상품별배치367'!$B$7:$B$373,A273,'05_상품별배치367'!$T$7:$T$373,"치수 초과")&gt;0,"치수 초과",IF(COUNTIFS('05_상품별배치367'!$B$7:$B$373,A273,'05_상품별배치367'!$T$7:$T$373,"입력 대기")&gt;0,"치수 입력 대기",IF(V273&gt;R273,"폭 합계 초과","도면/실측 범위 내·현장확인"))))</f>
        <v>치수 입력 대기</v>
      </c>
      <c r="X273" s="6" t="s">
        <v>980</v>
      </c>
      <c r="Y273" s="6" t="s">
        <v>555</v>
      </c>
      <c r="Z273" s="15"/>
      <c r="AA273" s="15"/>
      <c r="AB273" s="15"/>
    </row>
    <row r="274" spans="1:28" ht="33" customHeight="1">
      <c r="A274" s="8" t="s">
        <v>1488</v>
      </c>
      <c r="B274" s="8" t="s">
        <v>483</v>
      </c>
      <c r="C274" s="8" t="s">
        <v>472</v>
      </c>
      <c r="D274" s="9">
        <v>3</v>
      </c>
      <c r="E274" s="8" t="s">
        <v>27</v>
      </c>
      <c r="F274" s="8" t="s">
        <v>129</v>
      </c>
      <c r="G274" s="8" t="s">
        <v>129</v>
      </c>
      <c r="H274" s="8" t="s">
        <v>1489</v>
      </c>
      <c r="I274" s="8" t="s">
        <v>1490</v>
      </c>
      <c r="J274" s="8" t="s">
        <v>551</v>
      </c>
      <c r="K274" s="14" t="s">
        <v>594</v>
      </c>
      <c r="L274" s="15"/>
      <c r="M274" s="15"/>
      <c r="N274" s="8" t="s">
        <v>1467</v>
      </c>
      <c r="O274" s="8" t="s">
        <v>1464</v>
      </c>
      <c r="P274" s="6">
        <f>COUNTIFS('05_상품별배치367'!$B$7:$B$373,A274,'05_상품별배치367'!$K$7:$K$373,"&gt;0")</f>
        <v>1</v>
      </c>
      <c r="Q274" s="6">
        <f>SUMIFS('05_상품별배치367'!$K$7:$K$373,'05_상품별배치367'!$B$7:$B$373,A274)</f>
        <v>1</v>
      </c>
      <c r="R274" s="6">
        <f>IF(Z274="",'06_집기치수20'!N24,Z274)</f>
        <v>645</v>
      </c>
      <c r="S274" s="6">
        <f>IF(AA274="",'06_집기치수20'!O24,AA274)</f>
        <v>270</v>
      </c>
      <c r="T274" s="6">
        <v>220</v>
      </c>
      <c r="U274" s="6">
        <f>IF(AB274="",'06_집기치수20'!P24,AB274-'06_집기치수20'!I24)</f>
        <v>200</v>
      </c>
      <c r="V274" s="6" t="str">
        <f>IF(Q274=0,"",IF(COUNTIFS('05_상품별배치367'!$B$7:$B$373,A274,'05_상품별배치367'!$T$7:$T$373,"입력 대기")&gt;0,"",SUMIFS('05_상품별배치367'!$S$7:$S$373,'05_상품별배치367'!$B$7:$B$373,A274)))</f>
        <v/>
      </c>
      <c r="W274" s="6" t="str">
        <f>IF(Q274=0,"미진열",IF(COUNTIFS('05_상품별배치367'!$B$7:$B$373,A274,'05_상품별배치367'!$T$7:$T$373,"치수 초과")&gt;0,"치수 초과",IF(COUNTIFS('05_상품별배치367'!$B$7:$B$373,A274,'05_상품별배치367'!$T$7:$T$373,"입력 대기")&gt;0,"치수 입력 대기",IF(V274&gt;R274,"폭 합계 초과","도면/실측 범위 내·현장확인"))))</f>
        <v>치수 입력 대기</v>
      </c>
      <c r="X274" s="6" t="s">
        <v>1491</v>
      </c>
      <c r="Y274" s="6" t="s">
        <v>555</v>
      </c>
      <c r="Z274" s="15"/>
      <c r="AA274" s="15"/>
      <c r="AB274" s="15"/>
    </row>
    <row r="275" spans="1:28" ht="33" customHeight="1">
      <c r="A275" s="6" t="s">
        <v>1492</v>
      </c>
      <c r="B275" s="6" t="s">
        <v>483</v>
      </c>
      <c r="C275" s="6" t="s">
        <v>472</v>
      </c>
      <c r="D275" s="7">
        <v>4</v>
      </c>
      <c r="E275" s="6" t="s">
        <v>27</v>
      </c>
      <c r="F275" s="6" t="s">
        <v>123</v>
      </c>
      <c r="G275" s="6" t="s">
        <v>128</v>
      </c>
      <c r="H275" s="6"/>
      <c r="I275" s="6"/>
      <c r="J275" s="6" t="s">
        <v>551</v>
      </c>
      <c r="K275" s="14" t="s">
        <v>568</v>
      </c>
      <c r="L275" s="15"/>
      <c r="M275" s="15"/>
      <c r="N275" s="6" t="s">
        <v>1467</v>
      </c>
      <c r="O275" s="6" t="s">
        <v>1464</v>
      </c>
      <c r="P275" s="6">
        <f>COUNTIFS('05_상품별배치367'!$B$7:$B$373,A275,'05_상품별배치367'!$K$7:$K$373,"&gt;0")</f>
        <v>0</v>
      </c>
      <c r="Q275" s="6">
        <f>SUMIFS('05_상품별배치367'!$K$7:$K$373,'05_상품별배치367'!$B$7:$B$373,A275)</f>
        <v>0</v>
      </c>
      <c r="R275" s="6">
        <f>IF(Z275="",'06_집기치수20'!N25,Z275)</f>
        <v>645</v>
      </c>
      <c r="S275" s="6">
        <f>IF(AA275="",'06_집기치수20'!O25,AA275)</f>
        <v>270</v>
      </c>
      <c r="T275" s="6">
        <v>220</v>
      </c>
      <c r="U275" s="6">
        <f>IF(AB275="",'06_집기치수20'!P25,AB275-'06_집기치수20'!I25)</f>
        <v>200</v>
      </c>
      <c r="V275" s="6" t="str">
        <f>IF(Q275=0,"",IF(COUNTIFS('05_상품별배치367'!$B$7:$B$373,A275,'05_상품별배치367'!$T$7:$T$373,"입력 대기")&gt;0,"",SUMIFS('05_상품별배치367'!$S$7:$S$373,'05_상품별배치367'!$B$7:$B$373,A275)))</f>
        <v/>
      </c>
      <c r="W275" s="6" t="str">
        <f>IF(Q275=0,"미진열",IF(COUNTIFS('05_상품별배치367'!$B$7:$B$373,A275,'05_상품별배치367'!$T$7:$T$373,"치수 초과")&gt;0,"치수 초과",IF(COUNTIFS('05_상품별배치367'!$B$7:$B$373,A275,'05_상품별배치367'!$T$7:$T$373,"입력 대기")&gt;0,"치수 입력 대기",IF(V275&gt;R275,"폭 합계 초과","도면/실측 범위 내·현장확인"))))</f>
        <v>미진열</v>
      </c>
      <c r="X275" s="6"/>
      <c r="Y275" s="6" t="s">
        <v>555</v>
      </c>
      <c r="Z275" s="15"/>
      <c r="AA275" s="15"/>
      <c r="AB275" s="15"/>
    </row>
    <row r="276" spans="1:28" ht="33" customHeight="1">
      <c r="A276" s="8" t="s">
        <v>1493</v>
      </c>
      <c r="B276" s="8" t="s">
        <v>483</v>
      </c>
      <c r="C276" s="8" t="s">
        <v>472</v>
      </c>
      <c r="D276" s="9">
        <v>5</v>
      </c>
      <c r="E276" s="8" t="s">
        <v>27</v>
      </c>
      <c r="F276" s="8" t="s">
        <v>123</v>
      </c>
      <c r="G276" s="8" t="s">
        <v>590</v>
      </c>
      <c r="H276" s="8"/>
      <c r="I276" s="8"/>
      <c r="J276" s="8" t="s">
        <v>551</v>
      </c>
      <c r="K276" s="14" t="s">
        <v>568</v>
      </c>
      <c r="L276" s="15"/>
      <c r="M276" s="15"/>
      <c r="N276" s="8" t="s">
        <v>1467</v>
      </c>
      <c r="O276" s="8" t="s">
        <v>1464</v>
      </c>
      <c r="P276" s="6">
        <f>COUNTIFS('05_상품별배치367'!$B$7:$B$373,A276,'05_상품별배치367'!$K$7:$K$373,"&gt;0")</f>
        <v>0</v>
      </c>
      <c r="Q276" s="6">
        <f>SUMIFS('05_상품별배치367'!$K$7:$K$373,'05_상품별배치367'!$B$7:$B$373,A276)</f>
        <v>0</v>
      </c>
      <c r="R276" s="6">
        <f>IF(Z276="",'06_집기치수20'!N26,Z276)</f>
        <v>645</v>
      </c>
      <c r="S276" s="6">
        <f>IF(AA276="",'06_집기치수20'!O26,AA276)</f>
        <v>270</v>
      </c>
      <c r="T276" s="6">
        <v>220</v>
      </c>
      <c r="U276" s="6">
        <f>IF(AB276="",'06_집기치수20'!P26,AB276-'06_집기치수20'!I26)</f>
        <v>200</v>
      </c>
      <c r="V276" s="6" t="str">
        <f>IF(Q276=0,"",IF(COUNTIFS('05_상품별배치367'!$B$7:$B$373,A276,'05_상품별배치367'!$T$7:$T$373,"입력 대기")&gt;0,"",SUMIFS('05_상품별배치367'!$S$7:$S$373,'05_상품별배치367'!$B$7:$B$373,A276)))</f>
        <v/>
      </c>
      <c r="W276" s="6" t="str">
        <f>IF(Q276=0,"미진열",IF(COUNTIFS('05_상품별배치367'!$B$7:$B$373,A276,'05_상품별배치367'!$T$7:$T$373,"치수 초과")&gt;0,"치수 초과",IF(COUNTIFS('05_상품별배치367'!$B$7:$B$373,A276,'05_상품별배치367'!$T$7:$T$373,"입력 대기")&gt;0,"치수 입력 대기",IF(V276&gt;R276,"폭 합계 초과","도면/실측 범위 내·현장확인"))))</f>
        <v>미진열</v>
      </c>
      <c r="X276" s="6"/>
      <c r="Y276" s="6" t="s">
        <v>555</v>
      </c>
      <c r="Z276" s="15"/>
      <c r="AA276" s="15"/>
      <c r="AB276" s="15"/>
    </row>
    <row r="277" spans="1:28" ht="33" customHeight="1">
      <c r="A277" s="6" t="s">
        <v>1494</v>
      </c>
      <c r="B277" s="6" t="s">
        <v>486</v>
      </c>
      <c r="C277" s="6" t="s">
        <v>478</v>
      </c>
      <c r="D277" s="7">
        <v>1</v>
      </c>
      <c r="E277" s="6" t="s">
        <v>27</v>
      </c>
      <c r="F277" s="6" t="s">
        <v>120</v>
      </c>
      <c r="G277" s="6" t="s">
        <v>1495</v>
      </c>
      <c r="H277" s="6"/>
      <c r="I277" s="6"/>
      <c r="J277" s="6" t="s">
        <v>551</v>
      </c>
      <c r="K277" s="14" t="s">
        <v>552</v>
      </c>
      <c r="L277" s="15"/>
      <c r="M277" s="15"/>
      <c r="N277" s="6" t="s">
        <v>1463</v>
      </c>
      <c r="O277" s="6" t="s">
        <v>1464</v>
      </c>
      <c r="P277" s="6">
        <f>COUNTIFS('05_상품별배치367'!$B$7:$B$373,A277,'05_상품별배치367'!$K$7:$K$373,"&gt;0")</f>
        <v>0</v>
      </c>
      <c r="Q277" s="6">
        <f>SUMIFS('05_상품별배치367'!$K$7:$K$373,'05_상품별배치367'!$B$7:$B$373,A277)</f>
        <v>0</v>
      </c>
      <c r="R277" s="6">
        <f>IF(Z277="",'06_집기치수20'!N22,Z277)</f>
        <v>645</v>
      </c>
      <c r="S277" s="6">
        <f>IF(AA277="",'06_집기치수20'!O22,AA277)</f>
        <v>270</v>
      </c>
      <c r="T277" s="6">
        <v>100</v>
      </c>
      <c r="U277" s="6">
        <f>IF(AB277="",'06_집기치수20'!P22,AB277-'06_집기치수20'!I22)</f>
        <v>80</v>
      </c>
      <c r="V277" s="6" t="str">
        <f>IF(Q277=0,"",IF(COUNTIFS('05_상품별배치367'!$B$7:$B$373,A277,'05_상품별배치367'!$T$7:$T$373,"입력 대기")&gt;0,"",SUMIFS('05_상품별배치367'!$S$7:$S$373,'05_상품별배치367'!$B$7:$B$373,A277)))</f>
        <v/>
      </c>
      <c r="W277" s="6" t="str">
        <f>IF(Q277=0,"미진열",IF(COUNTIFS('05_상품별배치367'!$B$7:$B$373,A277,'05_상품별배치367'!$T$7:$T$373,"치수 초과")&gt;0,"치수 초과",IF(COUNTIFS('05_상품별배치367'!$B$7:$B$373,A277,'05_상품별배치367'!$T$7:$T$373,"입력 대기")&gt;0,"치수 입력 대기",IF(V277&gt;R277,"폭 합계 초과","도면/실측 범위 내·현장확인"))))</f>
        <v>미진열</v>
      </c>
      <c r="X277" s="6"/>
      <c r="Y277" s="6" t="s">
        <v>555</v>
      </c>
      <c r="Z277" s="15"/>
      <c r="AA277" s="15"/>
      <c r="AB277" s="15"/>
    </row>
    <row r="278" spans="1:28" ht="33" customHeight="1">
      <c r="A278" s="8" t="s">
        <v>1496</v>
      </c>
      <c r="B278" s="8" t="s">
        <v>486</v>
      </c>
      <c r="C278" s="8" t="s">
        <v>478</v>
      </c>
      <c r="D278" s="9">
        <v>2</v>
      </c>
      <c r="E278" s="8" t="s">
        <v>27</v>
      </c>
      <c r="F278" s="8" t="s">
        <v>130</v>
      </c>
      <c r="G278" s="8" t="s">
        <v>130</v>
      </c>
      <c r="H278" s="8" t="s">
        <v>1497</v>
      </c>
      <c r="I278" s="8" t="s">
        <v>1498</v>
      </c>
      <c r="J278" s="8" t="s">
        <v>551</v>
      </c>
      <c r="K278" s="14" t="s">
        <v>594</v>
      </c>
      <c r="L278" s="15"/>
      <c r="M278" s="15"/>
      <c r="N278" s="8" t="s">
        <v>1467</v>
      </c>
      <c r="O278" s="8" t="s">
        <v>1464</v>
      </c>
      <c r="P278" s="6">
        <f>COUNTIFS('05_상품별배치367'!$B$7:$B$373,A278,'05_상품별배치367'!$K$7:$K$373,"&gt;0")</f>
        <v>1</v>
      </c>
      <c r="Q278" s="6">
        <f>SUMIFS('05_상품별배치367'!$K$7:$K$373,'05_상품별배치367'!$B$7:$B$373,A278)</f>
        <v>1</v>
      </c>
      <c r="R278" s="6">
        <f>IF(Z278="",'06_집기치수20'!N23,Z278)</f>
        <v>645</v>
      </c>
      <c r="S278" s="6">
        <f>IF(AA278="",'06_집기치수20'!O23,AA278)</f>
        <v>270</v>
      </c>
      <c r="T278" s="6">
        <v>220</v>
      </c>
      <c r="U278" s="6">
        <f>IF(AB278="",'06_집기치수20'!P23,AB278-'06_집기치수20'!I23)</f>
        <v>200</v>
      </c>
      <c r="V278" s="6" t="str">
        <f>IF(Q278=0,"",IF(COUNTIFS('05_상품별배치367'!$B$7:$B$373,A278,'05_상품별배치367'!$T$7:$T$373,"입력 대기")&gt;0,"",SUMIFS('05_상품별배치367'!$S$7:$S$373,'05_상품별배치367'!$B$7:$B$373,A278)))</f>
        <v/>
      </c>
      <c r="W278" s="6" t="str">
        <f>IF(Q278=0,"미진열",IF(COUNTIFS('05_상품별배치367'!$B$7:$B$373,A278,'05_상품별배치367'!$T$7:$T$373,"치수 초과")&gt;0,"치수 초과",IF(COUNTIFS('05_상품별배치367'!$B$7:$B$373,A278,'05_상품별배치367'!$T$7:$T$373,"입력 대기")&gt;0,"치수 입력 대기",IF(V278&gt;R278,"폭 합계 초과","도면/실측 범위 내·현장확인"))))</f>
        <v>치수 입력 대기</v>
      </c>
      <c r="X278" s="6" t="s">
        <v>1499</v>
      </c>
      <c r="Y278" s="6" t="s">
        <v>555</v>
      </c>
      <c r="Z278" s="15"/>
      <c r="AA278" s="15"/>
      <c r="AB278" s="15"/>
    </row>
    <row r="279" spans="1:28" ht="33" customHeight="1">
      <c r="A279" s="6" t="s">
        <v>1500</v>
      </c>
      <c r="B279" s="6" t="s">
        <v>486</v>
      </c>
      <c r="C279" s="6" t="s">
        <v>478</v>
      </c>
      <c r="D279" s="7">
        <v>3</v>
      </c>
      <c r="E279" s="6" t="s">
        <v>27</v>
      </c>
      <c r="F279" s="6" t="s">
        <v>245</v>
      </c>
      <c r="G279" s="6" t="s">
        <v>245</v>
      </c>
      <c r="H279" s="6" t="s">
        <v>1501</v>
      </c>
      <c r="I279" s="6" t="s">
        <v>1502</v>
      </c>
      <c r="J279" s="6" t="s">
        <v>551</v>
      </c>
      <c r="K279" s="14" t="s">
        <v>594</v>
      </c>
      <c r="L279" s="15"/>
      <c r="M279" s="15"/>
      <c r="N279" s="6" t="s">
        <v>1467</v>
      </c>
      <c r="O279" s="6" t="s">
        <v>1464</v>
      </c>
      <c r="P279" s="6">
        <f>COUNTIFS('05_상품별배치367'!$B$7:$B$373,A279,'05_상품별배치367'!$K$7:$K$373,"&gt;0")</f>
        <v>1</v>
      </c>
      <c r="Q279" s="6">
        <f>SUMIFS('05_상품별배치367'!$K$7:$K$373,'05_상품별배치367'!$B$7:$B$373,A279)</f>
        <v>1</v>
      </c>
      <c r="R279" s="6">
        <f>IF(Z279="",'06_집기치수20'!N24,Z279)</f>
        <v>645</v>
      </c>
      <c r="S279" s="6">
        <f>IF(AA279="",'06_집기치수20'!O24,AA279)</f>
        <v>270</v>
      </c>
      <c r="T279" s="6">
        <v>220</v>
      </c>
      <c r="U279" s="6">
        <f>IF(AB279="",'06_집기치수20'!P24,AB279-'06_집기치수20'!I24)</f>
        <v>200</v>
      </c>
      <c r="V279" s="6" t="str">
        <f>IF(Q279=0,"",IF(COUNTIFS('05_상품별배치367'!$B$7:$B$373,A279,'05_상품별배치367'!$T$7:$T$373,"입력 대기")&gt;0,"",SUMIFS('05_상품별배치367'!$S$7:$S$373,'05_상품별배치367'!$B$7:$B$373,A279)))</f>
        <v/>
      </c>
      <c r="W279" s="6" t="str">
        <f>IF(Q279=0,"미진열",IF(COUNTIFS('05_상품별배치367'!$B$7:$B$373,A279,'05_상품별배치367'!$T$7:$T$373,"치수 초과")&gt;0,"치수 초과",IF(COUNTIFS('05_상품별배치367'!$B$7:$B$373,A279,'05_상품별배치367'!$T$7:$T$373,"입력 대기")&gt;0,"치수 입력 대기",IF(V279&gt;R279,"폭 합계 초과","도면/실측 범위 내·현장확인"))))</f>
        <v>치수 입력 대기</v>
      </c>
      <c r="X279" s="6" t="s">
        <v>1503</v>
      </c>
      <c r="Y279" s="6" t="s">
        <v>555</v>
      </c>
      <c r="Z279" s="15"/>
      <c r="AA279" s="15"/>
      <c r="AB279" s="15"/>
    </row>
    <row r="280" spans="1:28" ht="33" customHeight="1">
      <c r="A280" s="8" t="s">
        <v>1504</v>
      </c>
      <c r="B280" s="8" t="s">
        <v>486</v>
      </c>
      <c r="C280" s="8" t="s">
        <v>478</v>
      </c>
      <c r="D280" s="9">
        <v>4</v>
      </c>
      <c r="E280" s="8" t="s">
        <v>27</v>
      </c>
      <c r="F280" s="8" t="s">
        <v>123</v>
      </c>
      <c r="G280" s="8" t="s">
        <v>130</v>
      </c>
      <c r="H280" s="8"/>
      <c r="I280" s="8"/>
      <c r="J280" s="8" t="s">
        <v>551</v>
      </c>
      <c r="K280" s="14" t="s">
        <v>568</v>
      </c>
      <c r="L280" s="15"/>
      <c r="M280" s="15"/>
      <c r="N280" s="8" t="s">
        <v>1467</v>
      </c>
      <c r="O280" s="8" t="s">
        <v>1464</v>
      </c>
      <c r="P280" s="6">
        <f>COUNTIFS('05_상품별배치367'!$B$7:$B$373,A280,'05_상품별배치367'!$K$7:$K$373,"&gt;0")</f>
        <v>0</v>
      </c>
      <c r="Q280" s="6">
        <f>SUMIFS('05_상품별배치367'!$K$7:$K$373,'05_상품별배치367'!$B$7:$B$373,A280)</f>
        <v>0</v>
      </c>
      <c r="R280" s="6">
        <f>IF(Z280="",'06_집기치수20'!N25,Z280)</f>
        <v>645</v>
      </c>
      <c r="S280" s="6">
        <f>IF(AA280="",'06_집기치수20'!O25,AA280)</f>
        <v>270</v>
      </c>
      <c r="T280" s="6">
        <v>220</v>
      </c>
      <c r="U280" s="6">
        <f>IF(AB280="",'06_집기치수20'!P25,AB280-'06_집기치수20'!I25)</f>
        <v>200</v>
      </c>
      <c r="V280" s="6" t="str">
        <f>IF(Q280=0,"",IF(COUNTIFS('05_상품별배치367'!$B$7:$B$373,A280,'05_상품별배치367'!$T$7:$T$373,"입력 대기")&gt;0,"",SUMIFS('05_상품별배치367'!$S$7:$S$373,'05_상품별배치367'!$B$7:$B$373,A280)))</f>
        <v/>
      </c>
      <c r="W280" s="6" t="str">
        <f>IF(Q280=0,"미진열",IF(COUNTIFS('05_상품별배치367'!$B$7:$B$373,A280,'05_상품별배치367'!$T$7:$T$373,"치수 초과")&gt;0,"치수 초과",IF(COUNTIFS('05_상품별배치367'!$B$7:$B$373,A280,'05_상품별배치367'!$T$7:$T$373,"입력 대기")&gt;0,"치수 입력 대기",IF(V280&gt;R280,"폭 합계 초과","도면/실측 범위 내·현장확인"))))</f>
        <v>미진열</v>
      </c>
      <c r="X280" s="6"/>
      <c r="Y280" s="6" t="s">
        <v>555</v>
      </c>
      <c r="Z280" s="15"/>
      <c r="AA280" s="15"/>
      <c r="AB280" s="15"/>
    </row>
    <row r="281" spans="1:28" ht="33" customHeight="1">
      <c r="A281" s="6" t="s">
        <v>1505</v>
      </c>
      <c r="B281" s="6" t="s">
        <v>486</v>
      </c>
      <c r="C281" s="6" t="s">
        <v>478</v>
      </c>
      <c r="D281" s="7">
        <v>5</v>
      </c>
      <c r="E281" s="6" t="s">
        <v>27</v>
      </c>
      <c r="F281" s="6" t="s">
        <v>123</v>
      </c>
      <c r="G281" s="6" t="s">
        <v>590</v>
      </c>
      <c r="H281" s="6"/>
      <c r="I281" s="6"/>
      <c r="J281" s="6" t="s">
        <v>551</v>
      </c>
      <c r="K281" s="14" t="s">
        <v>568</v>
      </c>
      <c r="L281" s="15"/>
      <c r="M281" s="15"/>
      <c r="N281" s="6" t="s">
        <v>1467</v>
      </c>
      <c r="O281" s="6" t="s">
        <v>1464</v>
      </c>
      <c r="P281" s="6">
        <f>COUNTIFS('05_상품별배치367'!$B$7:$B$373,A281,'05_상품별배치367'!$K$7:$K$373,"&gt;0")</f>
        <v>0</v>
      </c>
      <c r="Q281" s="6">
        <f>SUMIFS('05_상품별배치367'!$K$7:$K$373,'05_상품별배치367'!$B$7:$B$373,A281)</f>
        <v>0</v>
      </c>
      <c r="R281" s="6">
        <f>IF(Z281="",'06_집기치수20'!N26,Z281)</f>
        <v>645</v>
      </c>
      <c r="S281" s="6">
        <f>IF(AA281="",'06_집기치수20'!O26,AA281)</f>
        <v>270</v>
      </c>
      <c r="T281" s="6">
        <v>220</v>
      </c>
      <c r="U281" s="6">
        <f>IF(AB281="",'06_집기치수20'!P26,AB281-'06_집기치수20'!I26)</f>
        <v>200</v>
      </c>
      <c r="V281" s="6" t="str">
        <f>IF(Q281=0,"",IF(COUNTIFS('05_상품별배치367'!$B$7:$B$373,A281,'05_상품별배치367'!$T$7:$T$373,"입력 대기")&gt;0,"",SUMIFS('05_상품별배치367'!$S$7:$S$373,'05_상품별배치367'!$B$7:$B$373,A281)))</f>
        <v/>
      </c>
      <c r="W281" s="6" t="str">
        <f>IF(Q281=0,"미진열",IF(COUNTIFS('05_상품별배치367'!$B$7:$B$373,A281,'05_상품별배치367'!$T$7:$T$373,"치수 초과")&gt;0,"치수 초과",IF(COUNTIFS('05_상품별배치367'!$B$7:$B$373,A281,'05_상품별배치367'!$T$7:$T$373,"입력 대기")&gt;0,"치수 입력 대기",IF(V281&gt;R281,"폭 합계 초과","도면/실측 범위 내·현장확인"))))</f>
        <v>미진열</v>
      </c>
      <c r="X281" s="6"/>
      <c r="Y281" s="6" t="s">
        <v>555</v>
      </c>
      <c r="Z281" s="15"/>
      <c r="AA281" s="15"/>
      <c r="AB281" s="15"/>
    </row>
    <row r="282" spans="1:28" ht="33" customHeight="1">
      <c r="A282" s="8" t="s">
        <v>1506</v>
      </c>
      <c r="B282" s="8" t="s">
        <v>489</v>
      </c>
      <c r="C282" s="8" t="s">
        <v>472</v>
      </c>
      <c r="D282" s="9">
        <v>1</v>
      </c>
      <c r="E282" s="8" t="s">
        <v>39</v>
      </c>
      <c r="F282" s="8" t="s">
        <v>120</v>
      </c>
      <c r="G282" s="8" t="s">
        <v>1507</v>
      </c>
      <c r="H282" s="8"/>
      <c r="I282" s="8"/>
      <c r="J282" s="8" t="s">
        <v>551</v>
      </c>
      <c r="K282" s="14" t="s">
        <v>552</v>
      </c>
      <c r="L282" s="15"/>
      <c r="M282" s="15"/>
      <c r="N282" s="8" t="s">
        <v>1463</v>
      </c>
      <c r="O282" s="8" t="s">
        <v>1464</v>
      </c>
      <c r="P282" s="6">
        <f>COUNTIFS('05_상품별배치367'!$B$7:$B$373,A282,'05_상품별배치367'!$K$7:$K$373,"&gt;0")</f>
        <v>0</v>
      </c>
      <c r="Q282" s="6">
        <f>SUMIFS('05_상품별배치367'!$K$7:$K$373,'05_상품별배치367'!$B$7:$B$373,A282)</f>
        <v>0</v>
      </c>
      <c r="R282" s="6">
        <f>IF(Z282="",'06_집기치수20'!N22,Z282)</f>
        <v>645</v>
      </c>
      <c r="S282" s="6">
        <f>IF(AA282="",'06_집기치수20'!O22,AA282)</f>
        <v>270</v>
      </c>
      <c r="T282" s="6">
        <v>100</v>
      </c>
      <c r="U282" s="6">
        <f>IF(AB282="",'06_집기치수20'!P22,AB282-'06_집기치수20'!I22)</f>
        <v>80</v>
      </c>
      <c r="V282" s="6" t="str">
        <f>IF(Q282=0,"",IF(COUNTIFS('05_상품별배치367'!$B$7:$B$373,A282,'05_상품별배치367'!$T$7:$T$373,"입력 대기")&gt;0,"",SUMIFS('05_상품별배치367'!$S$7:$S$373,'05_상품별배치367'!$B$7:$B$373,A282)))</f>
        <v/>
      </c>
      <c r="W282" s="6" t="str">
        <f>IF(Q282=0,"미진열",IF(COUNTIFS('05_상품별배치367'!$B$7:$B$373,A282,'05_상품별배치367'!$T$7:$T$373,"치수 초과")&gt;0,"치수 초과",IF(COUNTIFS('05_상품별배치367'!$B$7:$B$373,A282,'05_상품별배치367'!$T$7:$T$373,"입력 대기")&gt;0,"치수 입력 대기",IF(V282&gt;R282,"폭 합계 초과","도면/실측 범위 내·현장확인"))))</f>
        <v>미진열</v>
      </c>
      <c r="X282" s="6"/>
      <c r="Y282" s="6" t="s">
        <v>555</v>
      </c>
      <c r="Z282" s="15"/>
      <c r="AA282" s="15"/>
      <c r="AB282" s="15"/>
    </row>
    <row r="283" spans="1:28" ht="33" customHeight="1">
      <c r="A283" s="6" t="s">
        <v>1508</v>
      </c>
      <c r="B283" s="6" t="s">
        <v>489</v>
      </c>
      <c r="C283" s="6" t="s">
        <v>472</v>
      </c>
      <c r="D283" s="7">
        <v>2</v>
      </c>
      <c r="E283" s="6" t="s">
        <v>39</v>
      </c>
      <c r="F283" s="6" t="s">
        <v>492</v>
      </c>
      <c r="G283" s="6" t="s">
        <v>492</v>
      </c>
      <c r="H283" s="6" t="s">
        <v>1509</v>
      </c>
      <c r="I283" s="6" t="s">
        <v>1510</v>
      </c>
      <c r="J283" s="6" t="s">
        <v>551</v>
      </c>
      <c r="K283" s="14" t="s">
        <v>594</v>
      </c>
      <c r="L283" s="15"/>
      <c r="M283" s="15"/>
      <c r="N283" s="6" t="s">
        <v>1467</v>
      </c>
      <c r="O283" s="6" t="s">
        <v>1464</v>
      </c>
      <c r="P283" s="6">
        <f>COUNTIFS('05_상품별배치367'!$B$7:$B$373,A283,'05_상품별배치367'!$K$7:$K$373,"&gt;0")</f>
        <v>1</v>
      </c>
      <c r="Q283" s="6">
        <f>SUMIFS('05_상품별배치367'!$K$7:$K$373,'05_상품별배치367'!$B$7:$B$373,A283)</f>
        <v>1</v>
      </c>
      <c r="R283" s="6">
        <f>IF(Z283="",'06_집기치수20'!N23,Z283)</f>
        <v>645</v>
      </c>
      <c r="S283" s="6">
        <f>IF(AA283="",'06_집기치수20'!O23,AA283)</f>
        <v>270</v>
      </c>
      <c r="T283" s="6">
        <v>220</v>
      </c>
      <c r="U283" s="6">
        <f>IF(AB283="",'06_집기치수20'!P23,AB283-'06_집기치수20'!I23)</f>
        <v>200</v>
      </c>
      <c r="V283" s="6" t="str">
        <f>IF(Q283=0,"",IF(COUNTIFS('05_상품별배치367'!$B$7:$B$373,A283,'05_상품별배치367'!$T$7:$T$373,"입력 대기")&gt;0,"",SUMIFS('05_상품별배치367'!$S$7:$S$373,'05_상품별배치367'!$B$7:$B$373,A283)))</f>
        <v/>
      </c>
      <c r="W283" s="6" t="str">
        <f>IF(Q283=0,"미진열",IF(COUNTIFS('05_상품별배치367'!$B$7:$B$373,A283,'05_상품별배치367'!$T$7:$T$373,"치수 초과")&gt;0,"치수 초과",IF(COUNTIFS('05_상품별배치367'!$B$7:$B$373,A283,'05_상품별배치367'!$T$7:$T$373,"입력 대기")&gt;0,"치수 입력 대기",IF(V283&gt;R283,"폭 합계 초과","도면/실측 범위 내·현장확인"))))</f>
        <v>치수 입력 대기</v>
      </c>
      <c r="X283" s="6" t="s">
        <v>1511</v>
      </c>
      <c r="Y283" s="6" t="s">
        <v>555</v>
      </c>
      <c r="Z283" s="15"/>
      <c r="AA283" s="15"/>
      <c r="AB283" s="15"/>
    </row>
    <row r="284" spans="1:28" ht="33" customHeight="1">
      <c r="A284" s="8" t="s">
        <v>1512</v>
      </c>
      <c r="B284" s="8" t="s">
        <v>489</v>
      </c>
      <c r="C284" s="8" t="s">
        <v>472</v>
      </c>
      <c r="D284" s="9">
        <v>3</v>
      </c>
      <c r="E284" s="8" t="s">
        <v>39</v>
      </c>
      <c r="F284" s="8" t="s">
        <v>493</v>
      </c>
      <c r="G284" s="8" t="s">
        <v>493</v>
      </c>
      <c r="H284" s="8" t="s">
        <v>1513</v>
      </c>
      <c r="I284" s="8" t="s">
        <v>1514</v>
      </c>
      <c r="J284" s="8" t="s">
        <v>551</v>
      </c>
      <c r="K284" s="14" t="s">
        <v>594</v>
      </c>
      <c r="L284" s="15"/>
      <c r="M284" s="15"/>
      <c r="N284" s="8" t="s">
        <v>1467</v>
      </c>
      <c r="O284" s="8" t="s">
        <v>1464</v>
      </c>
      <c r="P284" s="6">
        <f>COUNTIFS('05_상품별배치367'!$B$7:$B$373,A284,'05_상품별배치367'!$K$7:$K$373,"&gt;0")</f>
        <v>1</v>
      </c>
      <c r="Q284" s="6">
        <f>SUMIFS('05_상품별배치367'!$K$7:$K$373,'05_상품별배치367'!$B$7:$B$373,A284)</f>
        <v>1</v>
      </c>
      <c r="R284" s="6">
        <f>IF(Z284="",'06_집기치수20'!N24,Z284)</f>
        <v>645</v>
      </c>
      <c r="S284" s="6">
        <f>IF(AA284="",'06_집기치수20'!O24,AA284)</f>
        <v>270</v>
      </c>
      <c r="T284" s="6">
        <v>220</v>
      </c>
      <c r="U284" s="6">
        <f>IF(AB284="",'06_집기치수20'!P24,AB284-'06_집기치수20'!I24)</f>
        <v>200</v>
      </c>
      <c r="V284" s="6" t="str">
        <f>IF(Q284=0,"",IF(COUNTIFS('05_상품별배치367'!$B$7:$B$373,A284,'05_상품별배치367'!$T$7:$T$373,"입력 대기")&gt;0,"",SUMIFS('05_상품별배치367'!$S$7:$S$373,'05_상품별배치367'!$B$7:$B$373,A284)))</f>
        <v/>
      </c>
      <c r="W284" s="6" t="str">
        <f>IF(Q284=0,"미진열",IF(COUNTIFS('05_상품별배치367'!$B$7:$B$373,A284,'05_상품별배치367'!$T$7:$T$373,"치수 초과")&gt;0,"치수 초과",IF(COUNTIFS('05_상품별배치367'!$B$7:$B$373,A284,'05_상품별배치367'!$T$7:$T$373,"입력 대기")&gt;0,"치수 입력 대기",IF(V284&gt;R284,"폭 합계 초과","도면/실측 범위 내·현장확인"))))</f>
        <v>치수 입력 대기</v>
      </c>
      <c r="X284" s="6" t="s">
        <v>1515</v>
      </c>
      <c r="Y284" s="6" t="s">
        <v>555</v>
      </c>
      <c r="Z284" s="15"/>
      <c r="AA284" s="15"/>
      <c r="AB284" s="15"/>
    </row>
    <row r="285" spans="1:28" ht="33" customHeight="1">
      <c r="A285" s="6" t="s">
        <v>1516</v>
      </c>
      <c r="B285" s="6" t="s">
        <v>489</v>
      </c>
      <c r="C285" s="6" t="s">
        <v>472</v>
      </c>
      <c r="D285" s="7">
        <v>4</v>
      </c>
      <c r="E285" s="6" t="s">
        <v>39</v>
      </c>
      <c r="F285" s="6" t="s">
        <v>123</v>
      </c>
      <c r="G285" s="6" t="s">
        <v>492</v>
      </c>
      <c r="H285" s="6"/>
      <c r="I285" s="6"/>
      <c r="J285" s="6" t="s">
        <v>551</v>
      </c>
      <c r="K285" s="14" t="s">
        <v>568</v>
      </c>
      <c r="L285" s="15"/>
      <c r="M285" s="15"/>
      <c r="N285" s="6" t="s">
        <v>1467</v>
      </c>
      <c r="O285" s="6" t="s">
        <v>1464</v>
      </c>
      <c r="P285" s="6">
        <f>COUNTIFS('05_상품별배치367'!$B$7:$B$373,A285,'05_상품별배치367'!$K$7:$K$373,"&gt;0")</f>
        <v>0</v>
      </c>
      <c r="Q285" s="6">
        <f>SUMIFS('05_상품별배치367'!$K$7:$K$373,'05_상품별배치367'!$B$7:$B$373,A285)</f>
        <v>0</v>
      </c>
      <c r="R285" s="6">
        <f>IF(Z285="",'06_집기치수20'!N25,Z285)</f>
        <v>645</v>
      </c>
      <c r="S285" s="6">
        <f>IF(AA285="",'06_집기치수20'!O25,AA285)</f>
        <v>270</v>
      </c>
      <c r="T285" s="6">
        <v>220</v>
      </c>
      <c r="U285" s="6">
        <f>IF(AB285="",'06_집기치수20'!P25,AB285-'06_집기치수20'!I25)</f>
        <v>200</v>
      </c>
      <c r="V285" s="6" t="str">
        <f>IF(Q285=0,"",IF(COUNTIFS('05_상품별배치367'!$B$7:$B$373,A285,'05_상품별배치367'!$T$7:$T$373,"입력 대기")&gt;0,"",SUMIFS('05_상품별배치367'!$S$7:$S$373,'05_상품별배치367'!$B$7:$B$373,A285)))</f>
        <v/>
      </c>
      <c r="W285" s="6" t="str">
        <f>IF(Q285=0,"미진열",IF(COUNTIFS('05_상품별배치367'!$B$7:$B$373,A285,'05_상품별배치367'!$T$7:$T$373,"치수 초과")&gt;0,"치수 초과",IF(COUNTIFS('05_상품별배치367'!$B$7:$B$373,A285,'05_상품별배치367'!$T$7:$T$373,"입력 대기")&gt;0,"치수 입력 대기",IF(V285&gt;R285,"폭 합계 초과","도면/실측 범위 내·현장확인"))))</f>
        <v>미진열</v>
      </c>
      <c r="X285" s="6"/>
      <c r="Y285" s="6" t="s">
        <v>555</v>
      </c>
      <c r="Z285" s="15"/>
      <c r="AA285" s="15"/>
      <c r="AB285" s="15"/>
    </row>
    <row r="286" spans="1:28" ht="33" customHeight="1">
      <c r="A286" s="8" t="s">
        <v>1517</v>
      </c>
      <c r="B286" s="8" t="s">
        <v>489</v>
      </c>
      <c r="C286" s="8" t="s">
        <v>472</v>
      </c>
      <c r="D286" s="9">
        <v>5</v>
      </c>
      <c r="E286" s="8" t="s">
        <v>39</v>
      </c>
      <c r="F286" s="8" t="s">
        <v>123</v>
      </c>
      <c r="G286" s="8" t="s">
        <v>590</v>
      </c>
      <c r="H286" s="8"/>
      <c r="I286" s="8"/>
      <c r="J286" s="8" t="s">
        <v>551</v>
      </c>
      <c r="K286" s="14" t="s">
        <v>568</v>
      </c>
      <c r="L286" s="15"/>
      <c r="M286" s="15"/>
      <c r="N286" s="8" t="s">
        <v>1467</v>
      </c>
      <c r="O286" s="8" t="s">
        <v>1464</v>
      </c>
      <c r="P286" s="6">
        <f>COUNTIFS('05_상품별배치367'!$B$7:$B$373,A286,'05_상품별배치367'!$K$7:$K$373,"&gt;0")</f>
        <v>0</v>
      </c>
      <c r="Q286" s="6">
        <f>SUMIFS('05_상품별배치367'!$K$7:$K$373,'05_상품별배치367'!$B$7:$B$373,A286)</f>
        <v>0</v>
      </c>
      <c r="R286" s="6">
        <f>IF(Z286="",'06_집기치수20'!N26,Z286)</f>
        <v>645</v>
      </c>
      <c r="S286" s="6">
        <f>IF(AA286="",'06_집기치수20'!O26,AA286)</f>
        <v>270</v>
      </c>
      <c r="T286" s="6">
        <v>220</v>
      </c>
      <c r="U286" s="6">
        <f>IF(AB286="",'06_집기치수20'!P26,AB286-'06_집기치수20'!I26)</f>
        <v>200</v>
      </c>
      <c r="V286" s="6" t="str">
        <f>IF(Q286=0,"",IF(COUNTIFS('05_상품별배치367'!$B$7:$B$373,A286,'05_상품별배치367'!$T$7:$T$373,"입력 대기")&gt;0,"",SUMIFS('05_상품별배치367'!$S$7:$S$373,'05_상품별배치367'!$B$7:$B$373,A286)))</f>
        <v/>
      </c>
      <c r="W286" s="6" t="str">
        <f>IF(Q286=0,"미진열",IF(COUNTIFS('05_상품별배치367'!$B$7:$B$373,A286,'05_상품별배치367'!$T$7:$T$373,"치수 초과")&gt;0,"치수 초과",IF(COUNTIFS('05_상품별배치367'!$B$7:$B$373,A286,'05_상품별배치367'!$T$7:$T$373,"입력 대기")&gt;0,"치수 입력 대기",IF(V286&gt;R286,"폭 합계 초과","도면/실측 범위 내·현장확인"))))</f>
        <v>미진열</v>
      </c>
      <c r="X286" s="6"/>
      <c r="Y286" s="6" t="s">
        <v>555</v>
      </c>
      <c r="Z286" s="15"/>
      <c r="AA286" s="15"/>
      <c r="AB286" s="15"/>
    </row>
    <row r="287" spans="1:28" ht="33" customHeight="1">
      <c r="A287" s="6" t="s">
        <v>1518</v>
      </c>
      <c r="B287" s="6" t="s">
        <v>494</v>
      </c>
      <c r="C287" s="6" t="s">
        <v>478</v>
      </c>
      <c r="D287" s="7">
        <v>1</v>
      </c>
      <c r="E287" s="6" t="s">
        <v>81</v>
      </c>
      <c r="F287" s="6" t="s">
        <v>120</v>
      </c>
      <c r="G287" s="6" t="s">
        <v>1519</v>
      </c>
      <c r="H287" s="6"/>
      <c r="I287" s="6"/>
      <c r="J287" s="6" t="s">
        <v>551</v>
      </c>
      <c r="K287" s="14" t="s">
        <v>552</v>
      </c>
      <c r="L287" s="15"/>
      <c r="M287" s="15"/>
      <c r="N287" s="6" t="s">
        <v>1463</v>
      </c>
      <c r="O287" s="6" t="s">
        <v>1464</v>
      </c>
      <c r="P287" s="6">
        <f>COUNTIFS('05_상품별배치367'!$B$7:$B$373,A287,'05_상품별배치367'!$K$7:$K$373,"&gt;0")</f>
        <v>0</v>
      </c>
      <c r="Q287" s="6">
        <f>SUMIFS('05_상품별배치367'!$K$7:$K$373,'05_상품별배치367'!$B$7:$B$373,A287)</f>
        <v>0</v>
      </c>
      <c r="R287" s="6">
        <f>IF(Z287="",'06_집기치수20'!N22,Z287)</f>
        <v>645</v>
      </c>
      <c r="S287" s="6">
        <f>IF(AA287="",'06_집기치수20'!O22,AA287)</f>
        <v>270</v>
      </c>
      <c r="T287" s="6">
        <v>100</v>
      </c>
      <c r="U287" s="6">
        <f>IF(AB287="",'06_집기치수20'!P22,AB287-'06_집기치수20'!I22)</f>
        <v>80</v>
      </c>
      <c r="V287" s="6" t="str">
        <f>IF(Q287=0,"",IF(COUNTIFS('05_상품별배치367'!$B$7:$B$373,A287,'05_상품별배치367'!$T$7:$T$373,"입력 대기")&gt;0,"",SUMIFS('05_상품별배치367'!$S$7:$S$373,'05_상품별배치367'!$B$7:$B$373,A287)))</f>
        <v/>
      </c>
      <c r="W287" s="6" t="str">
        <f>IF(Q287=0,"미진열",IF(COUNTIFS('05_상품별배치367'!$B$7:$B$373,A287,'05_상품별배치367'!$T$7:$T$373,"치수 초과")&gt;0,"치수 초과",IF(COUNTIFS('05_상품별배치367'!$B$7:$B$373,A287,'05_상품별배치367'!$T$7:$T$373,"입력 대기")&gt;0,"치수 입력 대기",IF(V287&gt;R287,"폭 합계 초과","도면/실측 범위 내·현장확인"))))</f>
        <v>미진열</v>
      </c>
      <c r="X287" s="6"/>
      <c r="Y287" s="6" t="s">
        <v>555</v>
      </c>
      <c r="Z287" s="15"/>
      <c r="AA287" s="15"/>
      <c r="AB287" s="15"/>
    </row>
    <row r="288" spans="1:28" ht="33" customHeight="1">
      <c r="A288" s="8" t="s">
        <v>1520</v>
      </c>
      <c r="B288" s="8" t="s">
        <v>494</v>
      </c>
      <c r="C288" s="8" t="s">
        <v>478</v>
      </c>
      <c r="D288" s="9">
        <v>2</v>
      </c>
      <c r="E288" s="8" t="s">
        <v>81</v>
      </c>
      <c r="F288" s="8" t="s">
        <v>497</v>
      </c>
      <c r="G288" s="8" t="s">
        <v>497</v>
      </c>
      <c r="H288" s="8" t="s">
        <v>1521</v>
      </c>
      <c r="I288" s="8" t="s">
        <v>1522</v>
      </c>
      <c r="J288" s="8" t="s">
        <v>551</v>
      </c>
      <c r="K288" s="14" t="s">
        <v>594</v>
      </c>
      <c r="L288" s="15"/>
      <c r="M288" s="15"/>
      <c r="N288" s="8" t="s">
        <v>1467</v>
      </c>
      <c r="O288" s="8" t="s">
        <v>1464</v>
      </c>
      <c r="P288" s="6">
        <f>COUNTIFS('05_상품별배치367'!$B$7:$B$373,A288,'05_상품별배치367'!$K$7:$K$373,"&gt;0")</f>
        <v>1</v>
      </c>
      <c r="Q288" s="6">
        <f>SUMIFS('05_상품별배치367'!$K$7:$K$373,'05_상품별배치367'!$B$7:$B$373,A288)</f>
        <v>1</v>
      </c>
      <c r="R288" s="6">
        <f>IF(Z288="",'06_집기치수20'!N23,Z288)</f>
        <v>645</v>
      </c>
      <c r="S288" s="6">
        <f>IF(AA288="",'06_집기치수20'!O23,AA288)</f>
        <v>270</v>
      </c>
      <c r="T288" s="6">
        <v>220</v>
      </c>
      <c r="U288" s="6">
        <f>IF(AB288="",'06_집기치수20'!P23,AB288-'06_집기치수20'!I23)</f>
        <v>200</v>
      </c>
      <c r="V288" s="6" t="str">
        <f>IF(Q288=0,"",IF(COUNTIFS('05_상품별배치367'!$B$7:$B$373,A288,'05_상품별배치367'!$T$7:$T$373,"입력 대기")&gt;0,"",SUMIFS('05_상품별배치367'!$S$7:$S$373,'05_상품별배치367'!$B$7:$B$373,A288)))</f>
        <v/>
      </c>
      <c r="W288" s="6" t="str">
        <f>IF(Q288=0,"미진열",IF(COUNTIFS('05_상품별배치367'!$B$7:$B$373,A288,'05_상품별배치367'!$T$7:$T$373,"치수 초과")&gt;0,"치수 초과",IF(COUNTIFS('05_상품별배치367'!$B$7:$B$373,A288,'05_상품별배치367'!$T$7:$T$373,"입력 대기")&gt;0,"치수 입력 대기",IF(V288&gt;R288,"폭 합계 초과","도면/실측 범위 내·현장확인"))))</f>
        <v>치수 입력 대기</v>
      </c>
      <c r="X288" s="6" t="s">
        <v>1523</v>
      </c>
      <c r="Y288" s="6" t="s">
        <v>555</v>
      </c>
      <c r="Z288" s="15"/>
      <c r="AA288" s="15"/>
      <c r="AB288" s="15"/>
    </row>
    <row r="289" spans="1:28" ht="33" customHeight="1">
      <c r="A289" s="6" t="s">
        <v>1524</v>
      </c>
      <c r="B289" s="6" t="s">
        <v>494</v>
      </c>
      <c r="C289" s="6" t="s">
        <v>478</v>
      </c>
      <c r="D289" s="7">
        <v>3</v>
      </c>
      <c r="E289" s="6" t="s">
        <v>81</v>
      </c>
      <c r="F289" s="6" t="s">
        <v>498</v>
      </c>
      <c r="G289" s="6" t="s">
        <v>498</v>
      </c>
      <c r="H289" s="6" t="s">
        <v>1121</v>
      </c>
      <c r="I289" s="6" t="s">
        <v>1122</v>
      </c>
      <c r="J289" s="6" t="s">
        <v>551</v>
      </c>
      <c r="K289" s="14" t="s">
        <v>594</v>
      </c>
      <c r="L289" s="15"/>
      <c r="M289" s="15"/>
      <c r="N289" s="6" t="s">
        <v>1467</v>
      </c>
      <c r="O289" s="6" t="s">
        <v>1464</v>
      </c>
      <c r="P289" s="6">
        <f>COUNTIFS('05_상품별배치367'!$B$7:$B$373,A289,'05_상품별배치367'!$K$7:$K$373,"&gt;0")</f>
        <v>1</v>
      </c>
      <c r="Q289" s="6">
        <f>SUMIFS('05_상품별배치367'!$K$7:$K$373,'05_상품별배치367'!$B$7:$B$373,A289)</f>
        <v>1</v>
      </c>
      <c r="R289" s="6">
        <f>IF(Z289="",'06_집기치수20'!N24,Z289)</f>
        <v>645</v>
      </c>
      <c r="S289" s="6">
        <f>IF(AA289="",'06_집기치수20'!O24,AA289)</f>
        <v>270</v>
      </c>
      <c r="T289" s="6">
        <v>220</v>
      </c>
      <c r="U289" s="6">
        <f>IF(AB289="",'06_집기치수20'!P24,AB289-'06_집기치수20'!I24)</f>
        <v>200</v>
      </c>
      <c r="V289" s="6" t="str">
        <f>IF(Q289=0,"",IF(COUNTIFS('05_상품별배치367'!$B$7:$B$373,A289,'05_상품별배치367'!$T$7:$T$373,"입력 대기")&gt;0,"",SUMIFS('05_상품별배치367'!$S$7:$S$373,'05_상품별배치367'!$B$7:$B$373,A289)))</f>
        <v/>
      </c>
      <c r="W289" s="6" t="str">
        <f>IF(Q289=0,"미진열",IF(COUNTIFS('05_상품별배치367'!$B$7:$B$373,A289,'05_상품별배치367'!$T$7:$T$373,"치수 초과")&gt;0,"치수 초과",IF(COUNTIFS('05_상품별배치367'!$B$7:$B$373,A289,'05_상품별배치367'!$T$7:$T$373,"입력 대기")&gt;0,"치수 입력 대기",IF(V289&gt;R289,"폭 합계 초과","도면/실측 범위 내·현장확인"))))</f>
        <v>치수 입력 대기</v>
      </c>
      <c r="X289" s="6" t="s">
        <v>1123</v>
      </c>
      <c r="Y289" s="6" t="s">
        <v>555</v>
      </c>
      <c r="Z289" s="15"/>
      <c r="AA289" s="15"/>
      <c r="AB289" s="15"/>
    </row>
    <row r="290" spans="1:28" ht="33" customHeight="1">
      <c r="A290" s="8" t="s">
        <v>1525</v>
      </c>
      <c r="B290" s="8" t="s">
        <v>494</v>
      </c>
      <c r="C290" s="8" t="s">
        <v>478</v>
      </c>
      <c r="D290" s="9">
        <v>4</v>
      </c>
      <c r="E290" s="8" t="s">
        <v>81</v>
      </c>
      <c r="F290" s="8" t="s">
        <v>123</v>
      </c>
      <c r="G290" s="8" t="s">
        <v>497</v>
      </c>
      <c r="H290" s="8"/>
      <c r="I290" s="8"/>
      <c r="J290" s="8" t="s">
        <v>551</v>
      </c>
      <c r="K290" s="14" t="s">
        <v>568</v>
      </c>
      <c r="L290" s="15"/>
      <c r="M290" s="15"/>
      <c r="N290" s="8" t="s">
        <v>1467</v>
      </c>
      <c r="O290" s="8" t="s">
        <v>1464</v>
      </c>
      <c r="P290" s="6">
        <f>COUNTIFS('05_상품별배치367'!$B$7:$B$373,A290,'05_상품별배치367'!$K$7:$K$373,"&gt;0")</f>
        <v>0</v>
      </c>
      <c r="Q290" s="6">
        <f>SUMIFS('05_상품별배치367'!$K$7:$K$373,'05_상품별배치367'!$B$7:$B$373,A290)</f>
        <v>0</v>
      </c>
      <c r="R290" s="6">
        <f>IF(Z290="",'06_집기치수20'!N25,Z290)</f>
        <v>645</v>
      </c>
      <c r="S290" s="6">
        <f>IF(AA290="",'06_집기치수20'!O25,AA290)</f>
        <v>270</v>
      </c>
      <c r="T290" s="6">
        <v>220</v>
      </c>
      <c r="U290" s="6">
        <f>IF(AB290="",'06_집기치수20'!P25,AB290-'06_집기치수20'!I25)</f>
        <v>200</v>
      </c>
      <c r="V290" s="6" t="str">
        <f>IF(Q290=0,"",IF(COUNTIFS('05_상품별배치367'!$B$7:$B$373,A290,'05_상품별배치367'!$T$7:$T$373,"입력 대기")&gt;0,"",SUMIFS('05_상품별배치367'!$S$7:$S$373,'05_상품별배치367'!$B$7:$B$373,A290)))</f>
        <v/>
      </c>
      <c r="W290" s="6" t="str">
        <f>IF(Q290=0,"미진열",IF(COUNTIFS('05_상품별배치367'!$B$7:$B$373,A290,'05_상품별배치367'!$T$7:$T$373,"치수 초과")&gt;0,"치수 초과",IF(COUNTIFS('05_상품별배치367'!$B$7:$B$373,A290,'05_상품별배치367'!$T$7:$T$373,"입력 대기")&gt;0,"치수 입력 대기",IF(V290&gt;R290,"폭 합계 초과","도면/실측 범위 내·현장확인"))))</f>
        <v>미진열</v>
      </c>
      <c r="X290" s="6"/>
      <c r="Y290" s="6" t="s">
        <v>555</v>
      </c>
      <c r="Z290" s="15"/>
      <c r="AA290" s="15"/>
      <c r="AB290" s="15"/>
    </row>
    <row r="291" spans="1:28" ht="33" customHeight="1">
      <c r="A291" s="6" t="s">
        <v>1526</v>
      </c>
      <c r="B291" s="6" t="s">
        <v>494</v>
      </c>
      <c r="C291" s="6" t="s">
        <v>478</v>
      </c>
      <c r="D291" s="7">
        <v>5</v>
      </c>
      <c r="E291" s="6" t="s">
        <v>81</v>
      </c>
      <c r="F291" s="6" t="s">
        <v>123</v>
      </c>
      <c r="G291" s="6" t="s">
        <v>590</v>
      </c>
      <c r="H291" s="6"/>
      <c r="I291" s="6"/>
      <c r="J291" s="6" t="s">
        <v>551</v>
      </c>
      <c r="K291" s="14" t="s">
        <v>568</v>
      </c>
      <c r="L291" s="15"/>
      <c r="M291" s="15"/>
      <c r="N291" s="6" t="s">
        <v>1467</v>
      </c>
      <c r="O291" s="6" t="s">
        <v>1464</v>
      </c>
      <c r="P291" s="6">
        <f>COUNTIFS('05_상품별배치367'!$B$7:$B$373,A291,'05_상품별배치367'!$K$7:$K$373,"&gt;0")</f>
        <v>0</v>
      </c>
      <c r="Q291" s="6">
        <f>SUMIFS('05_상품별배치367'!$K$7:$K$373,'05_상품별배치367'!$B$7:$B$373,A291)</f>
        <v>0</v>
      </c>
      <c r="R291" s="6">
        <f>IF(Z291="",'06_집기치수20'!N26,Z291)</f>
        <v>645</v>
      </c>
      <c r="S291" s="6">
        <f>IF(AA291="",'06_집기치수20'!O26,AA291)</f>
        <v>270</v>
      </c>
      <c r="T291" s="6">
        <v>220</v>
      </c>
      <c r="U291" s="6">
        <f>IF(AB291="",'06_집기치수20'!P26,AB291-'06_집기치수20'!I26)</f>
        <v>200</v>
      </c>
      <c r="V291" s="6" t="str">
        <f>IF(Q291=0,"",IF(COUNTIFS('05_상품별배치367'!$B$7:$B$373,A291,'05_상품별배치367'!$T$7:$T$373,"입력 대기")&gt;0,"",SUMIFS('05_상품별배치367'!$S$7:$S$373,'05_상품별배치367'!$B$7:$B$373,A291)))</f>
        <v/>
      </c>
      <c r="W291" s="6" t="str">
        <f>IF(Q291=0,"미진열",IF(COUNTIFS('05_상품별배치367'!$B$7:$B$373,A291,'05_상품별배치367'!$T$7:$T$373,"치수 초과")&gt;0,"치수 초과",IF(COUNTIFS('05_상품별배치367'!$B$7:$B$373,A291,'05_상품별배치367'!$T$7:$T$373,"입력 대기")&gt;0,"치수 입력 대기",IF(V291&gt;R291,"폭 합계 초과","도면/실측 범위 내·현장확인"))))</f>
        <v>미진열</v>
      </c>
      <c r="X291" s="6"/>
      <c r="Y291" s="6" t="s">
        <v>555</v>
      </c>
      <c r="Z291" s="15"/>
      <c r="AA291" s="15"/>
      <c r="AB291" s="15"/>
    </row>
    <row r="292" spans="1:28" ht="33" customHeight="1">
      <c r="A292" s="8" t="s">
        <v>1527</v>
      </c>
      <c r="B292" s="8" t="s">
        <v>499</v>
      </c>
      <c r="C292" s="8" t="s">
        <v>472</v>
      </c>
      <c r="D292" s="9">
        <v>1</v>
      </c>
      <c r="E292" s="8" t="s">
        <v>60</v>
      </c>
      <c r="F292" s="8" t="s">
        <v>120</v>
      </c>
      <c r="G292" s="8" t="s">
        <v>1528</v>
      </c>
      <c r="H292" s="8"/>
      <c r="I292" s="8"/>
      <c r="J292" s="8" t="s">
        <v>551</v>
      </c>
      <c r="K292" s="14" t="s">
        <v>552</v>
      </c>
      <c r="L292" s="15"/>
      <c r="M292" s="15"/>
      <c r="N292" s="8" t="s">
        <v>1463</v>
      </c>
      <c r="O292" s="8" t="s">
        <v>1464</v>
      </c>
      <c r="P292" s="6">
        <f>COUNTIFS('05_상품별배치367'!$B$7:$B$373,A292,'05_상품별배치367'!$K$7:$K$373,"&gt;0")</f>
        <v>0</v>
      </c>
      <c r="Q292" s="6">
        <f>SUMIFS('05_상품별배치367'!$K$7:$K$373,'05_상품별배치367'!$B$7:$B$373,A292)</f>
        <v>0</v>
      </c>
      <c r="R292" s="6">
        <f>IF(Z292="",'06_집기치수20'!N22,Z292)</f>
        <v>645</v>
      </c>
      <c r="S292" s="6">
        <f>IF(AA292="",'06_집기치수20'!O22,AA292)</f>
        <v>270</v>
      </c>
      <c r="T292" s="6">
        <v>100</v>
      </c>
      <c r="U292" s="6">
        <f>IF(AB292="",'06_집기치수20'!P22,AB292-'06_집기치수20'!I22)</f>
        <v>80</v>
      </c>
      <c r="V292" s="6" t="str">
        <f>IF(Q292=0,"",IF(COUNTIFS('05_상품별배치367'!$B$7:$B$373,A292,'05_상품별배치367'!$T$7:$T$373,"입력 대기")&gt;0,"",SUMIFS('05_상품별배치367'!$S$7:$S$373,'05_상품별배치367'!$B$7:$B$373,A292)))</f>
        <v/>
      </c>
      <c r="W292" s="6" t="str">
        <f>IF(Q292=0,"미진열",IF(COUNTIFS('05_상품별배치367'!$B$7:$B$373,A292,'05_상품별배치367'!$T$7:$T$373,"치수 초과")&gt;0,"치수 초과",IF(COUNTIFS('05_상품별배치367'!$B$7:$B$373,A292,'05_상품별배치367'!$T$7:$T$373,"입력 대기")&gt;0,"치수 입력 대기",IF(V292&gt;R292,"폭 합계 초과","도면/실측 범위 내·현장확인"))))</f>
        <v>미진열</v>
      </c>
      <c r="X292" s="6"/>
      <c r="Y292" s="6" t="s">
        <v>555</v>
      </c>
      <c r="Z292" s="15"/>
      <c r="AA292" s="15"/>
      <c r="AB292" s="15"/>
    </row>
    <row r="293" spans="1:28" ht="33" customHeight="1">
      <c r="A293" s="6" t="s">
        <v>1529</v>
      </c>
      <c r="B293" s="6" t="s">
        <v>499</v>
      </c>
      <c r="C293" s="6" t="s">
        <v>472</v>
      </c>
      <c r="D293" s="7">
        <v>2</v>
      </c>
      <c r="E293" s="6" t="s">
        <v>60</v>
      </c>
      <c r="F293" s="6" t="s">
        <v>150</v>
      </c>
      <c r="G293" s="6" t="s">
        <v>150</v>
      </c>
      <c r="H293" s="6" t="s">
        <v>1530</v>
      </c>
      <c r="I293" s="6" t="s">
        <v>1531</v>
      </c>
      <c r="J293" s="6" t="s">
        <v>551</v>
      </c>
      <c r="K293" s="14" t="s">
        <v>594</v>
      </c>
      <c r="L293" s="15"/>
      <c r="M293" s="15"/>
      <c r="N293" s="6" t="s">
        <v>1467</v>
      </c>
      <c r="O293" s="6" t="s">
        <v>1464</v>
      </c>
      <c r="P293" s="6">
        <f>COUNTIFS('05_상품별배치367'!$B$7:$B$373,A293,'05_상품별배치367'!$K$7:$K$373,"&gt;0")</f>
        <v>1</v>
      </c>
      <c r="Q293" s="6">
        <f>SUMIFS('05_상품별배치367'!$K$7:$K$373,'05_상품별배치367'!$B$7:$B$373,A293)</f>
        <v>1</v>
      </c>
      <c r="R293" s="6">
        <f>IF(Z293="",'06_집기치수20'!N23,Z293)</f>
        <v>645</v>
      </c>
      <c r="S293" s="6">
        <f>IF(AA293="",'06_집기치수20'!O23,AA293)</f>
        <v>270</v>
      </c>
      <c r="T293" s="6">
        <v>220</v>
      </c>
      <c r="U293" s="6">
        <f>IF(AB293="",'06_집기치수20'!P23,AB293-'06_집기치수20'!I23)</f>
        <v>200</v>
      </c>
      <c r="V293" s="6" t="str">
        <f>IF(Q293=0,"",IF(COUNTIFS('05_상품별배치367'!$B$7:$B$373,A293,'05_상품별배치367'!$T$7:$T$373,"입력 대기")&gt;0,"",SUMIFS('05_상품별배치367'!$S$7:$S$373,'05_상품별배치367'!$B$7:$B$373,A293)))</f>
        <v/>
      </c>
      <c r="W293" s="6" t="str">
        <f>IF(Q293=0,"미진열",IF(COUNTIFS('05_상품별배치367'!$B$7:$B$373,A293,'05_상품별배치367'!$T$7:$T$373,"치수 초과")&gt;0,"치수 초과",IF(COUNTIFS('05_상품별배치367'!$B$7:$B$373,A293,'05_상품별배치367'!$T$7:$T$373,"입력 대기")&gt;0,"치수 입력 대기",IF(V293&gt;R293,"폭 합계 초과","도면/실측 범위 내·현장확인"))))</f>
        <v>치수 입력 대기</v>
      </c>
      <c r="X293" s="6" t="s">
        <v>1532</v>
      </c>
      <c r="Y293" s="6" t="s">
        <v>555</v>
      </c>
      <c r="Z293" s="15"/>
      <c r="AA293" s="15"/>
      <c r="AB293" s="15"/>
    </row>
    <row r="294" spans="1:28" ht="33" customHeight="1">
      <c r="A294" s="8" t="s">
        <v>1533</v>
      </c>
      <c r="B294" s="8" t="s">
        <v>499</v>
      </c>
      <c r="C294" s="8" t="s">
        <v>472</v>
      </c>
      <c r="D294" s="9">
        <v>3</v>
      </c>
      <c r="E294" s="8" t="s">
        <v>60</v>
      </c>
      <c r="F294" s="8" t="s">
        <v>151</v>
      </c>
      <c r="G294" s="8" t="s">
        <v>151</v>
      </c>
      <c r="H294" s="8" t="s">
        <v>1216</v>
      </c>
      <c r="I294" s="8" t="s">
        <v>1217</v>
      </c>
      <c r="J294" s="8" t="s">
        <v>551</v>
      </c>
      <c r="K294" s="14" t="s">
        <v>594</v>
      </c>
      <c r="L294" s="15"/>
      <c r="M294" s="15"/>
      <c r="N294" s="8" t="s">
        <v>1467</v>
      </c>
      <c r="O294" s="8" t="s">
        <v>1464</v>
      </c>
      <c r="P294" s="6">
        <f>COUNTIFS('05_상품별배치367'!$B$7:$B$373,A294,'05_상품별배치367'!$K$7:$K$373,"&gt;0")</f>
        <v>1</v>
      </c>
      <c r="Q294" s="6">
        <f>SUMIFS('05_상품별배치367'!$K$7:$K$373,'05_상품별배치367'!$B$7:$B$373,A294)</f>
        <v>1</v>
      </c>
      <c r="R294" s="6">
        <f>IF(Z294="",'06_집기치수20'!N24,Z294)</f>
        <v>645</v>
      </c>
      <c r="S294" s="6">
        <f>IF(AA294="",'06_집기치수20'!O24,AA294)</f>
        <v>270</v>
      </c>
      <c r="T294" s="6">
        <v>220</v>
      </c>
      <c r="U294" s="6">
        <f>IF(AB294="",'06_집기치수20'!P24,AB294-'06_집기치수20'!I24)</f>
        <v>200</v>
      </c>
      <c r="V294" s="6" t="str">
        <f>IF(Q294=0,"",IF(COUNTIFS('05_상품별배치367'!$B$7:$B$373,A294,'05_상품별배치367'!$T$7:$T$373,"입력 대기")&gt;0,"",SUMIFS('05_상품별배치367'!$S$7:$S$373,'05_상품별배치367'!$B$7:$B$373,A294)))</f>
        <v/>
      </c>
      <c r="W294" s="6" t="str">
        <f>IF(Q294=0,"미진열",IF(COUNTIFS('05_상품별배치367'!$B$7:$B$373,A294,'05_상품별배치367'!$T$7:$T$373,"치수 초과")&gt;0,"치수 초과",IF(COUNTIFS('05_상품별배치367'!$B$7:$B$373,A294,'05_상품별배치367'!$T$7:$T$373,"입력 대기")&gt;0,"치수 입력 대기",IF(V294&gt;R294,"폭 합계 초과","도면/실측 범위 내·현장확인"))))</f>
        <v>치수 입력 대기</v>
      </c>
      <c r="X294" s="6" t="s">
        <v>1218</v>
      </c>
      <c r="Y294" s="6" t="s">
        <v>555</v>
      </c>
      <c r="Z294" s="15"/>
      <c r="AA294" s="15"/>
      <c r="AB294" s="15"/>
    </row>
    <row r="295" spans="1:28" ht="33" customHeight="1">
      <c r="A295" s="6" t="s">
        <v>1534</v>
      </c>
      <c r="B295" s="6" t="s">
        <v>499</v>
      </c>
      <c r="C295" s="6" t="s">
        <v>472</v>
      </c>
      <c r="D295" s="7">
        <v>4</v>
      </c>
      <c r="E295" s="6" t="s">
        <v>60</v>
      </c>
      <c r="F295" s="6" t="s">
        <v>123</v>
      </c>
      <c r="G295" s="6" t="s">
        <v>150</v>
      </c>
      <c r="H295" s="6"/>
      <c r="I295" s="6"/>
      <c r="J295" s="6" t="s">
        <v>551</v>
      </c>
      <c r="K295" s="14" t="s">
        <v>568</v>
      </c>
      <c r="L295" s="15"/>
      <c r="M295" s="15"/>
      <c r="N295" s="6" t="s">
        <v>1467</v>
      </c>
      <c r="O295" s="6" t="s">
        <v>1464</v>
      </c>
      <c r="P295" s="6">
        <f>COUNTIFS('05_상품별배치367'!$B$7:$B$373,A295,'05_상품별배치367'!$K$7:$K$373,"&gt;0")</f>
        <v>0</v>
      </c>
      <c r="Q295" s="6">
        <f>SUMIFS('05_상품별배치367'!$K$7:$K$373,'05_상품별배치367'!$B$7:$B$373,A295)</f>
        <v>0</v>
      </c>
      <c r="R295" s="6">
        <f>IF(Z295="",'06_집기치수20'!N25,Z295)</f>
        <v>645</v>
      </c>
      <c r="S295" s="6">
        <f>IF(AA295="",'06_집기치수20'!O25,AA295)</f>
        <v>270</v>
      </c>
      <c r="T295" s="6">
        <v>220</v>
      </c>
      <c r="U295" s="6">
        <f>IF(AB295="",'06_집기치수20'!P25,AB295-'06_집기치수20'!I25)</f>
        <v>200</v>
      </c>
      <c r="V295" s="6" t="str">
        <f>IF(Q295=0,"",IF(COUNTIFS('05_상품별배치367'!$B$7:$B$373,A295,'05_상품별배치367'!$T$7:$T$373,"입력 대기")&gt;0,"",SUMIFS('05_상품별배치367'!$S$7:$S$373,'05_상품별배치367'!$B$7:$B$373,A295)))</f>
        <v/>
      </c>
      <c r="W295" s="6" t="str">
        <f>IF(Q295=0,"미진열",IF(COUNTIFS('05_상품별배치367'!$B$7:$B$373,A295,'05_상품별배치367'!$T$7:$T$373,"치수 초과")&gt;0,"치수 초과",IF(COUNTIFS('05_상품별배치367'!$B$7:$B$373,A295,'05_상품별배치367'!$T$7:$T$373,"입력 대기")&gt;0,"치수 입력 대기",IF(V295&gt;R295,"폭 합계 초과","도면/실측 범위 내·현장확인"))))</f>
        <v>미진열</v>
      </c>
      <c r="X295" s="6"/>
      <c r="Y295" s="6" t="s">
        <v>555</v>
      </c>
      <c r="Z295" s="15"/>
      <c r="AA295" s="15"/>
      <c r="AB295" s="15"/>
    </row>
    <row r="296" spans="1:28" ht="33" customHeight="1">
      <c r="A296" s="8" t="s">
        <v>1535</v>
      </c>
      <c r="B296" s="8" t="s">
        <v>499</v>
      </c>
      <c r="C296" s="8" t="s">
        <v>472</v>
      </c>
      <c r="D296" s="9">
        <v>5</v>
      </c>
      <c r="E296" s="8" t="s">
        <v>60</v>
      </c>
      <c r="F296" s="8" t="s">
        <v>123</v>
      </c>
      <c r="G296" s="8" t="s">
        <v>590</v>
      </c>
      <c r="H296" s="8"/>
      <c r="I296" s="8"/>
      <c r="J296" s="8" t="s">
        <v>551</v>
      </c>
      <c r="K296" s="14" t="s">
        <v>568</v>
      </c>
      <c r="L296" s="15"/>
      <c r="M296" s="15"/>
      <c r="N296" s="8" t="s">
        <v>1467</v>
      </c>
      <c r="O296" s="8" t="s">
        <v>1464</v>
      </c>
      <c r="P296" s="6">
        <f>COUNTIFS('05_상품별배치367'!$B$7:$B$373,A296,'05_상품별배치367'!$K$7:$K$373,"&gt;0")</f>
        <v>0</v>
      </c>
      <c r="Q296" s="6">
        <f>SUMIFS('05_상품별배치367'!$K$7:$K$373,'05_상품별배치367'!$B$7:$B$373,A296)</f>
        <v>0</v>
      </c>
      <c r="R296" s="6">
        <f>IF(Z296="",'06_집기치수20'!N26,Z296)</f>
        <v>645</v>
      </c>
      <c r="S296" s="6">
        <f>IF(AA296="",'06_집기치수20'!O26,AA296)</f>
        <v>270</v>
      </c>
      <c r="T296" s="6">
        <v>220</v>
      </c>
      <c r="U296" s="6">
        <f>IF(AB296="",'06_집기치수20'!P26,AB296-'06_집기치수20'!I26)</f>
        <v>200</v>
      </c>
      <c r="V296" s="6" t="str">
        <f>IF(Q296=0,"",IF(COUNTIFS('05_상품별배치367'!$B$7:$B$373,A296,'05_상품별배치367'!$T$7:$T$373,"입력 대기")&gt;0,"",SUMIFS('05_상품별배치367'!$S$7:$S$373,'05_상품별배치367'!$B$7:$B$373,A296)))</f>
        <v/>
      </c>
      <c r="W296" s="6" t="str">
        <f>IF(Q296=0,"미진열",IF(COUNTIFS('05_상품별배치367'!$B$7:$B$373,A296,'05_상품별배치367'!$T$7:$T$373,"치수 초과")&gt;0,"치수 초과",IF(COUNTIFS('05_상품별배치367'!$B$7:$B$373,A296,'05_상품별배치367'!$T$7:$T$373,"입력 대기")&gt;0,"치수 입력 대기",IF(V296&gt;R296,"폭 합계 초과","도면/실측 범위 내·현장확인"))))</f>
        <v>미진열</v>
      </c>
      <c r="X296" s="6"/>
      <c r="Y296" s="6" t="s">
        <v>555</v>
      </c>
      <c r="Z296" s="15"/>
      <c r="AA296" s="15"/>
      <c r="AB296" s="15"/>
    </row>
    <row r="297" spans="1:28" ht="33" customHeight="1">
      <c r="A297" s="6" t="s">
        <v>1536</v>
      </c>
      <c r="B297" s="6" t="s">
        <v>502</v>
      </c>
      <c r="C297" s="6" t="s">
        <v>478</v>
      </c>
      <c r="D297" s="7">
        <v>1</v>
      </c>
      <c r="E297" s="6" t="s">
        <v>60</v>
      </c>
      <c r="F297" s="6" t="s">
        <v>120</v>
      </c>
      <c r="G297" s="6" t="s">
        <v>1537</v>
      </c>
      <c r="H297" s="6"/>
      <c r="I297" s="6"/>
      <c r="J297" s="6" t="s">
        <v>551</v>
      </c>
      <c r="K297" s="14" t="s">
        <v>552</v>
      </c>
      <c r="L297" s="15"/>
      <c r="M297" s="15"/>
      <c r="N297" s="6" t="s">
        <v>1463</v>
      </c>
      <c r="O297" s="6" t="s">
        <v>1464</v>
      </c>
      <c r="P297" s="6">
        <f>COUNTIFS('05_상품별배치367'!$B$7:$B$373,A297,'05_상품별배치367'!$K$7:$K$373,"&gt;0")</f>
        <v>0</v>
      </c>
      <c r="Q297" s="6">
        <f>SUMIFS('05_상품별배치367'!$K$7:$K$373,'05_상품별배치367'!$B$7:$B$373,A297)</f>
        <v>0</v>
      </c>
      <c r="R297" s="6">
        <f>IF(Z297="",'06_집기치수20'!N22,Z297)</f>
        <v>645</v>
      </c>
      <c r="S297" s="6">
        <f>IF(AA297="",'06_집기치수20'!O22,AA297)</f>
        <v>270</v>
      </c>
      <c r="T297" s="6">
        <v>100</v>
      </c>
      <c r="U297" s="6">
        <f>IF(AB297="",'06_집기치수20'!P22,AB297-'06_집기치수20'!I22)</f>
        <v>80</v>
      </c>
      <c r="V297" s="6" t="str">
        <f>IF(Q297=0,"",IF(COUNTIFS('05_상품별배치367'!$B$7:$B$373,A297,'05_상품별배치367'!$T$7:$T$373,"입력 대기")&gt;0,"",SUMIFS('05_상품별배치367'!$S$7:$S$373,'05_상품별배치367'!$B$7:$B$373,A297)))</f>
        <v/>
      </c>
      <c r="W297" s="6" t="str">
        <f>IF(Q297=0,"미진열",IF(COUNTIFS('05_상품별배치367'!$B$7:$B$373,A297,'05_상품별배치367'!$T$7:$T$373,"치수 초과")&gt;0,"치수 초과",IF(COUNTIFS('05_상품별배치367'!$B$7:$B$373,A297,'05_상품별배치367'!$T$7:$T$373,"입력 대기")&gt;0,"치수 입력 대기",IF(V297&gt;R297,"폭 합계 초과","도면/실측 범위 내·현장확인"))))</f>
        <v>미진열</v>
      </c>
      <c r="X297" s="6"/>
      <c r="Y297" s="6" t="s">
        <v>555</v>
      </c>
      <c r="Z297" s="15"/>
      <c r="AA297" s="15"/>
      <c r="AB297" s="15"/>
    </row>
    <row r="298" spans="1:28" ht="33" customHeight="1">
      <c r="A298" s="8" t="s">
        <v>1538</v>
      </c>
      <c r="B298" s="8" t="s">
        <v>502</v>
      </c>
      <c r="C298" s="8" t="s">
        <v>478</v>
      </c>
      <c r="D298" s="9">
        <v>2</v>
      </c>
      <c r="E298" s="8" t="s">
        <v>60</v>
      </c>
      <c r="F298" s="8" t="s">
        <v>504</v>
      </c>
      <c r="G298" s="8" t="s">
        <v>504</v>
      </c>
      <c r="H298" s="8" t="s">
        <v>1539</v>
      </c>
      <c r="I298" s="8" t="s">
        <v>1540</v>
      </c>
      <c r="J298" s="8" t="s">
        <v>551</v>
      </c>
      <c r="K298" s="14" t="s">
        <v>594</v>
      </c>
      <c r="L298" s="15"/>
      <c r="M298" s="15"/>
      <c r="N298" s="8" t="s">
        <v>1467</v>
      </c>
      <c r="O298" s="8" t="s">
        <v>1464</v>
      </c>
      <c r="P298" s="6">
        <f>COUNTIFS('05_상품별배치367'!$B$7:$B$373,A298,'05_상품별배치367'!$K$7:$K$373,"&gt;0")</f>
        <v>1</v>
      </c>
      <c r="Q298" s="6">
        <f>SUMIFS('05_상품별배치367'!$K$7:$K$373,'05_상품별배치367'!$B$7:$B$373,A298)</f>
        <v>1</v>
      </c>
      <c r="R298" s="6">
        <f>IF(Z298="",'06_집기치수20'!N23,Z298)</f>
        <v>645</v>
      </c>
      <c r="S298" s="6">
        <f>IF(AA298="",'06_집기치수20'!O23,AA298)</f>
        <v>270</v>
      </c>
      <c r="T298" s="6">
        <v>220</v>
      </c>
      <c r="U298" s="6">
        <f>IF(AB298="",'06_집기치수20'!P23,AB298-'06_집기치수20'!I23)</f>
        <v>200</v>
      </c>
      <c r="V298" s="6" t="str">
        <f>IF(Q298=0,"",IF(COUNTIFS('05_상품별배치367'!$B$7:$B$373,A298,'05_상품별배치367'!$T$7:$T$373,"입력 대기")&gt;0,"",SUMIFS('05_상품별배치367'!$S$7:$S$373,'05_상품별배치367'!$B$7:$B$373,A298)))</f>
        <v/>
      </c>
      <c r="W298" s="6" t="str">
        <f>IF(Q298=0,"미진열",IF(COUNTIFS('05_상품별배치367'!$B$7:$B$373,A298,'05_상품별배치367'!$T$7:$T$373,"치수 초과")&gt;0,"치수 초과",IF(COUNTIFS('05_상품별배치367'!$B$7:$B$373,A298,'05_상품별배치367'!$T$7:$T$373,"입력 대기")&gt;0,"치수 입력 대기",IF(V298&gt;R298,"폭 합계 초과","도면/실측 범위 내·현장확인"))))</f>
        <v>치수 입력 대기</v>
      </c>
      <c r="X298" s="6" t="s">
        <v>1541</v>
      </c>
      <c r="Y298" s="6" t="s">
        <v>555</v>
      </c>
      <c r="Z298" s="15"/>
      <c r="AA298" s="15"/>
      <c r="AB298" s="15"/>
    </row>
    <row r="299" spans="1:28" ht="33" customHeight="1">
      <c r="A299" s="6" t="s">
        <v>1542</v>
      </c>
      <c r="B299" s="6" t="s">
        <v>502</v>
      </c>
      <c r="C299" s="6" t="s">
        <v>478</v>
      </c>
      <c r="D299" s="7">
        <v>3</v>
      </c>
      <c r="E299" s="6" t="s">
        <v>60</v>
      </c>
      <c r="F299" s="6" t="s">
        <v>505</v>
      </c>
      <c r="G299" s="6" t="s">
        <v>505</v>
      </c>
      <c r="H299" s="6" t="s">
        <v>1543</v>
      </c>
      <c r="I299" s="6" t="s">
        <v>1544</v>
      </c>
      <c r="J299" s="6" t="s">
        <v>551</v>
      </c>
      <c r="K299" s="14" t="s">
        <v>594</v>
      </c>
      <c r="L299" s="15"/>
      <c r="M299" s="15"/>
      <c r="N299" s="6" t="s">
        <v>1467</v>
      </c>
      <c r="O299" s="6" t="s">
        <v>1464</v>
      </c>
      <c r="P299" s="6">
        <f>COUNTIFS('05_상품별배치367'!$B$7:$B$373,A299,'05_상품별배치367'!$K$7:$K$373,"&gt;0")</f>
        <v>1</v>
      </c>
      <c r="Q299" s="6">
        <f>SUMIFS('05_상품별배치367'!$K$7:$K$373,'05_상품별배치367'!$B$7:$B$373,A299)</f>
        <v>1</v>
      </c>
      <c r="R299" s="6">
        <f>IF(Z299="",'06_집기치수20'!N24,Z299)</f>
        <v>645</v>
      </c>
      <c r="S299" s="6">
        <f>IF(AA299="",'06_집기치수20'!O24,AA299)</f>
        <v>270</v>
      </c>
      <c r="T299" s="6">
        <v>220</v>
      </c>
      <c r="U299" s="6">
        <f>IF(AB299="",'06_집기치수20'!P24,AB299-'06_집기치수20'!I24)</f>
        <v>200</v>
      </c>
      <c r="V299" s="6" t="str">
        <f>IF(Q299=0,"",IF(COUNTIFS('05_상품별배치367'!$B$7:$B$373,A299,'05_상품별배치367'!$T$7:$T$373,"입력 대기")&gt;0,"",SUMIFS('05_상품별배치367'!$S$7:$S$373,'05_상품별배치367'!$B$7:$B$373,A299)))</f>
        <v/>
      </c>
      <c r="W299" s="6" t="str">
        <f>IF(Q299=0,"미진열",IF(COUNTIFS('05_상품별배치367'!$B$7:$B$373,A299,'05_상품별배치367'!$T$7:$T$373,"치수 초과")&gt;0,"치수 초과",IF(COUNTIFS('05_상품별배치367'!$B$7:$B$373,A299,'05_상품별배치367'!$T$7:$T$373,"입력 대기")&gt;0,"치수 입력 대기",IF(V299&gt;R299,"폭 합계 초과","도면/실측 범위 내·현장확인"))))</f>
        <v>치수 입력 대기</v>
      </c>
      <c r="X299" s="6" t="s">
        <v>1545</v>
      </c>
      <c r="Y299" s="6" t="s">
        <v>555</v>
      </c>
      <c r="Z299" s="15"/>
      <c r="AA299" s="15"/>
      <c r="AB299" s="15"/>
    </row>
    <row r="300" spans="1:28" ht="33" customHeight="1">
      <c r="A300" s="8" t="s">
        <v>1546</v>
      </c>
      <c r="B300" s="8" t="s">
        <v>502</v>
      </c>
      <c r="C300" s="8" t="s">
        <v>478</v>
      </c>
      <c r="D300" s="9">
        <v>4</v>
      </c>
      <c r="E300" s="8" t="s">
        <v>60</v>
      </c>
      <c r="F300" s="8" t="s">
        <v>123</v>
      </c>
      <c r="G300" s="8" t="s">
        <v>504</v>
      </c>
      <c r="H300" s="8"/>
      <c r="I300" s="8"/>
      <c r="J300" s="8" t="s">
        <v>551</v>
      </c>
      <c r="K300" s="14" t="s">
        <v>568</v>
      </c>
      <c r="L300" s="15"/>
      <c r="M300" s="15"/>
      <c r="N300" s="8" t="s">
        <v>1467</v>
      </c>
      <c r="O300" s="8" t="s">
        <v>1464</v>
      </c>
      <c r="P300" s="6">
        <f>COUNTIFS('05_상품별배치367'!$B$7:$B$373,A300,'05_상품별배치367'!$K$7:$K$373,"&gt;0")</f>
        <v>0</v>
      </c>
      <c r="Q300" s="6">
        <f>SUMIFS('05_상품별배치367'!$K$7:$K$373,'05_상품별배치367'!$B$7:$B$373,A300)</f>
        <v>0</v>
      </c>
      <c r="R300" s="6">
        <f>IF(Z300="",'06_집기치수20'!N25,Z300)</f>
        <v>645</v>
      </c>
      <c r="S300" s="6">
        <f>IF(AA300="",'06_집기치수20'!O25,AA300)</f>
        <v>270</v>
      </c>
      <c r="T300" s="6">
        <v>220</v>
      </c>
      <c r="U300" s="6">
        <f>IF(AB300="",'06_집기치수20'!P25,AB300-'06_집기치수20'!I25)</f>
        <v>200</v>
      </c>
      <c r="V300" s="6" t="str">
        <f>IF(Q300=0,"",IF(COUNTIFS('05_상품별배치367'!$B$7:$B$373,A300,'05_상품별배치367'!$T$7:$T$373,"입력 대기")&gt;0,"",SUMIFS('05_상품별배치367'!$S$7:$S$373,'05_상품별배치367'!$B$7:$B$373,A300)))</f>
        <v/>
      </c>
      <c r="W300" s="6" t="str">
        <f>IF(Q300=0,"미진열",IF(COUNTIFS('05_상품별배치367'!$B$7:$B$373,A300,'05_상품별배치367'!$T$7:$T$373,"치수 초과")&gt;0,"치수 초과",IF(COUNTIFS('05_상품별배치367'!$B$7:$B$373,A300,'05_상품별배치367'!$T$7:$T$373,"입력 대기")&gt;0,"치수 입력 대기",IF(V300&gt;R300,"폭 합계 초과","도면/실측 범위 내·현장확인"))))</f>
        <v>미진열</v>
      </c>
      <c r="X300" s="6"/>
      <c r="Y300" s="6" t="s">
        <v>555</v>
      </c>
      <c r="Z300" s="15"/>
      <c r="AA300" s="15"/>
      <c r="AB300" s="15"/>
    </row>
    <row r="301" spans="1:28" ht="33" customHeight="1">
      <c r="A301" s="6" t="s">
        <v>1547</v>
      </c>
      <c r="B301" s="6" t="s">
        <v>502</v>
      </c>
      <c r="C301" s="6" t="s">
        <v>478</v>
      </c>
      <c r="D301" s="7">
        <v>5</v>
      </c>
      <c r="E301" s="6" t="s">
        <v>60</v>
      </c>
      <c r="F301" s="6" t="s">
        <v>123</v>
      </c>
      <c r="G301" s="6" t="s">
        <v>590</v>
      </c>
      <c r="H301" s="6"/>
      <c r="I301" s="6"/>
      <c r="J301" s="6" t="s">
        <v>551</v>
      </c>
      <c r="K301" s="14" t="s">
        <v>568</v>
      </c>
      <c r="L301" s="15"/>
      <c r="M301" s="15"/>
      <c r="N301" s="6" t="s">
        <v>1467</v>
      </c>
      <c r="O301" s="6" t="s">
        <v>1464</v>
      </c>
      <c r="P301" s="6">
        <f>COUNTIFS('05_상품별배치367'!$B$7:$B$373,A301,'05_상품별배치367'!$K$7:$K$373,"&gt;0")</f>
        <v>0</v>
      </c>
      <c r="Q301" s="6">
        <f>SUMIFS('05_상품별배치367'!$K$7:$K$373,'05_상품별배치367'!$B$7:$B$373,A301)</f>
        <v>0</v>
      </c>
      <c r="R301" s="6">
        <f>IF(Z301="",'06_집기치수20'!N26,Z301)</f>
        <v>645</v>
      </c>
      <c r="S301" s="6">
        <f>IF(AA301="",'06_집기치수20'!O26,AA301)</f>
        <v>270</v>
      </c>
      <c r="T301" s="6">
        <v>220</v>
      </c>
      <c r="U301" s="6">
        <f>IF(AB301="",'06_집기치수20'!P26,AB301-'06_집기치수20'!I26)</f>
        <v>200</v>
      </c>
      <c r="V301" s="6" t="str">
        <f>IF(Q301=0,"",IF(COUNTIFS('05_상품별배치367'!$B$7:$B$373,A301,'05_상품별배치367'!$T$7:$T$373,"입력 대기")&gt;0,"",SUMIFS('05_상품별배치367'!$S$7:$S$373,'05_상품별배치367'!$B$7:$B$373,A301)))</f>
        <v/>
      </c>
      <c r="W301" s="6" t="str">
        <f>IF(Q301=0,"미진열",IF(COUNTIFS('05_상품별배치367'!$B$7:$B$373,A301,'05_상품별배치367'!$T$7:$T$373,"치수 초과")&gt;0,"치수 초과",IF(COUNTIFS('05_상품별배치367'!$B$7:$B$373,A301,'05_상품별배치367'!$T$7:$T$373,"입력 대기")&gt;0,"치수 입력 대기",IF(V301&gt;R301,"폭 합계 초과","도면/실측 범위 내·현장확인"))))</f>
        <v>미진열</v>
      </c>
      <c r="X301" s="6"/>
      <c r="Y301" s="6" t="s">
        <v>555</v>
      </c>
      <c r="Z301" s="15"/>
      <c r="AA301" s="15"/>
      <c r="AB301" s="15"/>
    </row>
    <row r="302" spans="1:28" ht="33" customHeight="1">
      <c r="A302" s="8" t="s">
        <v>1548</v>
      </c>
      <c r="B302" s="8" t="s">
        <v>506</v>
      </c>
      <c r="C302" s="8" t="s">
        <v>472</v>
      </c>
      <c r="D302" s="9">
        <v>1</v>
      </c>
      <c r="E302" s="8" t="s">
        <v>39</v>
      </c>
      <c r="F302" s="8" t="s">
        <v>120</v>
      </c>
      <c r="G302" s="8" t="s">
        <v>793</v>
      </c>
      <c r="H302" s="8"/>
      <c r="I302" s="8"/>
      <c r="J302" s="8" t="s">
        <v>551</v>
      </c>
      <c r="K302" s="14" t="s">
        <v>552</v>
      </c>
      <c r="L302" s="15"/>
      <c r="M302" s="15"/>
      <c r="N302" s="8" t="s">
        <v>1463</v>
      </c>
      <c r="O302" s="8" t="s">
        <v>1464</v>
      </c>
      <c r="P302" s="6">
        <f>COUNTIFS('05_상품별배치367'!$B$7:$B$373,A302,'05_상품별배치367'!$K$7:$K$373,"&gt;0")</f>
        <v>0</v>
      </c>
      <c r="Q302" s="6">
        <f>SUMIFS('05_상품별배치367'!$K$7:$K$373,'05_상품별배치367'!$B$7:$B$373,A302)</f>
        <v>0</v>
      </c>
      <c r="R302" s="6">
        <f>IF(Z302="",'06_집기치수20'!N22,Z302)</f>
        <v>645</v>
      </c>
      <c r="S302" s="6">
        <f>IF(AA302="",'06_집기치수20'!O22,AA302)</f>
        <v>270</v>
      </c>
      <c r="T302" s="6">
        <v>100</v>
      </c>
      <c r="U302" s="6">
        <f>IF(AB302="",'06_집기치수20'!P22,AB302-'06_집기치수20'!I22)</f>
        <v>80</v>
      </c>
      <c r="V302" s="6" t="str">
        <f>IF(Q302=0,"",IF(COUNTIFS('05_상품별배치367'!$B$7:$B$373,A302,'05_상품별배치367'!$T$7:$T$373,"입력 대기")&gt;0,"",SUMIFS('05_상품별배치367'!$S$7:$S$373,'05_상품별배치367'!$B$7:$B$373,A302)))</f>
        <v/>
      </c>
      <c r="W302" s="6" t="str">
        <f>IF(Q302=0,"미진열",IF(COUNTIFS('05_상품별배치367'!$B$7:$B$373,A302,'05_상품별배치367'!$T$7:$T$373,"치수 초과")&gt;0,"치수 초과",IF(COUNTIFS('05_상품별배치367'!$B$7:$B$373,A302,'05_상품별배치367'!$T$7:$T$373,"입력 대기")&gt;0,"치수 입력 대기",IF(V302&gt;R302,"폭 합계 초과","도면/실측 범위 내·현장확인"))))</f>
        <v>미진열</v>
      </c>
      <c r="X302" s="6"/>
      <c r="Y302" s="6" t="s">
        <v>555</v>
      </c>
      <c r="Z302" s="15"/>
      <c r="AA302" s="15"/>
      <c r="AB302" s="15"/>
    </row>
    <row r="303" spans="1:28" ht="33" customHeight="1">
      <c r="A303" s="6" t="s">
        <v>1549</v>
      </c>
      <c r="B303" s="6" t="s">
        <v>506</v>
      </c>
      <c r="C303" s="6" t="s">
        <v>472</v>
      </c>
      <c r="D303" s="7">
        <v>2</v>
      </c>
      <c r="E303" s="6" t="s">
        <v>39</v>
      </c>
      <c r="F303" s="6" t="s">
        <v>161</v>
      </c>
      <c r="G303" s="6" t="s">
        <v>161</v>
      </c>
      <c r="H303" s="6" t="s">
        <v>1550</v>
      </c>
      <c r="I303" s="6" t="s">
        <v>1551</v>
      </c>
      <c r="J303" s="6" t="s">
        <v>551</v>
      </c>
      <c r="K303" s="14" t="s">
        <v>594</v>
      </c>
      <c r="L303" s="15"/>
      <c r="M303" s="15"/>
      <c r="N303" s="6" t="s">
        <v>1467</v>
      </c>
      <c r="O303" s="6" t="s">
        <v>1464</v>
      </c>
      <c r="P303" s="6">
        <f>COUNTIFS('05_상품별배치367'!$B$7:$B$373,A303,'05_상품별배치367'!$K$7:$K$373,"&gt;0")</f>
        <v>1</v>
      </c>
      <c r="Q303" s="6">
        <f>SUMIFS('05_상품별배치367'!$K$7:$K$373,'05_상품별배치367'!$B$7:$B$373,A303)</f>
        <v>1</v>
      </c>
      <c r="R303" s="6">
        <f>IF(Z303="",'06_집기치수20'!N23,Z303)</f>
        <v>645</v>
      </c>
      <c r="S303" s="6">
        <f>IF(AA303="",'06_집기치수20'!O23,AA303)</f>
        <v>270</v>
      </c>
      <c r="T303" s="6">
        <v>220</v>
      </c>
      <c r="U303" s="6">
        <f>IF(AB303="",'06_집기치수20'!P23,AB303-'06_집기치수20'!I23)</f>
        <v>200</v>
      </c>
      <c r="V303" s="6" t="str">
        <f>IF(Q303=0,"",IF(COUNTIFS('05_상품별배치367'!$B$7:$B$373,A303,'05_상품별배치367'!$T$7:$T$373,"입력 대기")&gt;0,"",SUMIFS('05_상품별배치367'!$S$7:$S$373,'05_상품별배치367'!$B$7:$B$373,A303)))</f>
        <v/>
      </c>
      <c r="W303" s="6" t="str">
        <f>IF(Q303=0,"미진열",IF(COUNTIFS('05_상품별배치367'!$B$7:$B$373,A303,'05_상품별배치367'!$T$7:$T$373,"치수 초과")&gt;0,"치수 초과",IF(COUNTIFS('05_상품별배치367'!$B$7:$B$373,A303,'05_상품별배치367'!$T$7:$T$373,"입력 대기")&gt;0,"치수 입력 대기",IF(V303&gt;R303,"폭 합계 초과","도면/실측 범위 내·현장확인"))))</f>
        <v>치수 입력 대기</v>
      </c>
      <c r="X303" s="6" t="s">
        <v>1552</v>
      </c>
      <c r="Y303" s="6" t="s">
        <v>555</v>
      </c>
      <c r="Z303" s="15"/>
      <c r="AA303" s="15"/>
      <c r="AB303" s="15"/>
    </row>
    <row r="304" spans="1:28" ht="33" customHeight="1">
      <c r="A304" s="8" t="s">
        <v>1553</v>
      </c>
      <c r="B304" s="8" t="s">
        <v>506</v>
      </c>
      <c r="C304" s="8" t="s">
        <v>472</v>
      </c>
      <c r="D304" s="9">
        <v>3</v>
      </c>
      <c r="E304" s="8" t="s">
        <v>39</v>
      </c>
      <c r="F304" s="8" t="s">
        <v>162</v>
      </c>
      <c r="G304" s="8" t="s">
        <v>162</v>
      </c>
      <c r="H304" s="8" t="s">
        <v>1554</v>
      </c>
      <c r="I304" s="8" t="s">
        <v>1555</v>
      </c>
      <c r="J304" s="8" t="s">
        <v>551</v>
      </c>
      <c r="K304" s="14" t="s">
        <v>594</v>
      </c>
      <c r="L304" s="15"/>
      <c r="M304" s="15"/>
      <c r="N304" s="8" t="s">
        <v>1467</v>
      </c>
      <c r="O304" s="8" t="s">
        <v>1464</v>
      </c>
      <c r="P304" s="6">
        <f>COUNTIFS('05_상품별배치367'!$B$7:$B$373,A304,'05_상품별배치367'!$K$7:$K$373,"&gt;0")</f>
        <v>1</v>
      </c>
      <c r="Q304" s="6">
        <f>SUMIFS('05_상품별배치367'!$K$7:$K$373,'05_상품별배치367'!$B$7:$B$373,A304)</f>
        <v>1</v>
      </c>
      <c r="R304" s="6">
        <f>IF(Z304="",'06_집기치수20'!N24,Z304)</f>
        <v>645</v>
      </c>
      <c r="S304" s="6">
        <f>IF(AA304="",'06_집기치수20'!O24,AA304)</f>
        <v>270</v>
      </c>
      <c r="T304" s="6">
        <v>220</v>
      </c>
      <c r="U304" s="6">
        <f>IF(AB304="",'06_집기치수20'!P24,AB304-'06_집기치수20'!I24)</f>
        <v>200</v>
      </c>
      <c r="V304" s="6" t="str">
        <f>IF(Q304=0,"",IF(COUNTIFS('05_상품별배치367'!$B$7:$B$373,A304,'05_상품별배치367'!$T$7:$T$373,"입력 대기")&gt;0,"",SUMIFS('05_상품별배치367'!$S$7:$S$373,'05_상품별배치367'!$B$7:$B$373,A304)))</f>
        <v/>
      </c>
      <c r="W304" s="6" t="str">
        <f>IF(Q304=0,"미진열",IF(COUNTIFS('05_상품별배치367'!$B$7:$B$373,A304,'05_상품별배치367'!$T$7:$T$373,"치수 초과")&gt;0,"치수 초과",IF(COUNTIFS('05_상품별배치367'!$B$7:$B$373,A304,'05_상품별배치367'!$T$7:$T$373,"입력 대기")&gt;0,"치수 입력 대기",IF(V304&gt;R304,"폭 합계 초과","도면/실측 범위 내·현장확인"))))</f>
        <v>치수 입력 대기</v>
      </c>
      <c r="X304" s="6" t="s">
        <v>1556</v>
      </c>
      <c r="Y304" s="6" t="s">
        <v>555</v>
      </c>
      <c r="Z304" s="15"/>
      <c r="AA304" s="15"/>
      <c r="AB304" s="15"/>
    </row>
    <row r="305" spans="1:28" ht="33" customHeight="1">
      <c r="A305" s="6" t="s">
        <v>1557</v>
      </c>
      <c r="B305" s="6" t="s">
        <v>506</v>
      </c>
      <c r="C305" s="6" t="s">
        <v>472</v>
      </c>
      <c r="D305" s="7">
        <v>4</v>
      </c>
      <c r="E305" s="6" t="s">
        <v>39</v>
      </c>
      <c r="F305" s="6" t="s">
        <v>123</v>
      </c>
      <c r="G305" s="6" t="s">
        <v>161</v>
      </c>
      <c r="H305" s="6"/>
      <c r="I305" s="6"/>
      <c r="J305" s="6" t="s">
        <v>551</v>
      </c>
      <c r="K305" s="14" t="s">
        <v>568</v>
      </c>
      <c r="L305" s="15"/>
      <c r="M305" s="15"/>
      <c r="N305" s="6" t="s">
        <v>1467</v>
      </c>
      <c r="O305" s="6" t="s">
        <v>1464</v>
      </c>
      <c r="P305" s="6">
        <f>COUNTIFS('05_상품별배치367'!$B$7:$B$373,A305,'05_상품별배치367'!$K$7:$K$373,"&gt;0")</f>
        <v>0</v>
      </c>
      <c r="Q305" s="6">
        <f>SUMIFS('05_상품별배치367'!$K$7:$K$373,'05_상품별배치367'!$B$7:$B$373,A305)</f>
        <v>0</v>
      </c>
      <c r="R305" s="6">
        <f>IF(Z305="",'06_집기치수20'!N25,Z305)</f>
        <v>645</v>
      </c>
      <c r="S305" s="6">
        <f>IF(AA305="",'06_집기치수20'!O25,AA305)</f>
        <v>270</v>
      </c>
      <c r="T305" s="6">
        <v>220</v>
      </c>
      <c r="U305" s="6">
        <f>IF(AB305="",'06_집기치수20'!P25,AB305-'06_집기치수20'!I25)</f>
        <v>200</v>
      </c>
      <c r="V305" s="6" t="str">
        <f>IF(Q305=0,"",IF(COUNTIFS('05_상품별배치367'!$B$7:$B$373,A305,'05_상품별배치367'!$T$7:$T$373,"입력 대기")&gt;0,"",SUMIFS('05_상품별배치367'!$S$7:$S$373,'05_상품별배치367'!$B$7:$B$373,A305)))</f>
        <v/>
      </c>
      <c r="W305" s="6" t="str">
        <f>IF(Q305=0,"미진열",IF(COUNTIFS('05_상품별배치367'!$B$7:$B$373,A305,'05_상품별배치367'!$T$7:$T$373,"치수 초과")&gt;0,"치수 초과",IF(COUNTIFS('05_상품별배치367'!$B$7:$B$373,A305,'05_상품별배치367'!$T$7:$T$373,"입력 대기")&gt;0,"치수 입력 대기",IF(V305&gt;R305,"폭 합계 초과","도면/실측 범위 내·현장확인"))))</f>
        <v>미진열</v>
      </c>
      <c r="X305" s="6"/>
      <c r="Y305" s="6" t="s">
        <v>555</v>
      </c>
      <c r="Z305" s="15"/>
      <c r="AA305" s="15"/>
      <c r="AB305" s="15"/>
    </row>
    <row r="306" spans="1:28" ht="33" customHeight="1">
      <c r="A306" s="8" t="s">
        <v>1558</v>
      </c>
      <c r="B306" s="8" t="s">
        <v>506</v>
      </c>
      <c r="C306" s="8" t="s">
        <v>472</v>
      </c>
      <c r="D306" s="9">
        <v>5</v>
      </c>
      <c r="E306" s="8" t="s">
        <v>39</v>
      </c>
      <c r="F306" s="8" t="s">
        <v>123</v>
      </c>
      <c r="G306" s="8" t="s">
        <v>590</v>
      </c>
      <c r="H306" s="8"/>
      <c r="I306" s="8"/>
      <c r="J306" s="8" t="s">
        <v>551</v>
      </c>
      <c r="K306" s="14" t="s">
        <v>568</v>
      </c>
      <c r="L306" s="15"/>
      <c r="M306" s="15"/>
      <c r="N306" s="8" t="s">
        <v>1467</v>
      </c>
      <c r="O306" s="8" t="s">
        <v>1464</v>
      </c>
      <c r="P306" s="6">
        <f>COUNTIFS('05_상품별배치367'!$B$7:$B$373,A306,'05_상품별배치367'!$K$7:$K$373,"&gt;0")</f>
        <v>0</v>
      </c>
      <c r="Q306" s="6">
        <f>SUMIFS('05_상품별배치367'!$K$7:$K$373,'05_상품별배치367'!$B$7:$B$373,A306)</f>
        <v>0</v>
      </c>
      <c r="R306" s="6">
        <f>IF(Z306="",'06_집기치수20'!N26,Z306)</f>
        <v>645</v>
      </c>
      <c r="S306" s="6">
        <f>IF(AA306="",'06_집기치수20'!O26,AA306)</f>
        <v>270</v>
      </c>
      <c r="T306" s="6">
        <v>220</v>
      </c>
      <c r="U306" s="6">
        <f>IF(AB306="",'06_집기치수20'!P26,AB306-'06_집기치수20'!I26)</f>
        <v>200</v>
      </c>
      <c r="V306" s="6" t="str">
        <f>IF(Q306=0,"",IF(COUNTIFS('05_상품별배치367'!$B$7:$B$373,A306,'05_상품별배치367'!$T$7:$T$373,"입력 대기")&gt;0,"",SUMIFS('05_상품별배치367'!$S$7:$S$373,'05_상품별배치367'!$B$7:$B$373,A306)))</f>
        <v/>
      </c>
      <c r="W306" s="6" t="str">
        <f>IF(Q306=0,"미진열",IF(COUNTIFS('05_상품별배치367'!$B$7:$B$373,A306,'05_상품별배치367'!$T$7:$T$373,"치수 초과")&gt;0,"치수 초과",IF(COUNTIFS('05_상품별배치367'!$B$7:$B$373,A306,'05_상품별배치367'!$T$7:$T$373,"입력 대기")&gt;0,"치수 입력 대기",IF(V306&gt;R306,"폭 합계 초과","도면/실측 범위 내·현장확인"))))</f>
        <v>미진열</v>
      </c>
      <c r="X306" s="6"/>
      <c r="Y306" s="6" t="s">
        <v>555</v>
      </c>
      <c r="Z306" s="15"/>
      <c r="AA306" s="15"/>
      <c r="AB306" s="15"/>
    </row>
    <row r="307" spans="1:28" ht="33" customHeight="1">
      <c r="A307" s="6" t="s">
        <v>1559</v>
      </c>
      <c r="B307" s="6" t="s">
        <v>508</v>
      </c>
      <c r="C307" s="6" t="s">
        <v>478</v>
      </c>
      <c r="D307" s="7">
        <v>1</v>
      </c>
      <c r="E307" s="6" t="s">
        <v>39</v>
      </c>
      <c r="F307" s="6" t="s">
        <v>120</v>
      </c>
      <c r="G307" s="6" t="s">
        <v>1560</v>
      </c>
      <c r="H307" s="6"/>
      <c r="I307" s="6"/>
      <c r="J307" s="6" t="s">
        <v>551</v>
      </c>
      <c r="K307" s="14" t="s">
        <v>552</v>
      </c>
      <c r="L307" s="15"/>
      <c r="M307" s="15"/>
      <c r="N307" s="6" t="s">
        <v>1463</v>
      </c>
      <c r="O307" s="6" t="s">
        <v>1464</v>
      </c>
      <c r="P307" s="6">
        <f>COUNTIFS('05_상품별배치367'!$B$7:$B$373,A307,'05_상품별배치367'!$K$7:$K$373,"&gt;0")</f>
        <v>0</v>
      </c>
      <c r="Q307" s="6">
        <f>SUMIFS('05_상품별배치367'!$K$7:$K$373,'05_상품별배치367'!$B$7:$B$373,A307)</f>
        <v>0</v>
      </c>
      <c r="R307" s="6">
        <f>IF(Z307="",'06_집기치수20'!N22,Z307)</f>
        <v>645</v>
      </c>
      <c r="S307" s="6">
        <f>IF(AA307="",'06_집기치수20'!O22,AA307)</f>
        <v>270</v>
      </c>
      <c r="T307" s="6">
        <v>100</v>
      </c>
      <c r="U307" s="6">
        <f>IF(AB307="",'06_집기치수20'!P22,AB307-'06_집기치수20'!I22)</f>
        <v>80</v>
      </c>
      <c r="V307" s="6" t="str">
        <f>IF(Q307=0,"",IF(COUNTIFS('05_상품별배치367'!$B$7:$B$373,A307,'05_상품별배치367'!$T$7:$T$373,"입력 대기")&gt;0,"",SUMIFS('05_상품별배치367'!$S$7:$S$373,'05_상품별배치367'!$B$7:$B$373,A307)))</f>
        <v/>
      </c>
      <c r="W307" s="6" t="str">
        <f>IF(Q307=0,"미진열",IF(COUNTIFS('05_상품별배치367'!$B$7:$B$373,A307,'05_상품별배치367'!$T$7:$T$373,"치수 초과")&gt;0,"치수 초과",IF(COUNTIFS('05_상품별배치367'!$B$7:$B$373,A307,'05_상품별배치367'!$T$7:$T$373,"입력 대기")&gt;0,"치수 입력 대기",IF(V307&gt;R307,"폭 합계 초과","도면/실측 범위 내·현장확인"))))</f>
        <v>미진열</v>
      </c>
      <c r="X307" s="6"/>
      <c r="Y307" s="6" t="s">
        <v>555</v>
      </c>
      <c r="Z307" s="15"/>
      <c r="AA307" s="15"/>
      <c r="AB307" s="15"/>
    </row>
    <row r="308" spans="1:28" ht="33" customHeight="1">
      <c r="A308" s="8" t="s">
        <v>1561</v>
      </c>
      <c r="B308" s="8" t="s">
        <v>508</v>
      </c>
      <c r="C308" s="8" t="s">
        <v>478</v>
      </c>
      <c r="D308" s="9">
        <v>2</v>
      </c>
      <c r="E308" s="8" t="s">
        <v>39</v>
      </c>
      <c r="F308" s="8" t="s">
        <v>156</v>
      </c>
      <c r="G308" s="8" t="s">
        <v>156</v>
      </c>
      <c r="H308" s="8" t="s">
        <v>1562</v>
      </c>
      <c r="I308" s="8" t="s">
        <v>1563</v>
      </c>
      <c r="J308" s="8" t="s">
        <v>551</v>
      </c>
      <c r="K308" s="14" t="s">
        <v>594</v>
      </c>
      <c r="L308" s="15"/>
      <c r="M308" s="15"/>
      <c r="N308" s="8" t="s">
        <v>1467</v>
      </c>
      <c r="O308" s="8" t="s">
        <v>1464</v>
      </c>
      <c r="P308" s="6">
        <f>COUNTIFS('05_상품별배치367'!$B$7:$B$373,A308,'05_상품별배치367'!$K$7:$K$373,"&gt;0")</f>
        <v>1</v>
      </c>
      <c r="Q308" s="6">
        <f>SUMIFS('05_상품별배치367'!$K$7:$K$373,'05_상품별배치367'!$B$7:$B$373,A308)</f>
        <v>1</v>
      </c>
      <c r="R308" s="6">
        <f>IF(Z308="",'06_집기치수20'!N23,Z308)</f>
        <v>645</v>
      </c>
      <c r="S308" s="6">
        <f>IF(AA308="",'06_집기치수20'!O23,AA308)</f>
        <v>270</v>
      </c>
      <c r="T308" s="6">
        <v>220</v>
      </c>
      <c r="U308" s="6">
        <f>IF(AB308="",'06_집기치수20'!P23,AB308-'06_집기치수20'!I23)</f>
        <v>200</v>
      </c>
      <c r="V308" s="6" t="str">
        <f>IF(Q308=0,"",IF(COUNTIFS('05_상품별배치367'!$B$7:$B$373,A308,'05_상품별배치367'!$T$7:$T$373,"입력 대기")&gt;0,"",SUMIFS('05_상품별배치367'!$S$7:$S$373,'05_상품별배치367'!$B$7:$B$373,A308)))</f>
        <v/>
      </c>
      <c r="W308" s="6" t="str">
        <f>IF(Q308=0,"미진열",IF(COUNTIFS('05_상품별배치367'!$B$7:$B$373,A308,'05_상품별배치367'!$T$7:$T$373,"치수 초과")&gt;0,"치수 초과",IF(COUNTIFS('05_상품별배치367'!$B$7:$B$373,A308,'05_상품별배치367'!$T$7:$T$373,"입력 대기")&gt;0,"치수 입력 대기",IF(V308&gt;R308,"폭 합계 초과","도면/실측 범위 내·현장확인"))))</f>
        <v>치수 입력 대기</v>
      </c>
      <c r="X308" s="6" t="s">
        <v>1564</v>
      </c>
      <c r="Y308" s="6" t="s">
        <v>555</v>
      </c>
      <c r="Z308" s="15"/>
      <c r="AA308" s="15"/>
      <c r="AB308" s="15"/>
    </row>
    <row r="309" spans="1:28" ht="33" customHeight="1">
      <c r="A309" s="6" t="s">
        <v>1565</v>
      </c>
      <c r="B309" s="6" t="s">
        <v>508</v>
      </c>
      <c r="C309" s="6" t="s">
        <v>478</v>
      </c>
      <c r="D309" s="7">
        <v>3</v>
      </c>
      <c r="E309" s="6" t="s">
        <v>39</v>
      </c>
      <c r="F309" s="6" t="s">
        <v>156</v>
      </c>
      <c r="G309" s="6" t="s">
        <v>156</v>
      </c>
      <c r="H309" s="6" t="s">
        <v>1566</v>
      </c>
      <c r="I309" s="6" t="s">
        <v>1567</v>
      </c>
      <c r="J309" s="6" t="s">
        <v>551</v>
      </c>
      <c r="K309" s="14" t="s">
        <v>594</v>
      </c>
      <c r="L309" s="15"/>
      <c r="M309" s="15"/>
      <c r="N309" s="6" t="s">
        <v>1467</v>
      </c>
      <c r="O309" s="6" t="s">
        <v>1464</v>
      </c>
      <c r="P309" s="6">
        <f>COUNTIFS('05_상품별배치367'!$B$7:$B$373,A309,'05_상품별배치367'!$K$7:$K$373,"&gt;0")</f>
        <v>1</v>
      </c>
      <c r="Q309" s="6">
        <f>SUMIFS('05_상품별배치367'!$K$7:$K$373,'05_상품별배치367'!$B$7:$B$373,A309)</f>
        <v>1</v>
      </c>
      <c r="R309" s="6">
        <f>IF(Z309="",'06_집기치수20'!N24,Z309)</f>
        <v>645</v>
      </c>
      <c r="S309" s="6">
        <f>IF(AA309="",'06_집기치수20'!O24,AA309)</f>
        <v>270</v>
      </c>
      <c r="T309" s="6">
        <v>220</v>
      </c>
      <c r="U309" s="6">
        <f>IF(AB309="",'06_집기치수20'!P24,AB309-'06_집기치수20'!I24)</f>
        <v>200</v>
      </c>
      <c r="V309" s="6" t="str">
        <f>IF(Q309=0,"",IF(COUNTIFS('05_상품별배치367'!$B$7:$B$373,A309,'05_상품별배치367'!$T$7:$T$373,"입력 대기")&gt;0,"",SUMIFS('05_상품별배치367'!$S$7:$S$373,'05_상품별배치367'!$B$7:$B$373,A309)))</f>
        <v/>
      </c>
      <c r="W309" s="6" t="str">
        <f>IF(Q309=0,"미진열",IF(COUNTIFS('05_상품별배치367'!$B$7:$B$373,A309,'05_상품별배치367'!$T$7:$T$373,"치수 초과")&gt;0,"치수 초과",IF(COUNTIFS('05_상품별배치367'!$B$7:$B$373,A309,'05_상품별배치367'!$T$7:$T$373,"입력 대기")&gt;0,"치수 입력 대기",IF(V309&gt;R309,"폭 합계 초과","도면/실측 범위 내·현장확인"))))</f>
        <v>치수 입력 대기</v>
      </c>
      <c r="X309" s="6" t="s">
        <v>1568</v>
      </c>
      <c r="Y309" s="6" t="s">
        <v>555</v>
      </c>
      <c r="Z309" s="15"/>
      <c r="AA309" s="15"/>
      <c r="AB309" s="15"/>
    </row>
    <row r="310" spans="1:28" ht="33" customHeight="1">
      <c r="A310" s="8" t="s">
        <v>1569</v>
      </c>
      <c r="B310" s="8" t="s">
        <v>508</v>
      </c>
      <c r="C310" s="8" t="s">
        <v>478</v>
      </c>
      <c r="D310" s="9">
        <v>4</v>
      </c>
      <c r="E310" s="8" t="s">
        <v>39</v>
      </c>
      <c r="F310" s="8" t="s">
        <v>123</v>
      </c>
      <c r="G310" s="8" t="s">
        <v>156</v>
      </c>
      <c r="H310" s="8"/>
      <c r="I310" s="8"/>
      <c r="J310" s="8" t="s">
        <v>551</v>
      </c>
      <c r="K310" s="14" t="s">
        <v>568</v>
      </c>
      <c r="L310" s="15"/>
      <c r="M310" s="15"/>
      <c r="N310" s="8" t="s">
        <v>1467</v>
      </c>
      <c r="O310" s="8" t="s">
        <v>1464</v>
      </c>
      <c r="P310" s="6">
        <f>COUNTIFS('05_상품별배치367'!$B$7:$B$373,A310,'05_상품별배치367'!$K$7:$K$373,"&gt;0")</f>
        <v>0</v>
      </c>
      <c r="Q310" s="6">
        <f>SUMIFS('05_상품별배치367'!$K$7:$K$373,'05_상품별배치367'!$B$7:$B$373,A310)</f>
        <v>0</v>
      </c>
      <c r="R310" s="6">
        <f>IF(Z310="",'06_집기치수20'!N25,Z310)</f>
        <v>645</v>
      </c>
      <c r="S310" s="6">
        <f>IF(AA310="",'06_집기치수20'!O25,AA310)</f>
        <v>270</v>
      </c>
      <c r="T310" s="6">
        <v>220</v>
      </c>
      <c r="U310" s="6">
        <f>IF(AB310="",'06_집기치수20'!P25,AB310-'06_집기치수20'!I25)</f>
        <v>200</v>
      </c>
      <c r="V310" s="6" t="str">
        <f>IF(Q310=0,"",IF(COUNTIFS('05_상품별배치367'!$B$7:$B$373,A310,'05_상품별배치367'!$T$7:$T$373,"입력 대기")&gt;0,"",SUMIFS('05_상품별배치367'!$S$7:$S$373,'05_상품별배치367'!$B$7:$B$373,A310)))</f>
        <v/>
      </c>
      <c r="W310" s="6" t="str">
        <f>IF(Q310=0,"미진열",IF(COUNTIFS('05_상품별배치367'!$B$7:$B$373,A310,'05_상품별배치367'!$T$7:$T$373,"치수 초과")&gt;0,"치수 초과",IF(COUNTIFS('05_상품별배치367'!$B$7:$B$373,A310,'05_상품별배치367'!$T$7:$T$373,"입력 대기")&gt;0,"치수 입력 대기",IF(V310&gt;R310,"폭 합계 초과","도면/실측 범위 내·현장확인"))))</f>
        <v>미진열</v>
      </c>
      <c r="X310" s="6"/>
      <c r="Y310" s="6" t="s">
        <v>555</v>
      </c>
      <c r="Z310" s="15"/>
      <c r="AA310" s="15"/>
      <c r="AB310" s="15"/>
    </row>
    <row r="311" spans="1:28" ht="33" customHeight="1">
      <c r="A311" s="6" t="s">
        <v>1570</v>
      </c>
      <c r="B311" s="6" t="s">
        <v>508</v>
      </c>
      <c r="C311" s="6" t="s">
        <v>478</v>
      </c>
      <c r="D311" s="7">
        <v>5</v>
      </c>
      <c r="E311" s="6" t="s">
        <v>39</v>
      </c>
      <c r="F311" s="6" t="s">
        <v>123</v>
      </c>
      <c r="G311" s="6" t="s">
        <v>590</v>
      </c>
      <c r="H311" s="6"/>
      <c r="I311" s="6"/>
      <c r="J311" s="6" t="s">
        <v>551</v>
      </c>
      <c r="K311" s="14" t="s">
        <v>568</v>
      </c>
      <c r="L311" s="15"/>
      <c r="M311" s="15"/>
      <c r="N311" s="6" t="s">
        <v>1467</v>
      </c>
      <c r="O311" s="6" t="s">
        <v>1464</v>
      </c>
      <c r="P311" s="6">
        <f>COUNTIFS('05_상품별배치367'!$B$7:$B$373,A311,'05_상품별배치367'!$K$7:$K$373,"&gt;0")</f>
        <v>0</v>
      </c>
      <c r="Q311" s="6">
        <f>SUMIFS('05_상품별배치367'!$K$7:$K$373,'05_상품별배치367'!$B$7:$B$373,A311)</f>
        <v>0</v>
      </c>
      <c r="R311" s="6">
        <f>IF(Z311="",'06_집기치수20'!N26,Z311)</f>
        <v>645</v>
      </c>
      <c r="S311" s="6">
        <f>IF(AA311="",'06_집기치수20'!O26,AA311)</f>
        <v>270</v>
      </c>
      <c r="T311" s="6">
        <v>220</v>
      </c>
      <c r="U311" s="6">
        <f>IF(AB311="",'06_집기치수20'!P26,AB311-'06_집기치수20'!I26)</f>
        <v>200</v>
      </c>
      <c r="V311" s="6" t="str">
        <f>IF(Q311=0,"",IF(COUNTIFS('05_상품별배치367'!$B$7:$B$373,A311,'05_상품별배치367'!$T$7:$T$373,"입력 대기")&gt;0,"",SUMIFS('05_상품별배치367'!$S$7:$S$373,'05_상품별배치367'!$B$7:$B$373,A311)))</f>
        <v/>
      </c>
      <c r="W311" s="6" t="str">
        <f>IF(Q311=0,"미진열",IF(COUNTIFS('05_상품별배치367'!$B$7:$B$373,A311,'05_상품별배치367'!$T$7:$T$373,"치수 초과")&gt;0,"치수 초과",IF(COUNTIFS('05_상품별배치367'!$B$7:$B$373,A311,'05_상품별배치367'!$T$7:$T$373,"입력 대기")&gt;0,"치수 입력 대기",IF(V311&gt;R311,"폭 합계 초과","도면/실측 범위 내·현장확인"))))</f>
        <v>미진열</v>
      </c>
      <c r="X311" s="6"/>
      <c r="Y311" s="6" t="s">
        <v>555</v>
      </c>
      <c r="Z311" s="15"/>
      <c r="AA311" s="15"/>
      <c r="AB311" s="15"/>
    </row>
    <row r="312" spans="1:28" ht="33" customHeight="1">
      <c r="A312" s="8" t="s">
        <v>1571</v>
      </c>
      <c r="B312" s="8" t="s">
        <v>511</v>
      </c>
      <c r="C312" s="8" t="s">
        <v>472</v>
      </c>
      <c r="D312" s="9">
        <v>1</v>
      </c>
      <c r="E312" s="8" t="s">
        <v>108</v>
      </c>
      <c r="F312" s="8" t="s">
        <v>120</v>
      </c>
      <c r="G312" s="8" t="s">
        <v>1572</v>
      </c>
      <c r="H312" s="8"/>
      <c r="I312" s="8"/>
      <c r="J312" s="8" t="s">
        <v>551</v>
      </c>
      <c r="K312" s="14" t="s">
        <v>552</v>
      </c>
      <c r="L312" s="15"/>
      <c r="M312" s="15"/>
      <c r="N312" s="8" t="s">
        <v>1463</v>
      </c>
      <c r="O312" s="8" t="s">
        <v>1464</v>
      </c>
      <c r="P312" s="6">
        <f>COUNTIFS('05_상품별배치367'!$B$7:$B$373,A312,'05_상품별배치367'!$K$7:$K$373,"&gt;0")</f>
        <v>0</v>
      </c>
      <c r="Q312" s="6">
        <f>SUMIFS('05_상품별배치367'!$K$7:$K$373,'05_상품별배치367'!$B$7:$B$373,A312)</f>
        <v>0</v>
      </c>
      <c r="R312" s="6">
        <f>IF(Z312="",'06_집기치수20'!N22,Z312)</f>
        <v>645</v>
      </c>
      <c r="S312" s="6">
        <f>IF(AA312="",'06_집기치수20'!O22,AA312)</f>
        <v>270</v>
      </c>
      <c r="T312" s="6">
        <v>100</v>
      </c>
      <c r="U312" s="6">
        <f>IF(AB312="",'06_집기치수20'!P22,AB312-'06_집기치수20'!I22)</f>
        <v>80</v>
      </c>
      <c r="V312" s="6" t="str">
        <f>IF(Q312=0,"",IF(COUNTIFS('05_상품별배치367'!$B$7:$B$373,A312,'05_상품별배치367'!$T$7:$T$373,"입력 대기")&gt;0,"",SUMIFS('05_상품별배치367'!$S$7:$S$373,'05_상품별배치367'!$B$7:$B$373,A312)))</f>
        <v/>
      </c>
      <c r="W312" s="6" t="str">
        <f>IF(Q312=0,"미진열",IF(COUNTIFS('05_상품별배치367'!$B$7:$B$373,A312,'05_상품별배치367'!$T$7:$T$373,"치수 초과")&gt;0,"치수 초과",IF(COUNTIFS('05_상품별배치367'!$B$7:$B$373,A312,'05_상품별배치367'!$T$7:$T$373,"입력 대기")&gt;0,"치수 입력 대기",IF(V312&gt;R312,"폭 합계 초과","도면/실측 범위 내·현장확인"))))</f>
        <v>미진열</v>
      </c>
      <c r="X312" s="6"/>
      <c r="Y312" s="6" t="s">
        <v>555</v>
      </c>
      <c r="Z312" s="15"/>
      <c r="AA312" s="15"/>
      <c r="AB312" s="15"/>
    </row>
    <row r="313" spans="1:28" ht="33" customHeight="1">
      <c r="A313" s="6" t="s">
        <v>1573</v>
      </c>
      <c r="B313" s="6" t="s">
        <v>511</v>
      </c>
      <c r="C313" s="6" t="s">
        <v>472</v>
      </c>
      <c r="D313" s="7">
        <v>2</v>
      </c>
      <c r="E313" s="6" t="s">
        <v>108</v>
      </c>
      <c r="F313" s="6" t="s">
        <v>514</v>
      </c>
      <c r="G313" s="6" t="s">
        <v>514</v>
      </c>
      <c r="H313" s="6" t="s">
        <v>1574</v>
      </c>
      <c r="I313" s="6" t="s">
        <v>1575</v>
      </c>
      <c r="J313" s="6" t="s">
        <v>551</v>
      </c>
      <c r="K313" s="14" t="s">
        <v>594</v>
      </c>
      <c r="L313" s="15"/>
      <c r="M313" s="15"/>
      <c r="N313" s="6" t="s">
        <v>1467</v>
      </c>
      <c r="O313" s="6" t="s">
        <v>1464</v>
      </c>
      <c r="P313" s="6">
        <f>COUNTIFS('05_상품별배치367'!$B$7:$B$373,A313,'05_상품별배치367'!$K$7:$K$373,"&gt;0")</f>
        <v>1</v>
      </c>
      <c r="Q313" s="6">
        <f>SUMIFS('05_상품별배치367'!$K$7:$K$373,'05_상품별배치367'!$B$7:$B$373,A313)</f>
        <v>1</v>
      </c>
      <c r="R313" s="6">
        <f>IF(Z313="",'06_집기치수20'!N23,Z313)</f>
        <v>645</v>
      </c>
      <c r="S313" s="6">
        <f>IF(AA313="",'06_집기치수20'!O23,AA313)</f>
        <v>270</v>
      </c>
      <c r="T313" s="6">
        <v>220</v>
      </c>
      <c r="U313" s="6">
        <f>IF(AB313="",'06_집기치수20'!P23,AB313-'06_집기치수20'!I23)</f>
        <v>200</v>
      </c>
      <c r="V313" s="6" t="str">
        <f>IF(Q313=0,"",IF(COUNTIFS('05_상품별배치367'!$B$7:$B$373,A313,'05_상품별배치367'!$T$7:$T$373,"입력 대기")&gt;0,"",SUMIFS('05_상품별배치367'!$S$7:$S$373,'05_상품별배치367'!$B$7:$B$373,A313)))</f>
        <v/>
      </c>
      <c r="W313" s="6" t="str">
        <f>IF(Q313=0,"미진열",IF(COUNTIFS('05_상품별배치367'!$B$7:$B$373,A313,'05_상품별배치367'!$T$7:$T$373,"치수 초과")&gt;0,"치수 초과",IF(COUNTIFS('05_상품별배치367'!$B$7:$B$373,A313,'05_상품별배치367'!$T$7:$T$373,"입력 대기")&gt;0,"치수 입력 대기",IF(V313&gt;R313,"폭 합계 초과","도면/실측 범위 내·현장확인"))))</f>
        <v>치수 입력 대기</v>
      </c>
      <c r="X313" s="6" t="s">
        <v>1576</v>
      </c>
      <c r="Y313" s="6" t="s">
        <v>555</v>
      </c>
      <c r="Z313" s="15"/>
      <c r="AA313" s="15"/>
      <c r="AB313" s="15"/>
    </row>
    <row r="314" spans="1:28" ht="33" customHeight="1">
      <c r="A314" s="8" t="s">
        <v>1577</v>
      </c>
      <c r="B314" s="8" t="s">
        <v>511</v>
      </c>
      <c r="C314" s="8" t="s">
        <v>472</v>
      </c>
      <c r="D314" s="9">
        <v>3</v>
      </c>
      <c r="E314" s="8" t="s">
        <v>108</v>
      </c>
      <c r="F314" s="8" t="s">
        <v>515</v>
      </c>
      <c r="G314" s="8" t="s">
        <v>515</v>
      </c>
      <c r="H314" s="8" t="s">
        <v>1368</v>
      </c>
      <c r="I314" s="8" t="s">
        <v>1369</v>
      </c>
      <c r="J314" s="8" t="s">
        <v>551</v>
      </c>
      <c r="K314" s="14" t="s">
        <v>594</v>
      </c>
      <c r="L314" s="15"/>
      <c r="M314" s="15"/>
      <c r="N314" s="8" t="s">
        <v>1467</v>
      </c>
      <c r="O314" s="8" t="s">
        <v>1464</v>
      </c>
      <c r="P314" s="6">
        <f>COUNTIFS('05_상품별배치367'!$B$7:$B$373,A314,'05_상품별배치367'!$K$7:$K$373,"&gt;0")</f>
        <v>1</v>
      </c>
      <c r="Q314" s="6">
        <f>SUMIFS('05_상품별배치367'!$K$7:$K$373,'05_상품별배치367'!$B$7:$B$373,A314)</f>
        <v>1</v>
      </c>
      <c r="R314" s="6">
        <f>IF(Z314="",'06_집기치수20'!N24,Z314)</f>
        <v>645</v>
      </c>
      <c r="S314" s="6">
        <f>IF(AA314="",'06_집기치수20'!O24,AA314)</f>
        <v>270</v>
      </c>
      <c r="T314" s="6">
        <v>220</v>
      </c>
      <c r="U314" s="6">
        <f>IF(AB314="",'06_집기치수20'!P24,AB314-'06_집기치수20'!I24)</f>
        <v>200</v>
      </c>
      <c r="V314" s="6" t="str">
        <f>IF(Q314=0,"",IF(COUNTIFS('05_상품별배치367'!$B$7:$B$373,A314,'05_상품별배치367'!$T$7:$T$373,"입력 대기")&gt;0,"",SUMIFS('05_상품별배치367'!$S$7:$S$373,'05_상품별배치367'!$B$7:$B$373,A314)))</f>
        <v/>
      </c>
      <c r="W314" s="6" t="str">
        <f>IF(Q314=0,"미진열",IF(COUNTIFS('05_상품별배치367'!$B$7:$B$373,A314,'05_상품별배치367'!$T$7:$T$373,"치수 초과")&gt;0,"치수 초과",IF(COUNTIFS('05_상품별배치367'!$B$7:$B$373,A314,'05_상품별배치367'!$T$7:$T$373,"입력 대기")&gt;0,"치수 입력 대기",IF(V314&gt;R314,"폭 합계 초과","도면/실측 범위 내·현장확인"))))</f>
        <v>치수 입력 대기</v>
      </c>
      <c r="X314" s="6" t="s">
        <v>1370</v>
      </c>
      <c r="Y314" s="6" t="s">
        <v>555</v>
      </c>
      <c r="Z314" s="15"/>
      <c r="AA314" s="15"/>
      <c r="AB314" s="15"/>
    </row>
    <row r="315" spans="1:28" ht="33" customHeight="1">
      <c r="A315" s="6" t="s">
        <v>1578</v>
      </c>
      <c r="B315" s="6" t="s">
        <v>511</v>
      </c>
      <c r="C315" s="6" t="s">
        <v>472</v>
      </c>
      <c r="D315" s="7">
        <v>4</v>
      </c>
      <c r="E315" s="6" t="s">
        <v>108</v>
      </c>
      <c r="F315" s="6" t="s">
        <v>123</v>
      </c>
      <c r="G315" s="6" t="s">
        <v>514</v>
      </c>
      <c r="H315" s="6"/>
      <c r="I315" s="6"/>
      <c r="J315" s="6" t="s">
        <v>551</v>
      </c>
      <c r="K315" s="14" t="s">
        <v>568</v>
      </c>
      <c r="L315" s="15"/>
      <c r="M315" s="15"/>
      <c r="N315" s="6" t="s">
        <v>1467</v>
      </c>
      <c r="O315" s="6" t="s">
        <v>1464</v>
      </c>
      <c r="P315" s="6">
        <f>COUNTIFS('05_상품별배치367'!$B$7:$B$373,A315,'05_상품별배치367'!$K$7:$K$373,"&gt;0")</f>
        <v>0</v>
      </c>
      <c r="Q315" s="6">
        <f>SUMIFS('05_상품별배치367'!$K$7:$K$373,'05_상품별배치367'!$B$7:$B$373,A315)</f>
        <v>0</v>
      </c>
      <c r="R315" s="6">
        <f>IF(Z315="",'06_집기치수20'!N25,Z315)</f>
        <v>645</v>
      </c>
      <c r="S315" s="6">
        <f>IF(AA315="",'06_집기치수20'!O25,AA315)</f>
        <v>270</v>
      </c>
      <c r="T315" s="6">
        <v>220</v>
      </c>
      <c r="U315" s="6">
        <f>IF(AB315="",'06_집기치수20'!P25,AB315-'06_집기치수20'!I25)</f>
        <v>200</v>
      </c>
      <c r="V315" s="6" t="str">
        <f>IF(Q315=0,"",IF(COUNTIFS('05_상품별배치367'!$B$7:$B$373,A315,'05_상품별배치367'!$T$7:$T$373,"입력 대기")&gt;0,"",SUMIFS('05_상품별배치367'!$S$7:$S$373,'05_상품별배치367'!$B$7:$B$373,A315)))</f>
        <v/>
      </c>
      <c r="W315" s="6" t="str">
        <f>IF(Q315=0,"미진열",IF(COUNTIFS('05_상품별배치367'!$B$7:$B$373,A315,'05_상품별배치367'!$T$7:$T$373,"치수 초과")&gt;0,"치수 초과",IF(COUNTIFS('05_상품별배치367'!$B$7:$B$373,A315,'05_상품별배치367'!$T$7:$T$373,"입력 대기")&gt;0,"치수 입력 대기",IF(V315&gt;R315,"폭 합계 초과","도면/실측 범위 내·현장확인"))))</f>
        <v>미진열</v>
      </c>
      <c r="X315" s="6"/>
      <c r="Y315" s="6" t="s">
        <v>555</v>
      </c>
      <c r="Z315" s="15"/>
      <c r="AA315" s="15"/>
      <c r="AB315" s="15"/>
    </row>
    <row r="316" spans="1:28" ht="33" customHeight="1">
      <c r="A316" s="8" t="s">
        <v>1579</v>
      </c>
      <c r="B316" s="8" t="s">
        <v>511</v>
      </c>
      <c r="C316" s="8" t="s">
        <v>472</v>
      </c>
      <c r="D316" s="9">
        <v>5</v>
      </c>
      <c r="E316" s="8" t="s">
        <v>108</v>
      </c>
      <c r="F316" s="8" t="s">
        <v>123</v>
      </c>
      <c r="G316" s="8" t="s">
        <v>590</v>
      </c>
      <c r="H316" s="8"/>
      <c r="I316" s="8"/>
      <c r="J316" s="8" t="s">
        <v>551</v>
      </c>
      <c r="K316" s="14" t="s">
        <v>568</v>
      </c>
      <c r="L316" s="15"/>
      <c r="M316" s="15"/>
      <c r="N316" s="8" t="s">
        <v>1467</v>
      </c>
      <c r="O316" s="8" t="s">
        <v>1464</v>
      </c>
      <c r="P316" s="6">
        <f>COUNTIFS('05_상품별배치367'!$B$7:$B$373,A316,'05_상품별배치367'!$K$7:$K$373,"&gt;0")</f>
        <v>0</v>
      </c>
      <c r="Q316" s="6">
        <f>SUMIFS('05_상품별배치367'!$K$7:$K$373,'05_상품별배치367'!$B$7:$B$373,A316)</f>
        <v>0</v>
      </c>
      <c r="R316" s="6">
        <f>IF(Z316="",'06_집기치수20'!N26,Z316)</f>
        <v>645</v>
      </c>
      <c r="S316" s="6">
        <f>IF(AA316="",'06_집기치수20'!O26,AA316)</f>
        <v>270</v>
      </c>
      <c r="T316" s="6">
        <v>220</v>
      </c>
      <c r="U316" s="6">
        <f>IF(AB316="",'06_집기치수20'!P26,AB316-'06_집기치수20'!I26)</f>
        <v>200</v>
      </c>
      <c r="V316" s="6" t="str">
        <f>IF(Q316=0,"",IF(COUNTIFS('05_상품별배치367'!$B$7:$B$373,A316,'05_상품별배치367'!$T$7:$T$373,"입력 대기")&gt;0,"",SUMIFS('05_상품별배치367'!$S$7:$S$373,'05_상품별배치367'!$B$7:$B$373,A316)))</f>
        <v/>
      </c>
      <c r="W316" s="6" t="str">
        <f>IF(Q316=0,"미진열",IF(COUNTIFS('05_상품별배치367'!$B$7:$B$373,A316,'05_상품별배치367'!$T$7:$T$373,"치수 초과")&gt;0,"치수 초과",IF(COUNTIFS('05_상품별배치367'!$B$7:$B$373,A316,'05_상품별배치367'!$T$7:$T$373,"입력 대기")&gt;0,"치수 입력 대기",IF(V316&gt;R316,"폭 합계 초과","도면/실측 범위 내·현장확인"))))</f>
        <v>미진열</v>
      </c>
      <c r="X316" s="6"/>
      <c r="Y316" s="6" t="s">
        <v>555</v>
      </c>
      <c r="Z316" s="15"/>
      <c r="AA316" s="15"/>
      <c r="AB316" s="15"/>
    </row>
    <row r="317" spans="1:28" ht="33" customHeight="1">
      <c r="A317" s="6" t="s">
        <v>1580</v>
      </c>
      <c r="B317" s="6" t="s">
        <v>516</v>
      </c>
      <c r="C317" s="6" t="s">
        <v>478</v>
      </c>
      <c r="D317" s="7">
        <v>1</v>
      </c>
      <c r="E317" s="6" t="s">
        <v>81</v>
      </c>
      <c r="F317" s="6" t="s">
        <v>120</v>
      </c>
      <c r="G317" s="6" t="s">
        <v>1581</v>
      </c>
      <c r="H317" s="6"/>
      <c r="I317" s="6"/>
      <c r="J317" s="6" t="s">
        <v>551</v>
      </c>
      <c r="K317" s="14" t="s">
        <v>552</v>
      </c>
      <c r="L317" s="15"/>
      <c r="M317" s="15"/>
      <c r="N317" s="6" t="s">
        <v>1463</v>
      </c>
      <c r="O317" s="6" t="s">
        <v>1464</v>
      </c>
      <c r="P317" s="6">
        <f>COUNTIFS('05_상품별배치367'!$B$7:$B$373,A317,'05_상품별배치367'!$K$7:$K$373,"&gt;0")</f>
        <v>0</v>
      </c>
      <c r="Q317" s="6">
        <f>SUMIFS('05_상품별배치367'!$K$7:$K$373,'05_상품별배치367'!$B$7:$B$373,A317)</f>
        <v>0</v>
      </c>
      <c r="R317" s="6">
        <f>IF(Z317="",'06_집기치수20'!N22,Z317)</f>
        <v>645</v>
      </c>
      <c r="S317" s="6">
        <f>IF(AA317="",'06_집기치수20'!O22,AA317)</f>
        <v>270</v>
      </c>
      <c r="T317" s="6">
        <v>100</v>
      </c>
      <c r="U317" s="6">
        <f>IF(AB317="",'06_집기치수20'!P22,AB317-'06_집기치수20'!I22)</f>
        <v>80</v>
      </c>
      <c r="V317" s="6" t="str">
        <f>IF(Q317=0,"",IF(COUNTIFS('05_상품별배치367'!$B$7:$B$373,A317,'05_상품별배치367'!$T$7:$T$373,"입력 대기")&gt;0,"",SUMIFS('05_상품별배치367'!$S$7:$S$373,'05_상품별배치367'!$B$7:$B$373,A317)))</f>
        <v/>
      </c>
      <c r="W317" s="6" t="str">
        <f>IF(Q317=0,"미진열",IF(COUNTIFS('05_상품별배치367'!$B$7:$B$373,A317,'05_상품별배치367'!$T$7:$T$373,"치수 초과")&gt;0,"치수 초과",IF(COUNTIFS('05_상품별배치367'!$B$7:$B$373,A317,'05_상품별배치367'!$T$7:$T$373,"입력 대기")&gt;0,"치수 입력 대기",IF(V317&gt;R317,"폭 합계 초과","도면/실측 범위 내·현장확인"))))</f>
        <v>미진열</v>
      </c>
      <c r="X317" s="6"/>
      <c r="Y317" s="6" t="s">
        <v>555</v>
      </c>
      <c r="Z317" s="15"/>
      <c r="AA317" s="15"/>
      <c r="AB317" s="15"/>
    </row>
    <row r="318" spans="1:28" ht="33" customHeight="1">
      <c r="A318" s="8" t="s">
        <v>1582</v>
      </c>
      <c r="B318" s="8" t="s">
        <v>516</v>
      </c>
      <c r="C318" s="8" t="s">
        <v>478</v>
      </c>
      <c r="D318" s="9">
        <v>2</v>
      </c>
      <c r="E318" s="8" t="s">
        <v>81</v>
      </c>
      <c r="F318" s="8" t="s">
        <v>519</v>
      </c>
      <c r="G318" s="8" t="s">
        <v>519</v>
      </c>
      <c r="H318" s="8" t="s">
        <v>1583</v>
      </c>
      <c r="I318" s="8" t="s">
        <v>1584</v>
      </c>
      <c r="J318" s="8" t="s">
        <v>551</v>
      </c>
      <c r="K318" s="14" t="s">
        <v>594</v>
      </c>
      <c r="L318" s="15"/>
      <c r="M318" s="15"/>
      <c r="N318" s="8" t="s">
        <v>1467</v>
      </c>
      <c r="O318" s="8" t="s">
        <v>1464</v>
      </c>
      <c r="P318" s="6">
        <f>COUNTIFS('05_상품별배치367'!$B$7:$B$373,A318,'05_상품별배치367'!$K$7:$K$373,"&gt;0")</f>
        <v>1</v>
      </c>
      <c r="Q318" s="6">
        <f>SUMIFS('05_상품별배치367'!$K$7:$K$373,'05_상품별배치367'!$B$7:$B$373,A318)</f>
        <v>1</v>
      </c>
      <c r="R318" s="6">
        <f>IF(Z318="",'06_집기치수20'!N23,Z318)</f>
        <v>645</v>
      </c>
      <c r="S318" s="6">
        <f>IF(AA318="",'06_집기치수20'!O23,AA318)</f>
        <v>270</v>
      </c>
      <c r="T318" s="6">
        <v>220</v>
      </c>
      <c r="U318" s="6">
        <f>IF(AB318="",'06_집기치수20'!P23,AB318-'06_집기치수20'!I23)</f>
        <v>200</v>
      </c>
      <c r="V318" s="6" t="str">
        <f>IF(Q318=0,"",IF(COUNTIFS('05_상품별배치367'!$B$7:$B$373,A318,'05_상품별배치367'!$T$7:$T$373,"입력 대기")&gt;0,"",SUMIFS('05_상품별배치367'!$S$7:$S$373,'05_상품별배치367'!$B$7:$B$373,A318)))</f>
        <v/>
      </c>
      <c r="W318" s="6" t="str">
        <f>IF(Q318=0,"미진열",IF(COUNTIFS('05_상품별배치367'!$B$7:$B$373,A318,'05_상품별배치367'!$T$7:$T$373,"치수 초과")&gt;0,"치수 초과",IF(COUNTIFS('05_상품별배치367'!$B$7:$B$373,A318,'05_상품별배치367'!$T$7:$T$373,"입력 대기")&gt;0,"치수 입력 대기",IF(V318&gt;R318,"폭 합계 초과","도면/실측 범위 내·현장확인"))))</f>
        <v>치수 입력 대기</v>
      </c>
      <c r="X318" s="6" t="s">
        <v>1585</v>
      </c>
      <c r="Y318" s="6" t="s">
        <v>555</v>
      </c>
      <c r="Z318" s="15"/>
      <c r="AA318" s="15"/>
      <c r="AB318" s="15"/>
    </row>
    <row r="319" spans="1:28" ht="33" customHeight="1">
      <c r="A319" s="6" t="s">
        <v>1586</v>
      </c>
      <c r="B319" s="6" t="s">
        <v>516</v>
      </c>
      <c r="C319" s="6" t="s">
        <v>478</v>
      </c>
      <c r="D319" s="7">
        <v>3</v>
      </c>
      <c r="E319" s="6" t="s">
        <v>81</v>
      </c>
      <c r="F319" s="6" t="s">
        <v>520</v>
      </c>
      <c r="G319" s="6" t="s">
        <v>520</v>
      </c>
      <c r="H319" s="6" t="s">
        <v>1587</v>
      </c>
      <c r="I319" s="6" t="s">
        <v>1588</v>
      </c>
      <c r="J319" s="6" t="s">
        <v>551</v>
      </c>
      <c r="K319" s="14" t="s">
        <v>594</v>
      </c>
      <c r="L319" s="15"/>
      <c r="M319" s="15"/>
      <c r="N319" s="6" t="s">
        <v>1467</v>
      </c>
      <c r="O319" s="6" t="s">
        <v>1464</v>
      </c>
      <c r="P319" s="6">
        <f>COUNTIFS('05_상품별배치367'!$B$7:$B$373,A319,'05_상품별배치367'!$K$7:$K$373,"&gt;0")</f>
        <v>1</v>
      </c>
      <c r="Q319" s="6">
        <f>SUMIFS('05_상품별배치367'!$K$7:$K$373,'05_상품별배치367'!$B$7:$B$373,A319)</f>
        <v>1</v>
      </c>
      <c r="R319" s="6">
        <f>IF(Z319="",'06_집기치수20'!N24,Z319)</f>
        <v>645</v>
      </c>
      <c r="S319" s="6">
        <f>IF(AA319="",'06_집기치수20'!O24,AA319)</f>
        <v>270</v>
      </c>
      <c r="T319" s="6">
        <v>220</v>
      </c>
      <c r="U319" s="6">
        <f>IF(AB319="",'06_집기치수20'!P24,AB319-'06_집기치수20'!I24)</f>
        <v>200</v>
      </c>
      <c r="V319" s="6" t="str">
        <f>IF(Q319=0,"",IF(COUNTIFS('05_상품별배치367'!$B$7:$B$373,A319,'05_상품별배치367'!$T$7:$T$373,"입력 대기")&gt;0,"",SUMIFS('05_상품별배치367'!$S$7:$S$373,'05_상품별배치367'!$B$7:$B$373,A319)))</f>
        <v/>
      </c>
      <c r="W319" s="6" t="str">
        <f>IF(Q319=0,"미진열",IF(COUNTIFS('05_상품별배치367'!$B$7:$B$373,A319,'05_상품별배치367'!$T$7:$T$373,"치수 초과")&gt;0,"치수 초과",IF(COUNTIFS('05_상품별배치367'!$B$7:$B$373,A319,'05_상품별배치367'!$T$7:$T$373,"입력 대기")&gt;0,"치수 입력 대기",IF(V319&gt;R319,"폭 합계 초과","도면/실측 범위 내·현장확인"))))</f>
        <v>치수 입력 대기</v>
      </c>
      <c r="X319" s="6" t="s">
        <v>1589</v>
      </c>
      <c r="Y319" s="6" t="s">
        <v>555</v>
      </c>
      <c r="Z319" s="15"/>
      <c r="AA319" s="15"/>
      <c r="AB319" s="15"/>
    </row>
    <row r="320" spans="1:28" ht="33" customHeight="1">
      <c r="A320" s="8" t="s">
        <v>1590</v>
      </c>
      <c r="B320" s="8" t="s">
        <v>516</v>
      </c>
      <c r="C320" s="8" t="s">
        <v>478</v>
      </c>
      <c r="D320" s="9">
        <v>4</v>
      </c>
      <c r="E320" s="8" t="s">
        <v>81</v>
      </c>
      <c r="F320" s="8" t="s">
        <v>123</v>
      </c>
      <c r="G320" s="8" t="s">
        <v>519</v>
      </c>
      <c r="H320" s="8"/>
      <c r="I320" s="8"/>
      <c r="J320" s="8" t="s">
        <v>551</v>
      </c>
      <c r="K320" s="14" t="s">
        <v>568</v>
      </c>
      <c r="L320" s="15"/>
      <c r="M320" s="15"/>
      <c r="N320" s="8" t="s">
        <v>1467</v>
      </c>
      <c r="O320" s="8" t="s">
        <v>1464</v>
      </c>
      <c r="P320" s="6">
        <f>COUNTIFS('05_상품별배치367'!$B$7:$B$373,A320,'05_상품별배치367'!$K$7:$K$373,"&gt;0")</f>
        <v>0</v>
      </c>
      <c r="Q320" s="6">
        <f>SUMIFS('05_상품별배치367'!$K$7:$K$373,'05_상품별배치367'!$B$7:$B$373,A320)</f>
        <v>0</v>
      </c>
      <c r="R320" s="6">
        <f>IF(Z320="",'06_집기치수20'!N25,Z320)</f>
        <v>645</v>
      </c>
      <c r="S320" s="6">
        <f>IF(AA320="",'06_집기치수20'!O25,AA320)</f>
        <v>270</v>
      </c>
      <c r="T320" s="6">
        <v>220</v>
      </c>
      <c r="U320" s="6">
        <f>IF(AB320="",'06_집기치수20'!P25,AB320-'06_집기치수20'!I25)</f>
        <v>200</v>
      </c>
      <c r="V320" s="6" t="str">
        <f>IF(Q320=0,"",IF(COUNTIFS('05_상품별배치367'!$B$7:$B$373,A320,'05_상품별배치367'!$T$7:$T$373,"입력 대기")&gt;0,"",SUMIFS('05_상품별배치367'!$S$7:$S$373,'05_상품별배치367'!$B$7:$B$373,A320)))</f>
        <v/>
      </c>
      <c r="W320" s="6" t="str">
        <f>IF(Q320=0,"미진열",IF(COUNTIFS('05_상품별배치367'!$B$7:$B$373,A320,'05_상품별배치367'!$T$7:$T$373,"치수 초과")&gt;0,"치수 초과",IF(COUNTIFS('05_상품별배치367'!$B$7:$B$373,A320,'05_상품별배치367'!$T$7:$T$373,"입력 대기")&gt;0,"치수 입력 대기",IF(V320&gt;R320,"폭 합계 초과","도면/실측 범위 내·현장확인"))))</f>
        <v>미진열</v>
      </c>
      <c r="X320" s="6"/>
      <c r="Y320" s="6" t="s">
        <v>555</v>
      </c>
      <c r="Z320" s="15"/>
      <c r="AA320" s="15"/>
      <c r="AB320" s="15"/>
    </row>
    <row r="321" spans="1:28" ht="33" customHeight="1">
      <c r="A321" s="6" t="s">
        <v>1591</v>
      </c>
      <c r="B321" s="6" t="s">
        <v>516</v>
      </c>
      <c r="C321" s="6" t="s">
        <v>478</v>
      </c>
      <c r="D321" s="7">
        <v>5</v>
      </c>
      <c r="E321" s="6" t="s">
        <v>81</v>
      </c>
      <c r="F321" s="6" t="s">
        <v>123</v>
      </c>
      <c r="G321" s="6" t="s">
        <v>590</v>
      </c>
      <c r="H321" s="6"/>
      <c r="I321" s="6"/>
      <c r="J321" s="6" t="s">
        <v>551</v>
      </c>
      <c r="K321" s="14" t="s">
        <v>568</v>
      </c>
      <c r="L321" s="15"/>
      <c r="M321" s="15"/>
      <c r="N321" s="6" t="s">
        <v>1467</v>
      </c>
      <c r="O321" s="6" t="s">
        <v>1464</v>
      </c>
      <c r="P321" s="6">
        <f>COUNTIFS('05_상품별배치367'!$B$7:$B$373,A321,'05_상품별배치367'!$K$7:$K$373,"&gt;0")</f>
        <v>0</v>
      </c>
      <c r="Q321" s="6">
        <f>SUMIFS('05_상품별배치367'!$K$7:$K$373,'05_상품별배치367'!$B$7:$B$373,A321)</f>
        <v>0</v>
      </c>
      <c r="R321" s="6">
        <f>IF(Z321="",'06_집기치수20'!N26,Z321)</f>
        <v>645</v>
      </c>
      <c r="S321" s="6">
        <f>IF(AA321="",'06_집기치수20'!O26,AA321)</f>
        <v>270</v>
      </c>
      <c r="T321" s="6">
        <v>220</v>
      </c>
      <c r="U321" s="6">
        <f>IF(AB321="",'06_집기치수20'!P26,AB321-'06_집기치수20'!I26)</f>
        <v>200</v>
      </c>
      <c r="V321" s="6" t="str">
        <f>IF(Q321=0,"",IF(COUNTIFS('05_상품별배치367'!$B$7:$B$373,A321,'05_상품별배치367'!$T$7:$T$373,"입력 대기")&gt;0,"",SUMIFS('05_상품별배치367'!$S$7:$S$373,'05_상품별배치367'!$B$7:$B$373,A321)))</f>
        <v/>
      </c>
      <c r="W321" s="6" t="str">
        <f>IF(Q321=0,"미진열",IF(COUNTIFS('05_상품별배치367'!$B$7:$B$373,A321,'05_상품별배치367'!$T$7:$T$373,"치수 초과")&gt;0,"치수 초과",IF(COUNTIFS('05_상품별배치367'!$B$7:$B$373,A321,'05_상품별배치367'!$T$7:$T$373,"입력 대기")&gt;0,"치수 입력 대기",IF(V321&gt;R321,"폭 합계 초과","도면/실측 범위 내·현장확인"))))</f>
        <v>미진열</v>
      </c>
      <c r="X321" s="6"/>
      <c r="Y321" s="6" t="s">
        <v>555</v>
      </c>
      <c r="Z321" s="15"/>
      <c r="AA321" s="15"/>
      <c r="AB321" s="15"/>
    </row>
    <row r="322" spans="1:28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</sheetData>
  <mergeCells count="2">
    <mergeCell ref="A2:E2"/>
    <mergeCell ref="A3:F3"/>
  </mergeCells>
  <phoneticPr fontId="10" type="noConversion"/>
  <conditionalFormatting sqref="K7:K321">
    <cfRule type="containsText" dxfId="8" priority="1" operator="containsText" text="조건부"/>
  </conditionalFormatting>
  <conditionalFormatting sqref="W7:W321">
    <cfRule type="containsText" dxfId="7" priority="2" operator="containsText" text="초과"/>
    <cfRule type="containsText" dxfId="6" priority="3" operator="containsText" text="대기"/>
  </conditionalFormatting>
  <dataValidations count="2">
    <dataValidation type="list" sqref="K7:K321" xr:uid="{00000000-0002-0000-0100-000000000000}">
      <formula1>"오픈 진열,테마 진열,시험 진열,안내,확장 여유"</formula1>
    </dataValidation>
    <dataValidation type="decimal" operator="greaterThan" sqref="Z7:AB321" xr:uid="{00000000-0002-0000-0100-00000100000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83147"/>
  </sheetPr>
  <dimension ref="A1:AA2533"/>
  <sheetViews>
    <sheetView showGridLines="0" tabSelected="1" workbookViewId="0">
      <pane xSplit="4" ySplit="6" topLeftCell="M7" activePane="bottomRight" state="frozen"/>
      <selection pane="topRight"/>
      <selection pane="bottomLeft"/>
      <selection pane="bottomRight" activeCell="N7" sqref="N7"/>
    </sheetView>
  </sheetViews>
  <sheetFormatPr defaultRowHeight="14"/>
  <cols>
    <col min="1" max="1" width="18" customWidth="1"/>
    <col min="2" max="2" width="11" customWidth="1"/>
    <col min="3" max="3" width="31.08203125" customWidth="1"/>
    <col min="4" max="4" width="17" customWidth="1"/>
    <col min="5" max="5" width="23" hidden="1" customWidth="1"/>
    <col min="6" max="6" width="33" hidden="1" customWidth="1"/>
    <col min="7" max="8" width="6.25" hidden="1" customWidth="1"/>
    <col min="9" max="10" width="19" hidden="1" customWidth="1"/>
    <col min="11" max="11" width="36" hidden="1" customWidth="1"/>
    <col min="12" max="12" width="24.83203125" hidden="1" customWidth="1"/>
    <col min="13" max="13" width="10" customWidth="1"/>
    <col min="14" max="14" width="12.1640625" customWidth="1"/>
    <col min="15" max="17" width="10" customWidth="1"/>
    <col min="18" max="18" width="15" customWidth="1"/>
    <col min="19" max="19" width="65" customWidth="1"/>
    <col min="20" max="20" width="23" customWidth="1"/>
    <col min="21" max="21" width="20" customWidth="1"/>
    <col min="22" max="24" width="14" customWidth="1"/>
    <col min="25" max="25" width="42" customWidth="1"/>
    <col min="26" max="26" width="25" customWidth="1"/>
    <col min="27" max="27" width="21" customWidth="1"/>
  </cols>
  <sheetData>
    <row r="1" spans="1:27">
      <c r="A1" s="1"/>
      <c r="B1" s="1"/>
      <c r="C1" s="1"/>
      <c r="D1" s="1"/>
      <c r="E1" s="1" t="s">
        <v>8025</v>
      </c>
      <c r="F1" s="1"/>
      <c r="G1" s="1"/>
      <c r="H1" s="1"/>
      <c r="I1" s="1"/>
      <c r="J1" s="1"/>
      <c r="K1" s="1"/>
      <c r="L1" s="1"/>
    </row>
    <row r="2" spans="1:27" ht="30" customHeight="1">
      <c r="A2" s="21" t="s">
        <v>1592</v>
      </c>
      <c r="B2" s="22"/>
      <c r="C2" s="22"/>
      <c r="D2" s="22"/>
      <c r="E2" s="22"/>
      <c r="F2" s="1"/>
      <c r="G2" s="1"/>
      <c r="H2" s="1"/>
      <c r="I2" s="1"/>
      <c r="J2" s="1"/>
      <c r="K2" s="1"/>
      <c r="L2" s="1"/>
    </row>
    <row r="3" spans="1:27" ht="43" customHeight="1">
      <c r="A3" s="23" t="s">
        <v>1593</v>
      </c>
      <c r="B3" s="24"/>
      <c r="C3" s="24"/>
      <c r="D3" s="24"/>
      <c r="E3" s="24"/>
      <c r="F3" s="24"/>
      <c r="G3" s="2"/>
      <c r="H3" s="2"/>
      <c r="I3" s="2"/>
      <c r="J3" s="2"/>
      <c r="K3" s="2"/>
      <c r="L3" s="2"/>
    </row>
    <row r="4" spans="1:27">
      <c r="A4" s="12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2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27" ht="33" customHeight="1">
      <c r="A6" s="10" t="s">
        <v>529</v>
      </c>
      <c r="B6" s="10" t="s">
        <v>1594</v>
      </c>
      <c r="C6" s="10" t="s">
        <v>1595</v>
      </c>
      <c r="D6" s="10" t="s">
        <v>1596</v>
      </c>
      <c r="E6" s="10" t="s">
        <v>1597</v>
      </c>
      <c r="F6" s="10" t="s">
        <v>527</v>
      </c>
      <c r="G6" s="10" t="s">
        <v>1598</v>
      </c>
      <c r="H6" s="10" t="s">
        <v>1599</v>
      </c>
      <c r="I6" s="10" t="s">
        <v>1600</v>
      </c>
      <c r="J6" s="10" t="s">
        <v>1601</v>
      </c>
      <c r="K6" s="10" t="s">
        <v>1602</v>
      </c>
      <c r="L6" s="10" t="s">
        <v>1603</v>
      </c>
      <c r="M6" s="10" t="s">
        <v>1604</v>
      </c>
      <c r="N6" s="10" t="s">
        <v>1605</v>
      </c>
      <c r="O6" s="10" t="s">
        <v>1606</v>
      </c>
      <c r="P6" s="10" t="s">
        <v>1607</v>
      </c>
      <c r="Q6" s="10" t="s">
        <v>1608</v>
      </c>
      <c r="R6" s="10" t="s">
        <v>1609</v>
      </c>
      <c r="S6" s="10" t="s">
        <v>1610</v>
      </c>
      <c r="T6" s="10" t="s">
        <v>1611</v>
      </c>
      <c r="U6" s="10" t="s">
        <v>1612</v>
      </c>
      <c r="V6" s="10" t="s">
        <v>1613</v>
      </c>
      <c r="W6" s="10" t="s">
        <v>1614</v>
      </c>
      <c r="X6" s="10" t="s">
        <v>1615</v>
      </c>
      <c r="Y6" s="10" t="s">
        <v>1616</v>
      </c>
      <c r="Z6" s="10" t="s">
        <v>1617</v>
      </c>
      <c r="AA6" s="10" t="s">
        <v>1618</v>
      </c>
    </row>
    <row r="7" spans="1:27" ht="33" customHeight="1">
      <c r="A7" s="8" t="s">
        <v>7129</v>
      </c>
      <c r="B7" s="9">
        <v>2468</v>
      </c>
      <c r="C7" s="8" t="s">
        <v>7130</v>
      </c>
      <c r="D7" s="8" t="s">
        <v>1851</v>
      </c>
      <c r="E7" s="8" t="s">
        <v>1641</v>
      </c>
      <c r="F7" s="8" t="s">
        <v>1691</v>
      </c>
      <c r="G7" s="8" t="s">
        <v>59</v>
      </c>
      <c r="H7" s="8"/>
      <c r="I7" s="14" t="s">
        <v>1642</v>
      </c>
      <c r="J7" s="15"/>
      <c r="K7" s="8" t="s">
        <v>1634</v>
      </c>
      <c r="L7" s="8" t="s">
        <v>3828</v>
      </c>
      <c r="M7" s="6" t="s">
        <v>1643</v>
      </c>
      <c r="N7" s="6" t="s">
        <v>1624</v>
      </c>
      <c r="O7" s="7">
        <f>SUMIFS('05_상품별배치367'!$K$7:$K$373,'05_상품별배치367'!$E$7:$E$373,A7,'05_상품별배치367'!$H$7:$H$373,"본진")</f>
        <v>0</v>
      </c>
      <c r="P7" s="7">
        <f>SUMIFS('05_상품별배치367'!$K$7:$K$373,'05_상품별배치367'!$E$7:$E$373,A7,'05_상품별배치367'!$H$7:$H$373,"추가 진열")</f>
        <v>0</v>
      </c>
      <c r="Q7" s="7">
        <f>O7+P7</f>
        <v>0</v>
      </c>
      <c r="R7" s="7">
        <v>1</v>
      </c>
      <c r="S7" s="6" t="s">
        <v>1721</v>
      </c>
      <c r="T7" s="6" t="s">
        <v>1637</v>
      </c>
      <c r="U7" s="6"/>
      <c r="V7" s="16"/>
      <c r="W7" s="16"/>
      <c r="X7" s="16"/>
      <c r="Y7" s="6" t="s">
        <v>1627</v>
      </c>
      <c r="Z7" s="15"/>
      <c r="AA7" s="15" t="s">
        <v>1628</v>
      </c>
    </row>
    <row r="8" spans="1:27" ht="33" customHeight="1">
      <c r="A8" s="6" t="s">
        <v>815</v>
      </c>
      <c r="B8" s="7">
        <v>2337</v>
      </c>
      <c r="C8" s="6" t="s">
        <v>814</v>
      </c>
      <c r="D8" s="6" t="s">
        <v>4191</v>
      </c>
      <c r="E8" s="6" t="s">
        <v>2134</v>
      </c>
      <c r="F8" s="6" t="s">
        <v>156</v>
      </c>
      <c r="G8" s="6" t="s">
        <v>366</v>
      </c>
      <c r="H8" s="6" t="s">
        <v>1250</v>
      </c>
      <c r="I8" s="14" t="s">
        <v>1621</v>
      </c>
      <c r="J8" s="15"/>
      <c r="K8" s="6" t="s">
        <v>1976</v>
      </c>
      <c r="L8" s="6" t="s">
        <v>3828</v>
      </c>
      <c r="M8" s="6" t="s">
        <v>1623</v>
      </c>
      <c r="N8" s="6" t="s">
        <v>1624</v>
      </c>
      <c r="O8" s="7">
        <f>SUMIFS('05_상품별배치367'!$K$7:$K$373,'05_상품별배치367'!$E$7:$E$373,A8,'05_상품별배치367'!$H$7:$H$373,"본진")</f>
        <v>2</v>
      </c>
      <c r="P8" s="7">
        <f>SUMIFS('05_상품별배치367'!$K$7:$K$373,'05_상품별배치367'!$E$7:$E$373,A8,'05_상품별배치367'!$H$7:$H$373,"추가 진열")</f>
        <v>1</v>
      </c>
      <c r="Q8" s="7">
        <f>O8+P8</f>
        <v>3</v>
      </c>
      <c r="R8" s="7">
        <v>2</v>
      </c>
      <c r="S8" s="6" t="s">
        <v>1625</v>
      </c>
      <c r="T8" s="6" t="s">
        <v>6823</v>
      </c>
      <c r="U8" s="6"/>
      <c r="V8" s="16"/>
      <c r="W8" s="16"/>
      <c r="X8" s="16"/>
      <c r="Y8" s="6" t="s">
        <v>1627</v>
      </c>
      <c r="Z8" s="15"/>
      <c r="AA8" s="15" t="s">
        <v>1628</v>
      </c>
    </row>
    <row r="9" spans="1:27" ht="33" customHeight="1">
      <c r="A9" s="8" t="s">
        <v>6852</v>
      </c>
      <c r="B9" s="9">
        <v>2336</v>
      </c>
      <c r="C9" s="8" t="s">
        <v>6853</v>
      </c>
      <c r="D9" s="8" t="s">
        <v>3810</v>
      </c>
      <c r="E9" s="8" t="s">
        <v>2134</v>
      </c>
      <c r="F9" s="8" t="s">
        <v>1081</v>
      </c>
      <c r="G9" s="8" t="s">
        <v>290</v>
      </c>
      <c r="H9" s="8" t="s">
        <v>1086</v>
      </c>
      <c r="I9" s="14" t="s">
        <v>1621</v>
      </c>
      <c r="J9" s="15"/>
      <c r="K9" s="8" t="s">
        <v>1976</v>
      </c>
      <c r="L9" s="8" t="s">
        <v>3828</v>
      </c>
      <c r="M9" s="6" t="s">
        <v>1623</v>
      </c>
      <c r="N9" s="6" t="s">
        <v>1624</v>
      </c>
      <c r="O9" s="7">
        <f>SUMIFS('05_상품별배치367'!$K$7:$K$373,'05_상품별배치367'!$E$7:$E$373,A9,'05_상품별배치367'!$H$7:$H$373,"본진")</f>
        <v>1</v>
      </c>
      <c r="P9" s="7">
        <f>SUMIFS('05_상품별배치367'!$K$7:$K$373,'05_상품별배치367'!$E$7:$E$373,A9,'05_상품별배치367'!$H$7:$H$373,"추가 진열")</f>
        <v>0</v>
      </c>
      <c r="Q9" s="7">
        <f>O9+P9</f>
        <v>1</v>
      </c>
      <c r="R9" s="7">
        <v>1</v>
      </c>
      <c r="S9" s="6" t="s">
        <v>1625</v>
      </c>
      <c r="T9" s="6" t="s">
        <v>6823</v>
      </c>
      <c r="U9" s="6"/>
      <c r="V9" s="16"/>
      <c r="W9" s="16"/>
      <c r="X9" s="16"/>
      <c r="Y9" s="6" t="s">
        <v>1627</v>
      </c>
      <c r="Z9" s="15"/>
      <c r="AA9" s="15" t="s">
        <v>1628</v>
      </c>
    </row>
    <row r="10" spans="1:27" ht="33" customHeight="1">
      <c r="A10" s="8" t="s">
        <v>1122</v>
      </c>
      <c r="B10" s="9">
        <v>2486</v>
      </c>
      <c r="C10" s="8" t="s">
        <v>1121</v>
      </c>
      <c r="D10" s="8" t="s">
        <v>1851</v>
      </c>
      <c r="E10" s="8" t="s">
        <v>1641</v>
      </c>
      <c r="F10" s="8" t="s">
        <v>498</v>
      </c>
      <c r="G10" s="8" t="s">
        <v>307</v>
      </c>
      <c r="H10" s="8" t="s">
        <v>1120</v>
      </c>
      <c r="I10" s="14" t="s">
        <v>1621</v>
      </c>
      <c r="J10" s="15"/>
      <c r="K10" s="8" t="s">
        <v>1634</v>
      </c>
      <c r="L10" s="8" t="s">
        <v>3828</v>
      </c>
      <c r="M10" s="6" t="s">
        <v>1623</v>
      </c>
      <c r="N10" s="6" t="s">
        <v>1624</v>
      </c>
      <c r="O10" s="7">
        <f>SUMIFS('05_상품별배치367'!$K$7:$K$373,'05_상품별배치367'!$E$7:$E$373,A10,'05_상품별배치367'!$H$7:$H$373,"본진")</f>
        <v>1</v>
      </c>
      <c r="P10" s="7">
        <f>SUMIFS('05_상품별배치367'!$K$7:$K$373,'05_상품별배치367'!$E$7:$E$373,A10,'05_상품별배치367'!$H$7:$H$373,"추가 진열")</f>
        <v>1</v>
      </c>
      <c r="Q10" s="7">
        <f>O10+P10</f>
        <v>2</v>
      </c>
      <c r="R10" s="7">
        <v>1</v>
      </c>
      <c r="S10" s="6" t="s">
        <v>1625</v>
      </c>
      <c r="T10" s="6" t="s">
        <v>1637</v>
      </c>
      <c r="U10" s="6"/>
      <c r="V10" s="16"/>
      <c r="W10" s="16"/>
      <c r="X10" s="16"/>
      <c r="Y10" s="6" t="s">
        <v>1627</v>
      </c>
      <c r="Z10" s="15"/>
      <c r="AA10" s="15" t="s">
        <v>1628</v>
      </c>
    </row>
    <row r="11" spans="1:27" ht="33" customHeight="1">
      <c r="A11" s="6" t="s">
        <v>1995</v>
      </c>
      <c r="B11" s="7">
        <v>131</v>
      </c>
      <c r="C11" s="6" t="s">
        <v>1996</v>
      </c>
      <c r="D11" s="6" t="s">
        <v>1876</v>
      </c>
      <c r="E11" s="6" t="s">
        <v>1997</v>
      </c>
      <c r="F11" s="6" t="s">
        <v>1998</v>
      </c>
      <c r="G11" s="6" t="s">
        <v>1668</v>
      </c>
      <c r="H11" s="6"/>
      <c r="I11" s="14" t="s">
        <v>1999</v>
      </c>
      <c r="J11" s="15"/>
      <c r="K11" s="6" t="s">
        <v>2000</v>
      </c>
      <c r="L11" s="6" t="s">
        <v>2001</v>
      </c>
      <c r="M11" s="6" t="s">
        <v>1671</v>
      </c>
      <c r="N11" s="6" t="s">
        <v>1644</v>
      </c>
      <c r="O11" s="7">
        <f>SUMIFS('05_상품별배치367'!$K$7:$K$373,'05_상품별배치367'!$E$7:$E$373,A11,'05_상품별배치367'!$H$7:$H$373,"본진")</f>
        <v>0</v>
      </c>
      <c r="P11" s="7">
        <f>SUMIFS('05_상품별배치367'!$K$7:$K$373,'05_상품별배치367'!$E$7:$E$373,A11,'05_상품별배치367'!$H$7:$H$373,"추가 진열")</f>
        <v>0</v>
      </c>
      <c r="Q11" s="7">
        <f>O11+P11</f>
        <v>0</v>
      </c>
      <c r="R11" s="7">
        <v>0</v>
      </c>
      <c r="S11" s="6" t="s">
        <v>2002</v>
      </c>
      <c r="T11" s="6" t="s">
        <v>1637</v>
      </c>
      <c r="U11" s="6"/>
      <c r="V11" s="16"/>
      <c r="W11" s="16"/>
      <c r="X11" s="16"/>
      <c r="Y11" s="6" t="s">
        <v>1627</v>
      </c>
      <c r="Z11" s="15"/>
      <c r="AA11" s="15" t="s">
        <v>1628</v>
      </c>
    </row>
    <row r="12" spans="1:27" ht="33" customHeight="1">
      <c r="A12" s="8" t="s">
        <v>7042</v>
      </c>
      <c r="B12" s="9">
        <v>2426</v>
      </c>
      <c r="C12" s="8" t="s">
        <v>7043</v>
      </c>
      <c r="D12" s="8" t="s">
        <v>2714</v>
      </c>
      <c r="E12" s="8" t="s">
        <v>1666</v>
      </c>
      <c r="F12" s="8" t="s">
        <v>1880</v>
      </c>
      <c r="G12" s="8" t="s">
        <v>1668</v>
      </c>
      <c r="H12" s="8"/>
      <c r="I12" s="14" t="s">
        <v>1642</v>
      </c>
      <c r="J12" s="15"/>
      <c r="K12" s="8" t="s">
        <v>1670</v>
      </c>
      <c r="L12" s="8" t="s">
        <v>3828</v>
      </c>
      <c r="M12" s="6" t="s">
        <v>1643</v>
      </c>
      <c r="N12" s="6" t="s">
        <v>1644</v>
      </c>
      <c r="O12" s="7">
        <f>SUMIFS('05_상품별배치367'!$K$7:$K$373,'05_상품별배치367'!$E$7:$E$373,A12,'05_상품별배치367'!$H$7:$H$373,"본진")</f>
        <v>0</v>
      </c>
      <c r="P12" s="7">
        <f>SUMIFS('05_상품별배치367'!$K$7:$K$373,'05_상품별배치367'!$E$7:$E$373,A12,'05_상품별배치367'!$H$7:$H$373,"추가 진열")</f>
        <v>0</v>
      </c>
      <c r="Q12" s="7">
        <f>O12+P12</f>
        <v>0</v>
      </c>
      <c r="R12" s="7">
        <v>1</v>
      </c>
      <c r="S12" s="6" t="s">
        <v>1881</v>
      </c>
      <c r="T12" s="6" t="s">
        <v>1637</v>
      </c>
      <c r="U12" s="6"/>
      <c r="V12" s="16"/>
      <c r="W12" s="16"/>
      <c r="X12" s="16"/>
      <c r="Y12" s="6" t="s">
        <v>1627</v>
      </c>
      <c r="Z12" s="15"/>
      <c r="AA12" s="15" t="s">
        <v>1628</v>
      </c>
    </row>
    <row r="13" spans="1:27" ht="33" customHeight="1">
      <c r="A13" s="6" t="s">
        <v>7052</v>
      </c>
      <c r="B13" s="7">
        <v>2431</v>
      </c>
      <c r="C13" s="6" t="s">
        <v>7053</v>
      </c>
      <c r="D13" s="6" t="s">
        <v>4179</v>
      </c>
      <c r="E13" s="6" t="s">
        <v>1695</v>
      </c>
      <c r="F13" s="6" t="s">
        <v>1049</v>
      </c>
      <c r="G13" s="6" t="s">
        <v>272</v>
      </c>
      <c r="H13" s="6" t="s">
        <v>1050</v>
      </c>
      <c r="I13" s="14" t="s">
        <v>1633</v>
      </c>
      <c r="J13" s="15"/>
      <c r="K13" s="6" t="s">
        <v>1696</v>
      </c>
      <c r="L13" s="6" t="s">
        <v>3828</v>
      </c>
      <c r="M13" s="6" t="s">
        <v>1635</v>
      </c>
      <c r="N13" s="6" t="s">
        <v>1624</v>
      </c>
      <c r="O13" s="7">
        <f>SUMIFS('05_상품별배치367'!$K$7:$K$373,'05_상품별배치367'!$E$7:$E$373,A13,'05_상품별배치367'!$H$7:$H$373,"본진")</f>
        <v>1</v>
      </c>
      <c r="P13" s="7">
        <f>SUMIFS('05_상품별배치367'!$K$7:$K$373,'05_상품별배치367'!$E$7:$E$373,A13,'05_상품별배치367'!$H$7:$H$373,"추가 진열")</f>
        <v>0</v>
      </c>
      <c r="Q13" s="7">
        <f>O13+P13</f>
        <v>1</v>
      </c>
      <c r="R13" s="7">
        <v>1</v>
      </c>
      <c r="S13" s="6" t="s">
        <v>1636</v>
      </c>
      <c r="T13" s="6" t="s">
        <v>1637</v>
      </c>
      <c r="U13" s="6"/>
      <c r="V13" s="16"/>
      <c r="W13" s="16"/>
      <c r="X13" s="16"/>
      <c r="Y13" s="6" t="s">
        <v>1627</v>
      </c>
      <c r="Z13" s="15"/>
      <c r="AA13" s="15" t="s">
        <v>1628</v>
      </c>
    </row>
    <row r="14" spans="1:27" ht="33" customHeight="1">
      <c r="A14" s="8" t="s">
        <v>7076</v>
      </c>
      <c r="B14" s="9">
        <v>2442</v>
      </c>
      <c r="C14" s="8" t="s">
        <v>7077</v>
      </c>
      <c r="D14" s="8" t="s">
        <v>7058</v>
      </c>
      <c r="E14" s="8" t="s">
        <v>1997</v>
      </c>
      <c r="F14" s="8" t="s">
        <v>1998</v>
      </c>
      <c r="G14" s="8" t="s">
        <v>1668</v>
      </c>
      <c r="H14" s="8"/>
      <c r="I14" s="14" t="s">
        <v>1999</v>
      </c>
      <c r="J14" s="15"/>
      <c r="K14" s="8" t="s">
        <v>2000</v>
      </c>
      <c r="L14" s="8" t="s">
        <v>2001</v>
      </c>
      <c r="M14" s="6" t="s">
        <v>1671</v>
      </c>
      <c r="N14" s="6" t="s">
        <v>1644</v>
      </c>
      <c r="O14" s="7">
        <f>SUMIFS('05_상품별배치367'!$K$7:$K$373,'05_상품별배치367'!$E$7:$E$373,A14,'05_상품별배치367'!$H$7:$H$373,"본진")</f>
        <v>0</v>
      </c>
      <c r="P14" s="7">
        <f>SUMIFS('05_상품별배치367'!$K$7:$K$373,'05_상품별배치367'!$E$7:$E$373,A14,'05_상품별배치367'!$H$7:$H$373,"추가 진열")</f>
        <v>0</v>
      </c>
      <c r="Q14" s="7">
        <f>O14+P14</f>
        <v>0</v>
      </c>
      <c r="R14" s="7">
        <v>0</v>
      </c>
      <c r="S14" s="6" t="s">
        <v>2002</v>
      </c>
      <c r="T14" s="6" t="s">
        <v>1637</v>
      </c>
      <c r="U14" s="6"/>
      <c r="V14" s="16"/>
      <c r="W14" s="16"/>
      <c r="X14" s="16"/>
      <c r="Y14" s="6" t="s">
        <v>1627</v>
      </c>
      <c r="Z14" s="15"/>
      <c r="AA14" s="15" t="s">
        <v>1628</v>
      </c>
    </row>
    <row r="15" spans="1:27" ht="33" customHeight="1">
      <c r="A15" s="8" t="s">
        <v>6009</v>
      </c>
      <c r="B15" s="9">
        <v>1954</v>
      </c>
      <c r="C15" s="8" t="s">
        <v>6010</v>
      </c>
      <c r="D15" s="8" t="s">
        <v>5618</v>
      </c>
      <c r="E15" s="8" t="s">
        <v>1666</v>
      </c>
      <c r="F15" s="8" t="s">
        <v>1667</v>
      </c>
      <c r="G15" s="8" t="s">
        <v>1668</v>
      </c>
      <c r="H15" s="8"/>
      <c r="I15" s="14" t="s">
        <v>1669</v>
      </c>
      <c r="J15" s="15"/>
      <c r="K15" s="8" t="s">
        <v>1670</v>
      </c>
      <c r="L15" s="8"/>
      <c r="M15" s="6" t="s">
        <v>1671</v>
      </c>
      <c r="N15" s="6" t="s">
        <v>1624</v>
      </c>
      <c r="O15" s="7">
        <f>SUMIFS('05_상품별배치367'!$K$7:$K$373,'05_상품별배치367'!$E$7:$E$373,A15,'05_상품별배치367'!$H$7:$H$373,"본진")</f>
        <v>0</v>
      </c>
      <c r="P15" s="7">
        <f>SUMIFS('05_상품별배치367'!$K$7:$K$373,'05_상품별배치367'!$E$7:$E$373,A15,'05_상품별배치367'!$H$7:$H$373,"추가 진열")</f>
        <v>0</v>
      </c>
      <c r="Q15" s="7">
        <f>O15+P15</f>
        <v>0</v>
      </c>
      <c r="R15" s="7">
        <v>0</v>
      </c>
      <c r="S15" s="6" t="s">
        <v>1672</v>
      </c>
      <c r="T15" s="6" t="s">
        <v>1637</v>
      </c>
      <c r="U15" s="6"/>
      <c r="V15" s="16"/>
      <c r="W15" s="16"/>
      <c r="X15" s="16"/>
      <c r="Y15" s="6" t="s">
        <v>1627</v>
      </c>
      <c r="Z15" s="15"/>
      <c r="AA15" s="15" t="s">
        <v>1628</v>
      </c>
    </row>
    <row r="16" spans="1:27" ht="33" customHeight="1">
      <c r="A16" s="6" t="s">
        <v>6011</v>
      </c>
      <c r="B16" s="7">
        <v>1955</v>
      </c>
      <c r="C16" s="6" t="s">
        <v>6012</v>
      </c>
      <c r="D16" s="6" t="s">
        <v>2588</v>
      </c>
      <c r="E16" s="6" t="s">
        <v>1666</v>
      </c>
      <c r="F16" s="6" t="s">
        <v>1667</v>
      </c>
      <c r="G16" s="6" t="s">
        <v>1668</v>
      </c>
      <c r="H16" s="6"/>
      <c r="I16" s="14" t="s">
        <v>1669</v>
      </c>
      <c r="J16" s="15"/>
      <c r="K16" s="6" t="s">
        <v>1670</v>
      </c>
      <c r="L16" s="6"/>
      <c r="M16" s="6" t="s">
        <v>1671</v>
      </c>
      <c r="N16" s="6" t="s">
        <v>1644</v>
      </c>
      <c r="O16" s="7">
        <f>SUMIFS('05_상품별배치367'!$K$7:$K$373,'05_상품별배치367'!$E$7:$E$373,A16,'05_상품별배치367'!$H$7:$H$373,"본진")</f>
        <v>0</v>
      </c>
      <c r="P16" s="7">
        <f>SUMIFS('05_상품별배치367'!$K$7:$K$373,'05_상품별배치367'!$E$7:$E$373,A16,'05_상품별배치367'!$H$7:$H$373,"추가 진열")</f>
        <v>0</v>
      </c>
      <c r="Q16" s="7">
        <f>O16+P16</f>
        <v>0</v>
      </c>
      <c r="R16" s="7">
        <v>0</v>
      </c>
      <c r="S16" s="6" t="s">
        <v>1672</v>
      </c>
      <c r="T16" s="6" t="s">
        <v>1637</v>
      </c>
      <c r="U16" s="6"/>
      <c r="V16" s="16"/>
      <c r="W16" s="16"/>
      <c r="X16" s="16"/>
      <c r="Y16" s="6" t="s">
        <v>1627</v>
      </c>
      <c r="Z16" s="15"/>
      <c r="AA16" s="15" t="s">
        <v>1628</v>
      </c>
    </row>
    <row r="17" spans="1:27" ht="33" customHeight="1">
      <c r="A17" s="6" t="s">
        <v>2605</v>
      </c>
      <c r="B17" s="7">
        <v>375</v>
      </c>
      <c r="C17" s="6" t="s">
        <v>2606</v>
      </c>
      <c r="D17" s="6" t="s">
        <v>2607</v>
      </c>
      <c r="E17" s="6" t="s">
        <v>1666</v>
      </c>
      <c r="F17" s="6" t="s">
        <v>1667</v>
      </c>
      <c r="G17" s="6" t="s">
        <v>1668</v>
      </c>
      <c r="H17" s="6"/>
      <c r="I17" s="14" t="s">
        <v>1669</v>
      </c>
      <c r="J17" s="15"/>
      <c r="K17" s="6" t="s">
        <v>1670</v>
      </c>
      <c r="L17" s="6"/>
      <c r="M17" s="6" t="s">
        <v>1671</v>
      </c>
      <c r="N17" s="6" t="s">
        <v>1624</v>
      </c>
      <c r="O17" s="7">
        <f>SUMIFS('05_상품별배치367'!$K$7:$K$373,'05_상품별배치367'!$E$7:$E$373,A17,'05_상품별배치367'!$H$7:$H$373,"본진")</f>
        <v>0</v>
      </c>
      <c r="P17" s="7">
        <f>SUMIFS('05_상품별배치367'!$K$7:$K$373,'05_상품별배치367'!$E$7:$E$373,A17,'05_상품별배치367'!$H$7:$H$373,"추가 진열")</f>
        <v>0</v>
      </c>
      <c r="Q17" s="7">
        <f>O17+P17</f>
        <v>0</v>
      </c>
      <c r="R17" s="7">
        <v>0</v>
      </c>
      <c r="S17" s="6" t="s">
        <v>1672</v>
      </c>
      <c r="T17" s="6" t="s">
        <v>1637</v>
      </c>
      <c r="U17" s="6"/>
      <c r="V17" s="16"/>
      <c r="W17" s="16"/>
      <c r="X17" s="16"/>
      <c r="Y17" s="6" t="s">
        <v>1627</v>
      </c>
      <c r="Z17" s="15"/>
      <c r="AA17" s="15" t="s">
        <v>1628</v>
      </c>
    </row>
    <row r="18" spans="1:27" ht="33" customHeight="1">
      <c r="A18" s="6" t="s">
        <v>2600</v>
      </c>
      <c r="B18" s="7">
        <v>373</v>
      </c>
      <c r="C18" s="6" t="s">
        <v>2601</v>
      </c>
      <c r="D18" s="6" t="s">
        <v>2602</v>
      </c>
      <c r="E18" s="6" t="s">
        <v>1666</v>
      </c>
      <c r="F18" s="6" t="s">
        <v>1667</v>
      </c>
      <c r="G18" s="6" t="s">
        <v>1668</v>
      </c>
      <c r="H18" s="6"/>
      <c r="I18" s="14" t="s">
        <v>1669</v>
      </c>
      <c r="J18" s="15"/>
      <c r="K18" s="6" t="s">
        <v>1670</v>
      </c>
      <c r="L18" s="6"/>
      <c r="M18" s="6" t="s">
        <v>1671</v>
      </c>
      <c r="N18" s="6" t="s">
        <v>1624</v>
      </c>
      <c r="O18" s="7">
        <f>SUMIFS('05_상품별배치367'!$K$7:$K$373,'05_상품별배치367'!$E$7:$E$373,A18,'05_상품별배치367'!$H$7:$H$373,"본진")</f>
        <v>0</v>
      </c>
      <c r="P18" s="7">
        <f>SUMIFS('05_상품별배치367'!$K$7:$K$373,'05_상품별배치367'!$E$7:$E$373,A18,'05_상품별배치367'!$H$7:$H$373,"추가 진열")</f>
        <v>0</v>
      </c>
      <c r="Q18" s="7">
        <f>O18+P18</f>
        <v>0</v>
      </c>
      <c r="R18" s="7">
        <v>0</v>
      </c>
      <c r="S18" s="6" t="s">
        <v>1672</v>
      </c>
      <c r="T18" s="6" t="s">
        <v>1637</v>
      </c>
      <c r="U18" s="6"/>
      <c r="V18" s="16"/>
      <c r="W18" s="16"/>
      <c r="X18" s="16"/>
      <c r="Y18" s="6" t="s">
        <v>1627</v>
      </c>
      <c r="Z18" s="15"/>
      <c r="AA18" s="15" t="s">
        <v>1628</v>
      </c>
    </row>
    <row r="19" spans="1:27" ht="33" customHeight="1">
      <c r="A19" s="8" t="s">
        <v>2623</v>
      </c>
      <c r="B19" s="9">
        <v>382</v>
      </c>
      <c r="C19" s="8" t="s">
        <v>2624</v>
      </c>
      <c r="D19" s="8" t="s">
        <v>2625</v>
      </c>
      <c r="E19" s="8" t="s">
        <v>1666</v>
      </c>
      <c r="F19" s="8" t="s">
        <v>1852</v>
      </c>
      <c r="G19" s="8" t="s">
        <v>1853</v>
      </c>
      <c r="H19" s="8"/>
      <c r="I19" s="14" t="s">
        <v>1669</v>
      </c>
      <c r="J19" s="15"/>
      <c r="K19" s="8" t="s">
        <v>1670</v>
      </c>
      <c r="L19" s="8"/>
      <c r="M19" s="6" t="s">
        <v>1671</v>
      </c>
      <c r="N19" s="6" t="s">
        <v>1624</v>
      </c>
      <c r="O19" s="7">
        <f>SUMIFS('05_상품별배치367'!$K$7:$K$373,'05_상품별배치367'!$E$7:$E$373,A19,'05_상품별배치367'!$H$7:$H$373,"본진")</f>
        <v>0</v>
      </c>
      <c r="P19" s="7">
        <f>SUMIFS('05_상품별배치367'!$K$7:$K$373,'05_상품별배치367'!$E$7:$E$373,A19,'05_상품별배치367'!$H$7:$H$373,"추가 진열")</f>
        <v>0</v>
      </c>
      <c r="Q19" s="7">
        <f>O19+P19</f>
        <v>0</v>
      </c>
      <c r="R19" s="7">
        <v>0</v>
      </c>
      <c r="S19" s="6" t="s">
        <v>1672</v>
      </c>
      <c r="T19" s="6" t="s">
        <v>1637</v>
      </c>
      <c r="U19" s="6"/>
      <c r="V19" s="16"/>
      <c r="W19" s="16"/>
      <c r="X19" s="16"/>
      <c r="Y19" s="6" t="s">
        <v>1655</v>
      </c>
      <c r="Z19" s="15"/>
      <c r="AA19" s="15" t="s">
        <v>1628</v>
      </c>
    </row>
    <row r="20" spans="1:27" ht="33" customHeight="1">
      <c r="A20" s="6" t="s">
        <v>2620</v>
      </c>
      <c r="B20" s="7">
        <v>381</v>
      </c>
      <c r="C20" s="6" t="s">
        <v>2621</v>
      </c>
      <c r="D20" s="6" t="s">
        <v>2622</v>
      </c>
      <c r="E20" s="6" t="s">
        <v>1666</v>
      </c>
      <c r="F20" s="6" t="s">
        <v>1852</v>
      </c>
      <c r="G20" s="6" t="s">
        <v>1853</v>
      </c>
      <c r="H20" s="6"/>
      <c r="I20" s="14" t="s">
        <v>1669</v>
      </c>
      <c r="J20" s="15"/>
      <c r="K20" s="6" t="s">
        <v>1670</v>
      </c>
      <c r="L20" s="6"/>
      <c r="M20" s="6" t="s">
        <v>1671</v>
      </c>
      <c r="N20" s="6" t="s">
        <v>1624</v>
      </c>
      <c r="O20" s="7">
        <f>SUMIFS('05_상품별배치367'!$K$7:$K$373,'05_상품별배치367'!$E$7:$E$373,A20,'05_상품별배치367'!$H$7:$H$373,"본진")</f>
        <v>0</v>
      </c>
      <c r="P20" s="7">
        <f>SUMIFS('05_상품별배치367'!$K$7:$K$373,'05_상품별배치367'!$E$7:$E$373,A20,'05_상품별배치367'!$H$7:$H$373,"추가 진열")</f>
        <v>0</v>
      </c>
      <c r="Q20" s="7">
        <f>O20+P20</f>
        <v>0</v>
      </c>
      <c r="R20" s="7">
        <v>0</v>
      </c>
      <c r="S20" s="6" t="s">
        <v>1672</v>
      </c>
      <c r="T20" s="6" t="s">
        <v>1637</v>
      </c>
      <c r="U20" s="6"/>
      <c r="V20" s="16"/>
      <c r="W20" s="16"/>
      <c r="X20" s="16"/>
      <c r="Y20" s="6" t="s">
        <v>1655</v>
      </c>
      <c r="Z20" s="15"/>
      <c r="AA20" s="15" t="s">
        <v>1628</v>
      </c>
    </row>
    <row r="21" spans="1:27" ht="33" customHeight="1">
      <c r="A21" s="6" t="s">
        <v>2626</v>
      </c>
      <c r="B21" s="7">
        <v>383</v>
      </c>
      <c r="C21" s="6" t="s">
        <v>2627</v>
      </c>
      <c r="D21" s="6" t="s">
        <v>2628</v>
      </c>
      <c r="E21" s="6" t="s">
        <v>1666</v>
      </c>
      <c r="F21" s="6" t="s">
        <v>347</v>
      </c>
      <c r="G21" s="6" t="s">
        <v>341</v>
      </c>
      <c r="H21" s="6"/>
      <c r="I21" s="14" t="s">
        <v>1642</v>
      </c>
      <c r="J21" s="15"/>
      <c r="K21" s="6" t="s">
        <v>1670</v>
      </c>
      <c r="L21" s="6"/>
      <c r="M21" s="6" t="s">
        <v>1643</v>
      </c>
      <c r="N21" s="6" t="s">
        <v>1644</v>
      </c>
      <c r="O21" s="7">
        <f>SUMIFS('05_상품별배치367'!$K$7:$K$373,'05_상품별배치367'!$E$7:$E$373,A21,'05_상품별배치367'!$H$7:$H$373,"본진")</f>
        <v>0</v>
      </c>
      <c r="P21" s="7">
        <f>SUMIFS('05_상품별배치367'!$K$7:$K$373,'05_상품별배치367'!$E$7:$E$373,A21,'05_상품별배치367'!$H$7:$H$373,"추가 진열")</f>
        <v>0</v>
      </c>
      <c r="Q21" s="7">
        <f>O21+P21</f>
        <v>0</v>
      </c>
      <c r="R21" s="7">
        <v>1</v>
      </c>
      <c r="S21" s="6" t="s">
        <v>2018</v>
      </c>
      <c r="T21" s="6" t="s">
        <v>1637</v>
      </c>
      <c r="U21" s="6"/>
      <c r="V21" s="16"/>
      <c r="W21" s="16"/>
      <c r="X21" s="16"/>
      <c r="Y21" s="6" t="s">
        <v>1627</v>
      </c>
      <c r="Z21" s="15"/>
      <c r="AA21" s="15" t="s">
        <v>1628</v>
      </c>
    </row>
    <row r="22" spans="1:27" ht="33" customHeight="1">
      <c r="A22" s="8" t="s">
        <v>2608</v>
      </c>
      <c r="B22" s="9">
        <v>376</v>
      </c>
      <c r="C22" s="8" t="s">
        <v>2609</v>
      </c>
      <c r="D22" s="8" t="s">
        <v>2607</v>
      </c>
      <c r="E22" s="8" t="s">
        <v>1666</v>
      </c>
      <c r="F22" s="8" t="s">
        <v>1667</v>
      </c>
      <c r="G22" s="8" t="s">
        <v>1668</v>
      </c>
      <c r="H22" s="8"/>
      <c r="I22" s="14" t="s">
        <v>1669</v>
      </c>
      <c r="J22" s="15"/>
      <c r="K22" s="8" t="s">
        <v>1670</v>
      </c>
      <c r="L22" s="8"/>
      <c r="M22" s="6" t="s">
        <v>1671</v>
      </c>
      <c r="N22" s="6" t="s">
        <v>1624</v>
      </c>
      <c r="O22" s="7">
        <f>SUMIFS('05_상품별배치367'!$K$7:$K$373,'05_상품별배치367'!$E$7:$E$373,A22,'05_상품별배치367'!$H$7:$H$373,"본진")</f>
        <v>0</v>
      </c>
      <c r="P22" s="7">
        <f>SUMIFS('05_상품별배치367'!$K$7:$K$373,'05_상품별배치367'!$E$7:$E$373,A22,'05_상품별배치367'!$H$7:$H$373,"추가 진열")</f>
        <v>0</v>
      </c>
      <c r="Q22" s="7">
        <f>O22+P22</f>
        <v>0</v>
      </c>
      <c r="R22" s="7">
        <v>0</v>
      </c>
      <c r="S22" s="6" t="s">
        <v>1672</v>
      </c>
      <c r="T22" s="6" t="s">
        <v>1637</v>
      </c>
      <c r="U22" s="6"/>
      <c r="V22" s="16"/>
      <c r="W22" s="16"/>
      <c r="X22" s="16"/>
      <c r="Y22" s="6" t="s">
        <v>1627</v>
      </c>
      <c r="Z22" s="15"/>
      <c r="AA22" s="15" t="s">
        <v>1628</v>
      </c>
    </row>
    <row r="23" spans="1:27" ht="33" customHeight="1">
      <c r="A23" s="8" t="s">
        <v>2603</v>
      </c>
      <c r="B23" s="9">
        <v>374</v>
      </c>
      <c r="C23" s="8" t="s">
        <v>2604</v>
      </c>
      <c r="D23" s="8" t="s">
        <v>2602</v>
      </c>
      <c r="E23" s="8" t="s">
        <v>1666</v>
      </c>
      <c r="F23" s="8" t="s">
        <v>1667</v>
      </c>
      <c r="G23" s="8" t="s">
        <v>1668</v>
      </c>
      <c r="H23" s="8"/>
      <c r="I23" s="14" t="s">
        <v>1669</v>
      </c>
      <c r="J23" s="15"/>
      <c r="K23" s="8" t="s">
        <v>1670</v>
      </c>
      <c r="L23" s="8"/>
      <c r="M23" s="6" t="s">
        <v>1671</v>
      </c>
      <c r="N23" s="6" t="s">
        <v>1624</v>
      </c>
      <c r="O23" s="7">
        <f>SUMIFS('05_상품별배치367'!$K$7:$K$373,'05_상품별배치367'!$E$7:$E$373,A23,'05_상품별배치367'!$H$7:$H$373,"본진")</f>
        <v>0</v>
      </c>
      <c r="P23" s="7">
        <f>SUMIFS('05_상품별배치367'!$K$7:$K$373,'05_상품별배치367'!$E$7:$E$373,A23,'05_상품별배치367'!$H$7:$H$373,"추가 진열")</f>
        <v>0</v>
      </c>
      <c r="Q23" s="7">
        <f>O23+P23</f>
        <v>0</v>
      </c>
      <c r="R23" s="7">
        <v>0</v>
      </c>
      <c r="S23" s="6" t="s">
        <v>1672</v>
      </c>
      <c r="T23" s="6" t="s">
        <v>1637</v>
      </c>
      <c r="U23" s="6"/>
      <c r="V23" s="16"/>
      <c r="W23" s="16"/>
      <c r="X23" s="16"/>
      <c r="Y23" s="6" t="s">
        <v>1627</v>
      </c>
      <c r="Z23" s="15"/>
      <c r="AA23" s="15" t="s">
        <v>1628</v>
      </c>
    </row>
    <row r="24" spans="1:27" ht="33" customHeight="1">
      <c r="A24" s="8" t="s">
        <v>2594</v>
      </c>
      <c r="B24" s="9">
        <v>370</v>
      </c>
      <c r="C24" s="8" t="s">
        <v>2595</v>
      </c>
      <c r="D24" s="8" t="s">
        <v>2596</v>
      </c>
      <c r="E24" s="8" t="s">
        <v>1666</v>
      </c>
      <c r="F24" s="8" t="s">
        <v>1852</v>
      </c>
      <c r="G24" s="8" t="s">
        <v>1853</v>
      </c>
      <c r="H24" s="8"/>
      <c r="I24" s="14" t="s">
        <v>1669</v>
      </c>
      <c r="J24" s="15"/>
      <c r="K24" s="8" t="s">
        <v>1670</v>
      </c>
      <c r="L24" s="8"/>
      <c r="M24" s="6" t="s">
        <v>1671</v>
      </c>
      <c r="N24" s="6" t="s">
        <v>1624</v>
      </c>
      <c r="O24" s="7">
        <f>SUMIFS('05_상품별배치367'!$K$7:$K$373,'05_상품별배치367'!$E$7:$E$373,A24,'05_상품별배치367'!$H$7:$H$373,"본진")</f>
        <v>0</v>
      </c>
      <c r="P24" s="7">
        <f>SUMIFS('05_상품별배치367'!$K$7:$K$373,'05_상품별배치367'!$E$7:$E$373,A24,'05_상품별배치367'!$H$7:$H$373,"추가 진열")</f>
        <v>0</v>
      </c>
      <c r="Q24" s="7">
        <f>O24+P24</f>
        <v>0</v>
      </c>
      <c r="R24" s="7">
        <v>0</v>
      </c>
      <c r="S24" s="6" t="s">
        <v>1672</v>
      </c>
      <c r="T24" s="6" t="s">
        <v>1637</v>
      </c>
      <c r="U24" s="6"/>
      <c r="V24" s="16"/>
      <c r="W24" s="16"/>
      <c r="X24" s="16"/>
      <c r="Y24" s="6" t="s">
        <v>1627</v>
      </c>
      <c r="Z24" s="15"/>
      <c r="AA24" s="15" t="s">
        <v>1628</v>
      </c>
    </row>
    <row r="25" spans="1:27" ht="33" customHeight="1">
      <c r="A25" s="6" t="s">
        <v>2591</v>
      </c>
      <c r="B25" s="7">
        <v>369</v>
      </c>
      <c r="C25" s="6" t="s">
        <v>2592</v>
      </c>
      <c r="D25" s="6" t="s">
        <v>2593</v>
      </c>
      <c r="E25" s="6" t="s">
        <v>1666</v>
      </c>
      <c r="F25" s="6" t="s">
        <v>1852</v>
      </c>
      <c r="G25" s="6" t="s">
        <v>1853</v>
      </c>
      <c r="H25" s="6"/>
      <c r="I25" s="14" t="s">
        <v>1669</v>
      </c>
      <c r="J25" s="15"/>
      <c r="K25" s="6" t="s">
        <v>1670</v>
      </c>
      <c r="L25" s="6"/>
      <c r="M25" s="6" t="s">
        <v>1671</v>
      </c>
      <c r="N25" s="6" t="s">
        <v>1624</v>
      </c>
      <c r="O25" s="7">
        <f>SUMIFS('05_상품별배치367'!$K$7:$K$373,'05_상품별배치367'!$E$7:$E$373,A25,'05_상품별배치367'!$H$7:$H$373,"본진")</f>
        <v>0</v>
      </c>
      <c r="P25" s="7">
        <f>SUMIFS('05_상품별배치367'!$K$7:$K$373,'05_상품별배치367'!$E$7:$E$373,A25,'05_상품별배치367'!$H$7:$H$373,"추가 진열")</f>
        <v>0</v>
      </c>
      <c r="Q25" s="7">
        <f>O25+P25</f>
        <v>0</v>
      </c>
      <c r="R25" s="7">
        <v>0</v>
      </c>
      <c r="S25" s="6" t="s">
        <v>1672</v>
      </c>
      <c r="T25" s="6" t="s">
        <v>1637</v>
      </c>
      <c r="U25" s="6"/>
      <c r="V25" s="16"/>
      <c r="W25" s="16"/>
      <c r="X25" s="16"/>
      <c r="Y25" s="6" t="s">
        <v>1655</v>
      </c>
      <c r="Z25" s="15"/>
      <c r="AA25" s="15" t="s">
        <v>1628</v>
      </c>
    </row>
    <row r="26" spans="1:27" ht="33" customHeight="1">
      <c r="A26" s="6" t="s">
        <v>2597</v>
      </c>
      <c r="B26" s="7">
        <v>371</v>
      </c>
      <c r="C26" s="6" t="s">
        <v>2598</v>
      </c>
      <c r="D26" s="6" t="s">
        <v>2593</v>
      </c>
      <c r="E26" s="6" t="s">
        <v>1666</v>
      </c>
      <c r="F26" s="6" t="s">
        <v>1852</v>
      </c>
      <c r="G26" s="6" t="s">
        <v>1853</v>
      </c>
      <c r="H26" s="6"/>
      <c r="I26" s="14" t="s">
        <v>1669</v>
      </c>
      <c r="J26" s="15"/>
      <c r="K26" s="6" t="s">
        <v>1670</v>
      </c>
      <c r="L26" s="6"/>
      <c r="M26" s="6" t="s">
        <v>1671</v>
      </c>
      <c r="N26" s="6" t="s">
        <v>1624</v>
      </c>
      <c r="O26" s="7">
        <f>SUMIFS('05_상품별배치367'!$K$7:$K$373,'05_상품별배치367'!$E$7:$E$373,A26,'05_상품별배치367'!$H$7:$H$373,"본진")</f>
        <v>0</v>
      </c>
      <c r="P26" s="7">
        <f>SUMIFS('05_상품별배치367'!$K$7:$K$373,'05_상품별배치367'!$E$7:$E$373,A26,'05_상품별배치367'!$H$7:$H$373,"추가 진열")</f>
        <v>0</v>
      </c>
      <c r="Q26" s="7">
        <f>O26+P26</f>
        <v>0</v>
      </c>
      <c r="R26" s="7">
        <v>0</v>
      </c>
      <c r="S26" s="6" t="s">
        <v>1672</v>
      </c>
      <c r="T26" s="6" t="s">
        <v>1637</v>
      </c>
      <c r="U26" s="6"/>
      <c r="V26" s="16"/>
      <c r="W26" s="16"/>
      <c r="X26" s="16"/>
      <c r="Y26" s="6" t="s">
        <v>1655</v>
      </c>
      <c r="Z26" s="15"/>
      <c r="AA26" s="15" t="s">
        <v>1628</v>
      </c>
    </row>
    <row r="27" spans="1:27" ht="33" customHeight="1">
      <c r="A27" s="8" t="s">
        <v>2599</v>
      </c>
      <c r="B27" s="9">
        <v>372</v>
      </c>
      <c r="C27" s="8" t="s">
        <v>2598</v>
      </c>
      <c r="D27" s="8" t="s">
        <v>2596</v>
      </c>
      <c r="E27" s="8" t="s">
        <v>1666</v>
      </c>
      <c r="F27" s="8" t="s">
        <v>1852</v>
      </c>
      <c r="G27" s="8" t="s">
        <v>1853</v>
      </c>
      <c r="H27" s="8"/>
      <c r="I27" s="14" t="s">
        <v>1669</v>
      </c>
      <c r="J27" s="15"/>
      <c r="K27" s="8" t="s">
        <v>1670</v>
      </c>
      <c r="L27" s="8"/>
      <c r="M27" s="6" t="s">
        <v>1671</v>
      </c>
      <c r="N27" s="6" t="s">
        <v>1624</v>
      </c>
      <c r="O27" s="7">
        <f>SUMIFS('05_상품별배치367'!$K$7:$K$373,'05_상품별배치367'!$E$7:$E$373,A27,'05_상품별배치367'!$H$7:$H$373,"본진")</f>
        <v>0</v>
      </c>
      <c r="P27" s="7">
        <f>SUMIFS('05_상품별배치367'!$K$7:$K$373,'05_상품별배치367'!$E$7:$E$373,A27,'05_상품별배치367'!$H$7:$H$373,"추가 진열")</f>
        <v>0</v>
      </c>
      <c r="Q27" s="7">
        <f>O27+P27</f>
        <v>0</v>
      </c>
      <c r="R27" s="7">
        <v>0</v>
      </c>
      <c r="S27" s="6" t="s">
        <v>1672</v>
      </c>
      <c r="T27" s="6" t="s">
        <v>1637</v>
      </c>
      <c r="U27" s="6"/>
      <c r="V27" s="16"/>
      <c r="W27" s="16"/>
      <c r="X27" s="16"/>
      <c r="Y27" s="6" t="s">
        <v>1627</v>
      </c>
      <c r="Z27" s="15"/>
      <c r="AA27" s="15" t="s">
        <v>1628</v>
      </c>
    </row>
    <row r="28" spans="1:27" ht="33" customHeight="1">
      <c r="A28" s="8" t="s">
        <v>2618</v>
      </c>
      <c r="B28" s="9">
        <v>380</v>
      </c>
      <c r="C28" s="8" t="s">
        <v>2619</v>
      </c>
      <c r="D28" s="8" t="s">
        <v>2612</v>
      </c>
      <c r="E28" s="8" t="s">
        <v>1666</v>
      </c>
      <c r="F28" s="8" t="s">
        <v>1852</v>
      </c>
      <c r="G28" s="8" t="s">
        <v>1853</v>
      </c>
      <c r="H28" s="8"/>
      <c r="I28" s="14" t="s">
        <v>1669</v>
      </c>
      <c r="J28" s="15"/>
      <c r="K28" s="8" t="s">
        <v>1670</v>
      </c>
      <c r="L28" s="8"/>
      <c r="M28" s="6" t="s">
        <v>1671</v>
      </c>
      <c r="N28" s="6" t="s">
        <v>1624</v>
      </c>
      <c r="O28" s="7">
        <f>SUMIFS('05_상품별배치367'!$K$7:$K$373,'05_상품별배치367'!$E$7:$E$373,A28,'05_상품별배치367'!$H$7:$H$373,"본진")</f>
        <v>0</v>
      </c>
      <c r="P28" s="7">
        <f>SUMIFS('05_상품별배치367'!$K$7:$K$373,'05_상품별배치367'!$E$7:$E$373,A28,'05_상품별배치367'!$H$7:$H$373,"추가 진열")</f>
        <v>0</v>
      </c>
      <c r="Q28" s="7">
        <f>O28+P28</f>
        <v>0</v>
      </c>
      <c r="R28" s="7">
        <v>0</v>
      </c>
      <c r="S28" s="6" t="s">
        <v>1672</v>
      </c>
      <c r="T28" s="6" t="s">
        <v>1637</v>
      </c>
      <c r="U28" s="6"/>
      <c r="V28" s="16"/>
      <c r="W28" s="16"/>
      <c r="X28" s="16"/>
      <c r="Y28" s="6" t="s">
        <v>1627</v>
      </c>
      <c r="Z28" s="15"/>
      <c r="AA28" s="15" t="s">
        <v>1628</v>
      </c>
    </row>
    <row r="29" spans="1:27" ht="33" customHeight="1">
      <c r="A29" s="8" t="s">
        <v>2613</v>
      </c>
      <c r="B29" s="9">
        <v>378</v>
      </c>
      <c r="C29" s="8" t="s">
        <v>2614</v>
      </c>
      <c r="D29" s="8" t="s">
        <v>2612</v>
      </c>
      <c r="E29" s="8" t="s">
        <v>1666</v>
      </c>
      <c r="F29" s="8" t="s">
        <v>1852</v>
      </c>
      <c r="G29" s="8" t="s">
        <v>1853</v>
      </c>
      <c r="H29" s="8"/>
      <c r="I29" s="14" t="s">
        <v>1669</v>
      </c>
      <c r="J29" s="15"/>
      <c r="K29" s="8" t="s">
        <v>1670</v>
      </c>
      <c r="L29" s="8"/>
      <c r="M29" s="6" t="s">
        <v>1671</v>
      </c>
      <c r="N29" s="6" t="s">
        <v>1624</v>
      </c>
      <c r="O29" s="7">
        <f>SUMIFS('05_상품별배치367'!$K$7:$K$373,'05_상품별배치367'!$E$7:$E$373,A29,'05_상품별배치367'!$H$7:$H$373,"본진")</f>
        <v>0</v>
      </c>
      <c r="P29" s="7">
        <f>SUMIFS('05_상품별배치367'!$K$7:$K$373,'05_상품별배치367'!$E$7:$E$373,A29,'05_상품별배치367'!$H$7:$H$373,"추가 진열")</f>
        <v>0</v>
      </c>
      <c r="Q29" s="7">
        <f>O29+P29</f>
        <v>0</v>
      </c>
      <c r="R29" s="7">
        <v>0</v>
      </c>
      <c r="S29" s="6" t="s">
        <v>1672</v>
      </c>
      <c r="T29" s="6" t="s">
        <v>1637</v>
      </c>
      <c r="U29" s="6"/>
      <c r="V29" s="16"/>
      <c r="W29" s="16"/>
      <c r="X29" s="16"/>
      <c r="Y29" s="6" t="s">
        <v>1627</v>
      </c>
      <c r="Z29" s="15"/>
      <c r="AA29" s="15" t="s">
        <v>1628</v>
      </c>
    </row>
    <row r="30" spans="1:27" ht="33" customHeight="1">
      <c r="A30" s="6" t="s">
        <v>2615</v>
      </c>
      <c r="B30" s="7">
        <v>379</v>
      </c>
      <c r="C30" s="6" t="s">
        <v>2616</v>
      </c>
      <c r="D30" s="6" t="s">
        <v>2617</v>
      </c>
      <c r="E30" s="6" t="s">
        <v>1666</v>
      </c>
      <c r="F30" s="6" t="s">
        <v>1852</v>
      </c>
      <c r="G30" s="6" t="s">
        <v>1853</v>
      </c>
      <c r="H30" s="6"/>
      <c r="I30" s="14" t="s">
        <v>1669</v>
      </c>
      <c r="J30" s="15"/>
      <c r="K30" s="6" t="s">
        <v>1670</v>
      </c>
      <c r="L30" s="6"/>
      <c r="M30" s="6" t="s">
        <v>1671</v>
      </c>
      <c r="N30" s="6" t="s">
        <v>1624</v>
      </c>
      <c r="O30" s="7">
        <f>SUMIFS('05_상품별배치367'!$K$7:$K$373,'05_상품별배치367'!$E$7:$E$373,A30,'05_상품별배치367'!$H$7:$H$373,"본진")</f>
        <v>0</v>
      </c>
      <c r="P30" s="7">
        <f>SUMIFS('05_상품별배치367'!$K$7:$K$373,'05_상품별배치367'!$E$7:$E$373,A30,'05_상품별배치367'!$H$7:$H$373,"추가 진열")</f>
        <v>0</v>
      </c>
      <c r="Q30" s="7">
        <f>O30+P30</f>
        <v>0</v>
      </c>
      <c r="R30" s="7">
        <v>0</v>
      </c>
      <c r="S30" s="6" t="s">
        <v>1672</v>
      </c>
      <c r="T30" s="6" t="s">
        <v>1637</v>
      </c>
      <c r="U30" s="6"/>
      <c r="V30" s="16"/>
      <c r="W30" s="16"/>
      <c r="X30" s="16"/>
      <c r="Y30" s="6" t="s">
        <v>1627</v>
      </c>
      <c r="Z30" s="15"/>
      <c r="AA30" s="15" t="s">
        <v>1628</v>
      </c>
    </row>
    <row r="31" spans="1:27" ht="33" customHeight="1">
      <c r="A31" s="6" t="s">
        <v>2610</v>
      </c>
      <c r="B31" s="7">
        <v>377</v>
      </c>
      <c r="C31" s="6" t="s">
        <v>2611</v>
      </c>
      <c r="D31" s="6" t="s">
        <v>2612</v>
      </c>
      <c r="E31" s="6" t="s">
        <v>1666</v>
      </c>
      <c r="F31" s="6" t="s">
        <v>1852</v>
      </c>
      <c r="G31" s="6" t="s">
        <v>1853</v>
      </c>
      <c r="H31" s="6"/>
      <c r="I31" s="14" t="s">
        <v>1669</v>
      </c>
      <c r="J31" s="15"/>
      <c r="K31" s="6" t="s">
        <v>1670</v>
      </c>
      <c r="L31" s="6"/>
      <c r="M31" s="6" t="s">
        <v>1671</v>
      </c>
      <c r="N31" s="6" t="s">
        <v>1624</v>
      </c>
      <c r="O31" s="7">
        <f>SUMIFS('05_상품별배치367'!$K$7:$K$373,'05_상품별배치367'!$E$7:$E$373,A31,'05_상품별배치367'!$H$7:$H$373,"본진")</f>
        <v>0</v>
      </c>
      <c r="P31" s="7">
        <f>SUMIFS('05_상품별배치367'!$K$7:$K$373,'05_상품별배치367'!$E$7:$E$373,A31,'05_상품별배치367'!$H$7:$H$373,"추가 진열")</f>
        <v>0</v>
      </c>
      <c r="Q31" s="7">
        <f>O31+P31</f>
        <v>0</v>
      </c>
      <c r="R31" s="7">
        <v>0</v>
      </c>
      <c r="S31" s="6" t="s">
        <v>1672</v>
      </c>
      <c r="T31" s="6" t="s">
        <v>1637</v>
      </c>
      <c r="U31" s="6"/>
      <c r="V31" s="16"/>
      <c r="W31" s="16"/>
      <c r="X31" s="16"/>
      <c r="Y31" s="6" t="s">
        <v>1627</v>
      </c>
      <c r="Z31" s="15"/>
      <c r="AA31" s="15" t="s">
        <v>1628</v>
      </c>
    </row>
    <row r="32" spans="1:27" ht="33" customHeight="1">
      <c r="A32" s="8" t="s">
        <v>1169</v>
      </c>
      <c r="B32" s="9">
        <v>130</v>
      </c>
      <c r="C32" s="8" t="s">
        <v>1168</v>
      </c>
      <c r="D32" s="8" t="s">
        <v>1851</v>
      </c>
      <c r="E32" s="8" t="s">
        <v>1620</v>
      </c>
      <c r="F32" s="8" t="s">
        <v>1163</v>
      </c>
      <c r="G32" s="8" t="s">
        <v>323</v>
      </c>
      <c r="H32" s="8" t="s">
        <v>1167</v>
      </c>
      <c r="I32" s="14" t="s">
        <v>1992</v>
      </c>
      <c r="J32" s="15"/>
      <c r="K32" s="8" t="s">
        <v>1622</v>
      </c>
      <c r="L32" s="8"/>
      <c r="M32" s="6" t="s">
        <v>1993</v>
      </c>
      <c r="N32" s="6" t="s">
        <v>1624</v>
      </c>
      <c r="O32" s="7">
        <f>SUMIFS('05_상품별배치367'!$K$7:$K$373,'05_상품별배치367'!$E$7:$E$373,A32,'05_상품별배치367'!$H$7:$H$373,"본진")</f>
        <v>1</v>
      </c>
      <c r="P32" s="7">
        <f>SUMIFS('05_상품별배치367'!$K$7:$K$373,'05_상품별배치367'!$E$7:$E$373,A32,'05_상품별배치367'!$H$7:$H$373,"추가 진열")</f>
        <v>0</v>
      </c>
      <c r="Q32" s="7">
        <f>O32+P32</f>
        <v>1</v>
      </c>
      <c r="R32" s="7">
        <v>1</v>
      </c>
      <c r="S32" s="6" t="s">
        <v>1994</v>
      </c>
      <c r="T32" s="6" t="s">
        <v>1637</v>
      </c>
      <c r="U32" s="6"/>
      <c r="V32" s="16"/>
      <c r="W32" s="16"/>
      <c r="X32" s="16"/>
      <c r="Y32" s="6" t="s">
        <v>1627</v>
      </c>
      <c r="Z32" s="15"/>
      <c r="AA32" s="15" t="s">
        <v>1628</v>
      </c>
    </row>
    <row r="33" spans="1:27" ht="33" customHeight="1">
      <c r="A33" s="6" t="s">
        <v>7065</v>
      </c>
      <c r="B33" s="7">
        <v>2437</v>
      </c>
      <c r="C33" s="6" t="s">
        <v>7066</v>
      </c>
      <c r="D33" s="6" t="s">
        <v>7058</v>
      </c>
      <c r="E33" s="6" t="s">
        <v>1997</v>
      </c>
      <c r="F33" s="6" t="s">
        <v>1998</v>
      </c>
      <c r="G33" s="6" t="s">
        <v>1668</v>
      </c>
      <c r="H33" s="6"/>
      <c r="I33" s="14" t="s">
        <v>1999</v>
      </c>
      <c r="J33" s="15"/>
      <c r="K33" s="6" t="s">
        <v>2000</v>
      </c>
      <c r="L33" s="6" t="s">
        <v>2001</v>
      </c>
      <c r="M33" s="6" t="s">
        <v>1671</v>
      </c>
      <c r="N33" s="6" t="s">
        <v>1644</v>
      </c>
      <c r="O33" s="7">
        <f>SUMIFS('05_상품별배치367'!$K$7:$K$373,'05_상품별배치367'!$E$7:$E$373,A33,'05_상품별배치367'!$H$7:$H$373,"본진")</f>
        <v>0</v>
      </c>
      <c r="P33" s="7">
        <f>SUMIFS('05_상품별배치367'!$K$7:$K$373,'05_상품별배치367'!$E$7:$E$373,A33,'05_상품별배치367'!$H$7:$H$373,"추가 진열")</f>
        <v>0</v>
      </c>
      <c r="Q33" s="7">
        <f>O33+P33</f>
        <v>0</v>
      </c>
      <c r="R33" s="7">
        <v>0</v>
      </c>
      <c r="S33" s="6" t="s">
        <v>2002</v>
      </c>
      <c r="T33" s="6" t="s">
        <v>1637</v>
      </c>
      <c r="U33" s="6"/>
      <c r="V33" s="16"/>
      <c r="W33" s="16"/>
      <c r="X33" s="16"/>
      <c r="Y33" s="6" t="s">
        <v>1627</v>
      </c>
      <c r="Z33" s="15"/>
      <c r="AA33" s="15" t="s">
        <v>1628</v>
      </c>
    </row>
    <row r="34" spans="1:27" ht="33" customHeight="1">
      <c r="A34" s="8" t="s">
        <v>4901</v>
      </c>
      <c r="B34" s="9">
        <v>1432</v>
      </c>
      <c r="C34" s="8" t="s">
        <v>4902</v>
      </c>
      <c r="D34" s="8" t="s">
        <v>4898</v>
      </c>
      <c r="E34" s="8" t="s">
        <v>2134</v>
      </c>
      <c r="F34" s="8" t="s">
        <v>2933</v>
      </c>
      <c r="G34" s="8" t="s">
        <v>1668</v>
      </c>
      <c r="H34" s="8"/>
      <c r="I34" s="14" t="s">
        <v>1807</v>
      </c>
      <c r="J34" s="15"/>
      <c r="K34" s="8" t="s">
        <v>1976</v>
      </c>
      <c r="L34" s="8" t="s">
        <v>2032</v>
      </c>
      <c r="M34" s="6" t="s">
        <v>1809</v>
      </c>
      <c r="N34" s="6" t="s">
        <v>1644</v>
      </c>
      <c r="O34" s="7">
        <f>SUMIFS('05_상품별배치367'!$K$7:$K$373,'05_상품별배치367'!$E$7:$E$373,A34,'05_상품별배치367'!$H$7:$H$373,"본진")</f>
        <v>0</v>
      </c>
      <c r="P34" s="7">
        <f>SUMIFS('05_상품별배치367'!$K$7:$K$373,'05_상품별배치367'!$E$7:$E$373,A34,'05_상품별배치367'!$H$7:$H$373,"추가 진열")</f>
        <v>0</v>
      </c>
      <c r="Q34" s="7">
        <f>O34+P34</f>
        <v>0</v>
      </c>
      <c r="R34" s="7">
        <v>0</v>
      </c>
      <c r="S34" s="6" t="s">
        <v>1810</v>
      </c>
      <c r="T34" s="6" t="s">
        <v>1637</v>
      </c>
      <c r="U34" s="6"/>
      <c r="V34" s="16"/>
      <c r="W34" s="16"/>
      <c r="X34" s="16"/>
      <c r="Y34" s="6" t="s">
        <v>1655</v>
      </c>
      <c r="Z34" s="15"/>
      <c r="AA34" s="15" t="s">
        <v>1628</v>
      </c>
    </row>
    <row r="35" spans="1:27" ht="33" customHeight="1">
      <c r="A35" s="6" t="s">
        <v>4903</v>
      </c>
      <c r="B35" s="7">
        <v>1433</v>
      </c>
      <c r="C35" s="6" t="s">
        <v>4904</v>
      </c>
      <c r="D35" s="6" t="s">
        <v>2572</v>
      </c>
      <c r="E35" s="6" t="s">
        <v>2134</v>
      </c>
      <c r="F35" s="6" t="s">
        <v>2933</v>
      </c>
      <c r="G35" s="6" t="s">
        <v>1668</v>
      </c>
      <c r="H35" s="6"/>
      <c r="I35" s="14" t="s">
        <v>1807</v>
      </c>
      <c r="J35" s="15"/>
      <c r="K35" s="6" t="s">
        <v>1976</v>
      </c>
      <c r="L35" s="6" t="s">
        <v>2032</v>
      </c>
      <c r="M35" s="6" t="s">
        <v>1809</v>
      </c>
      <c r="N35" s="6" t="s">
        <v>1644</v>
      </c>
      <c r="O35" s="7">
        <f>SUMIFS('05_상품별배치367'!$K$7:$K$373,'05_상품별배치367'!$E$7:$E$373,A35,'05_상품별배치367'!$H$7:$H$373,"본진")</f>
        <v>0</v>
      </c>
      <c r="P35" s="7">
        <f>SUMIFS('05_상품별배치367'!$K$7:$K$373,'05_상품별배치367'!$E$7:$E$373,A35,'05_상품별배치367'!$H$7:$H$373,"추가 진열")</f>
        <v>0</v>
      </c>
      <c r="Q35" s="7">
        <f>O35+P35</f>
        <v>0</v>
      </c>
      <c r="R35" s="7">
        <v>0</v>
      </c>
      <c r="S35" s="6" t="s">
        <v>1810</v>
      </c>
      <c r="T35" s="6" t="s">
        <v>1637</v>
      </c>
      <c r="U35" s="6"/>
      <c r="V35" s="16"/>
      <c r="W35" s="16"/>
      <c r="X35" s="16"/>
      <c r="Y35" s="6" t="s">
        <v>1627</v>
      </c>
      <c r="Z35" s="15"/>
      <c r="AA35" s="15" t="s">
        <v>1628</v>
      </c>
    </row>
    <row r="36" spans="1:27" ht="33" customHeight="1">
      <c r="A36" s="8" t="s">
        <v>4896</v>
      </c>
      <c r="B36" s="9">
        <v>1430</v>
      </c>
      <c r="C36" s="8" t="s">
        <v>4897</v>
      </c>
      <c r="D36" s="8" t="s">
        <v>4898</v>
      </c>
      <c r="E36" s="8" t="s">
        <v>2134</v>
      </c>
      <c r="F36" s="8" t="s">
        <v>156</v>
      </c>
      <c r="G36" s="8" t="s">
        <v>3239</v>
      </c>
      <c r="H36" s="8"/>
      <c r="I36" s="14" t="s">
        <v>1642</v>
      </c>
      <c r="J36" s="15"/>
      <c r="K36" s="8" t="s">
        <v>1976</v>
      </c>
      <c r="L36" s="8"/>
      <c r="M36" s="6" t="s">
        <v>1643</v>
      </c>
      <c r="N36" s="6" t="s">
        <v>1644</v>
      </c>
      <c r="O36" s="7">
        <f>SUMIFS('05_상품별배치367'!$K$7:$K$373,'05_상품별배치367'!$E$7:$E$373,A36,'05_상품별배치367'!$H$7:$H$373,"본진")</f>
        <v>0</v>
      </c>
      <c r="P36" s="7">
        <f>SUMIFS('05_상품별배치367'!$K$7:$K$373,'05_상품별배치367'!$E$7:$E$373,A36,'05_상품별배치367'!$H$7:$H$373,"추가 진열")</f>
        <v>0</v>
      </c>
      <c r="Q36" s="7">
        <f>O36+P36</f>
        <v>0</v>
      </c>
      <c r="R36" s="7">
        <v>1</v>
      </c>
      <c r="S36" s="6" t="s">
        <v>3240</v>
      </c>
      <c r="T36" s="6" t="s">
        <v>1637</v>
      </c>
      <c r="U36" s="6"/>
      <c r="V36" s="16"/>
      <c r="W36" s="16"/>
      <c r="X36" s="16"/>
      <c r="Y36" s="6" t="s">
        <v>1655</v>
      </c>
      <c r="Z36" s="15"/>
      <c r="AA36" s="15" t="s">
        <v>1628</v>
      </c>
    </row>
    <row r="37" spans="1:27" ht="33" customHeight="1">
      <c r="A37" s="6" t="s">
        <v>4899</v>
      </c>
      <c r="B37" s="7">
        <v>1431</v>
      </c>
      <c r="C37" s="6" t="s">
        <v>4900</v>
      </c>
      <c r="D37" s="6" t="s">
        <v>2572</v>
      </c>
      <c r="E37" s="6" t="s">
        <v>2134</v>
      </c>
      <c r="F37" s="6" t="s">
        <v>156</v>
      </c>
      <c r="G37" s="6" t="s">
        <v>3239</v>
      </c>
      <c r="H37" s="6"/>
      <c r="I37" s="14" t="s">
        <v>1642</v>
      </c>
      <c r="J37" s="15"/>
      <c r="K37" s="6" t="s">
        <v>1976</v>
      </c>
      <c r="L37" s="6"/>
      <c r="M37" s="6" t="s">
        <v>1643</v>
      </c>
      <c r="N37" s="6" t="s">
        <v>1644</v>
      </c>
      <c r="O37" s="7">
        <f>SUMIFS('05_상품별배치367'!$K$7:$K$373,'05_상품별배치367'!$E$7:$E$373,A37,'05_상품별배치367'!$H$7:$H$373,"본진")</f>
        <v>0</v>
      </c>
      <c r="P37" s="7">
        <f>SUMIFS('05_상품별배치367'!$K$7:$K$373,'05_상품별배치367'!$E$7:$E$373,A37,'05_상품별배치367'!$H$7:$H$373,"추가 진열")</f>
        <v>0</v>
      </c>
      <c r="Q37" s="7">
        <f>O37+P37</f>
        <v>0</v>
      </c>
      <c r="R37" s="7">
        <v>1</v>
      </c>
      <c r="S37" s="6" t="s">
        <v>3240</v>
      </c>
      <c r="T37" s="6" t="s">
        <v>1637</v>
      </c>
      <c r="U37" s="6"/>
      <c r="V37" s="16"/>
      <c r="W37" s="16"/>
      <c r="X37" s="16"/>
      <c r="Y37" s="6" t="s">
        <v>1627</v>
      </c>
      <c r="Z37" s="15"/>
      <c r="AA37" s="15" t="s">
        <v>1628</v>
      </c>
    </row>
    <row r="38" spans="1:27" ht="33" customHeight="1">
      <c r="A38" s="8" t="s">
        <v>4905</v>
      </c>
      <c r="B38" s="9">
        <v>1434</v>
      </c>
      <c r="C38" s="8" t="s">
        <v>4906</v>
      </c>
      <c r="D38" s="8" t="s">
        <v>1937</v>
      </c>
      <c r="E38" s="8" t="s">
        <v>2134</v>
      </c>
      <c r="F38" s="8" t="s">
        <v>2933</v>
      </c>
      <c r="G38" s="8" t="s">
        <v>1668</v>
      </c>
      <c r="H38" s="8"/>
      <c r="I38" s="14" t="s">
        <v>1807</v>
      </c>
      <c r="J38" s="15"/>
      <c r="K38" s="8" t="s">
        <v>1976</v>
      </c>
      <c r="L38" s="8" t="s">
        <v>2032</v>
      </c>
      <c r="M38" s="6" t="s">
        <v>1809</v>
      </c>
      <c r="N38" s="6" t="s">
        <v>1644</v>
      </c>
      <c r="O38" s="7">
        <f>SUMIFS('05_상품별배치367'!$K$7:$K$373,'05_상품별배치367'!$E$7:$E$373,A38,'05_상품별배치367'!$H$7:$H$373,"본진")</f>
        <v>0</v>
      </c>
      <c r="P38" s="7">
        <f>SUMIFS('05_상품별배치367'!$K$7:$K$373,'05_상품별배치367'!$E$7:$E$373,A38,'05_상품별배치367'!$H$7:$H$373,"추가 진열")</f>
        <v>0</v>
      </c>
      <c r="Q38" s="7">
        <f>O38+P38</f>
        <v>0</v>
      </c>
      <c r="R38" s="7">
        <v>0</v>
      </c>
      <c r="S38" s="6" t="s">
        <v>1810</v>
      </c>
      <c r="T38" s="6" t="s">
        <v>1637</v>
      </c>
      <c r="U38" s="6"/>
      <c r="V38" s="16"/>
      <c r="W38" s="16"/>
      <c r="X38" s="16"/>
      <c r="Y38" s="6" t="s">
        <v>1627</v>
      </c>
      <c r="Z38" s="15"/>
      <c r="AA38" s="15" t="s">
        <v>1628</v>
      </c>
    </row>
    <row r="39" spans="1:27" ht="33" customHeight="1">
      <c r="A39" s="6" t="s">
        <v>4894</v>
      </c>
      <c r="B39" s="7">
        <v>1429</v>
      </c>
      <c r="C39" s="6" t="s">
        <v>4895</v>
      </c>
      <c r="D39" s="6" t="s">
        <v>2133</v>
      </c>
      <c r="E39" s="6" t="s">
        <v>2134</v>
      </c>
      <c r="F39" s="6" t="s">
        <v>163</v>
      </c>
      <c r="G39" s="6" t="s">
        <v>414</v>
      </c>
      <c r="H39" s="6"/>
      <c r="I39" s="14" t="s">
        <v>1642</v>
      </c>
      <c r="J39" s="15"/>
      <c r="K39" s="6" t="s">
        <v>1976</v>
      </c>
      <c r="L39" s="6"/>
      <c r="M39" s="6" t="s">
        <v>1643</v>
      </c>
      <c r="N39" s="6" t="s">
        <v>1644</v>
      </c>
      <c r="O39" s="7">
        <f>SUMIFS('05_상품별배치367'!$K$7:$K$373,'05_상품별배치367'!$E$7:$E$373,A39,'05_상품별배치367'!$H$7:$H$373,"본진")</f>
        <v>0</v>
      </c>
      <c r="P39" s="7">
        <f>SUMIFS('05_상품별배치367'!$K$7:$K$373,'05_상품별배치367'!$E$7:$E$373,A39,'05_상품별배치367'!$H$7:$H$373,"추가 진열")</f>
        <v>0</v>
      </c>
      <c r="Q39" s="7">
        <f>O39+P39</f>
        <v>0</v>
      </c>
      <c r="R39" s="7">
        <v>1</v>
      </c>
      <c r="S39" s="6" t="s">
        <v>3048</v>
      </c>
      <c r="T39" s="6" t="s">
        <v>1637</v>
      </c>
      <c r="U39" s="6"/>
      <c r="V39" s="16"/>
      <c r="W39" s="16"/>
      <c r="X39" s="16"/>
      <c r="Y39" s="6" t="s">
        <v>1627</v>
      </c>
      <c r="Z39" s="15"/>
      <c r="AA39" s="15" t="s">
        <v>1628</v>
      </c>
    </row>
    <row r="40" spans="1:27" ht="33" customHeight="1">
      <c r="A40" s="6" t="s">
        <v>4907</v>
      </c>
      <c r="B40" s="7">
        <v>1435</v>
      </c>
      <c r="C40" s="6" t="s">
        <v>4908</v>
      </c>
      <c r="D40" s="6" t="s">
        <v>4898</v>
      </c>
      <c r="E40" s="6" t="s">
        <v>2134</v>
      </c>
      <c r="F40" s="6" t="s">
        <v>163</v>
      </c>
      <c r="G40" s="6" t="s">
        <v>414</v>
      </c>
      <c r="H40" s="6"/>
      <c r="I40" s="14" t="s">
        <v>1642</v>
      </c>
      <c r="J40" s="15"/>
      <c r="K40" s="6" t="s">
        <v>1976</v>
      </c>
      <c r="L40" s="6"/>
      <c r="M40" s="6" t="s">
        <v>1643</v>
      </c>
      <c r="N40" s="6" t="s">
        <v>1644</v>
      </c>
      <c r="O40" s="7">
        <f>SUMIFS('05_상품별배치367'!$K$7:$K$373,'05_상품별배치367'!$E$7:$E$373,A40,'05_상품별배치367'!$H$7:$H$373,"본진")</f>
        <v>0</v>
      </c>
      <c r="P40" s="7">
        <f>SUMIFS('05_상품별배치367'!$K$7:$K$373,'05_상품별배치367'!$E$7:$E$373,A40,'05_상품별배치367'!$H$7:$H$373,"추가 진열")</f>
        <v>0</v>
      </c>
      <c r="Q40" s="7">
        <f>O40+P40</f>
        <v>0</v>
      </c>
      <c r="R40" s="7">
        <v>1</v>
      </c>
      <c r="S40" s="6" t="s">
        <v>3048</v>
      </c>
      <c r="T40" s="6" t="s">
        <v>1637</v>
      </c>
      <c r="U40" s="6"/>
      <c r="V40" s="16"/>
      <c r="W40" s="16"/>
      <c r="X40" s="16"/>
      <c r="Y40" s="6" t="s">
        <v>1655</v>
      </c>
      <c r="Z40" s="15"/>
      <c r="AA40" s="15" t="s">
        <v>1628</v>
      </c>
    </row>
    <row r="41" spans="1:27" ht="33" customHeight="1">
      <c r="A41" s="8" t="s">
        <v>5934</v>
      </c>
      <c r="B41" s="9">
        <v>1920</v>
      </c>
      <c r="C41" s="8" t="s">
        <v>5935</v>
      </c>
      <c r="D41" s="8" t="s">
        <v>2572</v>
      </c>
      <c r="E41" s="8" t="s">
        <v>1632</v>
      </c>
      <c r="F41" s="8" t="s">
        <v>1034</v>
      </c>
      <c r="G41" s="8" t="s">
        <v>263</v>
      </c>
      <c r="H41" s="8" t="s">
        <v>1035</v>
      </c>
      <c r="I41" s="14" t="s">
        <v>1621</v>
      </c>
      <c r="J41" s="15"/>
      <c r="K41" s="8" t="s">
        <v>1634</v>
      </c>
      <c r="L41" s="8" t="s">
        <v>3828</v>
      </c>
      <c r="M41" s="6" t="s">
        <v>1623</v>
      </c>
      <c r="N41" s="6" t="s">
        <v>1624</v>
      </c>
      <c r="O41" s="7">
        <f>SUMIFS('05_상품별배치367'!$K$7:$K$373,'05_상품별배치367'!$E$7:$E$373,A41,'05_상품별배치367'!$H$7:$H$373,"본진")</f>
        <v>2</v>
      </c>
      <c r="P41" s="7">
        <f>SUMIFS('05_상품별배치367'!$K$7:$K$373,'05_상품별배치367'!$E$7:$E$373,A41,'05_상품별배치367'!$H$7:$H$373,"추가 진열")</f>
        <v>0</v>
      </c>
      <c r="Q41" s="7">
        <f>O41+P41</f>
        <v>2</v>
      </c>
      <c r="R41" s="7">
        <v>2</v>
      </c>
      <c r="S41" s="6" t="s">
        <v>1625</v>
      </c>
      <c r="T41" s="6" t="s">
        <v>1637</v>
      </c>
      <c r="U41" s="6"/>
      <c r="V41" s="16"/>
      <c r="W41" s="16"/>
      <c r="X41" s="16"/>
      <c r="Y41" s="6" t="s">
        <v>1627</v>
      </c>
      <c r="Z41" s="15"/>
      <c r="AA41" s="15" t="s">
        <v>1628</v>
      </c>
    </row>
    <row r="42" spans="1:27" ht="33" customHeight="1">
      <c r="A42" s="6" t="s">
        <v>4152</v>
      </c>
      <c r="B42" s="7">
        <v>1075</v>
      </c>
      <c r="C42" s="6" t="s">
        <v>4153</v>
      </c>
      <c r="D42" s="6" t="s">
        <v>4154</v>
      </c>
      <c r="E42" s="6" t="s">
        <v>2134</v>
      </c>
      <c r="F42" s="6" t="s">
        <v>842</v>
      </c>
      <c r="G42" s="6" t="s">
        <v>164</v>
      </c>
      <c r="H42" s="6"/>
      <c r="I42" s="14" t="s">
        <v>1642</v>
      </c>
      <c r="J42" s="15"/>
      <c r="K42" s="6" t="s">
        <v>1976</v>
      </c>
      <c r="L42" s="6"/>
      <c r="M42" s="6" t="s">
        <v>1643</v>
      </c>
      <c r="N42" s="6" t="s">
        <v>1644</v>
      </c>
      <c r="O42" s="7">
        <f>SUMIFS('05_상품별배치367'!$K$7:$K$373,'05_상품별배치367'!$E$7:$E$373,A42,'05_상품별배치367'!$H$7:$H$373,"본진")</f>
        <v>0</v>
      </c>
      <c r="P42" s="7">
        <f>SUMIFS('05_상품별배치367'!$K$7:$K$373,'05_상품별배치367'!$E$7:$E$373,A42,'05_상품별배치367'!$H$7:$H$373,"추가 진열")</f>
        <v>0</v>
      </c>
      <c r="Q42" s="7">
        <f>O42+P42</f>
        <v>0</v>
      </c>
      <c r="R42" s="7">
        <v>1</v>
      </c>
      <c r="S42" s="6" t="s">
        <v>3009</v>
      </c>
      <c r="T42" s="6" t="s">
        <v>1637</v>
      </c>
      <c r="U42" s="6"/>
      <c r="V42" s="16"/>
      <c r="W42" s="16"/>
      <c r="X42" s="16"/>
      <c r="Y42" s="6" t="s">
        <v>1655</v>
      </c>
      <c r="Z42" s="15"/>
      <c r="AA42" s="15" t="s">
        <v>1628</v>
      </c>
    </row>
    <row r="43" spans="1:27" ht="33" customHeight="1">
      <c r="A43" s="6" t="s">
        <v>4157</v>
      </c>
      <c r="B43" s="7">
        <v>1077</v>
      </c>
      <c r="C43" s="6" t="s">
        <v>4158</v>
      </c>
      <c r="D43" s="6" t="s">
        <v>3374</v>
      </c>
      <c r="E43" s="6" t="s">
        <v>2134</v>
      </c>
      <c r="F43" s="6" t="s">
        <v>162</v>
      </c>
      <c r="G43" s="6" t="s">
        <v>404</v>
      </c>
      <c r="H43" s="6"/>
      <c r="I43" s="14" t="s">
        <v>1642</v>
      </c>
      <c r="J43" s="15"/>
      <c r="K43" s="6" t="s">
        <v>1976</v>
      </c>
      <c r="L43" s="6"/>
      <c r="M43" s="6" t="s">
        <v>1643</v>
      </c>
      <c r="N43" s="6" t="s">
        <v>1644</v>
      </c>
      <c r="O43" s="7">
        <f>SUMIFS('05_상품별배치367'!$K$7:$K$373,'05_상품별배치367'!$E$7:$E$373,A43,'05_상품별배치367'!$H$7:$H$373,"본진")</f>
        <v>0</v>
      </c>
      <c r="P43" s="7">
        <f>SUMIFS('05_상품별배치367'!$K$7:$K$373,'05_상품별배치367'!$E$7:$E$373,A43,'05_상품별배치367'!$H$7:$H$373,"추가 진열")</f>
        <v>0</v>
      </c>
      <c r="Q43" s="7">
        <f>O43+P43</f>
        <v>0</v>
      </c>
      <c r="R43" s="7">
        <v>1</v>
      </c>
      <c r="S43" s="6" t="s">
        <v>2996</v>
      </c>
      <c r="T43" s="6" t="s">
        <v>1637</v>
      </c>
      <c r="U43" s="6"/>
      <c r="V43" s="16"/>
      <c r="W43" s="16"/>
      <c r="X43" s="16"/>
      <c r="Y43" s="6" t="s">
        <v>1627</v>
      </c>
      <c r="Z43" s="15"/>
      <c r="AA43" s="15" t="s">
        <v>1628</v>
      </c>
    </row>
    <row r="44" spans="1:27" ht="33" customHeight="1">
      <c r="A44" s="8" t="s">
        <v>4159</v>
      </c>
      <c r="B44" s="9">
        <v>1078</v>
      </c>
      <c r="C44" s="8" t="s">
        <v>4160</v>
      </c>
      <c r="D44" s="8" t="s">
        <v>3055</v>
      </c>
      <c r="E44" s="8" t="s">
        <v>2134</v>
      </c>
      <c r="F44" s="8" t="s">
        <v>481</v>
      </c>
      <c r="G44" s="8" t="s">
        <v>193</v>
      </c>
      <c r="H44" s="8"/>
      <c r="I44" s="14" t="s">
        <v>1642</v>
      </c>
      <c r="J44" s="15"/>
      <c r="K44" s="8" t="s">
        <v>1976</v>
      </c>
      <c r="L44" s="8"/>
      <c r="M44" s="6" t="s">
        <v>1643</v>
      </c>
      <c r="N44" s="6" t="s">
        <v>1644</v>
      </c>
      <c r="O44" s="7">
        <f>SUMIFS('05_상품별배치367'!$K$7:$K$373,'05_상품별배치367'!$E$7:$E$373,A44,'05_상품별배치367'!$H$7:$H$373,"본진")</f>
        <v>0</v>
      </c>
      <c r="P44" s="7">
        <f>SUMIFS('05_상품별배치367'!$K$7:$K$373,'05_상품별배치367'!$E$7:$E$373,A44,'05_상품별배치367'!$H$7:$H$373,"추가 진열")</f>
        <v>0</v>
      </c>
      <c r="Q44" s="7">
        <f>O44+P44</f>
        <v>0</v>
      </c>
      <c r="R44" s="7">
        <v>1</v>
      </c>
      <c r="S44" s="6" t="s">
        <v>3000</v>
      </c>
      <c r="T44" s="6" t="s">
        <v>1637</v>
      </c>
      <c r="U44" s="6"/>
      <c r="V44" s="16"/>
      <c r="W44" s="16"/>
      <c r="X44" s="16"/>
      <c r="Y44" s="6" t="s">
        <v>1627</v>
      </c>
      <c r="Z44" s="15"/>
      <c r="AA44" s="15" t="s">
        <v>1628</v>
      </c>
    </row>
    <row r="45" spans="1:27" ht="33" customHeight="1">
      <c r="A45" s="8" t="s">
        <v>4155</v>
      </c>
      <c r="B45" s="9">
        <v>1076</v>
      </c>
      <c r="C45" s="8" t="s">
        <v>4156</v>
      </c>
      <c r="D45" s="8" t="s">
        <v>2856</v>
      </c>
      <c r="E45" s="8" t="s">
        <v>2134</v>
      </c>
      <c r="F45" s="8" t="s">
        <v>2933</v>
      </c>
      <c r="G45" s="8" t="s">
        <v>1668</v>
      </c>
      <c r="H45" s="8"/>
      <c r="I45" s="14" t="s">
        <v>1807</v>
      </c>
      <c r="J45" s="15"/>
      <c r="K45" s="8" t="s">
        <v>1976</v>
      </c>
      <c r="L45" s="8" t="s">
        <v>2032</v>
      </c>
      <c r="M45" s="6" t="s">
        <v>1809</v>
      </c>
      <c r="N45" s="6" t="s">
        <v>1644</v>
      </c>
      <c r="O45" s="7">
        <f>SUMIFS('05_상품별배치367'!$K$7:$K$373,'05_상품별배치367'!$E$7:$E$373,A45,'05_상품별배치367'!$H$7:$H$373,"본진")</f>
        <v>0</v>
      </c>
      <c r="P45" s="7">
        <f>SUMIFS('05_상품별배치367'!$K$7:$K$373,'05_상품별배치367'!$E$7:$E$373,A45,'05_상품별배치367'!$H$7:$H$373,"추가 진열")</f>
        <v>0</v>
      </c>
      <c r="Q45" s="7">
        <f>O45+P45</f>
        <v>0</v>
      </c>
      <c r="R45" s="7">
        <v>0</v>
      </c>
      <c r="S45" s="6" t="s">
        <v>1810</v>
      </c>
      <c r="T45" s="6" t="s">
        <v>1637</v>
      </c>
      <c r="U45" s="6"/>
      <c r="V45" s="16"/>
      <c r="W45" s="16"/>
      <c r="X45" s="16"/>
      <c r="Y45" s="6" t="s">
        <v>1627</v>
      </c>
      <c r="Z45" s="15"/>
      <c r="AA45" s="15" t="s">
        <v>1628</v>
      </c>
    </row>
    <row r="46" spans="1:27" ht="33" customHeight="1">
      <c r="A46" s="6" t="s">
        <v>4161</v>
      </c>
      <c r="B46" s="7">
        <v>1079</v>
      </c>
      <c r="C46" s="6" t="s">
        <v>4162</v>
      </c>
      <c r="D46" s="6" t="s">
        <v>2007</v>
      </c>
      <c r="E46" s="6" t="s">
        <v>2134</v>
      </c>
      <c r="F46" s="6" t="s">
        <v>1263</v>
      </c>
      <c r="G46" s="6" t="s">
        <v>376</v>
      </c>
      <c r="H46" s="6"/>
      <c r="I46" s="14" t="s">
        <v>1642</v>
      </c>
      <c r="J46" s="15"/>
      <c r="K46" s="6" t="s">
        <v>1976</v>
      </c>
      <c r="L46" s="6"/>
      <c r="M46" s="6" t="s">
        <v>1643</v>
      </c>
      <c r="N46" s="6" t="s">
        <v>1644</v>
      </c>
      <c r="O46" s="7">
        <f>SUMIFS('05_상품별배치367'!$K$7:$K$373,'05_상품별배치367'!$E$7:$E$373,A46,'05_상품별배치367'!$H$7:$H$373,"본진")</f>
        <v>0</v>
      </c>
      <c r="P46" s="7">
        <f>SUMIFS('05_상품별배치367'!$K$7:$K$373,'05_상품별배치367'!$E$7:$E$373,A46,'05_상품별배치367'!$H$7:$H$373,"추가 진열")</f>
        <v>0</v>
      </c>
      <c r="Q46" s="7">
        <f>O46+P46</f>
        <v>0</v>
      </c>
      <c r="R46" s="7">
        <v>1</v>
      </c>
      <c r="S46" s="6" t="s">
        <v>3016</v>
      </c>
      <c r="T46" s="6" t="s">
        <v>1637</v>
      </c>
      <c r="U46" s="6"/>
      <c r="V46" s="16"/>
      <c r="W46" s="16"/>
      <c r="X46" s="16"/>
      <c r="Y46" s="6" t="s">
        <v>1627</v>
      </c>
      <c r="Z46" s="15"/>
      <c r="AA46" s="15" t="s">
        <v>1628</v>
      </c>
    </row>
    <row r="47" spans="1:27" ht="33" customHeight="1">
      <c r="A47" s="8" t="s">
        <v>4150</v>
      </c>
      <c r="B47" s="9">
        <v>1074</v>
      </c>
      <c r="C47" s="8" t="s">
        <v>4151</v>
      </c>
      <c r="D47" s="8" t="s">
        <v>4147</v>
      </c>
      <c r="E47" s="8" t="s">
        <v>1743</v>
      </c>
      <c r="F47" s="8" t="s">
        <v>2772</v>
      </c>
      <c r="G47" s="8" t="s">
        <v>1668</v>
      </c>
      <c r="H47" s="8"/>
      <c r="I47" s="14" t="s">
        <v>1669</v>
      </c>
      <c r="J47" s="15"/>
      <c r="K47" s="8" t="s">
        <v>1696</v>
      </c>
      <c r="L47" s="8" t="s">
        <v>2079</v>
      </c>
      <c r="M47" s="6" t="s">
        <v>1671</v>
      </c>
      <c r="N47" s="6" t="s">
        <v>1644</v>
      </c>
      <c r="O47" s="7">
        <f>SUMIFS('05_상품별배치367'!$K$7:$K$373,'05_상품별배치367'!$E$7:$E$373,A47,'05_상품별배치367'!$H$7:$H$373,"본진")</f>
        <v>0</v>
      </c>
      <c r="P47" s="7">
        <f>SUMIFS('05_상품별배치367'!$K$7:$K$373,'05_상품별배치367'!$E$7:$E$373,A47,'05_상품별배치367'!$H$7:$H$373,"추가 진열")</f>
        <v>0</v>
      </c>
      <c r="Q47" s="7">
        <f>O47+P47</f>
        <v>0</v>
      </c>
      <c r="R47" s="7">
        <v>0</v>
      </c>
      <c r="S47" s="6" t="s">
        <v>1672</v>
      </c>
      <c r="T47" s="6" t="s">
        <v>1637</v>
      </c>
      <c r="U47" s="6"/>
      <c r="V47" s="16"/>
      <c r="W47" s="16"/>
      <c r="X47" s="16"/>
      <c r="Y47" s="6" t="s">
        <v>1655</v>
      </c>
      <c r="Z47" s="15"/>
      <c r="AA47" s="15" t="s">
        <v>1628</v>
      </c>
    </row>
    <row r="48" spans="1:27" ht="33" customHeight="1">
      <c r="A48" s="6" t="s">
        <v>4148</v>
      </c>
      <c r="B48" s="7">
        <v>1073</v>
      </c>
      <c r="C48" s="6" t="s">
        <v>4149</v>
      </c>
      <c r="D48" s="6" t="s">
        <v>4147</v>
      </c>
      <c r="E48" s="6" t="s">
        <v>1743</v>
      </c>
      <c r="F48" s="6" t="s">
        <v>2772</v>
      </c>
      <c r="G48" s="6" t="s">
        <v>1668</v>
      </c>
      <c r="H48" s="6"/>
      <c r="I48" s="14" t="s">
        <v>1669</v>
      </c>
      <c r="J48" s="15"/>
      <c r="K48" s="6" t="s">
        <v>1696</v>
      </c>
      <c r="L48" s="6" t="s">
        <v>2079</v>
      </c>
      <c r="M48" s="6" t="s">
        <v>1671</v>
      </c>
      <c r="N48" s="6" t="s">
        <v>1644</v>
      </c>
      <c r="O48" s="7">
        <f>SUMIFS('05_상품별배치367'!$K$7:$K$373,'05_상품별배치367'!$E$7:$E$373,A48,'05_상품별배치367'!$H$7:$H$373,"본진")</f>
        <v>0</v>
      </c>
      <c r="P48" s="7">
        <f>SUMIFS('05_상품별배치367'!$K$7:$K$373,'05_상품별배치367'!$E$7:$E$373,A48,'05_상품별배치367'!$H$7:$H$373,"추가 진열")</f>
        <v>0</v>
      </c>
      <c r="Q48" s="7">
        <f>O48+P48</f>
        <v>0</v>
      </c>
      <c r="R48" s="7">
        <v>0</v>
      </c>
      <c r="S48" s="6" t="s">
        <v>1672</v>
      </c>
      <c r="T48" s="6" t="s">
        <v>1637</v>
      </c>
      <c r="U48" s="6"/>
      <c r="V48" s="16"/>
      <c r="W48" s="16"/>
      <c r="X48" s="16"/>
      <c r="Y48" s="6" t="s">
        <v>1655</v>
      </c>
      <c r="Z48" s="15"/>
      <c r="AA48" s="15" t="s">
        <v>1628</v>
      </c>
    </row>
    <row r="49" spans="1:27" ht="33" customHeight="1">
      <c r="A49" s="8" t="s">
        <v>4145</v>
      </c>
      <c r="B49" s="9">
        <v>1072</v>
      </c>
      <c r="C49" s="8" t="s">
        <v>4146</v>
      </c>
      <c r="D49" s="8" t="s">
        <v>4147</v>
      </c>
      <c r="E49" s="8" t="s">
        <v>1743</v>
      </c>
      <c r="F49" s="8" t="s">
        <v>2772</v>
      </c>
      <c r="G49" s="8" t="s">
        <v>1668</v>
      </c>
      <c r="H49" s="8"/>
      <c r="I49" s="14" t="s">
        <v>1669</v>
      </c>
      <c r="J49" s="15"/>
      <c r="K49" s="8" t="s">
        <v>1696</v>
      </c>
      <c r="L49" s="8" t="s">
        <v>2079</v>
      </c>
      <c r="M49" s="6" t="s">
        <v>1671</v>
      </c>
      <c r="N49" s="6" t="s">
        <v>1644</v>
      </c>
      <c r="O49" s="7">
        <f>SUMIFS('05_상품별배치367'!$K$7:$K$373,'05_상품별배치367'!$E$7:$E$373,A49,'05_상품별배치367'!$H$7:$H$373,"본진")</f>
        <v>0</v>
      </c>
      <c r="P49" s="7">
        <f>SUMIFS('05_상품별배치367'!$K$7:$K$373,'05_상품별배치367'!$E$7:$E$373,A49,'05_상품별배치367'!$H$7:$H$373,"추가 진열")</f>
        <v>0</v>
      </c>
      <c r="Q49" s="7">
        <f>O49+P49</f>
        <v>0</v>
      </c>
      <c r="R49" s="7">
        <v>0</v>
      </c>
      <c r="S49" s="6" t="s">
        <v>1672</v>
      </c>
      <c r="T49" s="6" t="s">
        <v>1637</v>
      </c>
      <c r="U49" s="6"/>
      <c r="V49" s="16"/>
      <c r="W49" s="16"/>
      <c r="X49" s="16"/>
      <c r="Y49" s="6" t="s">
        <v>1655</v>
      </c>
      <c r="Z49" s="15"/>
      <c r="AA49" s="15" t="s">
        <v>1628</v>
      </c>
    </row>
    <row r="50" spans="1:27" ht="33" customHeight="1">
      <c r="A50" s="8" t="s">
        <v>3930</v>
      </c>
      <c r="B50" s="9">
        <v>974</v>
      </c>
      <c r="C50" s="8" t="s">
        <v>3931</v>
      </c>
      <c r="D50" s="8" t="s">
        <v>3932</v>
      </c>
      <c r="E50" s="8" t="s">
        <v>1986</v>
      </c>
      <c r="F50" s="8" t="s">
        <v>493</v>
      </c>
      <c r="G50" s="8" t="s">
        <v>299</v>
      </c>
      <c r="H50" s="8"/>
      <c r="I50" s="14" t="s">
        <v>1642</v>
      </c>
      <c r="J50" s="15"/>
      <c r="K50" s="8" t="s">
        <v>1976</v>
      </c>
      <c r="L50" s="8"/>
      <c r="M50" s="6" t="s">
        <v>1643</v>
      </c>
      <c r="N50" s="6" t="s">
        <v>1644</v>
      </c>
      <c r="O50" s="7">
        <f>SUMIFS('05_상품별배치367'!$K$7:$K$373,'05_상품별배치367'!$E$7:$E$373,A50,'05_상품별배치367'!$H$7:$H$373,"본진")</f>
        <v>0</v>
      </c>
      <c r="P50" s="7">
        <f>SUMIFS('05_상품별배치367'!$K$7:$K$373,'05_상품별배치367'!$E$7:$E$373,A50,'05_상품별배치367'!$H$7:$H$373,"추가 진열")</f>
        <v>0</v>
      </c>
      <c r="Q50" s="7">
        <f>O50+P50</f>
        <v>0</v>
      </c>
      <c r="R50" s="7">
        <v>1</v>
      </c>
      <c r="S50" s="6" t="s">
        <v>3084</v>
      </c>
      <c r="T50" s="6" t="s">
        <v>1637</v>
      </c>
      <c r="U50" s="6"/>
      <c r="V50" s="16"/>
      <c r="W50" s="16"/>
      <c r="X50" s="16"/>
      <c r="Y50" s="6" t="s">
        <v>1627</v>
      </c>
      <c r="Z50" s="15"/>
      <c r="AA50" s="15" t="s">
        <v>1628</v>
      </c>
    </row>
    <row r="51" spans="1:27" ht="33" customHeight="1">
      <c r="A51" s="6" t="s">
        <v>3933</v>
      </c>
      <c r="B51" s="7">
        <v>975</v>
      </c>
      <c r="C51" s="6" t="s">
        <v>3934</v>
      </c>
      <c r="D51" s="6" t="s">
        <v>3935</v>
      </c>
      <c r="E51" s="6" t="s">
        <v>1986</v>
      </c>
      <c r="F51" s="6" t="s">
        <v>913</v>
      </c>
      <c r="G51" s="6" t="s">
        <v>201</v>
      </c>
      <c r="H51" s="6"/>
      <c r="I51" s="14" t="s">
        <v>1642</v>
      </c>
      <c r="J51" s="15"/>
      <c r="K51" s="6" t="s">
        <v>1976</v>
      </c>
      <c r="L51" s="6"/>
      <c r="M51" s="6" t="s">
        <v>1643</v>
      </c>
      <c r="N51" s="6" t="s">
        <v>1644</v>
      </c>
      <c r="O51" s="7">
        <f>SUMIFS('05_상품별배치367'!$K$7:$K$373,'05_상품별배치367'!$E$7:$E$373,A51,'05_상품별배치367'!$H$7:$H$373,"본진")</f>
        <v>0</v>
      </c>
      <c r="P51" s="7">
        <f>SUMIFS('05_상품별배치367'!$K$7:$K$373,'05_상품별배치367'!$E$7:$E$373,A51,'05_상품별배치367'!$H$7:$H$373,"추가 진열")</f>
        <v>0</v>
      </c>
      <c r="Q51" s="7">
        <f>O51+P51</f>
        <v>0</v>
      </c>
      <c r="R51" s="7">
        <v>1</v>
      </c>
      <c r="S51" s="6" t="s">
        <v>2907</v>
      </c>
      <c r="T51" s="6" t="s">
        <v>1637</v>
      </c>
      <c r="U51" s="6"/>
      <c r="V51" s="16"/>
      <c r="W51" s="16"/>
      <c r="X51" s="16"/>
      <c r="Y51" s="6" t="s">
        <v>1627</v>
      </c>
      <c r="Z51" s="15"/>
      <c r="AA51" s="15" t="s">
        <v>1628</v>
      </c>
    </row>
    <row r="52" spans="1:27" ht="33" customHeight="1">
      <c r="A52" s="8" t="s">
        <v>3936</v>
      </c>
      <c r="B52" s="9">
        <v>976</v>
      </c>
      <c r="C52" s="8" t="s">
        <v>3937</v>
      </c>
      <c r="D52" s="8" t="s">
        <v>2133</v>
      </c>
      <c r="E52" s="8" t="s">
        <v>1986</v>
      </c>
      <c r="F52" s="8" t="s">
        <v>913</v>
      </c>
      <c r="G52" s="8" t="s">
        <v>201</v>
      </c>
      <c r="H52" s="8"/>
      <c r="I52" s="14" t="s">
        <v>1642</v>
      </c>
      <c r="J52" s="15"/>
      <c r="K52" s="8" t="s">
        <v>1976</v>
      </c>
      <c r="L52" s="8"/>
      <c r="M52" s="6" t="s">
        <v>1643</v>
      </c>
      <c r="N52" s="6" t="s">
        <v>1644</v>
      </c>
      <c r="O52" s="7">
        <f>SUMIFS('05_상품별배치367'!$K$7:$K$373,'05_상품별배치367'!$E$7:$E$373,A52,'05_상품별배치367'!$H$7:$H$373,"본진")</f>
        <v>0</v>
      </c>
      <c r="P52" s="7">
        <f>SUMIFS('05_상품별배치367'!$K$7:$K$373,'05_상품별배치367'!$E$7:$E$373,A52,'05_상품별배치367'!$H$7:$H$373,"추가 진열")</f>
        <v>0</v>
      </c>
      <c r="Q52" s="7">
        <f>O52+P52</f>
        <v>0</v>
      </c>
      <c r="R52" s="7">
        <v>1</v>
      </c>
      <c r="S52" s="6" t="s">
        <v>2907</v>
      </c>
      <c r="T52" s="6" t="s">
        <v>1637</v>
      </c>
      <c r="U52" s="6"/>
      <c r="V52" s="16"/>
      <c r="W52" s="16"/>
      <c r="X52" s="16"/>
      <c r="Y52" s="6" t="s">
        <v>1627</v>
      </c>
      <c r="Z52" s="15"/>
      <c r="AA52" s="15" t="s">
        <v>1628</v>
      </c>
    </row>
    <row r="53" spans="1:27" ht="33" customHeight="1">
      <c r="A53" s="6" t="s">
        <v>3927</v>
      </c>
      <c r="B53" s="7">
        <v>973</v>
      </c>
      <c r="C53" s="6" t="s">
        <v>3928</v>
      </c>
      <c r="D53" s="6" t="s">
        <v>3929</v>
      </c>
      <c r="E53" s="6" t="s">
        <v>2134</v>
      </c>
      <c r="F53" s="6" t="s">
        <v>1263</v>
      </c>
      <c r="G53" s="6" t="s">
        <v>376</v>
      </c>
      <c r="H53" s="6"/>
      <c r="I53" s="14" t="s">
        <v>1642</v>
      </c>
      <c r="J53" s="15"/>
      <c r="K53" s="6" t="s">
        <v>1976</v>
      </c>
      <c r="L53" s="6"/>
      <c r="M53" s="6" t="s">
        <v>1643</v>
      </c>
      <c r="N53" s="6" t="s">
        <v>1644</v>
      </c>
      <c r="O53" s="7">
        <f>SUMIFS('05_상품별배치367'!$K$7:$K$373,'05_상품별배치367'!$E$7:$E$373,A53,'05_상품별배치367'!$H$7:$H$373,"본진")</f>
        <v>0</v>
      </c>
      <c r="P53" s="7">
        <f>SUMIFS('05_상품별배치367'!$K$7:$K$373,'05_상품별배치367'!$E$7:$E$373,A53,'05_상품별배치367'!$H$7:$H$373,"추가 진열")</f>
        <v>0</v>
      </c>
      <c r="Q53" s="7">
        <f>O53+P53</f>
        <v>0</v>
      </c>
      <c r="R53" s="7">
        <v>1</v>
      </c>
      <c r="S53" s="6" t="s">
        <v>3016</v>
      </c>
      <c r="T53" s="6" t="s">
        <v>1637</v>
      </c>
      <c r="U53" s="6"/>
      <c r="V53" s="16"/>
      <c r="W53" s="16"/>
      <c r="X53" s="16"/>
      <c r="Y53" s="6" t="s">
        <v>1627</v>
      </c>
      <c r="Z53" s="15"/>
      <c r="AA53" s="15" t="s">
        <v>1628</v>
      </c>
    </row>
    <row r="54" spans="1:27" ht="33" customHeight="1">
      <c r="A54" s="8" t="s">
        <v>7072</v>
      </c>
      <c r="B54" s="9">
        <v>2440</v>
      </c>
      <c r="C54" s="8" t="s">
        <v>7073</v>
      </c>
      <c r="D54" s="8" t="s">
        <v>7058</v>
      </c>
      <c r="E54" s="8" t="s">
        <v>1997</v>
      </c>
      <c r="F54" s="8" t="s">
        <v>1998</v>
      </c>
      <c r="G54" s="8" t="s">
        <v>1668</v>
      </c>
      <c r="H54" s="8"/>
      <c r="I54" s="14" t="s">
        <v>1999</v>
      </c>
      <c r="J54" s="15"/>
      <c r="K54" s="8" t="s">
        <v>2000</v>
      </c>
      <c r="L54" s="8" t="s">
        <v>2001</v>
      </c>
      <c r="M54" s="6" t="s">
        <v>1671</v>
      </c>
      <c r="N54" s="6" t="s">
        <v>1644</v>
      </c>
      <c r="O54" s="7">
        <f>SUMIFS('05_상품별배치367'!$K$7:$K$373,'05_상품별배치367'!$E$7:$E$373,A54,'05_상품별배치367'!$H$7:$H$373,"본진")</f>
        <v>0</v>
      </c>
      <c r="P54" s="7">
        <f>SUMIFS('05_상품별배치367'!$K$7:$K$373,'05_상품별배치367'!$E$7:$E$373,A54,'05_상품별배치367'!$H$7:$H$373,"추가 진열")</f>
        <v>0</v>
      </c>
      <c r="Q54" s="7">
        <f>O54+P54</f>
        <v>0</v>
      </c>
      <c r="R54" s="7">
        <v>0</v>
      </c>
      <c r="S54" s="6" t="s">
        <v>2002</v>
      </c>
      <c r="T54" s="6" t="s">
        <v>1637</v>
      </c>
      <c r="U54" s="6"/>
      <c r="V54" s="16"/>
      <c r="W54" s="16"/>
      <c r="X54" s="16"/>
      <c r="Y54" s="6" t="s">
        <v>1627</v>
      </c>
      <c r="Z54" s="15"/>
      <c r="AA54" s="15" t="s">
        <v>1628</v>
      </c>
    </row>
    <row r="55" spans="1:27" ht="33" customHeight="1">
      <c r="A55" s="6" t="s">
        <v>7070</v>
      </c>
      <c r="B55" s="7">
        <v>2439</v>
      </c>
      <c r="C55" s="6" t="s">
        <v>7071</v>
      </c>
      <c r="D55" s="6" t="s">
        <v>7058</v>
      </c>
      <c r="E55" s="6" t="s">
        <v>1997</v>
      </c>
      <c r="F55" s="6" t="s">
        <v>1998</v>
      </c>
      <c r="G55" s="6" t="s">
        <v>1668</v>
      </c>
      <c r="H55" s="6"/>
      <c r="I55" s="14" t="s">
        <v>1999</v>
      </c>
      <c r="J55" s="15"/>
      <c r="K55" s="6" t="s">
        <v>2000</v>
      </c>
      <c r="L55" s="6" t="s">
        <v>2001</v>
      </c>
      <c r="M55" s="6" t="s">
        <v>1671</v>
      </c>
      <c r="N55" s="6" t="s">
        <v>1644</v>
      </c>
      <c r="O55" s="7">
        <f>SUMIFS('05_상품별배치367'!$K$7:$K$373,'05_상품별배치367'!$E$7:$E$373,A55,'05_상품별배치367'!$H$7:$H$373,"본진")</f>
        <v>0</v>
      </c>
      <c r="P55" s="7">
        <f>SUMIFS('05_상품별배치367'!$K$7:$K$373,'05_상품별배치367'!$E$7:$E$373,A55,'05_상품별배치367'!$H$7:$H$373,"추가 진열")</f>
        <v>0</v>
      </c>
      <c r="Q55" s="7">
        <f>O55+P55</f>
        <v>0</v>
      </c>
      <c r="R55" s="7">
        <v>0</v>
      </c>
      <c r="S55" s="6" t="s">
        <v>2002</v>
      </c>
      <c r="T55" s="6" t="s">
        <v>1637</v>
      </c>
      <c r="U55" s="6"/>
      <c r="V55" s="16"/>
      <c r="W55" s="16"/>
      <c r="X55" s="16"/>
      <c r="Y55" s="6" t="s">
        <v>1627</v>
      </c>
      <c r="Z55" s="15"/>
      <c r="AA55" s="15" t="s">
        <v>1628</v>
      </c>
    </row>
    <row r="56" spans="1:27" ht="33" customHeight="1">
      <c r="A56" s="6" t="s">
        <v>7078</v>
      </c>
      <c r="B56" s="7">
        <v>2443</v>
      </c>
      <c r="C56" s="6" t="s">
        <v>7079</v>
      </c>
      <c r="D56" s="6" t="s">
        <v>7058</v>
      </c>
      <c r="E56" s="6" t="s">
        <v>1997</v>
      </c>
      <c r="F56" s="6" t="s">
        <v>1998</v>
      </c>
      <c r="G56" s="6" t="s">
        <v>1668</v>
      </c>
      <c r="H56" s="6"/>
      <c r="I56" s="14" t="s">
        <v>1999</v>
      </c>
      <c r="J56" s="15"/>
      <c r="K56" s="6" t="s">
        <v>2000</v>
      </c>
      <c r="L56" s="6" t="s">
        <v>2001</v>
      </c>
      <c r="M56" s="6" t="s">
        <v>1671</v>
      </c>
      <c r="N56" s="6" t="s">
        <v>1644</v>
      </c>
      <c r="O56" s="7">
        <f>SUMIFS('05_상품별배치367'!$K$7:$K$373,'05_상품별배치367'!$E$7:$E$373,A56,'05_상품별배치367'!$H$7:$H$373,"본진")</f>
        <v>0</v>
      </c>
      <c r="P56" s="7">
        <f>SUMIFS('05_상품별배치367'!$K$7:$K$373,'05_상품별배치367'!$E$7:$E$373,A56,'05_상품별배치367'!$H$7:$H$373,"추가 진열")</f>
        <v>0</v>
      </c>
      <c r="Q56" s="7">
        <f>O56+P56</f>
        <v>0</v>
      </c>
      <c r="R56" s="7">
        <v>0</v>
      </c>
      <c r="S56" s="6" t="s">
        <v>2002</v>
      </c>
      <c r="T56" s="6" t="s">
        <v>1637</v>
      </c>
      <c r="U56" s="6"/>
      <c r="V56" s="16"/>
      <c r="W56" s="16"/>
      <c r="X56" s="16"/>
      <c r="Y56" s="6" t="s">
        <v>1627</v>
      </c>
      <c r="Z56" s="15"/>
      <c r="AA56" s="15" t="s">
        <v>1628</v>
      </c>
    </row>
    <row r="57" spans="1:27" ht="33" customHeight="1">
      <c r="A57" s="8" t="s">
        <v>1899</v>
      </c>
      <c r="B57" s="9">
        <v>96</v>
      </c>
      <c r="C57" s="8" t="s">
        <v>1900</v>
      </c>
      <c r="D57" s="8" t="s">
        <v>1884</v>
      </c>
      <c r="E57" s="8" t="s">
        <v>1666</v>
      </c>
      <c r="F57" s="8" t="s">
        <v>1880</v>
      </c>
      <c r="G57" s="8" t="s">
        <v>1668</v>
      </c>
      <c r="H57" s="8"/>
      <c r="I57" s="14" t="s">
        <v>1642</v>
      </c>
      <c r="J57" s="15"/>
      <c r="K57" s="8" t="s">
        <v>1670</v>
      </c>
      <c r="L57" s="8"/>
      <c r="M57" s="6" t="s">
        <v>1643</v>
      </c>
      <c r="N57" s="6" t="s">
        <v>1624</v>
      </c>
      <c r="O57" s="7">
        <f>SUMIFS('05_상품별배치367'!$K$7:$K$373,'05_상품별배치367'!$E$7:$E$373,A57,'05_상품별배치367'!$H$7:$H$373,"본진")</f>
        <v>0</v>
      </c>
      <c r="P57" s="7">
        <f>SUMIFS('05_상품별배치367'!$K$7:$K$373,'05_상품별배치367'!$E$7:$E$373,A57,'05_상품별배치367'!$H$7:$H$373,"추가 진열")</f>
        <v>0</v>
      </c>
      <c r="Q57" s="7">
        <f>O57+P57</f>
        <v>0</v>
      </c>
      <c r="R57" s="7">
        <v>1</v>
      </c>
      <c r="S57" s="6" t="s">
        <v>1881</v>
      </c>
      <c r="T57" s="6" t="s">
        <v>1637</v>
      </c>
      <c r="U57" s="6"/>
      <c r="V57" s="16"/>
      <c r="W57" s="16"/>
      <c r="X57" s="16"/>
      <c r="Y57" s="6" t="s">
        <v>1655</v>
      </c>
      <c r="Z57" s="15"/>
      <c r="AA57" s="15" t="s">
        <v>1628</v>
      </c>
    </row>
    <row r="58" spans="1:27" ht="33" customHeight="1">
      <c r="A58" s="6" t="s">
        <v>1897</v>
      </c>
      <c r="B58" s="7">
        <v>95</v>
      </c>
      <c r="C58" s="6" t="s">
        <v>1898</v>
      </c>
      <c r="D58" s="6" t="s">
        <v>1884</v>
      </c>
      <c r="E58" s="6" t="s">
        <v>1666</v>
      </c>
      <c r="F58" s="6" t="s">
        <v>1880</v>
      </c>
      <c r="G58" s="6" t="s">
        <v>1668</v>
      </c>
      <c r="H58" s="6"/>
      <c r="I58" s="14" t="s">
        <v>1642</v>
      </c>
      <c r="J58" s="15"/>
      <c r="K58" s="6" t="s">
        <v>1670</v>
      </c>
      <c r="L58" s="6"/>
      <c r="M58" s="6" t="s">
        <v>1643</v>
      </c>
      <c r="N58" s="6" t="s">
        <v>1624</v>
      </c>
      <c r="O58" s="7">
        <f>SUMIFS('05_상품별배치367'!$K$7:$K$373,'05_상품별배치367'!$E$7:$E$373,A58,'05_상품별배치367'!$H$7:$H$373,"본진")</f>
        <v>0</v>
      </c>
      <c r="P58" s="7">
        <f>SUMIFS('05_상품별배치367'!$K$7:$K$373,'05_상품별배치367'!$E$7:$E$373,A58,'05_상품별배치367'!$H$7:$H$373,"추가 진열")</f>
        <v>0</v>
      </c>
      <c r="Q58" s="7">
        <f>O58+P58</f>
        <v>0</v>
      </c>
      <c r="R58" s="7">
        <v>1</v>
      </c>
      <c r="S58" s="6" t="s">
        <v>1881</v>
      </c>
      <c r="T58" s="6" t="s">
        <v>1637</v>
      </c>
      <c r="U58" s="6"/>
      <c r="V58" s="16"/>
      <c r="W58" s="16"/>
      <c r="X58" s="16"/>
      <c r="Y58" s="6" t="s">
        <v>1655</v>
      </c>
      <c r="Z58" s="15"/>
      <c r="AA58" s="15" t="s">
        <v>1628</v>
      </c>
    </row>
    <row r="59" spans="1:27" ht="33" customHeight="1">
      <c r="A59" s="8" t="s">
        <v>7063</v>
      </c>
      <c r="B59" s="9">
        <v>2436</v>
      </c>
      <c r="C59" s="8" t="s">
        <v>7064</v>
      </c>
      <c r="D59" s="8" t="s">
        <v>7058</v>
      </c>
      <c r="E59" s="8" t="s">
        <v>1997</v>
      </c>
      <c r="F59" s="8" t="s">
        <v>1998</v>
      </c>
      <c r="G59" s="8" t="s">
        <v>1668</v>
      </c>
      <c r="H59" s="8"/>
      <c r="I59" s="14" t="s">
        <v>1999</v>
      </c>
      <c r="J59" s="15"/>
      <c r="K59" s="8" t="s">
        <v>2000</v>
      </c>
      <c r="L59" s="8" t="s">
        <v>2001</v>
      </c>
      <c r="M59" s="6" t="s">
        <v>1671</v>
      </c>
      <c r="N59" s="6" t="s">
        <v>1644</v>
      </c>
      <c r="O59" s="7">
        <f>SUMIFS('05_상품별배치367'!$K$7:$K$373,'05_상품별배치367'!$E$7:$E$373,A59,'05_상품별배치367'!$H$7:$H$373,"본진")</f>
        <v>0</v>
      </c>
      <c r="P59" s="7">
        <f>SUMIFS('05_상품별배치367'!$K$7:$K$373,'05_상품별배치367'!$E$7:$E$373,A59,'05_상품별배치367'!$H$7:$H$373,"추가 진열")</f>
        <v>0</v>
      </c>
      <c r="Q59" s="7">
        <f>O59+P59</f>
        <v>0</v>
      </c>
      <c r="R59" s="7">
        <v>0</v>
      </c>
      <c r="S59" s="6" t="s">
        <v>2002</v>
      </c>
      <c r="T59" s="6" t="s">
        <v>1637</v>
      </c>
      <c r="U59" s="6"/>
      <c r="V59" s="16"/>
      <c r="W59" s="16"/>
      <c r="X59" s="16"/>
      <c r="Y59" s="6" t="s">
        <v>1627</v>
      </c>
      <c r="Z59" s="15"/>
      <c r="AA59" s="15" t="s">
        <v>1628</v>
      </c>
    </row>
    <row r="60" spans="1:27" ht="33" customHeight="1">
      <c r="A60" s="6" t="s">
        <v>7056</v>
      </c>
      <c r="B60" s="7">
        <v>2433</v>
      </c>
      <c r="C60" s="6" t="s">
        <v>7057</v>
      </c>
      <c r="D60" s="6" t="s">
        <v>7058</v>
      </c>
      <c r="E60" s="6" t="s">
        <v>1997</v>
      </c>
      <c r="F60" s="6" t="s">
        <v>1998</v>
      </c>
      <c r="G60" s="6" t="s">
        <v>1668</v>
      </c>
      <c r="H60" s="6"/>
      <c r="I60" s="14" t="s">
        <v>1999</v>
      </c>
      <c r="J60" s="15"/>
      <c r="K60" s="6" t="s">
        <v>2000</v>
      </c>
      <c r="L60" s="6" t="s">
        <v>2001</v>
      </c>
      <c r="M60" s="6" t="s">
        <v>1671</v>
      </c>
      <c r="N60" s="6" t="s">
        <v>1644</v>
      </c>
      <c r="O60" s="7">
        <f>SUMIFS('05_상품별배치367'!$K$7:$K$373,'05_상품별배치367'!$E$7:$E$373,A60,'05_상품별배치367'!$H$7:$H$373,"본진")</f>
        <v>0</v>
      </c>
      <c r="P60" s="7">
        <f>SUMIFS('05_상품별배치367'!$K$7:$K$373,'05_상품별배치367'!$E$7:$E$373,A60,'05_상품별배치367'!$H$7:$H$373,"추가 진열")</f>
        <v>0</v>
      </c>
      <c r="Q60" s="7">
        <f>O60+P60</f>
        <v>0</v>
      </c>
      <c r="R60" s="7">
        <v>0</v>
      </c>
      <c r="S60" s="6" t="s">
        <v>2002</v>
      </c>
      <c r="T60" s="6" t="s">
        <v>1637</v>
      </c>
      <c r="U60" s="6"/>
      <c r="V60" s="16"/>
      <c r="W60" s="16"/>
      <c r="X60" s="16"/>
      <c r="Y60" s="6" t="s">
        <v>1627</v>
      </c>
      <c r="Z60" s="15"/>
      <c r="AA60" s="15" t="s">
        <v>1628</v>
      </c>
    </row>
    <row r="61" spans="1:27" ht="33" customHeight="1">
      <c r="A61" s="6" t="s">
        <v>2483</v>
      </c>
      <c r="B61" s="7">
        <v>319</v>
      </c>
      <c r="C61" s="6" t="s">
        <v>2484</v>
      </c>
      <c r="D61" s="6" t="s">
        <v>1631</v>
      </c>
      <c r="E61" s="6" t="s">
        <v>1666</v>
      </c>
      <c r="F61" s="6" t="s">
        <v>1667</v>
      </c>
      <c r="G61" s="6" t="s">
        <v>1668</v>
      </c>
      <c r="H61" s="6"/>
      <c r="I61" s="14" t="s">
        <v>1669</v>
      </c>
      <c r="J61" s="15"/>
      <c r="K61" s="6" t="s">
        <v>1670</v>
      </c>
      <c r="L61" s="6"/>
      <c r="M61" s="6" t="s">
        <v>1671</v>
      </c>
      <c r="N61" s="6" t="s">
        <v>1644</v>
      </c>
      <c r="O61" s="7">
        <f>SUMIFS('05_상품별배치367'!$K$7:$K$373,'05_상품별배치367'!$E$7:$E$373,A61,'05_상품별배치367'!$H$7:$H$373,"본진")</f>
        <v>0</v>
      </c>
      <c r="P61" s="7">
        <f>SUMIFS('05_상품별배치367'!$K$7:$K$373,'05_상품별배치367'!$E$7:$E$373,A61,'05_상품별배치367'!$H$7:$H$373,"추가 진열")</f>
        <v>0</v>
      </c>
      <c r="Q61" s="7">
        <f>O61+P61</f>
        <v>0</v>
      </c>
      <c r="R61" s="7">
        <v>0</v>
      </c>
      <c r="S61" s="6" t="s">
        <v>1672</v>
      </c>
      <c r="T61" s="6" t="s">
        <v>1637</v>
      </c>
      <c r="U61" s="6"/>
      <c r="V61" s="16"/>
      <c r="W61" s="16"/>
      <c r="X61" s="16"/>
      <c r="Y61" s="6" t="s">
        <v>1627</v>
      </c>
      <c r="Z61" s="15"/>
      <c r="AA61" s="15" t="s">
        <v>1628</v>
      </c>
    </row>
    <row r="62" spans="1:27" ht="33" customHeight="1">
      <c r="A62" s="8" t="s">
        <v>2485</v>
      </c>
      <c r="B62" s="9">
        <v>320</v>
      </c>
      <c r="C62" s="8" t="s">
        <v>2486</v>
      </c>
      <c r="D62" s="8" t="s">
        <v>2487</v>
      </c>
      <c r="E62" s="8" t="s">
        <v>1666</v>
      </c>
      <c r="F62" s="8" t="s">
        <v>1667</v>
      </c>
      <c r="G62" s="8" t="s">
        <v>1668</v>
      </c>
      <c r="H62" s="8"/>
      <c r="I62" s="14" t="s">
        <v>1669</v>
      </c>
      <c r="J62" s="15"/>
      <c r="K62" s="8" t="s">
        <v>1670</v>
      </c>
      <c r="L62" s="8"/>
      <c r="M62" s="6" t="s">
        <v>1671</v>
      </c>
      <c r="N62" s="6" t="s">
        <v>1644</v>
      </c>
      <c r="O62" s="7">
        <f>SUMIFS('05_상품별배치367'!$K$7:$K$373,'05_상품별배치367'!$E$7:$E$373,A62,'05_상품별배치367'!$H$7:$H$373,"본진")</f>
        <v>0</v>
      </c>
      <c r="P62" s="7">
        <f>SUMIFS('05_상품별배치367'!$K$7:$K$373,'05_상품별배치367'!$E$7:$E$373,A62,'05_상품별배치367'!$H$7:$H$373,"추가 진열")</f>
        <v>0</v>
      </c>
      <c r="Q62" s="7">
        <f>O62+P62</f>
        <v>0</v>
      </c>
      <c r="R62" s="7">
        <v>0</v>
      </c>
      <c r="S62" s="6" t="s">
        <v>1672</v>
      </c>
      <c r="T62" s="6" t="s">
        <v>1637</v>
      </c>
      <c r="U62" s="6"/>
      <c r="V62" s="16"/>
      <c r="W62" s="16"/>
      <c r="X62" s="16"/>
      <c r="Y62" s="6" t="s">
        <v>1627</v>
      </c>
      <c r="Z62" s="15"/>
      <c r="AA62" s="15" t="s">
        <v>1628</v>
      </c>
    </row>
    <row r="63" spans="1:27" ht="33" customHeight="1">
      <c r="A63" s="6" t="s">
        <v>2473</v>
      </c>
      <c r="B63" s="7">
        <v>315</v>
      </c>
      <c r="C63" s="6" t="s">
        <v>2474</v>
      </c>
      <c r="D63" s="6" t="s">
        <v>2472</v>
      </c>
      <c r="E63" s="6" t="s">
        <v>1666</v>
      </c>
      <c r="F63" s="6" t="s">
        <v>1667</v>
      </c>
      <c r="G63" s="6" t="s">
        <v>1668</v>
      </c>
      <c r="H63" s="6"/>
      <c r="I63" s="14" t="s">
        <v>1669</v>
      </c>
      <c r="J63" s="15"/>
      <c r="K63" s="6" t="s">
        <v>1670</v>
      </c>
      <c r="L63" s="6"/>
      <c r="M63" s="6" t="s">
        <v>1671</v>
      </c>
      <c r="N63" s="6" t="s">
        <v>1644</v>
      </c>
      <c r="O63" s="7">
        <f>SUMIFS('05_상품별배치367'!$K$7:$K$373,'05_상품별배치367'!$E$7:$E$373,A63,'05_상품별배치367'!$H$7:$H$373,"본진")</f>
        <v>0</v>
      </c>
      <c r="P63" s="7">
        <f>SUMIFS('05_상품별배치367'!$K$7:$K$373,'05_상품별배치367'!$E$7:$E$373,A63,'05_상품별배치367'!$H$7:$H$373,"추가 진열")</f>
        <v>0</v>
      </c>
      <c r="Q63" s="7">
        <f>O63+P63</f>
        <v>0</v>
      </c>
      <c r="R63" s="7">
        <v>0</v>
      </c>
      <c r="S63" s="6" t="s">
        <v>1672</v>
      </c>
      <c r="T63" s="6" t="s">
        <v>1637</v>
      </c>
      <c r="U63" s="6"/>
      <c r="V63" s="16"/>
      <c r="W63" s="16"/>
      <c r="X63" s="16"/>
      <c r="Y63" s="6" t="s">
        <v>1627</v>
      </c>
      <c r="Z63" s="15"/>
      <c r="AA63" s="15" t="s">
        <v>1628</v>
      </c>
    </row>
    <row r="64" spans="1:27" ht="33" customHeight="1">
      <c r="A64" s="8" t="s">
        <v>2481</v>
      </c>
      <c r="B64" s="9">
        <v>318</v>
      </c>
      <c r="C64" s="8" t="s">
        <v>2482</v>
      </c>
      <c r="D64" s="8" t="s">
        <v>2480</v>
      </c>
      <c r="E64" s="8" t="s">
        <v>1666</v>
      </c>
      <c r="F64" s="8" t="s">
        <v>1667</v>
      </c>
      <c r="G64" s="8" t="s">
        <v>1668</v>
      </c>
      <c r="H64" s="8"/>
      <c r="I64" s="14" t="s">
        <v>1669</v>
      </c>
      <c r="J64" s="15"/>
      <c r="K64" s="8" t="s">
        <v>1670</v>
      </c>
      <c r="L64" s="8"/>
      <c r="M64" s="6" t="s">
        <v>1671</v>
      </c>
      <c r="N64" s="6" t="s">
        <v>1644</v>
      </c>
      <c r="O64" s="7">
        <f>SUMIFS('05_상품별배치367'!$K$7:$K$373,'05_상품별배치367'!$E$7:$E$373,A64,'05_상품별배치367'!$H$7:$H$373,"본진")</f>
        <v>0</v>
      </c>
      <c r="P64" s="7">
        <f>SUMIFS('05_상품별배치367'!$K$7:$K$373,'05_상품별배치367'!$E$7:$E$373,A64,'05_상품별배치367'!$H$7:$H$373,"추가 진열")</f>
        <v>0</v>
      </c>
      <c r="Q64" s="7">
        <f>O64+P64</f>
        <v>0</v>
      </c>
      <c r="R64" s="7">
        <v>0</v>
      </c>
      <c r="S64" s="6" t="s">
        <v>1672</v>
      </c>
      <c r="T64" s="6" t="s">
        <v>1637</v>
      </c>
      <c r="U64" s="6"/>
      <c r="V64" s="16"/>
      <c r="W64" s="16"/>
      <c r="X64" s="16"/>
      <c r="Y64" s="6" t="s">
        <v>1627</v>
      </c>
      <c r="Z64" s="15"/>
      <c r="AA64" s="15" t="s">
        <v>1628</v>
      </c>
    </row>
    <row r="65" spans="1:27" ht="33" customHeight="1">
      <c r="A65" s="8" t="s">
        <v>2475</v>
      </c>
      <c r="B65" s="9">
        <v>316</v>
      </c>
      <c r="C65" s="8" t="s">
        <v>2476</v>
      </c>
      <c r="D65" s="8" t="s">
        <v>2477</v>
      </c>
      <c r="E65" s="8" t="s">
        <v>1666</v>
      </c>
      <c r="F65" s="8" t="s">
        <v>1667</v>
      </c>
      <c r="G65" s="8" t="s">
        <v>1668</v>
      </c>
      <c r="H65" s="8"/>
      <c r="I65" s="14" t="s">
        <v>1669</v>
      </c>
      <c r="J65" s="15"/>
      <c r="K65" s="8" t="s">
        <v>1670</v>
      </c>
      <c r="L65" s="8"/>
      <c r="M65" s="6" t="s">
        <v>1671</v>
      </c>
      <c r="N65" s="6" t="s">
        <v>1644</v>
      </c>
      <c r="O65" s="7">
        <f>SUMIFS('05_상품별배치367'!$K$7:$K$373,'05_상품별배치367'!$E$7:$E$373,A65,'05_상품별배치367'!$H$7:$H$373,"본진")</f>
        <v>0</v>
      </c>
      <c r="P65" s="7">
        <f>SUMIFS('05_상품별배치367'!$K$7:$K$373,'05_상품별배치367'!$E$7:$E$373,A65,'05_상품별배치367'!$H$7:$H$373,"추가 진열")</f>
        <v>0</v>
      </c>
      <c r="Q65" s="7">
        <f>O65+P65</f>
        <v>0</v>
      </c>
      <c r="R65" s="7">
        <v>0</v>
      </c>
      <c r="S65" s="6" t="s">
        <v>1672</v>
      </c>
      <c r="T65" s="6" t="s">
        <v>1637</v>
      </c>
      <c r="U65" s="6"/>
      <c r="V65" s="16"/>
      <c r="W65" s="16"/>
      <c r="X65" s="16"/>
      <c r="Y65" s="6" t="s">
        <v>1627</v>
      </c>
      <c r="Z65" s="15"/>
      <c r="AA65" s="15" t="s">
        <v>1628</v>
      </c>
    </row>
    <row r="66" spans="1:27" ht="33" customHeight="1">
      <c r="A66" s="6" t="s">
        <v>2488</v>
      </c>
      <c r="B66" s="7">
        <v>321</v>
      </c>
      <c r="C66" s="6" t="s">
        <v>2489</v>
      </c>
      <c r="D66" s="6" t="s">
        <v>2487</v>
      </c>
      <c r="E66" s="6" t="s">
        <v>1666</v>
      </c>
      <c r="F66" s="6" t="s">
        <v>1667</v>
      </c>
      <c r="G66" s="6" t="s">
        <v>1668</v>
      </c>
      <c r="H66" s="6"/>
      <c r="I66" s="14" t="s">
        <v>1669</v>
      </c>
      <c r="J66" s="15"/>
      <c r="K66" s="6" t="s">
        <v>1670</v>
      </c>
      <c r="L66" s="6"/>
      <c r="M66" s="6" t="s">
        <v>1671</v>
      </c>
      <c r="N66" s="6" t="s">
        <v>1644</v>
      </c>
      <c r="O66" s="7">
        <f>SUMIFS('05_상품별배치367'!$K$7:$K$373,'05_상품별배치367'!$E$7:$E$373,A66,'05_상품별배치367'!$H$7:$H$373,"본진")</f>
        <v>0</v>
      </c>
      <c r="P66" s="7">
        <f>SUMIFS('05_상품별배치367'!$K$7:$K$373,'05_상품별배치367'!$E$7:$E$373,A66,'05_상품별배치367'!$H$7:$H$373,"추가 진열")</f>
        <v>0</v>
      </c>
      <c r="Q66" s="7">
        <f>O66+P66</f>
        <v>0</v>
      </c>
      <c r="R66" s="7">
        <v>0</v>
      </c>
      <c r="S66" s="6" t="s">
        <v>1672</v>
      </c>
      <c r="T66" s="6" t="s">
        <v>1637</v>
      </c>
      <c r="U66" s="6"/>
      <c r="V66" s="16"/>
      <c r="W66" s="16"/>
      <c r="X66" s="16"/>
      <c r="Y66" s="6" t="s">
        <v>1627</v>
      </c>
      <c r="Z66" s="15"/>
      <c r="AA66" s="15" t="s">
        <v>1628</v>
      </c>
    </row>
    <row r="67" spans="1:27" ht="33" customHeight="1">
      <c r="A67" s="8" t="s">
        <v>2490</v>
      </c>
      <c r="B67" s="9">
        <v>322</v>
      </c>
      <c r="C67" s="8" t="s">
        <v>2491</v>
      </c>
      <c r="D67" s="8" t="s">
        <v>1931</v>
      </c>
      <c r="E67" s="8" t="s">
        <v>1666</v>
      </c>
      <c r="F67" s="8" t="s">
        <v>1667</v>
      </c>
      <c r="G67" s="8" t="s">
        <v>1668</v>
      </c>
      <c r="H67" s="8"/>
      <c r="I67" s="14" t="s">
        <v>1669</v>
      </c>
      <c r="J67" s="15"/>
      <c r="K67" s="8" t="s">
        <v>1670</v>
      </c>
      <c r="L67" s="8"/>
      <c r="M67" s="6" t="s">
        <v>1671</v>
      </c>
      <c r="N67" s="6" t="s">
        <v>1644</v>
      </c>
      <c r="O67" s="7">
        <f>SUMIFS('05_상품별배치367'!$K$7:$K$373,'05_상품별배치367'!$E$7:$E$373,A67,'05_상품별배치367'!$H$7:$H$373,"본진")</f>
        <v>0</v>
      </c>
      <c r="P67" s="7">
        <f>SUMIFS('05_상품별배치367'!$K$7:$K$373,'05_상품별배치367'!$E$7:$E$373,A67,'05_상품별배치367'!$H$7:$H$373,"추가 진열")</f>
        <v>0</v>
      </c>
      <c r="Q67" s="7">
        <f>O67+P67</f>
        <v>0</v>
      </c>
      <c r="R67" s="7">
        <v>0</v>
      </c>
      <c r="S67" s="6" t="s">
        <v>1672</v>
      </c>
      <c r="T67" s="6" t="s">
        <v>1637</v>
      </c>
      <c r="U67" s="6"/>
      <c r="V67" s="16"/>
      <c r="W67" s="16"/>
      <c r="X67" s="16"/>
      <c r="Y67" s="6" t="s">
        <v>1627</v>
      </c>
      <c r="Z67" s="15"/>
      <c r="AA67" s="15" t="s">
        <v>1628</v>
      </c>
    </row>
    <row r="68" spans="1:27" ht="33" customHeight="1">
      <c r="A68" s="6" t="s">
        <v>2492</v>
      </c>
      <c r="B68" s="7">
        <v>323</v>
      </c>
      <c r="C68" s="6" t="s">
        <v>2493</v>
      </c>
      <c r="D68" s="6" t="s">
        <v>2494</v>
      </c>
      <c r="E68" s="6" t="s">
        <v>1666</v>
      </c>
      <c r="F68" s="6" t="s">
        <v>1667</v>
      </c>
      <c r="G68" s="6" t="s">
        <v>1668</v>
      </c>
      <c r="H68" s="6"/>
      <c r="I68" s="14" t="s">
        <v>1669</v>
      </c>
      <c r="J68" s="15"/>
      <c r="K68" s="6" t="s">
        <v>1670</v>
      </c>
      <c r="L68" s="6"/>
      <c r="M68" s="6" t="s">
        <v>1671</v>
      </c>
      <c r="N68" s="6" t="s">
        <v>1644</v>
      </c>
      <c r="O68" s="7">
        <f>SUMIFS('05_상품별배치367'!$K$7:$K$373,'05_상품별배치367'!$E$7:$E$373,A68,'05_상품별배치367'!$H$7:$H$373,"본진")</f>
        <v>0</v>
      </c>
      <c r="P68" s="7">
        <f>SUMIFS('05_상품별배치367'!$K$7:$K$373,'05_상품별배치367'!$E$7:$E$373,A68,'05_상품별배치367'!$H$7:$H$373,"추가 진열")</f>
        <v>0</v>
      </c>
      <c r="Q68" s="7">
        <f>O68+P68</f>
        <v>0</v>
      </c>
      <c r="R68" s="7">
        <v>0</v>
      </c>
      <c r="S68" s="6" t="s">
        <v>1672</v>
      </c>
      <c r="T68" s="6" t="s">
        <v>1637</v>
      </c>
      <c r="U68" s="6"/>
      <c r="V68" s="16"/>
      <c r="W68" s="16"/>
      <c r="X68" s="16"/>
      <c r="Y68" s="6" t="s">
        <v>1627</v>
      </c>
      <c r="Z68" s="15"/>
      <c r="AA68" s="15" t="s">
        <v>1628</v>
      </c>
    </row>
    <row r="69" spans="1:27" ht="33" customHeight="1">
      <c r="A69" s="8" t="s">
        <v>2470</v>
      </c>
      <c r="B69" s="9">
        <v>314</v>
      </c>
      <c r="C69" s="8" t="s">
        <v>2471</v>
      </c>
      <c r="D69" s="8" t="s">
        <v>2472</v>
      </c>
      <c r="E69" s="8" t="s">
        <v>1666</v>
      </c>
      <c r="F69" s="8" t="s">
        <v>1667</v>
      </c>
      <c r="G69" s="8" t="s">
        <v>1668</v>
      </c>
      <c r="H69" s="8"/>
      <c r="I69" s="14" t="s">
        <v>1669</v>
      </c>
      <c r="J69" s="15"/>
      <c r="K69" s="8" t="s">
        <v>1670</v>
      </c>
      <c r="L69" s="8"/>
      <c r="M69" s="6" t="s">
        <v>1671</v>
      </c>
      <c r="N69" s="6" t="s">
        <v>1644</v>
      </c>
      <c r="O69" s="7">
        <f>SUMIFS('05_상품별배치367'!$K$7:$K$373,'05_상품별배치367'!$E$7:$E$373,A69,'05_상품별배치367'!$H$7:$H$373,"본진")</f>
        <v>0</v>
      </c>
      <c r="P69" s="7">
        <f>SUMIFS('05_상품별배치367'!$K$7:$K$373,'05_상품별배치367'!$E$7:$E$373,A69,'05_상품별배치367'!$H$7:$H$373,"추가 진열")</f>
        <v>0</v>
      </c>
      <c r="Q69" s="7">
        <f>O69+P69</f>
        <v>0</v>
      </c>
      <c r="R69" s="7">
        <v>0</v>
      </c>
      <c r="S69" s="6" t="s">
        <v>1672</v>
      </c>
      <c r="T69" s="6" t="s">
        <v>1637</v>
      </c>
      <c r="U69" s="6"/>
      <c r="V69" s="16"/>
      <c r="W69" s="16"/>
      <c r="X69" s="16"/>
      <c r="Y69" s="6" t="s">
        <v>1627</v>
      </c>
      <c r="Z69" s="15"/>
      <c r="AA69" s="15" t="s">
        <v>1628</v>
      </c>
    </row>
    <row r="70" spans="1:27" ht="33" customHeight="1">
      <c r="A70" s="6" t="s">
        <v>2478</v>
      </c>
      <c r="B70" s="7">
        <v>317</v>
      </c>
      <c r="C70" s="6" t="s">
        <v>2479</v>
      </c>
      <c r="D70" s="6" t="s">
        <v>2480</v>
      </c>
      <c r="E70" s="6" t="s">
        <v>1666</v>
      </c>
      <c r="F70" s="6" t="s">
        <v>1667</v>
      </c>
      <c r="G70" s="6" t="s">
        <v>1668</v>
      </c>
      <c r="H70" s="6"/>
      <c r="I70" s="14" t="s">
        <v>1669</v>
      </c>
      <c r="J70" s="15"/>
      <c r="K70" s="6" t="s">
        <v>1670</v>
      </c>
      <c r="L70" s="6"/>
      <c r="M70" s="6" t="s">
        <v>1671</v>
      </c>
      <c r="N70" s="6" t="s">
        <v>1644</v>
      </c>
      <c r="O70" s="7">
        <f>SUMIFS('05_상품별배치367'!$K$7:$K$373,'05_상품별배치367'!$E$7:$E$373,A70,'05_상품별배치367'!$H$7:$H$373,"본진")</f>
        <v>0</v>
      </c>
      <c r="P70" s="7">
        <f>SUMIFS('05_상품별배치367'!$K$7:$K$373,'05_상품별배치367'!$E$7:$E$373,A70,'05_상품별배치367'!$H$7:$H$373,"추가 진열")</f>
        <v>0</v>
      </c>
      <c r="Q70" s="7">
        <f>O70+P70</f>
        <v>0</v>
      </c>
      <c r="R70" s="7">
        <v>0</v>
      </c>
      <c r="S70" s="6" t="s">
        <v>1672</v>
      </c>
      <c r="T70" s="6" t="s">
        <v>1637</v>
      </c>
      <c r="U70" s="6"/>
      <c r="V70" s="16"/>
      <c r="W70" s="16"/>
      <c r="X70" s="16"/>
      <c r="Y70" s="6" t="s">
        <v>1627</v>
      </c>
      <c r="Z70" s="15"/>
      <c r="AA70" s="15" t="s">
        <v>1628</v>
      </c>
    </row>
    <row r="71" spans="1:27" ht="33" customHeight="1">
      <c r="A71" s="6" t="s">
        <v>2072</v>
      </c>
      <c r="B71" s="7">
        <v>159</v>
      </c>
      <c r="C71" s="6" t="s">
        <v>2073</v>
      </c>
      <c r="D71" s="6" t="s">
        <v>1631</v>
      </c>
      <c r="E71" s="6" t="s">
        <v>1666</v>
      </c>
      <c r="F71" s="6" t="s">
        <v>347</v>
      </c>
      <c r="G71" s="6" t="s">
        <v>341</v>
      </c>
      <c r="H71" s="6" t="s">
        <v>1202</v>
      </c>
      <c r="I71" s="14" t="s">
        <v>1633</v>
      </c>
      <c r="J71" s="15"/>
      <c r="K71" s="6" t="s">
        <v>1670</v>
      </c>
      <c r="L71" s="6"/>
      <c r="M71" s="6" t="s">
        <v>1635</v>
      </c>
      <c r="N71" s="6" t="s">
        <v>1644</v>
      </c>
      <c r="O71" s="7">
        <f>SUMIFS('05_상품별배치367'!$K$7:$K$373,'05_상품별배치367'!$E$7:$E$373,A71,'05_상품별배치367'!$H$7:$H$373,"본진")</f>
        <v>1</v>
      </c>
      <c r="P71" s="7">
        <f>SUMIFS('05_상품별배치367'!$K$7:$K$373,'05_상품별배치367'!$E$7:$E$373,A71,'05_상품별배치367'!$H$7:$H$373,"추가 진열")</f>
        <v>0</v>
      </c>
      <c r="Q71" s="7">
        <f>O71+P71</f>
        <v>1</v>
      </c>
      <c r="R71" s="7">
        <v>1</v>
      </c>
      <c r="S71" s="6" t="s">
        <v>1636</v>
      </c>
      <c r="T71" s="6" t="s">
        <v>1637</v>
      </c>
      <c r="U71" s="6"/>
      <c r="V71" s="16"/>
      <c r="W71" s="16"/>
      <c r="X71" s="16"/>
      <c r="Y71" s="6" t="s">
        <v>1627</v>
      </c>
      <c r="Z71" s="15"/>
      <c r="AA71" s="15" t="s">
        <v>1628</v>
      </c>
    </row>
    <row r="72" spans="1:27" ht="33" customHeight="1">
      <c r="A72" s="8" t="s">
        <v>2074</v>
      </c>
      <c r="B72" s="9">
        <v>160</v>
      </c>
      <c r="C72" s="8" t="s">
        <v>2075</v>
      </c>
      <c r="D72" s="8" t="s">
        <v>1631</v>
      </c>
      <c r="E72" s="8" t="s">
        <v>1620</v>
      </c>
      <c r="F72" s="8" t="s">
        <v>151</v>
      </c>
      <c r="G72" s="8" t="s">
        <v>349</v>
      </c>
      <c r="H72" s="8"/>
      <c r="I72" s="14" t="s">
        <v>1642</v>
      </c>
      <c r="J72" s="15"/>
      <c r="K72" s="8" t="s">
        <v>1622</v>
      </c>
      <c r="L72" s="8"/>
      <c r="M72" s="6" t="s">
        <v>1643</v>
      </c>
      <c r="N72" s="6" t="s">
        <v>1644</v>
      </c>
      <c r="O72" s="7">
        <f>SUMIFS('05_상품별배치367'!$K$7:$K$373,'05_상품별배치367'!$E$7:$E$373,A72,'05_상품별배치367'!$H$7:$H$373,"본진")</f>
        <v>0</v>
      </c>
      <c r="P72" s="7">
        <f>SUMIFS('05_상품별배치367'!$K$7:$K$373,'05_상품별배치367'!$E$7:$E$373,A72,'05_상품별배치367'!$H$7:$H$373,"추가 진열")</f>
        <v>0</v>
      </c>
      <c r="Q72" s="7">
        <f>O72+P72</f>
        <v>0</v>
      </c>
      <c r="R72" s="7">
        <v>1</v>
      </c>
      <c r="S72" s="6" t="s">
        <v>1676</v>
      </c>
      <c r="T72" s="6" t="s">
        <v>1637</v>
      </c>
      <c r="U72" s="6"/>
      <c r="V72" s="16"/>
      <c r="W72" s="16"/>
      <c r="X72" s="16"/>
      <c r="Y72" s="6" t="s">
        <v>1627</v>
      </c>
      <c r="Z72" s="15"/>
      <c r="AA72" s="15" t="s">
        <v>1628</v>
      </c>
    </row>
    <row r="73" spans="1:27" ht="33" customHeight="1">
      <c r="A73" s="8" t="s">
        <v>2867</v>
      </c>
      <c r="B73" s="9">
        <v>488</v>
      </c>
      <c r="C73" s="8" t="s">
        <v>2868</v>
      </c>
      <c r="D73" s="8" t="s">
        <v>2869</v>
      </c>
      <c r="E73" s="8" t="s">
        <v>1695</v>
      </c>
      <c r="F73" s="8" t="s">
        <v>1129</v>
      </c>
      <c r="G73" s="8" t="s">
        <v>307</v>
      </c>
      <c r="H73" s="8"/>
      <c r="I73" s="14" t="s">
        <v>1642</v>
      </c>
      <c r="J73" s="15"/>
      <c r="K73" s="8" t="s">
        <v>1696</v>
      </c>
      <c r="L73" s="8"/>
      <c r="M73" s="6" t="s">
        <v>1643</v>
      </c>
      <c r="N73" s="6" t="s">
        <v>1644</v>
      </c>
      <c r="O73" s="7">
        <f>SUMIFS('05_상품별배치367'!$K$7:$K$373,'05_상품별배치367'!$E$7:$E$373,A73,'05_상품별배치367'!$H$7:$H$373,"본진")</f>
        <v>0</v>
      </c>
      <c r="P73" s="7">
        <f>SUMIFS('05_상품별배치367'!$K$7:$K$373,'05_상품별배치367'!$E$7:$E$373,A73,'05_상품별배치367'!$H$7:$H$373,"추가 진열")</f>
        <v>0</v>
      </c>
      <c r="Q73" s="7">
        <f>O73+P73</f>
        <v>0</v>
      </c>
      <c r="R73" s="7">
        <v>1</v>
      </c>
      <c r="S73" s="6" t="s">
        <v>2850</v>
      </c>
      <c r="T73" s="6" t="s">
        <v>1637</v>
      </c>
      <c r="U73" s="6"/>
      <c r="V73" s="16"/>
      <c r="W73" s="16"/>
      <c r="X73" s="16"/>
      <c r="Y73" s="6" t="s">
        <v>1627</v>
      </c>
      <c r="Z73" s="15"/>
      <c r="AA73" s="15" t="s">
        <v>1628</v>
      </c>
    </row>
    <row r="74" spans="1:27" ht="33" customHeight="1">
      <c r="A74" s="6" t="s">
        <v>2870</v>
      </c>
      <c r="B74" s="7">
        <v>489</v>
      </c>
      <c r="C74" s="6" t="s">
        <v>2871</v>
      </c>
      <c r="D74" s="6" t="s">
        <v>2588</v>
      </c>
      <c r="E74" s="6" t="s">
        <v>1695</v>
      </c>
      <c r="F74" s="6" t="s">
        <v>497</v>
      </c>
      <c r="G74" s="6" t="s">
        <v>307</v>
      </c>
      <c r="H74" s="6"/>
      <c r="I74" s="14" t="s">
        <v>1642</v>
      </c>
      <c r="J74" s="15"/>
      <c r="K74" s="6" t="s">
        <v>1696</v>
      </c>
      <c r="L74" s="6"/>
      <c r="M74" s="6" t="s">
        <v>1643</v>
      </c>
      <c r="N74" s="6" t="s">
        <v>1644</v>
      </c>
      <c r="O74" s="7">
        <f>SUMIFS('05_상품별배치367'!$K$7:$K$373,'05_상품별배치367'!$E$7:$E$373,A74,'05_상품별배치367'!$H$7:$H$373,"본진")</f>
        <v>0</v>
      </c>
      <c r="P74" s="7">
        <f>SUMIFS('05_상품별배치367'!$K$7:$K$373,'05_상품별배치367'!$E$7:$E$373,A74,'05_상품별배치367'!$H$7:$H$373,"추가 진열")</f>
        <v>0</v>
      </c>
      <c r="Q74" s="7">
        <f>O74+P74</f>
        <v>0</v>
      </c>
      <c r="R74" s="7">
        <v>1</v>
      </c>
      <c r="S74" s="6" t="s">
        <v>2857</v>
      </c>
      <c r="T74" s="6" t="s">
        <v>1637</v>
      </c>
      <c r="U74" s="6"/>
      <c r="V74" s="16"/>
      <c r="W74" s="16"/>
      <c r="X74" s="16"/>
      <c r="Y74" s="6" t="s">
        <v>1627</v>
      </c>
      <c r="Z74" s="15"/>
      <c r="AA74" s="15" t="s">
        <v>1628</v>
      </c>
    </row>
    <row r="75" spans="1:27" ht="33" customHeight="1">
      <c r="A75" s="6" t="s">
        <v>2893</v>
      </c>
      <c r="B75" s="7">
        <v>499</v>
      </c>
      <c r="C75" s="6" t="s">
        <v>2894</v>
      </c>
      <c r="D75" s="6" t="s">
        <v>2714</v>
      </c>
      <c r="E75" s="6" t="s">
        <v>1695</v>
      </c>
      <c r="F75" s="6" t="s">
        <v>497</v>
      </c>
      <c r="G75" s="6" t="s">
        <v>307</v>
      </c>
      <c r="H75" s="6"/>
      <c r="I75" s="14" t="s">
        <v>1642</v>
      </c>
      <c r="J75" s="15"/>
      <c r="K75" s="6" t="s">
        <v>1696</v>
      </c>
      <c r="L75" s="6"/>
      <c r="M75" s="6" t="s">
        <v>1643</v>
      </c>
      <c r="N75" s="6" t="s">
        <v>1644</v>
      </c>
      <c r="O75" s="7">
        <f>SUMIFS('05_상품별배치367'!$K$7:$K$373,'05_상품별배치367'!$E$7:$E$373,A75,'05_상품별배치367'!$H$7:$H$373,"본진")</f>
        <v>0</v>
      </c>
      <c r="P75" s="7">
        <f>SUMIFS('05_상품별배치367'!$K$7:$K$373,'05_상품별배치367'!$E$7:$E$373,A75,'05_상품별배치367'!$H$7:$H$373,"추가 진열")</f>
        <v>0</v>
      </c>
      <c r="Q75" s="7">
        <f>O75+P75</f>
        <v>0</v>
      </c>
      <c r="R75" s="7">
        <v>1</v>
      </c>
      <c r="S75" s="6" t="s">
        <v>2857</v>
      </c>
      <c r="T75" s="6" t="s">
        <v>1637</v>
      </c>
      <c r="U75" s="6"/>
      <c r="V75" s="16"/>
      <c r="W75" s="16"/>
      <c r="X75" s="16"/>
      <c r="Y75" s="6" t="s">
        <v>1627</v>
      </c>
      <c r="Z75" s="15"/>
      <c r="AA75" s="15" t="s">
        <v>1628</v>
      </c>
    </row>
    <row r="76" spans="1:27" ht="33" customHeight="1">
      <c r="A76" s="8" t="s">
        <v>2881</v>
      </c>
      <c r="B76" s="9">
        <v>494</v>
      </c>
      <c r="C76" s="8" t="s">
        <v>2882</v>
      </c>
      <c r="D76" s="8" t="s">
        <v>2883</v>
      </c>
      <c r="E76" s="8" t="s">
        <v>1695</v>
      </c>
      <c r="F76" s="8" t="s">
        <v>954</v>
      </c>
      <c r="G76" s="8" t="s">
        <v>219</v>
      </c>
      <c r="H76" s="8"/>
      <c r="I76" s="14" t="s">
        <v>1642</v>
      </c>
      <c r="J76" s="15"/>
      <c r="K76" s="8" t="s">
        <v>1696</v>
      </c>
      <c r="L76" s="8"/>
      <c r="M76" s="6" t="s">
        <v>1643</v>
      </c>
      <c r="N76" s="6" t="s">
        <v>1644</v>
      </c>
      <c r="O76" s="7">
        <f>SUMIFS('05_상품별배치367'!$K$7:$K$373,'05_상품별배치367'!$E$7:$E$373,A76,'05_상품별배치367'!$H$7:$H$373,"본진")</f>
        <v>0</v>
      </c>
      <c r="P76" s="7">
        <f>SUMIFS('05_상품별배치367'!$K$7:$K$373,'05_상품별배치367'!$E$7:$E$373,A76,'05_상품별배치367'!$H$7:$H$373,"추가 진열")</f>
        <v>0</v>
      </c>
      <c r="Q76" s="7">
        <f>O76+P76</f>
        <v>0</v>
      </c>
      <c r="R76" s="7">
        <v>1</v>
      </c>
      <c r="S76" s="6" t="s">
        <v>2884</v>
      </c>
      <c r="T76" s="6" t="s">
        <v>1637</v>
      </c>
      <c r="U76" s="6"/>
      <c r="V76" s="16"/>
      <c r="W76" s="16"/>
      <c r="X76" s="16"/>
      <c r="Y76" s="6" t="s">
        <v>1627</v>
      </c>
      <c r="Z76" s="15"/>
      <c r="AA76" s="15" t="s">
        <v>1628</v>
      </c>
    </row>
    <row r="77" spans="1:27" ht="33" customHeight="1">
      <c r="A77" s="6" t="s">
        <v>2885</v>
      </c>
      <c r="B77" s="7">
        <v>495</v>
      </c>
      <c r="C77" s="6" t="s">
        <v>2886</v>
      </c>
      <c r="D77" s="6" t="s">
        <v>1735</v>
      </c>
      <c r="E77" s="6" t="s">
        <v>1695</v>
      </c>
      <c r="F77" s="6" t="s">
        <v>1129</v>
      </c>
      <c r="G77" s="6" t="s">
        <v>307</v>
      </c>
      <c r="H77" s="6"/>
      <c r="I77" s="14" t="s">
        <v>1642</v>
      </c>
      <c r="J77" s="15"/>
      <c r="K77" s="6" t="s">
        <v>1696</v>
      </c>
      <c r="L77" s="6"/>
      <c r="M77" s="6" t="s">
        <v>1643</v>
      </c>
      <c r="N77" s="6" t="s">
        <v>1644</v>
      </c>
      <c r="O77" s="7">
        <f>SUMIFS('05_상품별배치367'!$K$7:$K$373,'05_상품별배치367'!$E$7:$E$373,A77,'05_상품별배치367'!$H$7:$H$373,"본진")</f>
        <v>0</v>
      </c>
      <c r="P77" s="7">
        <f>SUMIFS('05_상품별배치367'!$K$7:$K$373,'05_상품별배치367'!$E$7:$E$373,A77,'05_상품별배치367'!$H$7:$H$373,"추가 진열")</f>
        <v>0</v>
      </c>
      <c r="Q77" s="7">
        <f>O77+P77</f>
        <v>0</v>
      </c>
      <c r="R77" s="7">
        <v>1</v>
      </c>
      <c r="S77" s="6" t="s">
        <v>2850</v>
      </c>
      <c r="T77" s="6" t="s">
        <v>1637</v>
      </c>
      <c r="U77" s="6"/>
      <c r="V77" s="16"/>
      <c r="W77" s="16"/>
      <c r="X77" s="16"/>
      <c r="Y77" s="6" t="s">
        <v>1627</v>
      </c>
      <c r="Z77" s="15"/>
      <c r="AA77" s="15" t="s">
        <v>1628</v>
      </c>
    </row>
    <row r="78" spans="1:27" ht="33" customHeight="1">
      <c r="A78" s="6" t="s">
        <v>2875</v>
      </c>
      <c r="B78" s="7">
        <v>491</v>
      </c>
      <c r="C78" s="6" t="s">
        <v>2876</v>
      </c>
      <c r="D78" s="6" t="s">
        <v>2083</v>
      </c>
      <c r="E78" s="6" t="s">
        <v>1695</v>
      </c>
      <c r="F78" s="6" t="s">
        <v>1129</v>
      </c>
      <c r="G78" s="6" t="s">
        <v>307</v>
      </c>
      <c r="H78" s="6"/>
      <c r="I78" s="14" t="s">
        <v>1642</v>
      </c>
      <c r="J78" s="15"/>
      <c r="K78" s="6" t="s">
        <v>1696</v>
      </c>
      <c r="L78" s="6"/>
      <c r="M78" s="6" t="s">
        <v>1643</v>
      </c>
      <c r="N78" s="6" t="s">
        <v>1644</v>
      </c>
      <c r="O78" s="7">
        <f>SUMIFS('05_상품별배치367'!$K$7:$K$373,'05_상품별배치367'!$E$7:$E$373,A78,'05_상품별배치367'!$H$7:$H$373,"본진")</f>
        <v>0</v>
      </c>
      <c r="P78" s="7">
        <f>SUMIFS('05_상품별배치367'!$K$7:$K$373,'05_상품별배치367'!$E$7:$E$373,A78,'05_상품별배치367'!$H$7:$H$373,"추가 진열")</f>
        <v>0</v>
      </c>
      <c r="Q78" s="7">
        <f>O78+P78</f>
        <v>0</v>
      </c>
      <c r="R78" s="7">
        <v>1</v>
      </c>
      <c r="S78" s="6" t="s">
        <v>2850</v>
      </c>
      <c r="T78" s="6" t="s">
        <v>1637</v>
      </c>
      <c r="U78" s="6"/>
      <c r="V78" s="16"/>
      <c r="W78" s="16"/>
      <c r="X78" s="16"/>
      <c r="Y78" s="6" t="s">
        <v>1627</v>
      </c>
      <c r="Z78" s="15"/>
      <c r="AA78" s="15" t="s">
        <v>1628</v>
      </c>
    </row>
    <row r="79" spans="1:27" ht="33" customHeight="1">
      <c r="A79" s="8" t="s">
        <v>2887</v>
      </c>
      <c r="B79" s="9">
        <v>496</v>
      </c>
      <c r="C79" s="8" t="s">
        <v>2888</v>
      </c>
      <c r="D79" s="8" t="s">
        <v>1735</v>
      </c>
      <c r="E79" s="8" t="s">
        <v>1695</v>
      </c>
      <c r="F79" s="8" t="s">
        <v>1129</v>
      </c>
      <c r="G79" s="8" t="s">
        <v>307</v>
      </c>
      <c r="H79" s="8"/>
      <c r="I79" s="14" t="s">
        <v>1642</v>
      </c>
      <c r="J79" s="15"/>
      <c r="K79" s="8" t="s">
        <v>1696</v>
      </c>
      <c r="L79" s="8"/>
      <c r="M79" s="6" t="s">
        <v>1643</v>
      </c>
      <c r="N79" s="6" t="s">
        <v>1644</v>
      </c>
      <c r="O79" s="7">
        <f>SUMIFS('05_상품별배치367'!$K$7:$K$373,'05_상품별배치367'!$E$7:$E$373,A79,'05_상품별배치367'!$H$7:$H$373,"본진")</f>
        <v>0</v>
      </c>
      <c r="P79" s="7">
        <f>SUMIFS('05_상품별배치367'!$K$7:$K$373,'05_상품별배치367'!$E$7:$E$373,A79,'05_상품별배치367'!$H$7:$H$373,"추가 진열")</f>
        <v>0</v>
      </c>
      <c r="Q79" s="7">
        <f>O79+P79</f>
        <v>0</v>
      </c>
      <c r="R79" s="7">
        <v>1</v>
      </c>
      <c r="S79" s="6" t="s">
        <v>2850</v>
      </c>
      <c r="T79" s="6" t="s">
        <v>1637</v>
      </c>
      <c r="U79" s="6"/>
      <c r="V79" s="16"/>
      <c r="W79" s="16"/>
      <c r="X79" s="16"/>
      <c r="Y79" s="6" t="s">
        <v>1627</v>
      </c>
      <c r="Z79" s="15"/>
      <c r="AA79" s="15" t="s">
        <v>1628</v>
      </c>
    </row>
    <row r="80" spans="1:27" ht="33" customHeight="1">
      <c r="A80" s="8" t="s">
        <v>2877</v>
      </c>
      <c r="B80" s="9">
        <v>492</v>
      </c>
      <c r="C80" s="8" t="s">
        <v>2878</v>
      </c>
      <c r="D80" s="8" t="s">
        <v>2083</v>
      </c>
      <c r="E80" s="8" t="s">
        <v>1695</v>
      </c>
      <c r="F80" s="8" t="s">
        <v>1129</v>
      </c>
      <c r="G80" s="8" t="s">
        <v>307</v>
      </c>
      <c r="H80" s="8"/>
      <c r="I80" s="14" t="s">
        <v>1642</v>
      </c>
      <c r="J80" s="15"/>
      <c r="K80" s="8" t="s">
        <v>1696</v>
      </c>
      <c r="L80" s="8"/>
      <c r="M80" s="6" t="s">
        <v>1643</v>
      </c>
      <c r="N80" s="6" t="s">
        <v>1644</v>
      </c>
      <c r="O80" s="7">
        <f>SUMIFS('05_상품별배치367'!$K$7:$K$373,'05_상품별배치367'!$E$7:$E$373,A80,'05_상품별배치367'!$H$7:$H$373,"본진")</f>
        <v>0</v>
      </c>
      <c r="P80" s="7">
        <f>SUMIFS('05_상품별배치367'!$K$7:$K$373,'05_상품별배치367'!$E$7:$E$373,A80,'05_상품별배치367'!$H$7:$H$373,"추가 진열")</f>
        <v>0</v>
      </c>
      <c r="Q80" s="7">
        <f>O80+P80</f>
        <v>0</v>
      </c>
      <c r="R80" s="7">
        <v>1</v>
      </c>
      <c r="S80" s="6" t="s">
        <v>2850</v>
      </c>
      <c r="T80" s="6" t="s">
        <v>1637</v>
      </c>
      <c r="U80" s="6"/>
      <c r="V80" s="16"/>
      <c r="W80" s="16"/>
      <c r="X80" s="16"/>
      <c r="Y80" s="6" t="s">
        <v>1627</v>
      </c>
      <c r="Z80" s="15"/>
      <c r="AA80" s="15" t="s">
        <v>1628</v>
      </c>
    </row>
    <row r="81" spans="1:27" ht="33" customHeight="1">
      <c r="A81" s="6" t="s">
        <v>2889</v>
      </c>
      <c r="B81" s="7">
        <v>497</v>
      </c>
      <c r="C81" s="6" t="s">
        <v>2890</v>
      </c>
      <c r="D81" s="6" t="s">
        <v>1735</v>
      </c>
      <c r="E81" s="6" t="s">
        <v>1695</v>
      </c>
      <c r="F81" s="6" t="s">
        <v>1129</v>
      </c>
      <c r="G81" s="6" t="s">
        <v>307</v>
      </c>
      <c r="H81" s="6"/>
      <c r="I81" s="14" t="s">
        <v>1642</v>
      </c>
      <c r="J81" s="15"/>
      <c r="K81" s="6" t="s">
        <v>1696</v>
      </c>
      <c r="L81" s="6"/>
      <c r="M81" s="6" t="s">
        <v>1643</v>
      </c>
      <c r="N81" s="6" t="s">
        <v>1644</v>
      </c>
      <c r="O81" s="7">
        <f>SUMIFS('05_상품별배치367'!$K$7:$K$373,'05_상품별배치367'!$E$7:$E$373,A81,'05_상품별배치367'!$H$7:$H$373,"본진")</f>
        <v>0</v>
      </c>
      <c r="P81" s="7">
        <f>SUMIFS('05_상품별배치367'!$K$7:$K$373,'05_상품별배치367'!$E$7:$E$373,A81,'05_상품별배치367'!$H$7:$H$373,"추가 진열")</f>
        <v>0</v>
      </c>
      <c r="Q81" s="7">
        <f>O81+P81</f>
        <v>0</v>
      </c>
      <c r="R81" s="7">
        <v>1</v>
      </c>
      <c r="S81" s="6" t="s">
        <v>2850</v>
      </c>
      <c r="T81" s="6" t="s">
        <v>1637</v>
      </c>
      <c r="U81" s="6"/>
      <c r="V81" s="16"/>
      <c r="W81" s="16"/>
      <c r="X81" s="16"/>
      <c r="Y81" s="6" t="s">
        <v>1627</v>
      </c>
      <c r="Z81" s="15"/>
      <c r="AA81" s="15" t="s">
        <v>1628</v>
      </c>
    </row>
    <row r="82" spans="1:27" ht="33" customHeight="1">
      <c r="A82" s="6" t="s">
        <v>2879</v>
      </c>
      <c r="B82" s="7">
        <v>493</v>
      </c>
      <c r="C82" s="6" t="s">
        <v>2880</v>
      </c>
      <c r="D82" s="6" t="s">
        <v>2083</v>
      </c>
      <c r="E82" s="6" t="s">
        <v>1695</v>
      </c>
      <c r="F82" s="6" t="s">
        <v>1129</v>
      </c>
      <c r="G82" s="6" t="s">
        <v>307</v>
      </c>
      <c r="H82" s="6"/>
      <c r="I82" s="14" t="s">
        <v>1642</v>
      </c>
      <c r="J82" s="15"/>
      <c r="K82" s="6" t="s">
        <v>1696</v>
      </c>
      <c r="L82" s="6"/>
      <c r="M82" s="6" t="s">
        <v>1643</v>
      </c>
      <c r="N82" s="6" t="s">
        <v>1644</v>
      </c>
      <c r="O82" s="7">
        <f>SUMIFS('05_상품별배치367'!$K$7:$K$373,'05_상품별배치367'!$E$7:$E$373,A82,'05_상품별배치367'!$H$7:$H$373,"본진")</f>
        <v>0</v>
      </c>
      <c r="P82" s="7">
        <f>SUMIFS('05_상품별배치367'!$K$7:$K$373,'05_상품별배치367'!$E$7:$E$373,A82,'05_상품별배치367'!$H$7:$H$373,"추가 진열")</f>
        <v>0</v>
      </c>
      <c r="Q82" s="7">
        <f>O82+P82</f>
        <v>0</v>
      </c>
      <c r="R82" s="7">
        <v>1</v>
      </c>
      <c r="S82" s="6" t="s">
        <v>2850</v>
      </c>
      <c r="T82" s="6" t="s">
        <v>1637</v>
      </c>
      <c r="U82" s="6"/>
      <c r="V82" s="16"/>
      <c r="W82" s="16"/>
      <c r="X82" s="16"/>
      <c r="Y82" s="6" t="s">
        <v>1627</v>
      </c>
      <c r="Z82" s="15"/>
      <c r="AA82" s="15" t="s">
        <v>1628</v>
      </c>
    </row>
    <row r="83" spans="1:27" ht="33" customHeight="1">
      <c r="A83" s="8" t="s">
        <v>2891</v>
      </c>
      <c r="B83" s="9">
        <v>498</v>
      </c>
      <c r="C83" s="8" t="s">
        <v>2892</v>
      </c>
      <c r="D83" s="8" t="s">
        <v>1931</v>
      </c>
      <c r="E83" s="8" t="s">
        <v>1695</v>
      </c>
      <c r="F83" s="8" t="s">
        <v>2846</v>
      </c>
      <c r="G83" s="8" t="s">
        <v>1668</v>
      </c>
      <c r="H83" s="8"/>
      <c r="I83" s="14" t="s">
        <v>1669</v>
      </c>
      <c r="J83" s="15"/>
      <c r="K83" s="8" t="s">
        <v>1696</v>
      </c>
      <c r="L83" s="8"/>
      <c r="M83" s="6" t="s">
        <v>1671</v>
      </c>
      <c r="N83" s="6" t="s">
        <v>1644</v>
      </c>
      <c r="O83" s="7">
        <f>SUMIFS('05_상품별배치367'!$K$7:$K$373,'05_상품별배치367'!$E$7:$E$373,A83,'05_상품별배치367'!$H$7:$H$373,"본진")</f>
        <v>0</v>
      </c>
      <c r="P83" s="7">
        <f>SUMIFS('05_상품별배치367'!$K$7:$K$373,'05_상품별배치367'!$E$7:$E$373,A83,'05_상품별배치367'!$H$7:$H$373,"추가 진열")</f>
        <v>0</v>
      </c>
      <c r="Q83" s="7">
        <f>O83+P83</f>
        <v>0</v>
      </c>
      <c r="R83" s="7">
        <v>0</v>
      </c>
      <c r="S83" s="6" t="s">
        <v>1672</v>
      </c>
      <c r="T83" s="6" t="s">
        <v>1637</v>
      </c>
      <c r="U83" s="6"/>
      <c r="V83" s="16"/>
      <c r="W83" s="16"/>
      <c r="X83" s="16"/>
      <c r="Y83" s="6" t="s">
        <v>1627</v>
      </c>
      <c r="Z83" s="15"/>
      <c r="AA83" s="15" t="s">
        <v>1628</v>
      </c>
    </row>
    <row r="84" spans="1:27" ht="33" customHeight="1">
      <c r="A84" s="8" t="s">
        <v>2872</v>
      </c>
      <c r="B84" s="9">
        <v>490</v>
      </c>
      <c r="C84" s="8" t="s">
        <v>2873</v>
      </c>
      <c r="D84" s="8" t="s">
        <v>2874</v>
      </c>
      <c r="E84" s="8" t="s">
        <v>1695</v>
      </c>
      <c r="F84" s="8" t="s">
        <v>1129</v>
      </c>
      <c r="G84" s="8" t="s">
        <v>307</v>
      </c>
      <c r="H84" s="8"/>
      <c r="I84" s="14" t="s">
        <v>1642</v>
      </c>
      <c r="J84" s="15"/>
      <c r="K84" s="8" t="s">
        <v>1696</v>
      </c>
      <c r="L84" s="8"/>
      <c r="M84" s="6" t="s">
        <v>1643</v>
      </c>
      <c r="N84" s="6" t="s">
        <v>1644</v>
      </c>
      <c r="O84" s="7">
        <f>SUMIFS('05_상품별배치367'!$K$7:$K$373,'05_상품별배치367'!$E$7:$E$373,A84,'05_상품별배치367'!$H$7:$H$373,"본진")</f>
        <v>0</v>
      </c>
      <c r="P84" s="7">
        <f>SUMIFS('05_상품별배치367'!$K$7:$K$373,'05_상품별배치367'!$E$7:$E$373,A84,'05_상품별배치367'!$H$7:$H$373,"추가 진열")</f>
        <v>0</v>
      </c>
      <c r="Q84" s="7">
        <f>O84+P84</f>
        <v>0</v>
      </c>
      <c r="R84" s="7">
        <v>1</v>
      </c>
      <c r="S84" s="6" t="s">
        <v>2850</v>
      </c>
      <c r="T84" s="6" t="s">
        <v>1637</v>
      </c>
      <c r="U84" s="6"/>
      <c r="V84" s="16"/>
      <c r="W84" s="16"/>
      <c r="X84" s="16"/>
      <c r="Y84" s="6" t="s">
        <v>1655</v>
      </c>
      <c r="Z84" s="15"/>
      <c r="AA84" s="15" t="s">
        <v>1628</v>
      </c>
    </row>
    <row r="85" spans="1:27" ht="33" customHeight="1">
      <c r="A85" s="8" t="s">
        <v>6842</v>
      </c>
      <c r="B85" s="9">
        <v>2328</v>
      </c>
      <c r="C85" s="8" t="s">
        <v>6843</v>
      </c>
      <c r="D85" s="8" t="s">
        <v>1851</v>
      </c>
      <c r="E85" s="8" t="s">
        <v>1695</v>
      </c>
      <c r="F85" s="8" t="s">
        <v>2846</v>
      </c>
      <c r="G85" s="8" t="s">
        <v>1668</v>
      </c>
      <c r="H85" s="8"/>
      <c r="I85" s="14" t="s">
        <v>1669</v>
      </c>
      <c r="J85" s="15"/>
      <c r="K85" s="8" t="s">
        <v>1696</v>
      </c>
      <c r="L85" s="8" t="s">
        <v>3828</v>
      </c>
      <c r="M85" s="6" t="s">
        <v>1671</v>
      </c>
      <c r="N85" s="6" t="s">
        <v>1644</v>
      </c>
      <c r="O85" s="7">
        <f>SUMIFS('05_상품별배치367'!$K$7:$K$373,'05_상품별배치367'!$E$7:$E$373,A85,'05_상품별배치367'!$H$7:$H$373,"본진")</f>
        <v>0</v>
      </c>
      <c r="P85" s="7">
        <f>SUMIFS('05_상품별배치367'!$K$7:$K$373,'05_상품별배치367'!$E$7:$E$373,A85,'05_상품별배치367'!$H$7:$H$373,"추가 진열")</f>
        <v>0</v>
      </c>
      <c r="Q85" s="7">
        <f>O85+P85</f>
        <v>0</v>
      </c>
      <c r="R85" s="7">
        <v>0</v>
      </c>
      <c r="S85" s="6" t="s">
        <v>1672</v>
      </c>
      <c r="T85" s="6" t="s">
        <v>1637</v>
      </c>
      <c r="U85" s="6"/>
      <c r="V85" s="16"/>
      <c r="W85" s="16"/>
      <c r="X85" s="16"/>
      <c r="Y85" s="6" t="s">
        <v>1627</v>
      </c>
      <c r="Z85" s="15"/>
      <c r="AA85" s="15" t="s">
        <v>1628</v>
      </c>
    </row>
    <row r="86" spans="1:27" ht="33" customHeight="1">
      <c r="A86" s="6" t="s">
        <v>2212</v>
      </c>
      <c r="B86" s="7">
        <v>207</v>
      </c>
      <c r="C86" s="6" t="s">
        <v>2213</v>
      </c>
      <c r="D86" s="6" t="s">
        <v>2078</v>
      </c>
      <c r="E86" s="6" t="s">
        <v>1620</v>
      </c>
      <c r="F86" s="6" t="s">
        <v>1220</v>
      </c>
      <c r="G86" s="6" t="s">
        <v>349</v>
      </c>
      <c r="H86" s="6"/>
      <c r="I86" s="14" t="s">
        <v>1642</v>
      </c>
      <c r="J86" s="15"/>
      <c r="K86" s="6" t="s">
        <v>1622</v>
      </c>
      <c r="L86" s="6" t="s">
        <v>2079</v>
      </c>
      <c r="M86" s="6" t="s">
        <v>1643</v>
      </c>
      <c r="N86" s="6" t="s">
        <v>1644</v>
      </c>
      <c r="O86" s="7">
        <f>SUMIFS('05_상품별배치367'!$K$7:$K$373,'05_상품별배치367'!$E$7:$E$373,A86,'05_상품별배치367'!$H$7:$H$373,"본진")</f>
        <v>0</v>
      </c>
      <c r="P86" s="7">
        <f>SUMIFS('05_상품별배치367'!$K$7:$K$373,'05_상품별배치367'!$E$7:$E$373,A86,'05_상품별배치367'!$H$7:$H$373,"추가 진열")</f>
        <v>0</v>
      </c>
      <c r="Q86" s="7">
        <f>O86+P86</f>
        <v>0</v>
      </c>
      <c r="R86" s="7">
        <v>1</v>
      </c>
      <c r="S86" s="6" t="s">
        <v>2080</v>
      </c>
      <c r="T86" s="6" t="s">
        <v>1637</v>
      </c>
      <c r="U86" s="6"/>
      <c r="V86" s="16"/>
      <c r="W86" s="16"/>
      <c r="X86" s="16"/>
      <c r="Y86" s="6" t="s">
        <v>1655</v>
      </c>
      <c r="Z86" s="15"/>
      <c r="AA86" s="15" t="s">
        <v>1628</v>
      </c>
    </row>
    <row r="87" spans="1:27" ht="33" customHeight="1">
      <c r="A87" s="8" t="s">
        <v>2218</v>
      </c>
      <c r="B87" s="9">
        <v>210</v>
      </c>
      <c r="C87" s="8" t="s">
        <v>2219</v>
      </c>
      <c r="D87" s="8" t="s">
        <v>2078</v>
      </c>
      <c r="E87" s="8" t="s">
        <v>1620</v>
      </c>
      <c r="F87" s="8" t="s">
        <v>1220</v>
      </c>
      <c r="G87" s="8" t="s">
        <v>349</v>
      </c>
      <c r="H87" s="8"/>
      <c r="I87" s="14" t="s">
        <v>1642</v>
      </c>
      <c r="J87" s="15"/>
      <c r="K87" s="8" t="s">
        <v>1622</v>
      </c>
      <c r="L87" s="8" t="s">
        <v>2079</v>
      </c>
      <c r="M87" s="6" t="s">
        <v>1643</v>
      </c>
      <c r="N87" s="6" t="s">
        <v>1644</v>
      </c>
      <c r="O87" s="7">
        <f>SUMIFS('05_상품별배치367'!$K$7:$K$373,'05_상품별배치367'!$E$7:$E$373,A87,'05_상품별배치367'!$H$7:$H$373,"본진")</f>
        <v>0</v>
      </c>
      <c r="P87" s="7">
        <f>SUMIFS('05_상품별배치367'!$K$7:$K$373,'05_상품별배치367'!$E$7:$E$373,A87,'05_상품별배치367'!$H$7:$H$373,"추가 진열")</f>
        <v>0</v>
      </c>
      <c r="Q87" s="7">
        <f>O87+P87</f>
        <v>0</v>
      </c>
      <c r="R87" s="7">
        <v>1</v>
      </c>
      <c r="S87" s="6" t="s">
        <v>2080</v>
      </c>
      <c r="T87" s="6" t="s">
        <v>1637</v>
      </c>
      <c r="U87" s="6"/>
      <c r="V87" s="16"/>
      <c r="W87" s="16"/>
      <c r="X87" s="16"/>
      <c r="Y87" s="6" t="s">
        <v>1655</v>
      </c>
      <c r="Z87" s="15"/>
      <c r="AA87" s="15" t="s">
        <v>1628</v>
      </c>
    </row>
    <row r="88" spans="1:27" ht="33" customHeight="1">
      <c r="A88" s="8" t="s">
        <v>2214</v>
      </c>
      <c r="B88" s="9">
        <v>208</v>
      </c>
      <c r="C88" s="8" t="s">
        <v>2215</v>
      </c>
      <c r="D88" s="8" t="s">
        <v>2078</v>
      </c>
      <c r="E88" s="8" t="s">
        <v>1620</v>
      </c>
      <c r="F88" s="8" t="s">
        <v>1220</v>
      </c>
      <c r="G88" s="8" t="s">
        <v>349</v>
      </c>
      <c r="H88" s="8"/>
      <c r="I88" s="14" t="s">
        <v>1642</v>
      </c>
      <c r="J88" s="15"/>
      <c r="K88" s="8" t="s">
        <v>1622</v>
      </c>
      <c r="L88" s="8" t="s">
        <v>2079</v>
      </c>
      <c r="M88" s="6" t="s">
        <v>1643</v>
      </c>
      <c r="N88" s="6" t="s">
        <v>1644</v>
      </c>
      <c r="O88" s="7">
        <f>SUMIFS('05_상품별배치367'!$K$7:$K$373,'05_상품별배치367'!$E$7:$E$373,A88,'05_상품별배치367'!$H$7:$H$373,"본진")</f>
        <v>0</v>
      </c>
      <c r="P88" s="7">
        <f>SUMIFS('05_상품별배치367'!$K$7:$K$373,'05_상품별배치367'!$E$7:$E$373,A88,'05_상품별배치367'!$H$7:$H$373,"추가 진열")</f>
        <v>0</v>
      </c>
      <c r="Q88" s="7">
        <f>O88+P88</f>
        <v>0</v>
      </c>
      <c r="R88" s="7">
        <v>1</v>
      </c>
      <c r="S88" s="6" t="s">
        <v>2080</v>
      </c>
      <c r="T88" s="6" t="s">
        <v>1637</v>
      </c>
      <c r="U88" s="6"/>
      <c r="V88" s="16"/>
      <c r="W88" s="16"/>
      <c r="X88" s="16"/>
      <c r="Y88" s="6" t="s">
        <v>1655</v>
      </c>
      <c r="Z88" s="15"/>
      <c r="AA88" s="15" t="s">
        <v>1628</v>
      </c>
    </row>
    <row r="89" spans="1:27" ht="33" customHeight="1">
      <c r="A89" s="6" t="s">
        <v>2220</v>
      </c>
      <c r="B89" s="7">
        <v>211</v>
      </c>
      <c r="C89" s="6" t="s">
        <v>2221</v>
      </c>
      <c r="D89" s="6" t="s">
        <v>2078</v>
      </c>
      <c r="E89" s="6" t="s">
        <v>1666</v>
      </c>
      <c r="F89" s="6" t="s">
        <v>1667</v>
      </c>
      <c r="G89" s="6" t="s">
        <v>1668</v>
      </c>
      <c r="H89" s="6"/>
      <c r="I89" s="14" t="s">
        <v>1669</v>
      </c>
      <c r="J89" s="15"/>
      <c r="K89" s="6" t="s">
        <v>1670</v>
      </c>
      <c r="L89" s="6" t="s">
        <v>2079</v>
      </c>
      <c r="M89" s="6" t="s">
        <v>1671</v>
      </c>
      <c r="N89" s="6" t="s">
        <v>1644</v>
      </c>
      <c r="O89" s="7">
        <f>SUMIFS('05_상품별배치367'!$K$7:$K$373,'05_상품별배치367'!$E$7:$E$373,A89,'05_상품별배치367'!$H$7:$H$373,"본진")</f>
        <v>0</v>
      </c>
      <c r="P89" s="7">
        <f>SUMIFS('05_상품별배치367'!$K$7:$K$373,'05_상품별배치367'!$E$7:$E$373,A89,'05_상품별배치367'!$H$7:$H$373,"추가 진열")</f>
        <v>0</v>
      </c>
      <c r="Q89" s="7">
        <f>O89+P89</f>
        <v>0</v>
      </c>
      <c r="R89" s="7">
        <v>0</v>
      </c>
      <c r="S89" s="6" t="s">
        <v>1672</v>
      </c>
      <c r="T89" s="6" t="s">
        <v>1637</v>
      </c>
      <c r="U89" s="6"/>
      <c r="V89" s="16"/>
      <c r="W89" s="16"/>
      <c r="X89" s="16"/>
      <c r="Y89" s="6" t="s">
        <v>1655</v>
      </c>
      <c r="Z89" s="15"/>
      <c r="AA89" s="15" t="s">
        <v>1628</v>
      </c>
    </row>
    <row r="90" spans="1:27" ht="33" customHeight="1">
      <c r="A90" s="6" t="s">
        <v>2216</v>
      </c>
      <c r="B90" s="7">
        <v>209</v>
      </c>
      <c r="C90" s="6" t="s">
        <v>2217</v>
      </c>
      <c r="D90" s="6" t="s">
        <v>2078</v>
      </c>
      <c r="E90" s="6" t="s">
        <v>1620</v>
      </c>
      <c r="F90" s="6" t="s">
        <v>1220</v>
      </c>
      <c r="G90" s="6" t="s">
        <v>349</v>
      </c>
      <c r="H90" s="6"/>
      <c r="I90" s="14" t="s">
        <v>1642</v>
      </c>
      <c r="J90" s="15"/>
      <c r="K90" s="6" t="s">
        <v>1622</v>
      </c>
      <c r="L90" s="6" t="s">
        <v>2079</v>
      </c>
      <c r="M90" s="6" t="s">
        <v>1643</v>
      </c>
      <c r="N90" s="6" t="s">
        <v>1644</v>
      </c>
      <c r="O90" s="7">
        <f>SUMIFS('05_상품별배치367'!$K$7:$K$373,'05_상품별배치367'!$E$7:$E$373,A90,'05_상품별배치367'!$H$7:$H$373,"본진")</f>
        <v>0</v>
      </c>
      <c r="P90" s="7">
        <f>SUMIFS('05_상품별배치367'!$K$7:$K$373,'05_상품별배치367'!$E$7:$E$373,A90,'05_상품별배치367'!$H$7:$H$373,"추가 진열")</f>
        <v>0</v>
      </c>
      <c r="Q90" s="7">
        <f>O90+P90</f>
        <v>0</v>
      </c>
      <c r="R90" s="7">
        <v>1</v>
      </c>
      <c r="S90" s="6" t="s">
        <v>2080</v>
      </c>
      <c r="T90" s="6" t="s">
        <v>1637</v>
      </c>
      <c r="U90" s="6"/>
      <c r="V90" s="16"/>
      <c r="W90" s="16"/>
      <c r="X90" s="16"/>
      <c r="Y90" s="6" t="s">
        <v>1655</v>
      </c>
      <c r="Z90" s="15"/>
      <c r="AA90" s="15" t="s">
        <v>1628</v>
      </c>
    </row>
    <row r="91" spans="1:27" ht="33" customHeight="1">
      <c r="A91" s="6" t="s">
        <v>2208</v>
      </c>
      <c r="B91" s="7">
        <v>205</v>
      </c>
      <c r="C91" s="6" t="s">
        <v>2209</v>
      </c>
      <c r="D91" s="6" t="s">
        <v>2013</v>
      </c>
      <c r="E91" s="6" t="s">
        <v>1620</v>
      </c>
      <c r="F91" s="6" t="s">
        <v>2048</v>
      </c>
      <c r="G91" s="6" t="s">
        <v>1668</v>
      </c>
      <c r="H91" s="6"/>
      <c r="I91" s="14" t="s">
        <v>1669</v>
      </c>
      <c r="J91" s="15"/>
      <c r="K91" s="6" t="s">
        <v>1622</v>
      </c>
      <c r="L91" s="6"/>
      <c r="M91" s="6" t="s">
        <v>1671</v>
      </c>
      <c r="N91" s="6" t="s">
        <v>1644</v>
      </c>
      <c r="O91" s="7">
        <f>SUMIFS('05_상품별배치367'!$K$7:$K$373,'05_상품별배치367'!$E$7:$E$373,A91,'05_상품별배치367'!$H$7:$H$373,"본진")</f>
        <v>0</v>
      </c>
      <c r="P91" s="7">
        <f>SUMIFS('05_상품별배치367'!$K$7:$K$373,'05_상품별배치367'!$E$7:$E$373,A91,'05_상품별배치367'!$H$7:$H$373,"추가 진열")</f>
        <v>0</v>
      </c>
      <c r="Q91" s="7">
        <f>O91+P91</f>
        <v>0</v>
      </c>
      <c r="R91" s="7">
        <v>0</v>
      </c>
      <c r="S91" s="6" t="s">
        <v>1672</v>
      </c>
      <c r="T91" s="6" t="s">
        <v>1637</v>
      </c>
      <c r="U91" s="6"/>
      <c r="V91" s="16"/>
      <c r="W91" s="16"/>
      <c r="X91" s="16"/>
      <c r="Y91" s="6" t="s">
        <v>1627</v>
      </c>
      <c r="Z91" s="15"/>
      <c r="AA91" s="15" t="s">
        <v>1628</v>
      </c>
    </row>
    <row r="92" spans="1:27" ht="33" customHeight="1">
      <c r="A92" s="8" t="s">
        <v>2206</v>
      </c>
      <c r="B92" s="9">
        <v>204</v>
      </c>
      <c r="C92" s="8" t="s">
        <v>2207</v>
      </c>
      <c r="D92" s="8" t="s">
        <v>2013</v>
      </c>
      <c r="E92" s="8" t="s">
        <v>1620</v>
      </c>
      <c r="F92" s="8" t="s">
        <v>2048</v>
      </c>
      <c r="G92" s="8" t="s">
        <v>1668</v>
      </c>
      <c r="H92" s="8"/>
      <c r="I92" s="14" t="s">
        <v>1669</v>
      </c>
      <c r="J92" s="15"/>
      <c r="K92" s="8" t="s">
        <v>1622</v>
      </c>
      <c r="L92" s="8"/>
      <c r="M92" s="6" t="s">
        <v>1671</v>
      </c>
      <c r="N92" s="6" t="s">
        <v>1644</v>
      </c>
      <c r="O92" s="7">
        <f>SUMIFS('05_상품별배치367'!$K$7:$K$373,'05_상품별배치367'!$E$7:$E$373,A92,'05_상품별배치367'!$H$7:$H$373,"본진")</f>
        <v>0</v>
      </c>
      <c r="P92" s="7">
        <f>SUMIFS('05_상품별배치367'!$K$7:$K$373,'05_상품별배치367'!$E$7:$E$373,A92,'05_상품별배치367'!$H$7:$H$373,"추가 진열")</f>
        <v>0</v>
      </c>
      <c r="Q92" s="7">
        <f>O92+P92</f>
        <v>0</v>
      </c>
      <c r="R92" s="7">
        <v>0</v>
      </c>
      <c r="S92" s="6" t="s">
        <v>1672</v>
      </c>
      <c r="T92" s="6" t="s">
        <v>1637</v>
      </c>
      <c r="U92" s="6"/>
      <c r="V92" s="16"/>
      <c r="W92" s="16"/>
      <c r="X92" s="16"/>
      <c r="Y92" s="6" t="s">
        <v>1627</v>
      </c>
      <c r="Z92" s="15"/>
      <c r="AA92" s="15" t="s">
        <v>1628</v>
      </c>
    </row>
    <row r="93" spans="1:27" ht="33" customHeight="1">
      <c r="A93" s="8" t="s">
        <v>2202</v>
      </c>
      <c r="B93" s="9">
        <v>202</v>
      </c>
      <c r="C93" s="8" t="s">
        <v>2203</v>
      </c>
      <c r="D93" s="8" t="s">
        <v>1619</v>
      </c>
      <c r="E93" s="8" t="s">
        <v>1666</v>
      </c>
      <c r="F93" s="8" t="s">
        <v>1852</v>
      </c>
      <c r="G93" s="8" t="s">
        <v>1853</v>
      </c>
      <c r="H93" s="8"/>
      <c r="I93" s="14" t="s">
        <v>1669</v>
      </c>
      <c r="J93" s="15"/>
      <c r="K93" s="8" t="s">
        <v>1670</v>
      </c>
      <c r="L93" s="8"/>
      <c r="M93" s="6" t="s">
        <v>1671</v>
      </c>
      <c r="N93" s="6" t="s">
        <v>1644</v>
      </c>
      <c r="O93" s="7">
        <f>SUMIFS('05_상품별배치367'!$K$7:$K$373,'05_상품별배치367'!$E$7:$E$373,A93,'05_상품별배치367'!$H$7:$H$373,"본진")</f>
        <v>0</v>
      </c>
      <c r="P93" s="7">
        <f>SUMIFS('05_상품별배치367'!$K$7:$K$373,'05_상품별배치367'!$E$7:$E$373,A93,'05_상품별배치367'!$H$7:$H$373,"추가 진열")</f>
        <v>0</v>
      </c>
      <c r="Q93" s="7">
        <f>O93+P93</f>
        <v>0</v>
      </c>
      <c r="R93" s="7">
        <v>0</v>
      </c>
      <c r="S93" s="6" t="s">
        <v>1672</v>
      </c>
      <c r="T93" s="6" t="s">
        <v>1637</v>
      </c>
      <c r="U93" s="6"/>
      <c r="V93" s="16"/>
      <c r="W93" s="16"/>
      <c r="X93" s="16"/>
      <c r="Y93" s="6" t="s">
        <v>1627</v>
      </c>
      <c r="Z93" s="15"/>
      <c r="AA93" s="15" t="s">
        <v>1628</v>
      </c>
    </row>
    <row r="94" spans="1:27" ht="33" customHeight="1">
      <c r="A94" s="6" t="s">
        <v>2204</v>
      </c>
      <c r="B94" s="7">
        <v>203</v>
      </c>
      <c r="C94" s="6" t="s">
        <v>2205</v>
      </c>
      <c r="D94" s="6" t="s">
        <v>2010</v>
      </c>
      <c r="E94" s="6" t="s">
        <v>1666</v>
      </c>
      <c r="F94" s="6" t="s">
        <v>1852</v>
      </c>
      <c r="G94" s="6" t="s">
        <v>1853</v>
      </c>
      <c r="H94" s="6"/>
      <c r="I94" s="14" t="s">
        <v>1669</v>
      </c>
      <c r="J94" s="15"/>
      <c r="K94" s="6" t="s">
        <v>1670</v>
      </c>
      <c r="L94" s="6"/>
      <c r="M94" s="6" t="s">
        <v>1671</v>
      </c>
      <c r="N94" s="6" t="s">
        <v>1644</v>
      </c>
      <c r="O94" s="7">
        <f>SUMIFS('05_상품별배치367'!$K$7:$K$373,'05_상품별배치367'!$E$7:$E$373,A94,'05_상품별배치367'!$H$7:$H$373,"본진")</f>
        <v>0</v>
      </c>
      <c r="P94" s="7">
        <f>SUMIFS('05_상품별배치367'!$K$7:$K$373,'05_상품별배치367'!$E$7:$E$373,A94,'05_상품별배치367'!$H$7:$H$373,"추가 진열")</f>
        <v>0</v>
      </c>
      <c r="Q94" s="7">
        <f>O94+P94</f>
        <v>0</v>
      </c>
      <c r="R94" s="7">
        <v>0</v>
      </c>
      <c r="S94" s="6" t="s">
        <v>1672</v>
      </c>
      <c r="T94" s="6" t="s">
        <v>1637</v>
      </c>
      <c r="U94" s="6"/>
      <c r="V94" s="16"/>
      <c r="W94" s="16"/>
      <c r="X94" s="16"/>
      <c r="Y94" s="6" t="s">
        <v>1627</v>
      </c>
      <c r="Z94" s="15"/>
      <c r="AA94" s="15" t="s">
        <v>1628</v>
      </c>
    </row>
    <row r="95" spans="1:27" ht="33" customHeight="1">
      <c r="A95" s="8" t="s">
        <v>2210</v>
      </c>
      <c r="B95" s="9">
        <v>206</v>
      </c>
      <c r="C95" s="8" t="s">
        <v>2211</v>
      </c>
      <c r="D95" s="8" t="s">
        <v>2013</v>
      </c>
      <c r="E95" s="8" t="s">
        <v>1620</v>
      </c>
      <c r="F95" s="8" t="s">
        <v>151</v>
      </c>
      <c r="G95" s="8" t="s">
        <v>349</v>
      </c>
      <c r="H95" s="8"/>
      <c r="I95" s="14" t="s">
        <v>1642</v>
      </c>
      <c r="J95" s="15"/>
      <c r="K95" s="8" t="s">
        <v>1622</v>
      </c>
      <c r="L95" s="8"/>
      <c r="M95" s="6" t="s">
        <v>1643</v>
      </c>
      <c r="N95" s="6" t="s">
        <v>1644</v>
      </c>
      <c r="O95" s="7">
        <f>SUMIFS('05_상품별배치367'!$K$7:$K$373,'05_상품별배치367'!$E$7:$E$373,A95,'05_상품별배치367'!$H$7:$H$373,"본진")</f>
        <v>0</v>
      </c>
      <c r="P95" s="7">
        <f>SUMIFS('05_상품별배치367'!$K$7:$K$373,'05_상품별배치367'!$E$7:$E$373,A95,'05_상품별배치367'!$H$7:$H$373,"추가 진열")</f>
        <v>0</v>
      </c>
      <c r="Q95" s="7">
        <f>O95+P95</f>
        <v>0</v>
      </c>
      <c r="R95" s="7">
        <v>1</v>
      </c>
      <c r="S95" s="6" t="s">
        <v>1676</v>
      </c>
      <c r="T95" s="6" t="s">
        <v>1637</v>
      </c>
      <c r="U95" s="6"/>
      <c r="V95" s="16"/>
      <c r="W95" s="16"/>
      <c r="X95" s="16"/>
      <c r="Y95" s="6" t="s">
        <v>1627</v>
      </c>
      <c r="Z95" s="15"/>
      <c r="AA95" s="15" t="s">
        <v>1628</v>
      </c>
    </row>
    <row r="96" spans="1:27" ht="33" customHeight="1">
      <c r="A96" s="8" t="s">
        <v>2197</v>
      </c>
      <c r="B96" s="9">
        <v>200</v>
      </c>
      <c r="C96" s="8" t="s">
        <v>2198</v>
      </c>
      <c r="D96" s="8" t="s">
        <v>1619</v>
      </c>
      <c r="E96" s="8" t="s">
        <v>1620</v>
      </c>
      <c r="F96" s="8" t="s">
        <v>504</v>
      </c>
      <c r="G96" s="8" t="s">
        <v>341</v>
      </c>
      <c r="H96" s="8"/>
      <c r="I96" s="14" t="s">
        <v>1642</v>
      </c>
      <c r="J96" s="15"/>
      <c r="K96" s="8" t="s">
        <v>1622</v>
      </c>
      <c r="L96" s="8"/>
      <c r="M96" s="6" t="s">
        <v>1643</v>
      </c>
      <c r="N96" s="6" t="s">
        <v>1644</v>
      </c>
      <c r="O96" s="7">
        <f>SUMIFS('05_상품별배치367'!$K$7:$K$373,'05_상품별배치367'!$E$7:$E$373,A96,'05_상품별배치367'!$H$7:$H$373,"본진")</f>
        <v>0</v>
      </c>
      <c r="P96" s="7">
        <f>SUMIFS('05_상품별배치367'!$K$7:$K$373,'05_상품별배치367'!$E$7:$E$373,A96,'05_상품별배치367'!$H$7:$H$373,"추가 진열")</f>
        <v>0</v>
      </c>
      <c r="Q96" s="7">
        <f>O96+P96</f>
        <v>0</v>
      </c>
      <c r="R96" s="7">
        <v>1</v>
      </c>
      <c r="S96" s="6" t="s">
        <v>2199</v>
      </c>
      <c r="T96" s="6" t="s">
        <v>1637</v>
      </c>
      <c r="U96" s="6"/>
      <c r="V96" s="16"/>
      <c r="W96" s="16"/>
      <c r="X96" s="16"/>
      <c r="Y96" s="6" t="s">
        <v>1627</v>
      </c>
      <c r="Z96" s="15"/>
      <c r="AA96" s="15" t="s">
        <v>1628</v>
      </c>
    </row>
    <row r="97" spans="1:27" ht="33" customHeight="1">
      <c r="A97" s="6" t="s">
        <v>2200</v>
      </c>
      <c r="B97" s="7">
        <v>201</v>
      </c>
      <c r="C97" s="6" t="s">
        <v>2201</v>
      </c>
      <c r="D97" s="6" t="s">
        <v>2010</v>
      </c>
      <c r="E97" s="6" t="s">
        <v>1620</v>
      </c>
      <c r="F97" s="6" t="s">
        <v>504</v>
      </c>
      <c r="G97" s="6" t="s">
        <v>341</v>
      </c>
      <c r="H97" s="6"/>
      <c r="I97" s="14" t="s">
        <v>1642</v>
      </c>
      <c r="J97" s="15"/>
      <c r="K97" s="6" t="s">
        <v>1622</v>
      </c>
      <c r="L97" s="6"/>
      <c r="M97" s="6" t="s">
        <v>1643</v>
      </c>
      <c r="N97" s="6" t="s">
        <v>1644</v>
      </c>
      <c r="O97" s="7">
        <f>SUMIFS('05_상품별배치367'!$K$7:$K$373,'05_상품별배치367'!$E$7:$E$373,A97,'05_상품별배치367'!$H$7:$H$373,"본진")</f>
        <v>0</v>
      </c>
      <c r="P97" s="7">
        <f>SUMIFS('05_상품별배치367'!$K$7:$K$373,'05_상품별배치367'!$E$7:$E$373,A97,'05_상품별배치367'!$H$7:$H$373,"추가 진열")</f>
        <v>0</v>
      </c>
      <c r="Q97" s="7">
        <f>O97+P97</f>
        <v>0</v>
      </c>
      <c r="R97" s="7">
        <v>1</v>
      </c>
      <c r="S97" s="6" t="s">
        <v>2199</v>
      </c>
      <c r="T97" s="6" t="s">
        <v>1637</v>
      </c>
      <c r="U97" s="6"/>
      <c r="V97" s="16"/>
      <c r="W97" s="16"/>
      <c r="X97" s="16"/>
      <c r="Y97" s="6" t="s">
        <v>1627</v>
      </c>
      <c r="Z97" s="15"/>
      <c r="AA97" s="15" t="s">
        <v>1628</v>
      </c>
    </row>
    <row r="98" spans="1:27" ht="33" customHeight="1">
      <c r="A98" s="8" t="s">
        <v>6163</v>
      </c>
      <c r="B98" s="9">
        <v>2018</v>
      </c>
      <c r="C98" s="8" t="s">
        <v>6164</v>
      </c>
      <c r="D98" s="8" t="s">
        <v>6017</v>
      </c>
      <c r="E98" s="8" t="s">
        <v>1641</v>
      </c>
      <c r="F98" s="8" t="s">
        <v>670</v>
      </c>
      <c r="G98" s="8" t="s">
        <v>91</v>
      </c>
      <c r="H98" s="8" t="s">
        <v>674</v>
      </c>
      <c r="I98" s="14" t="s">
        <v>1621</v>
      </c>
      <c r="J98" s="15"/>
      <c r="K98" s="8" t="s">
        <v>1634</v>
      </c>
      <c r="L98" s="8" t="s">
        <v>3828</v>
      </c>
      <c r="M98" s="6" t="s">
        <v>1623</v>
      </c>
      <c r="N98" s="6" t="s">
        <v>1624</v>
      </c>
      <c r="O98" s="7">
        <f>SUMIFS('05_상품별배치367'!$K$7:$K$373,'05_상품별배치367'!$E$7:$E$373,A98,'05_상품별배치367'!$H$7:$H$373,"본진")</f>
        <v>1</v>
      </c>
      <c r="P98" s="7">
        <f>SUMIFS('05_상품별배치367'!$K$7:$K$373,'05_상품별배치367'!$E$7:$E$373,A98,'05_상품별배치367'!$H$7:$H$373,"추가 진열")</f>
        <v>0</v>
      </c>
      <c r="Q98" s="7">
        <f>O98+P98</f>
        <v>1</v>
      </c>
      <c r="R98" s="7">
        <v>1</v>
      </c>
      <c r="S98" s="6" t="s">
        <v>1625</v>
      </c>
      <c r="T98" s="6" t="s">
        <v>1637</v>
      </c>
      <c r="U98" s="6"/>
      <c r="V98" s="16"/>
      <c r="W98" s="16"/>
      <c r="X98" s="16"/>
      <c r="Y98" s="6" t="s">
        <v>1627</v>
      </c>
      <c r="Z98" s="15"/>
      <c r="AA98" s="15" t="s">
        <v>1628</v>
      </c>
    </row>
    <row r="99" spans="1:27" ht="33" customHeight="1">
      <c r="A99" s="6" t="s">
        <v>6160</v>
      </c>
      <c r="B99" s="7">
        <v>2017</v>
      </c>
      <c r="C99" s="6" t="s">
        <v>6161</v>
      </c>
      <c r="D99" s="6" t="s">
        <v>6162</v>
      </c>
      <c r="E99" s="6" t="s">
        <v>1641</v>
      </c>
      <c r="F99" s="6" t="s">
        <v>670</v>
      </c>
      <c r="G99" s="6" t="s">
        <v>91</v>
      </c>
      <c r="H99" s="6"/>
      <c r="I99" s="14" t="s">
        <v>1642</v>
      </c>
      <c r="J99" s="15"/>
      <c r="K99" s="6" t="s">
        <v>1634</v>
      </c>
      <c r="L99" s="6" t="s">
        <v>3828</v>
      </c>
      <c r="M99" s="6" t="s">
        <v>1643</v>
      </c>
      <c r="N99" s="6" t="s">
        <v>1624</v>
      </c>
      <c r="O99" s="7">
        <f>SUMIFS('05_상품별배치367'!$K$7:$K$373,'05_상품별배치367'!$E$7:$E$373,A99,'05_상품별배치367'!$H$7:$H$373,"본진")</f>
        <v>0</v>
      </c>
      <c r="P99" s="7">
        <f>SUMIFS('05_상품별배치367'!$K$7:$K$373,'05_상품별배치367'!$E$7:$E$373,A99,'05_상품별배치367'!$H$7:$H$373,"추가 진열")</f>
        <v>0</v>
      </c>
      <c r="Q99" s="7">
        <f>O99+P99</f>
        <v>0</v>
      </c>
      <c r="R99" s="7">
        <v>1</v>
      </c>
      <c r="S99" s="6" t="s">
        <v>1645</v>
      </c>
      <c r="T99" s="6" t="s">
        <v>1637</v>
      </c>
      <c r="U99" s="6"/>
      <c r="V99" s="16"/>
      <c r="W99" s="16"/>
      <c r="X99" s="16"/>
      <c r="Y99" s="6" t="s">
        <v>1655</v>
      </c>
      <c r="Z99" s="15"/>
      <c r="AA99" s="15" t="s">
        <v>1628</v>
      </c>
    </row>
    <row r="100" spans="1:27" ht="33" customHeight="1">
      <c r="A100" s="8" t="s">
        <v>7113</v>
      </c>
      <c r="B100" s="9">
        <v>2462</v>
      </c>
      <c r="C100" s="8" t="s">
        <v>7114</v>
      </c>
      <c r="D100" s="8" t="s">
        <v>7115</v>
      </c>
      <c r="E100" s="8" t="s">
        <v>1641</v>
      </c>
      <c r="F100" s="8" t="s">
        <v>1691</v>
      </c>
      <c r="G100" s="8" t="s">
        <v>59</v>
      </c>
      <c r="H100" s="8"/>
      <c r="I100" s="14" t="s">
        <v>1642</v>
      </c>
      <c r="J100" s="15"/>
      <c r="K100" s="8" t="s">
        <v>1634</v>
      </c>
      <c r="L100" s="8" t="s">
        <v>3828</v>
      </c>
      <c r="M100" s="6" t="s">
        <v>1643</v>
      </c>
      <c r="N100" s="6" t="s">
        <v>1624</v>
      </c>
      <c r="O100" s="7">
        <f>SUMIFS('05_상품별배치367'!$K$7:$K$373,'05_상품별배치367'!$E$7:$E$373,A100,'05_상품별배치367'!$H$7:$H$373,"본진")</f>
        <v>0</v>
      </c>
      <c r="P100" s="7">
        <f>SUMIFS('05_상품별배치367'!$K$7:$K$373,'05_상품별배치367'!$E$7:$E$373,A100,'05_상품별배치367'!$H$7:$H$373,"추가 진열")</f>
        <v>0</v>
      </c>
      <c r="Q100" s="7">
        <f>O100+P100</f>
        <v>0</v>
      </c>
      <c r="R100" s="7">
        <v>1</v>
      </c>
      <c r="S100" s="6" t="s">
        <v>1721</v>
      </c>
      <c r="T100" s="6" t="s">
        <v>1637</v>
      </c>
      <c r="U100" s="6"/>
      <c r="V100" s="16"/>
      <c r="W100" s="16"/>
      <c r="X100" s="16"/>
      <c r="Y100" s="6" t="s">
        <v>1655</v>
      </c>
      <c r="Z100" s="15"/>
      <c r="AA100" s="15" t="s">
        <v>1628</v>
      </c>
    </row>
    <row r="101" spans="1:27" ht="33" customHeight="1">
      <c r="A101" s="6" t="s">
        <v>6546</v>
      </c>
      <c r="B101" s="7">
        <v>2187</v>
      </c>
      <c r="C101" s="6" t="s">
        <v>6547</v>
      </c>
      <c r="D101" s="6" t="s">
        <v>1682</v>
      </c>
      <c r="E101" s="6" t="s">
        <v>1620</v>
      </c>
      <c r="F101" s="6" t="s">
        <v>1234</v>
      </c>
      <c r="G101" s="6" t="s">
        <v>358</v>
      </c>
      <c r="H101" s="6" t="s">
        <v>1233</v>
      </c>
      <c r="I101" s="14" t="s">
        <v>1621</v>
      </c>
      <c r="J101" s="15"/>
      <c r="K101" s="6" t="s">
        <v>1622</v>
      </c>
      <c r="L101" s="6"/>
      <c r="M101" s="6" t="s">
        <v>1623</v>
      </c>
      <c r="N101" s="6" t="s">
        <v>1624</v>
      </c>
      <c r="O101" s="7">
        <f>SUMIFS('05_상품별배치367'!$K$7:$K$373,'05_상품별배치367'!$E$7:$E$373,A101,'05_상품별배치367'!$H$7:$H$373,"본진")</f>
        <v>1</v>
      </c>
      <c r="P101" s="7">
        <f>SUMIFS('05_상품별배치367'!$K$7:$K$373,'05_상품별배치367'!$E$7:$E$373,A101,'05_상품별배치367'!$H$7:$H$373,"추가 진열")</f>
        <v>0</v>
      </c>
      <c r="Q101" s="7">
        <f>O101+P101</f>
        <v>1</v>
      </c>
      <c r="R101" s="7">
        <v>1</v>
      </c>
      <c r="S101" s="6" t="s">
        <v>1625</v>
      </c>
      <c r="T101" s="6" t="s">
        <v>6320</v>
      </c>
      <c r="U101" s="6"/>
      <c r="V101" s="16"/>
      <c r="W101" s="16"/>
      <c r="X101" s="16"/>
      <c r="Y101" s="6" t="s">
        <v>1627</v>
      </c>
      <c r="Z101" s="15"/>
      <c r="AA101" s="15" t="s">
        <v>1628</v>
      </c>
    </row>
    <row r="102" spans="1:27" ht="33" customHeight="1">
      <c r="A102" s="8" t="s">
        <v>1544</v>
      </c>
      <c r="B102" s="9">
        <v>2188</v>
      </c>
      <c r="C102" s="8" t="s">
        <v>1543</v>
      </c>
      <c r="D102" s="8" t="s">
        <v>2418</v>
      </c>
      <c r="E102" s="8" t="s">
        <v>1620</v>
      </c>
      <c r="F102" s="8" t="s">
        <v>505</v>
      </c>
      <c r="G102" s="8" t="s">
        <v>358</v>
      </c>
      <c r="H102" s="8" t="s">
        <v>1229</v>
      </c>
      <c r="I102" s="14" t="s">
        <v>1621</v>
      </c>
      <c r="J102" s="15"/>
      <c r="K102" s="8" t="s">
        <v>1622</v>
      </c>
      <c r="L102" s="8"/>
      <c r="M102" s="6" t="s">
        <v>1623</v>
      </c>
      <c r="N102" s="6" t="s">
        <v>1624</v>
      </c>
      <c r="O102" s="7">
        <f>SUMIFS('05_상품별배치367'!$K$7:$K$373,'05_상품별배치367'!$E$7:$E$373,A102,'05_상품별배치367'!$H$7:$H$373,"본진")</f>
        <v>1</v>
      </c>
      <c r="P102" s="7">
        <f>SUMIFS('05_상품별배치367'!$K$7:$K$373,'05_상품별배치367'!$E$7:$E$373,A102,'05_상품별배치367'!$H$7:$H$373,"추가 진열")</f>
        <v>1</v>
      </c>
      <c r="Q102" s="7">
        <f>O102+P102</f>
        <v>2</v>
      </c>
      <c r="R102" s="7">
        <v>1</v>
      </c>
      <c r="S102" s="6" t="s">
        <v>1625</v>
      </c>
      <c r="T102" s="6" t="s">
        <v>6320</v>
      </c>
      <c r="U102" s="6"/>
      <c r="V102" s="16"/>
      <c r="W102" s="16"/>
      <c r="X102" s="16"/>
      <c r="Y102" s="6" t="s">
        <v>1627</v>
      </c>
      <c r="Z102" s="15"/>
      <c r="AA102" s="15" t="s">
        <v>1628</v>
      </c>
    </row>
    <row r="103" spans="1:27" ht="33" customHeight="1">
      <c r="A103" s="6" t="s">
        <v>6548</v>
      </c>
      <c r="B103" s="7">
        <v>2189</v>
      </c>
      <c r="C103" s="6" t="s">
        <v>6549</v>
      </c>
      <c r="D103" s="6" t="s">
        <v>2418</v>
      </c>
      <c r="E103" s="6" t="s">
        <v>1620</v>
      </c>
      <c r="F103" s="6" t="s">
        <v>505</v>
      </c>
      <c r="G103" s="6" t="s">
        <v>358</v>
      </c>
      <c r="H103" s="6"/>
      <c r="I103" s="14" t="s">
        <v>1642</v>
      </c>
      <c r="J103" s="15"/>
      <c r="K103" s="6" t="s">
        <v>1622</v>
      </c>
      <c r="L103" s="6"/>
      <c r="M103" s="6" t="s">
        <v>1643</v>
      </c>
      <c r="N103" s="6" t="s">
        <v>1624</v>
      </c>
      <c r="O103" s="7">
        <f>SUMIFS('05_상품별배치367'!$K$7:$K$373,'05_상품별배치367'!$E$7:$E$373,A103,'05_상품별배치367'!$H$7:$H$373,"본진")</f>
        <v>0</v>
      </c>
      <c r="P103" s="7">
        <f>SUMIFS('05_상품별배치367'!$K$7:$K$373,'05_상품별배치367'!$E$7:$E$373,A103,'05_상품별배치367'!$H$7:$H$373,"추가 진열")</f>
        <v>0</v>
      </c>
      <c r="Q103" s="7">
        <f>O103+P103</f>
        <v>0</v>
      </c>
      <c r="R103" s="7">
        <v>1</v>
      </c>
      <c r="S103" s="6" t="s">
        <v>1793</v>
      </c>
      <c r="T103" s="6" t="s">
        <v>6320</v>
      </c>
      <c r="U103" s="6"/>
      <c r="V103" s="16"/>
      <c r="W103" s="16"/>
      <c r="X103" s="16"/>
      <c r="Y103" s="6" t="s">
        <v>1627</v>
      </c>
      <c r="Z103" s="15"/>
      <c r="AA103" s="15" t="s">
        <v>1628</v>
      </c>
    </row>
    <row r="104" spans="1:27" ht="33" customHeight="1">
      <c r="A104" s="8" t="s">
        <v>6550</v>
      </c>
      <c r="B104" s="9">
        <v>2190</v>
      </c>
      <c r="C104" s="8" t="s">
        <v>6551</v>
      </c>
      <c r="D104" s="8" t="s">
        <v>2418</v>
      </c>
      <c r="E104" s="8" t="s">
        <v>1620</v>
      </c>
      <c r="F104" s="8" t="s">
        <v>505</v>
      </c>
      <c r="G104" s="8" t="s">
        <v>358</v>
      </c>
      <c r="H104" s="8" t="s">
        <v>1229</v>
      </c>
      <c r="I104" s="14" t="s">
        <v>1621</v>
      </c>
      <c r="J104" s="15"/>
      <c r="K104" s="8" t="s">
        <v>1622</v>
      </c>
      <c r="L104" s="8"/>
      <c r="M104" s="6" t="s">
        <v>1623</v>
      </c>
      <c r="N104" s="6" t="s">
        <v>1624</v>
      </c>
      <c r="O104" s="7">
        <f>SUMIFS('05_상품별배치367'!$K$7:$K$373,'05_상품별배치367'!$E$7:$E$373,A104,'05_상품별배치367'!$H$7:$H$373,"본진")</f>
        <v>1</v>
      </c>
      <c r="P104" s="7">
        <f>SUMIFS('05_상품별배치367'!$K$7:$K$373,'05_상품별배치367'!$E$7:$E$373,A104,'05_상품별배치367'!$H$7:$H$373,"추가 진열")</f>
        <v>0</v>
      </c>
      <c r="Q104" s="7">
        <f>O104+P104</f>
        <v>1</v>
      </c>
      <c r="R104" s="7">
        <v>1</v>
      </c>
      <c r="S104" s="6" t="s">
        <v>1625</v>
      </c>
      <c r="T104" s="6" t="s">
        <v>6320</v>
      </c>
      <c r="U104" s="6"/>
      <c r="V104" s="16"/>
      <c r="W104" s="16"/>
      <c r="X104" s="16"/>
      <c r="Y104" s="6" t="s">
        <v>1627</v>
      </c>
      <c r="Z104" s="15"/>
      <c r="AA104" s="15" t="s">
        <v>1628</v>
      </c>
    </row>
    <row r="105" spans="1:27" ht="33" customHeight="1">
      <c r="A105" s="6" t="s">
        <v>6552</v>
      </c>
      <c r="B105" s="7">
        <v>2191</v>
      </c>
      <c r="C105" s="6" t="s">
        <v>6553</v>
      </c>
      <c r="D105" s="6" t="s">
        <v>2418</v>
      </c>
      <c r="E105" s="6" t="s">
        <v>1620</v>
      </c>
      <c r="F105" s="6" t="s">
        <v>505</v>
      </c>
      <c r="G105" s="6" t="s">
        <v>358</v>
      </c>
      <c r="H105" s="6"/>
      <c r="I105" s="14" t="s">
        <v>1642</v>
      </c>
      <c r="J105" s="15"/>
      <c r="K105" s="6" t="s">
        <v>1622</v>
      </c>
      <c r="L105" s="6"/>
      <c r="M105" s="6" t="s">
        <v>1643</v>
      </c>
      <c r="N105" s="6" t="s">
        <v>1624</v>
      </c>
      <c r="O105" s="7">
        <f>SUMIFS('05_상품별배치367'!$K$7:$K$373,'05_상품별배치367'!$E$7:$E$373,A105,'05_상품별배치367'!$H$7:$H$373,"본진")</f>
        <v>0</v>
      </c>
      <c r="P105" s="7">
        <f>SUMIFS('05_상품별배치367'!$K$7:$K$373,'05_상품별배치367'!$E$7:$E$373,A105,'05_상품별배치367'!$H$7:$H$373,"추가 진열")</f>
        <v>0</v>
      </c>
      <c r="Q105" s="7">
        <f>O105+P105</f>
        <v>0</v>
      </c>
      <c r="R105" s="7">
        <v>1</v>
      </c>
      <c r="S105" s="6" t="s">
        <v>1793</v>
      </c>
      <c r="T105" s="6" t="s">
        <v>6320</v>
      </c>
      <c r="U105" s="6"/>
      <c r="V105" s="16"/>
      <c r="W105" s="16"/>
      <c r="X105" s="16"/>
      <c r="Y105" s="6" t="s">
        <v>1627</v>
      </c>
      <c r="Z105" s="15"/>
      <c r="AA105" s="15" t="s">
        <v>1628</v>
      </c>
    </row>
    <row r="106" spans="1:27" ht="33" customHeight="1">
      <c r="A106" s="8" t="s">
        <v>6554</v>
      </c>
      <c r="B106" s="9">
        <v>2192</v>
      </c>
      <c r="C106" s="8" t="s">
        <v>6555</v>
      </c>
      <c r="D106" s="8" t="s">
        <v>6556</v>
      </c>
      <c r="E106" s="8" t="s">
        <v>1620</v>
      </c>
      <c r="F106" s="8" t="s">
        <v>505</v>
      </c>
      <c r="G106" s="8" t="s">
        <v>358</v>
      </c>
      <c r="H106" s="8"/>
      <c r="I106" s="14" t="s">
        <v>1642</v>
      </c>
      <c r="J106" s="15"/>
      <c r="K106" s="8" t="s">
        <v>1622</v>
      </c>
      <c r="L106" s="8"/>
      <c r="M106" s="6" t="s">
        <v>1643</v>
      </c>
      <c r="N106" s="6" t="s">
        <v>1624</v>
      </c>
      <c r="O106" s="7">
        <f>SUMIFS('05_상품별배치367'!$K$7:$K$373,'05_상품별배치367'!$E$7:$E$373,A106,'05_상품별배치367'!$H$7:$H$373,"본진")</f>
        <v>0</v>
      </c>
      <c r="P106" s="7">
        <f>SUMIFS('05_상품별배치367'!$K$7:$K$373,'05_상품별배치367'!$E$7:$E$373,A106,'05_상품별배치367'!$H$7:$H$373,"추가 진열")</f>
        <v>0</v>
      </c>
      <c r="Q106" s="7">
        <f>O106+P106</f>
        <v>0</v>
      </c>
      <c r="R106" s="7">
        <v>1</v>
      </c>
      <c r="S106" s="6" t="s">
        <v>1793</v>
      </c>
      <c r="T106" s="6" t="s">
        <v>6320</v>
      </c>
      <c r="U106" s="6"/>
      <c r="V106" s="16"/>
      <c r="W106" s="16"/>
      <c r="X106" s="16"/>
      <c r="Y106" s="6" t="s">
        <v>1655</v>
      </c>
      <c r="Z106" s="15"/>
      <c r="AA106" s="15" t="s">
        <v>1628</v>
      </c>
    </row>
    <row r="107" spans="1:27" ht="33" customHeight="1">
      <c r="A107" s="6" t="s">
        <v>6557</v>
      </c>
      <c r="B107" s="7">
        <v>2193</v>
      </c>
      <c r="C107" s="6" t="s">
        <v>6558</v>
      </c>
      <c r="D107" s="6" t="s">
        <v>2418</v>
      </c>
      <c r="E107" s="6" t="s">
        <v>1620</v>
      </c>
      <c r="F107" s="6" t="s">
        <v>606</v>
      </c>
      <c r="G107" s="6" t="s">
        <v>59</v>
      </c>
      <c r="H107" s="6"/>
      <c r="I107" s="14" t="s">
        <v>1642</v>
      </c>
      <c r="J107" s="15"/>
      <c r="K107" s="6" t="s">
        <v>1622</v>
      </c>
      <c r="L107" s="6"/>
      <c r="M107" s="6" t="s">
        <v>1643</v>
      </c>
      <c r="N107" s="6" t="s">
        <v>1624</v>
      </c>
      <c r="O107" s="7">
        <f>SUMIFS('05_상품별배치367'!$K$7:$K$373,'05_상품별배치367'!$E$7:$E$373,A107,'05_상품별배치367'!$H$7:$H$373,"본진")</f>
        <v>0</v>
      </c>
      <c r="P107" s="7">
        <f>SUMIFS('05_상품별배치367'!$K$7:$K$373,'05_상품별배치367'!$E$7:$E$373,A107,'05_상품별배치367'!$H$7:$H$373,"추가 진열")</f>
        <v>0</v>
      </c>
      <c r="Q107" s="7">
        <f>O107+P107</f>
        <v>0</v>
      </c>
      <c r="R107" s="7">
        <v>1</v>
      </c>
      <c r="S107" s="6" t="s">
        <v>6111</v>
      </c>
      <c r="T107" s="6" t="s">
        <v>6320</v>
      </c>
      <c r="U107" s="6"/>
      <c r="V107" s="16"/>
      <c r="W107" s="16"/>
      <c r="X107" s="16"/>
      <c r="Y107" s="6" t="s">
        <v>1627</v>
      </c>
      <c r="Z107" s="15"/>
      <c r="AA107" s="15" t="s">
        <v>1628</v>
      </c>
    </row>
    <row r="108" spans="1:27" ht="33" customHeight="1">
      <c r="A108" s="8" t="s">
        <v>6559</v>
      </c>
      <c r="B108" s="9">
        <v>2194</v>
      </c>
      <c r="C108" s="8" t="s">
        <v>6560</v>
      </c>
      <c r="D108" s="8" t="s">
        <v>2047</v>
      </c>
      <c r="E108" s="8" t="s">
        <v>1620</v>
      </c>
      <c r="F108" s="8" t="s">
        <v>2125</v>
      </c>
      <c r="G108" s="8" t="s">
        <v>307</v>
      </c>
      <c r="H108" s="8" t="s">
        <v>1128</v>
      </c>
      <c r="I108" s="14" t="s">
        <v>1642</v>
      </c>
      <c r="J108" s="15"/>
      <c r="K108" s="8" t="s">
        <v>1622</v>
      </c>
      <c r="L108" s="8"/>
      <c r="M108" s="6" t="s">
        <v>1643</v>
      </c>
      <c r="N108" s="6" t="s">
        <v>1624</v>
      </c>
      <c r="O108" s="7">
        <f>SUMIFS('05_상품별배치367'!$K$7:$K$373,'05_상품별배치367'!$E$7:$E$373,A108,'05_상품별배치367'!$H$7:$H$373,"본진")</f>
        <v>0</v>
      </c>
      <c r="P108" s="7">
        <f>SUMIFS('05_상품별배치367'!$K$7:$K$373,'05_상품별배치367'!$E$7:$E$373,A108,'05_상품별배치367'!$H$7:$H$373,"추가 진열")</f>
        <v>0</v>
      </c>
      <c r="Q108" s="7">
        <f>O108+P108</f>
        <v>0</v>
      </c>
      <c r="R108" s="7">
        <v>1</v>
      </c>
      <c r="S108" s="6" t="s">
        <v>2126</v>
      </c>
      <c r="T108" s="6" t="s">
        <v>6320</v>
      </c>
      <c r="U108" s="6"/>
      <c r="V108" s="16"/>
      <c r="W108" s="16"/>
      <c r="X108" s="16"/>
      <c r="Y108" s="6" t="s">
        <v>1627</v>
      </c>
      <c r="Z108" s="15"/>
      <c r="AA108" s="15" t="s">
        <v>1628</v>
      </c>
    </row>
    <row r="109" spans="1:27" ht="33" customHeight="1">
      <c r="A109" s="6" t="s">
        <v>6561</v>
      </c>
      <c r="B109" s="7">
        <v>2195</v>
      </c>
      <c r="C109" s="6" t="s">
        <v>6562</v>
      </c>
      <c r="D109" s="6" t="s">
        <v>6563</v>
      </c>
      <c r="E109" s="6" t="s">
        <v>1620</v>
      </c>
      <c r="F109" s="6" t="s">
        <v>150</v>
      </c>
      <c r="G109" s="6" t="s">
        <v>332</v>
      </c>
      <c r="H109" s="6" t="s">
        <v>1181</v>
      </c>
      <c r="I109" s="14" t="s">
        <v>1621</v>
      </c>
      <c r="J109" s="15"/>
      <c r="K109" s="6" t="s">
        <v>1622</v>
      </c>
      <c r="L109" s="6"/>
      <c r="M109" s="6" t="s">
        <v>1623</v>
      </c>
      <c r="N109" s="6" t="s">
        <v>1624</v>
      </c>
      <c r="O109" s="7">
        <f>SUMIFS('05_상품별배치367'!$K$7:$K$373,'05_상품별배치367'!$E$7:$E$373,A109,'05_상품별배치367'!$H$7:$H$373,"본진")</f>
        <v>1</v>
      </c>
      <c r="P109" s="7">
        <f>SUMIFS('05_상품별배치367'!$K$7:$K$373,'05_상품별배치367'!$E$7:$E$373,A109,'05_상품별배치367'!$H$7:$H$373,"추가 진열")</f>
        <v>0</v>
      </c>
      <c r="Q109" s="7">
        <f>O109+P109</f>
        <v>1</v>
      </c>
      <c r="R109" s="7">
        <v>1</v>
      </c>
      <c r="S109" s="6" t="s">
        <v>1625</v>
      </c>
      <c r="T109" s="6" t="s">
        <v>6320</v>
      </c>
      <c r="U109" s="6"/>
      <c r="V109" s="16"/>
      <c r="W109" s="16"/>
      <c r="X109" s="16"/>
      <c r="Y109" s="6" t="s">
        <v>1627</v>
      </c>
      <c r="Z109" s="15"/>
      <c r="AA109" s="15" t="s">
        <v>1628</v>
      </c>
    </row>
    <row r="110" spans="1:27" ht="33" customHeight="1">
      <c r="A110" s="8" t="s">
        <v>6564</v>
      </c>
      <c r="B110" s="9">
        <v>2196</v>
      </c>
      <c r="C110" s="8" t="s">
        <v>6565</v>
      </c>
      <c r="D110" s="8" t="s">
        <v>2047</v>
      </c>
      <c r="E110" s="8" t="s">
        <v>1620</v>
      </c>
      <c r="F110" s="8" t="s">
        <v>2158</v>
      </c>
      <c r="G110" s="8" t="s">
        <v>358</v>
      </c>
      <c r="H110" s="8" t="s">
        <v>1238</v>
      </c>
      <c r="I110" s="14" t="s">
        <v>1642</v>
      </c>
      <c r="J110" s="15"/>
      <c r="K110" s="8" t="s">
        <v>1622</v>
      </c>
      <c r="L110" s="8"/>
      <c r="M110" s="6" t="s">
        <v>1643</v>
      </c>
      <c r="N110" s="6" t="s">
        <v>1624</v>
      </c>
      <c r="O110" s="7">
        <f>SUMIFS('05_상품별배치367'!$K$7:$K$373,'05_상품별배치367'!$E$7:$E$373,A110,'05_상품별배치367'!$H$7:$H$373,"본진")</f>
        <v>0</v>
      </c>
      <c r="P110" s="7">
        <f>SUMIFS('05_상품별배치367'!$K$7:$K$373,'05_상품별배치367'!$E$7:$E$373,A110,'05_상품별배치367'!$H$7:$H$373,"추가 진열")</f>
        <v>0</v>
      </c>
      <c r="Q110" s="7">
        <f>O110+P110</f>
        <v>0</v>
      </c>
      <c r="R110" s="7">
        <v>1</v>
      </c>
      <c r="S110" s="6" t="s">
        <v>2320</v>
      </c>
      <c r="T110" s="6" t="s">
        <v>6320</v>
      </c>
      <c r="U110" s="6"/>
      <c r="V110" s="16"/>
      <c r="W110" s="16"/>
      <c r="X110" s="16"/>
      <c r="Y110" s="6" t="s">
        <v>1627</v>
      </c>
      <c r="Z110" s="15"/>
      <c r="AA110" s="15" t="s">
        <v>1628</v>
      </c>
    </row>
    <row r="111" spans="1:27" ht="33" customHeight="1">
      <c r="A111" s="6" t="s">
        <v>6566</v>
      </c>
      <c r="B111" s="7">
        <v>2197</v>
      </c>
      <c r="C111" s="6" t="s">
        <v>6567</v>
      </c>
      <c r="D111" s="6" t="s">
        <v>2036</v>
      </c>
      <c r="E111" s="6" t="s">
        <v>1620</v>
      </c>
      <c r="F111" s="6" t="s">
        <v>2158</v>
      </c>
      <c r="G111" s="6" t="s">
        <v>358</v>
      </c>
      <c r="H111" s="6"/>
      <c r="I111" s="14" t="s">
        <v>1642</v>
      </c>
      <c r="J111" s="15"/>
      <c r="K111" s="6" t="s">
        <v>1622</v>
      </c>
      <c r="L111" s="6"/>
      <c r="M111" s="6" t="s">
        <v>1643</v>
      </c>
      <c r="N111" s="6" t="s">
        <v>1624</v>
      </c>
      <c r="O111" s="7">
        <f>SUMIFS('05_상품별배치367'!$K$7:$K$373,'05_상품별배치367'!$E$7:$E$373,A111,'05_상품별배치367'!$H$7:$H$373,"본진")</f>
        <v>0</v>
      </c>
      <c r="P111" s="7">
        <f>SUMIFS('05_상품별배치367'!$K$7:$K$373,'05_상품별배치367'!$E$7:$E$373,A111,'05_상품별배치367'!$H$7:$H$373,"추가 진열")</f>
        <v>0</v>
      </c>
      <c r="Q111" s="7">
        <f>O111+P111</f>
        <v>0</v>
      </c>
      <c r="R111" s="7">
        <v>1</v>
      </c>
      <c r="S111" s="6" t="s">
        <v>2320</v>
      </c>
      <c r="T111" s="6" t="s">
        <v>6320</v>
      </c>
      <c r="U111" s="6"/>
      <c r="V111" s="16"/>
      <c r="W111" s="16"/>
      <c r="X111" s="16"/>
      <c r="Y111" s="6" t="s">
        <v>1627</v>
      </c>
      <c r="Z111" s="15"/>
      <c r="AA111" s="15" t="s">
        <v>1628</v>
      </c>
    </row>
    <row r="112" spans="1:27" ht="33" customHeight="1">
      <c r="A112" s="8" t="s">
        <v>801</v>
      </c>
      <c r="B112" s="9">
        <v>2198</v>
      </c>
      <c r="C112" s="8" t="s">
        <v>800</v>
      </c>
      <c r="D112" s="8" t="s">
        <v>2036</v>
      </c>
      <c r="E112" s="8" t="s">
        <v>1620</v>
      </c>
      <c r="F112" s="8" t="s">
        <v>150</v>
      </c>
      <c r="G112" s="8" t="s">
        <v>332</v>
      </c>
      <c r="H112" s="8" t="s">
        <v>1181</v>
      </c>
      <c r="I112" s="14" t="s">
        <v>1621</v>
      </c>
      <c r="J112" s="15"/>
      <c r="K112" s="8" t="s">
        <v>1622</v>
      </c>
      <c r="L112" s="8"/>
      <c r="M112" s="6" t="s">
        <v>1623</v>
      </c>
      <c r="N112" s="6" t="s">
        <v>1624</v>
      </c>
      <c r="O112" s="7">
        <f>SUMIFS('05_상품별배치367'!$K$7:$K$373,'05_상품별배치367'!$E$7:$E$373,A112,'05_상품별배치367'!$H$7:$H$373,"본진")</f>
        <v>2</v>
      </c>
      <c r="P112" s="7">
        <f>SUMIFS('05_상품별배치367'!$K$7:$K$373,'05_상품별배치367'!$E$7:$E$373,A112,'05_상품별배치367'!$H$7:$H$373,"추가 진열")</f>
        <v>1</v>
      </c>
      <c r="Q112" s="7">
        <f>O112+P112</f>
        <v>3</v>
      </c>
      <c r="R112" s="7">
        <v>2</v>
      </c>
      <c r="S112" s="6" t="s">
        <v>1625</v>
      </c>
      <c r="T112" s="6" t="s">
        <v>6320</v>
      </c>
      <c r="U112" s="6"/>
      <c r="V112" s="16"/>
      <c r="W112" s="16"/>
      <c r="X112" s="16"/>
      <c r="Y112" s="6" t="s">
        <v>1627</v>
      </c>
      <c r="Z112" s="15"/>
      <c r="AA112" s="15" t="s">
        <v>1628</v>
      </c>
    </row>
    <row r="113" spans="1:27" ht="33" customHeight="1">
      <c r="A113" s="8" t="s">
        <v>1191</v>
      </c>
      <c r="B113" s="9">
        <v>2084</v>
      </c>
      <c r="C113" s="8" t="s">
        <v>1190</v>
      </c>
      <c r="D113" s="8" t="s">
        <v>6102</v>
      </c>
      <c r="E113" s="8" t="s">
        <v>1620</v>
      </c>
      <c r="F113" s="8" t="s">
        <v>150</v>
      </c>
      <c r="G113" s="8" t="s">
        <v>332</v>
      </c>
      <c r="H113" s="8" t="s">
        <v>1189</v>
      </c>
      <c r="I113" s="14" t="s">
        <v>1633</v>
      </c>
      <c r="J113" s="15"/>
      <c r="K113" s="8" t="s">
        <v>1622</v>
      </c>
      <c r="L113" s="8"/>
      <c r="M113" s="6" t="s">
        <v>1635</v>
      </c>
      <c r="N113" s="6" t="s">
        <v>1624</v>
      </c>
      <c r="O113" s="7">
        <f>SUMIFS('05_상품별배치367'!$K$7:$K$373,'05_상품별배치367'!$E$7:$E$373,A113,'05_상품별배치367'!$H$7:$H$373,"본진")</f>
        <v>1</v>
      </c>
      <c r="P113" s="7">
        <f>SUMIFS('05_상품별배치367'!$K$7:$K$373,'05_상품별배치367'!$E$7:$E$373,A113,'05_상품별배치367'!$H$7:$H$373,"추가 진열")</f>
        <v>0</v>
      </c>
      <c r="Q113" s="7">
        <f>O113+P113</f>
        <v>1</v>
      </c>
      <c r="R113" s="7">
        <v>1</v>
      </c>
      <c r="S113" s="6" t="s">
        <v>1636</v>
      </c>
      <c r="T113" s="6" t="s">
        <v>6320</v>
      </c>
      <c r="U113" s="6"/>
      <c r="V113" s="16"/>
      <c r="W113" s="16"/>
      <c r="X113" s="16"/>
      <c r="Y113" s="6" t="s">
        <v>1627</v>
      </c>
      <c r="Z113" s="15"/>
      <c r="AA113" s="15" t="s">
        <v>1628</v>
      </c>
    </row>
    <row r="114" spans="1:27" ht="33" customHeight="1">
      <c r="A114" s="6" t="s">
        <v>6568</v>
      </c>
      <c r="B114" s="7">
        <v>2199</v>
      </c>
      <c r="C114" s="6" t="s">
        <v>6569</v>
      </c>
      <c r="D114" s="6" t="s">
        <v>1682</v>
      </c>
      <c r="E114" s="6" t="s">
        <v>1620</v>
      </c>
      <c r="F114" s="6" t="s">
        <v>1239</v>
      </c>
      <c r="G114" s="6" t="s">
        <v>358</v>
      </c>
      <c r="H114" s="6" t="s">
        <v>1238</v>
      </c>
      <c r="I114" s="14" t="s">
        <v>1621</v>
      </c>
      <c r="J114" s="15"/>
      <c r="K114" s="6" t="s">
        <v>1622</v>
      </c>
      <c r="L114" s="6"/>
      <c r="M114" s="6" t="s">
        <v>1623</v>
      </c>
      <c r="N114" s="6" t="s">
        <v>1624</v>
      </c>
      <c r="O114" s="7">
        <f>SUMIFS('05_상품별배치367'!$K$7:$K$373,'05_상품별배치367'!$E$7:$E$373,A114,'05_상품별배치367'!$H$7:$H$373,"본진")</f>
        <v>1</v>
      </c>
      <c r="P114" s="7">
        <f>SUMIFS('05_상품별배치367'!$K$7:$K$373,'05_상품별배치367'!$E$7:$E$373,A114,'05_상품별배치367'!$H$7:$H$373,"추가 진열")</f>
        <v>0</v>
      </c>
      <c r="Q114" s="7">
        <f>O114+P114</f>
        <v>1</v>
      </c>
      <c r="R114" s="7">
        <v>1</v>
      </c>
      <c r="S114" s="6" t="s">
        <v>1625</v>
      </c>
      <c r="T114" s="6" t="s">
        <v>6320</v>
      </c>
      <c r="U114" s="6"/>
      <c r="V114" s="16"/>
      <c r="W114" s="16"/>
      <c r="X114" s="16"/>
      <c r="Y114" s="6" t="s">
        <v>1627</v>
      </c>
      <c r="Z114" s="15"/>
      <c r="AA114" s="15" t="s">
        <v>1628</v>
      </c>
    </row>
    <row r="115" spans="1:27" ht="33" customHeight="1">
      <c r="A115" s="8" t="s">
        <v>6570</v>
      </c>
      <c r="B115" s="9">
        <v>2200</v>
      </c>
      <c r="C115" s="8" t="s">
        <v>6571</v>
      </c>
      <c r="D115" s="8" t="s">
        <v>2047</v>
      </c>
      <c r="E115" s="8" t="s">
        <v>1620</v>
      </c>
      <c r="F115" s="8" t="s">
        <v>2339</v>
      </c>
      <c r="G115" s="8" t="s">
        <v>358</v>
      </c>
      <c r="H115" s="8" t="s">
        <v>1243</v>
      </c>
      <c r="I115" s="14" t="s">
        <v>1633</v>
      </c>
      <c r="J115" s="15"/>
      <c r="K115" s="8" t="s">
        <v>1622</v>
      </c>
      <c r="L115" s="8"/>
      <c r="M115" s="6" t="s">
        <v>1635</v>
      </c>
      <c r="N115" s="6" t="s">
        <v>1624</v>
      </c>
      <c r="O115" s="7">
        <f>SUMIFS('05_상품별배치367'!$K$7:$K$373,'05_상품별배치367'!$E$7:$E$373,A115,'05_상품별배치367'!$H$7:$H$373,"본진")</f>
        <v>1</v>
      </c>
      <c r="P115" s="7">
        <f>SUMIFS('05_상품별배치367'!$K$7:$K$373,'05_상품별배치367'!$E$7:$E$373,A115,'05_상품별배치367'!$H$7:$H$373,"추가 진열")</f>
        <v>0</v>
      </c>
      <c r="Q115" s="7">
        <f>O115+P115</f>
        <v>1</v>
      </c>
      <c r="R115" s="7">
        <v>1</v>
      </c>
      <c r="S115" s="6" t="s">
        <v>1636</v>
      </c>
      <c r="T115" s="6" t="s">
        <v>6320</v>
      </c>
      <c r="U115" s="6"/>
      <c r="V115" s="16"/>
      <c r="W115" s="16"/>
      <c r="X115" s="16"/>
      <c r="Y115" s="6" t="s">
        <v>1627</v>
      </c>
      <c r="Z115" s="15"/>
      <c r="AA115" s="15" t="s">
        <v>1628</v>
      </c>
    </row>
    <row r="116" spans="1:27" ht="33" customHeight="1">
      <c r="A116" s="8" t="s">
        <v>1733</v>
      </c>
      <c r="B116" s="9">
        <v>32</v>
      </c>
      <c r="C116" s="8" t="s">
        <v>1734</v>
      </c>
      <c r="D116" s="8" t="s">
        <v>1735</v>
      </c>
      <c r="E116" s="8" t="s">
        <v>1666</v>
      </c>
      <c r="F116" s="8" t="s">
        <v>1667</v>
      </c>
      <c r="G116" s="8" t="s">
        <v>1668</v>
      </c>
      <c r="H116" s="8"/>
      <c r="I116" s="14" t="s">
        <v>1669</v>
      </c>
      <c r="J116" s="15"/>
      <c r="K116" s="8" t="s">
        <v>1670</v>
      </c>
      <c r="L116" s="8"/>
      <c r="M116" s="6" t="s">
        <v>1671</v>
      </c>
      <c r="N116" s="6" t="s">
        <v>1644</v>
      </c>
      <c r="O116" s="7">
        <f>SUMIFS('05_상품별배치367'!$K$7:$K$373,'05_상품별배치367'!$E$7:$E$373,A116,'05_상품별배치367'!$H$7:$H$373,"본진")</f>
        <v>0</v>
      </c>
      <c r="P116" s="7">
        <f>SUMIFS('05_상품별배치367'!$K$7:$K$373,'05_상품별배치367'!$E$7:$E$373,A116,'05_상품별배치367'!$H$7:$H$373,"추가 진열")</f>
        <v>0</v>
      </c>
      <c r="Q116" s="7">
        <f>O116+P116</f>
        <v>0</v>
      </c>
      <c r="R116" s="7">
        <v>0</v>
      </c>
      <c r="S116" s="6" t="s">
        <v>1672</v>
      </c>
      <c r="T116" s="6" t="s">
        <v>1637</v>
      </c>
      <c r="U116" s="6"/>
      <c r="V116" s="16"/>
      <c r="W116" s="16"/>
      <c r="X116" s="16"/>
      <c r="Y116" s="6" t="s">
        <v>1627</v>
      </c>
      <c r="Z116" s="15"/>
      <c r="AA116" s="15" t="s">
        <v>1628</v>
      </c>
    </row>
    <row r="117" spans="1:27" ht="33" customHeight="1">
      <c r="A117" s="6" t="s">
        <v>1736</v>
      </c>
      <c r="B117" s="7">
        <v>33</v>
      </c>
      <c r="C117" s="6" t="s">
        <v>1737</v>
      </c>
      <c r="D117" s="6" t="s">
        <v>1735</v>
      </c>
      <c r="E117" s="6" t="s">
        <v>1666</v>
      </c>
      <c r="F117" s="6" t="s">
        <v>1667</v>
      </c>
      <c r="G117" s="6" t="s">
        <v>1668</v>
      </c>
      <c r="H117" s="6"/>
      <c r="I117" s="14" t="s">
        <v>1669</v>
      </c>
      <c r="J117" s="15"/>
      <c r="K117" s="6" t="s">
        <v>1670</v>
      </c>
      <c r="L117" s="6"/>
      <c r="M117" s="6" t="s">
        <v>1671</v>
      </c>
      <c r="N117" s="6" t="s">
        <v>1644</v>
      </c>
      <c r="O117" s="7">
        <f>SUMIFS('05_상품별배치367'!$K$7:$K$373,'05_상품별배치367'!$E$7:$E$373,A117,'05_상품별배치367'!$H$7:$H$373,"본진")</f>
        <v>0</v>
      </c>
      <c r="P117" s="7">
        <f>SUMIFS('05_상품별배치367'!$K$7:$K$373,'05_상품별배치367'!$E$7:$E$373,A117,'05_상품별배치367'!$H$7:$H$373,"추가 진열")</f>
        <v>0</v>
      </c>
      <c r="Q117" s="7">
        <f>O117+P117</f>
        <v>0</v>
      </c>
      <c r="R117" s="7">
        <v>0</v>
      </c>
      <c r="S117" s="6" t="s">
        <v>1672</v>
      </c>
      <c r="T117" s="6" t="s">
        <v>1637</v>
      </c>
      <c r="U117" s="6"/>
      <c r="V117" s="16"/>
      <c r="W117" s="16"/>
      <c r="X117" s="16"/>
      <c r="Y117" s="6" t="s">
        <v>1627</v>
      </c>
      <c r="Z117" s="15"/>
      <c r="AA117" s="15" t="s">
        <v>1628</v>
      </c>
    </row>
    <row r="118" spans="1:27" ht="33" customHeight="1">
      <c r="A118" s="8" t="s">
        <v>1738</v>
      </c>
      <c r="B118" s="9">
        <v>34</v>
      </c>
      <c r="C118" s="8" t="s">
        <v>1739</v>
      </c>
      <c r="D118" s="8" t="s">
        <v>1735</v>
      </c>
      <c r="E118" s="8" t="s">
        <v>1666</v>
      </c>
      <c r="F118" s="8" t="s">
        <v>1667</v>
      </c>
      <c r="G118" s="8" t="s">
        <v>1668</v>
      </c>
      <c r="H118" s="8"/>
      <c r="I118" s="14" t="s">
        <v>1669</v>
      </c>
      <c r="J118" s="15"/>
      <c r="K118" s="8" t="s">
        <v>1670</v>
      </c>
      <c r="L118" s="8"/>
      <c r="M118" s="6" t="s">
        <v>1671</v>
      </c>
      <c r="N118" s="6" t="s">
        <v>1644</v>
      </c>
      <c r="O118" s="7">
        <f>SUMIFS('05_상품별배치367'!$K$7:$K$373,'05_상품별배치367'!$E$7:$E$373,A118,'05_상품별배치367'!$H$7:$H$373,"본진")</f>
        <v>0</v>
      </c>
      <c r="P118" s="7">
        <f>SUMIFS('05_상품별배치367'!$K$7:$K$373,'05_상품별배치367'!$E$7:$E$373,A118,'05_상품별배치367'!$H$7:$H$373,"추가 진열")</f>
        <v>0</v>
      </c>
      <c r="Q118" s="7">
        <f>O118+P118</f>
        <v>0</v>
      </c>
      <c r="R118" s="7">
        <v>0</v>
      </c>
      <c r="S118" s="6" t="s">
        <v>1672</v>
      </c>
      <c r="T118" s="6" t="s">
        <v>1637</v>
      </c>
      <c r="U118" s="6"/>
      <c r="V118" s="16"/>
      <c r="W118" s="16"/>
      <c r="X118" s="16"/>
      <c r="Y118" s="6" t="s">
        <v>1627</v>
      </c>
      <c r="Z118" s="15"/>
      <c r="AA118" s="15" t="s">
        <v>1628</v>
      </c>
    </row>
    <row r="119" spans="1:27" ht="33" customHeight="1">
      <c r="A119" s="6" t="s">
        <v>2681</v>
      </c>
      <c r="B119" s="7">
        <v>407</v>
      </c>
      <c r="C119" s="6" t="s">
        <v>2682</v>
      </c>
      <c r="D119" s="6" t="s">
        <v>2680</v>
      </c>
      <c r="E119" s="6" t="s">
        <v>1666</v>
      </c>
      <c r="F119" s="6" t="s">
        <v>1852</v>
      </c>
      <c r="G119" s="6" t="s">
        <v>1853</v>
      </c>
      <c r="H119" s="6"/>
      <c r="I119" s="14" t="s">
        <v>1669</v>
      </c>
      <c r="J119" s="15"/>
      <c r="K119" s="6" t="s">
        <v>1670</v>
      </c>
      <c r="L119" s="6"/>
      <c r="M119" s="6" t="s">
        <v>1671</v>
      </c>
      <c r="N119" s="6" t="s">
        <v>1644</v>
      </c>
      <c r="O119" s="7">
        <f>SUMIFS('05_상품별배치367'!$K$7:$K$373,'05_상품별배치367'!$E$7:$E$373,A119,'05_상품별배치367'!$H$7:$H$373,"본진")</f>
        <v>0</v>
      </c>
      <c r="P119" s="7">
        <f>SUMIFS('05_상품별배치367'!$K$7:$K$373,'05_상품별배치367'!$E$7:$E$373,A119,'05_상품별배치367'!$H$7:$H$373,"추가 진열")</f>
        <v>0</v>
      </c>
      <c r="Q119" s="7">
        <f>O119+P119</f>
        <v>0</v>
      </c>
      <c r="R119" s="7">
        <v>0</v>
      </c>
      <c r="S119" s="6" t="s">
        <v>1672</v>
      </c>
      <c r="T119" s="6" t="s">
        <v>1637</v>
      </c>
      <c r="U119" s="6"/>
      <c r="V119" s="16"/>
      <c r="W119" s="16"/>
      <c r="X119" s="16"/>
      <c r="Y119" s="6" t="s">
        <v>1627</v>
      </c>
      <c r="Z119" s="15"/>
      <c r="AA119" s="15" t="s">
        <v>1628</v>
      </c>
    </row>
    <row r="120" spans="1:27" ht="33" customHeight="1">
      <c r="A120" s="8" t="s">
        <v>2691</v>
      </c>
      <c r="B120" s="9">
        <v>412</v>
      </c>
      <c r="C120" s="8" t="s">
        <v>2692</v>
      </c>
      <c r="D120" s="8" t="s">
        <v>1649</v>
      </c>
      <c r="E120" s="8" t="s">
        <v>1666</v>
      </c>
      <c r="F120" s="8" t="s">
        <v>1667</v>
      </c>
      <c r="G120" s="8" t="s">
        <v>1668</v>
      </c>
      <c r="H120" s="8"/>
      <c r="I120" s="14" t="s">
        <v>1669</v>
      </c>
      <c r="J120" s="15"/>
      <c r="K120" s="8" t="s">
        <v>1670</v>
      </c>
      <c r="L120" s="8"/>
      <c r="M120" s="6" t="s">
        <v>1671</v>
      </c>
      <c r="N120" s="6" t="s">
        <v>1644</v>
      </c>
      <c r="O120" s="7">
        <f>SUMIFS('05_상품별배치367'!$K$7:$K$373,'05_상품별배치367'!$E$7:$E$373,A120,'05_상품별배치367'!$H$7:$H$373,"본진")</f>
        <v>0</v>
      </c>
      <c r="P120" s="7">
        <f>SUMIFS('05_상품별배치367'!$K$7:$K$373,'05_상품별배치367'!$E$7:$E$373,A120,'05_상품별배치367'!$H$7:$H$373,"추가 진열")</f>
        <v>0</v>
      </c>
      <c r="Q120" s="7">
        <f>O120+P120</f>
        <v>0</v>
      </c>
      <c r="R120" s="7">
        <v>0</v>
      </c>
      <c r="S120" s="6" t="s">
        <v>1672</v>
      </c>
      <c r="T120" s="6" t="s">
        <v>1637</v>
      </c>
      <c r="U120" s="6"/>
      <c r="V120" s="16"/>
      <c r="W120" s="16"/>
      <c r="X120" s="16"/>
      <c r="Y120" s="6" t="s">
        <v>1627</v>
      </c>
      <c r="Z120" s="15"/>
      <c r="AA120" s="15" t="s">
        <v>1628</v>
      </c>
    </row>
    <row r="121" spans="1:27" ht="33" customHeight="1">
      <c r="A121" s="6" t="s">
        <v>2693</v>
      </c>
      <c r="B121" s="7">
        <v>413</v>
      </c>
      <c r="C121" s="6" t="s">
        <v>2694</v>
      </c>
      <c r="D121" s="6" t="s">
        <v>1649</v>
      </c>
      <c r="E121" s="6" t="s">
        <v>1666</v>
      </c>
      <c r="F121" s="6" t="s">
        <v>1667</v>
      </c>
      <c r="G121" s="6" t="s">
        <v>1668</v>
      </c>
      <c r="H121" s="6"/>
      <c r="I121" s="14" t="s">
        <v>1669</v>
      </c>
      <c r="J121" s="15"/>
      <c r="K121" s="6" t="s">
        <v>1670</v>
      </c>
      <c r="L121" s="6"/>
      <c r="M121" s="6" t="s">
        <v>1671</v>
      </c>
      <c r="N121" s="6" t="s">
        <v>1644</v>
      </c>
      <c r="O121" s="7">
        <f>SUMIFS('05_상품별배치367'!$K$7:$K$373,'05_상품별배치367'!$E$7:$E$373,A121,'05_상품별배치367'!$H$7:$H$373,"본진")</f>
        <v>0</v>
      </c>
      <c r="P121" s="7">
        <f>SUMIFS('05_상품별배치367'!$K$7:$K$373,'05_상품별배치367'!$E$7:$E$373,A121,'05_상품별배치367'!$H$7:$H$373,"추가 진열")</f>
        <v>0</v>
      </c>
      <c r="Q121" s="7">
        <f>O121+P121</f>
        <v>0</v>
      </c>
      <c r="R121" s="7">
        <v>0</v>
      </c>
      <c r="S121" s="6" t="s">
        <v>1672</v>
      </c>
      <c r="T121" s="6" t="s">
        <v>1637</v>
      </c>
      <c r="U121" s="6"/>
      <c r="V121" s="16"/>
      <c r="W121" s="16"/>
      <c r="X121" s="16"/>
      <c r="Y121" s="6" t="s">
        <v>1627</v>
      </c>
      <c r="Z121" s="15"/>
      <c r="AA121" s="15" t="s">
        <v>1628</v>
      </c>
    </row>
    <row r="122" spans="1:27" ht="33" customHeight="1">
      <c r="A122" s="8" t="s">
        <v>2695</v>
      </c>
      <c r="B122" s="9">
        <v>414</v>
      </c>
      <c r="C122" s="8" t="s">
        <v>2696</v>
      </c>
      <c r="D122" s="8" t="s">
        <v>1649</v>
      </c>
      <c r="E122" s="8" t="s">
        <v>1666</v>
      </c>
      <c r="F122" s="8" t="s">
        <v>1667</v>
      </c>
      <c r="G122" s="8" t="s">
        <v>1668</v>
      </c>
      <c r="H122" s="8"/>
      <c r="I122" s="14" t="s">
        <v>1669</v>
      </c>
      <c r="J122" s="15"/>
      <c r="K122" s="8" t="s">
        <v>1670</v>
      </c>
      <c r="L122" s="8"/>
      <c r="M122" s="6" t="s">
        <v>1671</v>
      </c>
      <c r="N122" s="6" t="s">
        <v>1644</v>
      </c>
      <c r="O122" s="7">
        <f>SUMIFS('05_상품별배치367'!$K$7:$K$373,'05_상품별배치367'!$E$7:$E$373,A122,'05_상품별배치367'!$H$7:$H$373,"본진")</f>
        <v>0</v>
      </c>
      <c r="P122" s="7">
        <f>SUMIFS('05_상품별배치367'!$K$7:$K$373,'05_상품별배치367'!$E$7:$E$373,A122,'05_상품별배치367'!$H$7:$H$373,"추가 진열")</f>
        <v>0</v>
      </c>
      <c r="Q122" s="7">
        <f>O122+P122</f>
        <v>0</v>
      </c>
      <c r="R122" s="7">
        <v>0</v>
      </c>
      <c r="S122" s="6" t="s">
        <v>1672</v>
      </c>
      <c r="T122" s="6" t="s">
        <v>1637</v>
      </c>
      <c r="U122" s="6"/>
      <c r="V122" s="16"/>
      <c r="W122" s="16"/>
      <c r="X122" s="16"/>
      <c r="Y122" s="6" t="s">
        <v>1627</v>
      </c>
      <c r="Z122" s="15"/>
      <c r="AA122" s="15" t="s">
        <v>1628</v>
      </c>
    </row>
    <row r="123" spans="1:27" ht="33" customHeight="1">
      <c r="A123" s="6" t="s">
        <v>2697</v>
      </c>
      <c r="B123" s="7">
        <v>415</v>
      </c>
      <c r="C123" s="6" t="s">
        <v>2698</v>
      </c>
      <c r="D123" s="6" t="s">
        <v>1649</v>
      </c>
      <c r="E123" s="6" t="s">
        <v>1666</v>
      </c>
      <c r="F123" s="6" t="s">
        <v>1667</v>
      </c>
      <c r="G123" s="6" t="s">
        <v>1668</v>
      </c>
      <c r="H123" s="6"/>
      <c r="I123" s="14" t="s">
        <v>1669</v>
      </c>
      <c r="J123" s="15"/>
      <c r="K123" s="6" t="s">
        <v>1670</v>
      </c>
      <c r="L123" s="6"/>
      <c r="M123" s="6" t="s">
        <v>1671</v>
      </c>
      <c r="N123" s="6" t="s">
        <v>1644</v>
      </c>
      <c r="O123" s="7">
        <f>SUMIFS('05_상품별배치367'!$K$7:$K$373,'05_상품별배치367'!$E$7:$E$373,A123,'05_상품별배치367'!$H$7:$H$373,"본진")</f>
        <v>0</v>
      </c>
      <c r="P123" s="7">
        <f>SUMIFS('05_상품별배치367'!$K$7:$K$373,'05_상품별배치367'!$E$7:$E$373,A123,'05_상품별배치367'!$H$7:$H$373,"추가 진열")</f>
        <v>0</v>
      </c>
      <c r="Q123" s="7">
        <f>O123+P123</f>
        <v>0</v>
      </c>
      <c r="R123" s="7">
        <v>0</v>
      </c>
      <c r="S123" s="6" t="s">
        <v>1672</v>
      </c>
      <c r="T123" s="6" t="s">
        <v>1637</v>
      </c>
      <c r="U123" s="6"/>
      <c r="V123" s="16"/>
      <c r="W123" s="16"/>
      <c r="X123" s="16"/>
      <c r="Y123" s="6" t="s">
        <v>1627</v>
      </c>
      <c r="Z123" s="15"/>
      <c r="AA123" s="15" t="s">
        <v>1628</v>
      </c>
    </row>
    <row r="124" spans="1:27" ht="33" customHeight="1">
      <c r="A124" s="6" t="s">
        <v>2689</v>
      </c>
      <c r="B124" s="7">
        <v>411</v>
      </c>
      <c r="C124" s="6" t="s">
        <v>2690</v>
      </c>
      <c r="D124" s="6" t="s">
        <v>2680</v>
      </c>
      <c r="E124" s="6" t="s">
        <v>1666</v>
      </c>
      <c r="F124" s="6" t="s">
        <v>1852</v>
      </c>
      <c r="G124" s="6" t="s">
        <v>1853</v>
      </c>
      <c r="H124" s="6"/>
      <c r="I124" s="14" t="s">
        <v>1669</v>
      </c>
      <c r="J124" s="15"/>
      <c r="K124" s="6" t="s">
        <v>1670</v>
      </c>
      <c r="L124" s="6"/>
      <c r="M124" s="6" t="s">
        <v>1671</v>
      </c>
      <c r="N124" s="6" t="s">
        <v>1644</v>
      </c>
      <c r="O124" s="7">
        <f>SUMIFS('05_상품별배치367'!$K$7:$K$373,'05_상품별배치367'!$E$7:$E$373,A124,'05_상품별배치367'!$H$7:$H$373,"본진")</f>
        <v>0</v>
      </c>
      <c r="P124" s="7">
        <f>SUMIFS('05_상품별배치367'!$K$7:$K$373,'05_상품별배치367'!$E$7:$E$373,A124,'05_상품별배치367'!$H$7:$H$373,"추가 진열")</f>
        <v>0</v>
      </c>
      <c r="Q124" s="7">
        <f>O124+P124</f>
        <v>0</v>
      </c>
      <c r="R124" s="7">
        <v>0</v>
      </c>
      <c r="S124" s="6" t="s">
        <v>1672</v>
      </c>
      <c r="T124" s="6" t="s">
        <v>1637</v>
      </c>
      <c r="U124" s="6"/>
      <c r="V124" s="16"/>
      <c r="W124" s="16"/>
      <c r="X124" s="16"/>
      <c r="Y124" s="6" t="s">
        <v>1627</v>
      </c>
      <c r="Z124" s="15"/>
      <c r="AA124" s="15" t="s">
        <v>1628</v>
      </c>
    </row>
    <row r="125" spans="1:27" ht="33" customHeight="1">
      <c r="A125" s="8" t="s">
        <v>2683</v>
      </c>
      <c r="B125" s="9">
        <v>408</v>
      </c>
      <c r="C125" s="8" t="s">
        <v>2684</v>
      </c>
      <c r="D125" s="8" t="s">
        <v>2680</v>
      </c>
      <c r="E125" s="8" t="s">
        <v>1666</v>
      </c>
      <c r="F125" s="8" t="s">
        <v>1852</v>
      </c>
      <c r="G125" s="8" t="s">
        <v>1853</v>
      </c>
      <c r="H125" s="8"/>
      <c r="I125" s="14" t="s">
        <v>1669</v>
      </c>
      <c r="J125" s="15"/>
      <c r="K125" s="8" t="s">
        <v>1670</v>
      </c>
      <c r="L125" s="8"/>
      <c r="M125" s="6" t="s">
        <v>1671</v>
      </c>
      <c r="N125" s="6" t="s">
        <v>1644</v>
      </c>
      <c r="O125" s="7">
        <f>SUMIFS('05_상품별배치367'!$K$7:$K$373,'05_상품별배치367'!$E$7:$E$373,A125,'05_상품별배치367'!$H$7:$H$373,"본진")</f>
        <v>0</v>
      </c>
      <c r="P125" s="7">
        <f>SUMIFS('05_상품별배치367'!$K$7:$K$373,'05_상품별배치367'!$E$7:$E$373,A125,'05_상품별배치367'!$H$7:$H$373,"추가 진열")</f>
        <v>0</v>
      </c>
      <c r="Q125" s="7">
        <f>O125+P125</f>
        <v>0</v>
      </c>
      <c r="R125" s="7">
        <v>0</v>
      </c>
      <c r="S125" s="6" t="s">
        <v>1672</v>
      </c>
      <c r="T125" s="6" t="s">
        <v>1637</v>
      </c>
      <c r="U125" s="6"/>
      <c r="V125" s="16"/>
      <c r="W125" s="16"/>
      <c r="X125" s="16"/>
      <c r="Y125" s="6" t="s">
        <v>1627</v>
      </c>
      <c r="Z125" s="15"/>
      <c r="AA125" s="15" t="s">
        <v>1628</v>
      </c>
    </row>
    <row r="126" spans="1:27" ht="33" customHeight="1">
      <c r="A126" s="8" t="s">
        <v>2678</v>
      </c>
      <c r="B126" s="9">
        <v>406</v>
      </c>
      <c r="C126" s="8" t="s">
        <v>2679</v>
      </c>
      <c r="D126" s="8" t="s">
        <v>2680</v>
      </c>
      <c r="E126" s="8" t="s">
        <v>1666</v>
      </c>
      <c r="F126" s="8" t="s">
        <v>1852</v>
      </c>
      <c r="G126" s="8" t="s">
        <v>1853</v>
      </c>
      <c r="H126" s="8"/>
      <c r="I126" s="14" t="s">
        <v>1669</v>
      </c>
      <c r="J126" s="15"/>
      <c r="K126" s="8" t="s">
        <v>1670</v>
      </c>
      <c r="L126" s="8"/>
      <c r="M126" s="6" t="s">
        <v>1671</v>
      </c>
      <c r="N126" s="6" t="s">
        <v>1644</v>
      </c>
      <c r="O126" s="7">
        <f>SUMIFS('05_상품별배치367'!$K$7:$K$373,'05_상품별배치367'!$E$7:$E$373,A126,'05_상품별배치367'!$H$7:$H$373,"본진")</f>
        <v>0</v>
      </c>
      <c r="P126" s="7">
        <f>SUMIFS('05_상품별배치367'!$K$7:$K$373,'05_상품별배치367'!$E$7:$E$373,A126,'05_상품별배치367'!$H$7:$H$373,"추가 진열")</f>
        <v>0</v>
      </c>
      <c r="Q126" s="7">
        <f>O126+P126</f>
        <v>0</v>
      </c>
      <c r="R126" s="7">
        <v>0</v>
      </c>
      <c r="S126" s="6" t="s">
        <v>1672</v>
      </c>
      <c r="T126" s="6" t="s">
        <v>1637</v>
      </c>
      <c r="U126" s="6"/>
      <c r="V126" s="16"/>
      <c r="W126" s="16"/>
      <c r="X126" s="16"/>
      <c r="Y126" s="6" t="s">
        <v>1627</v>
      </c>
      <c r="Z126" s="15"/>
      <c r="AA126" s="15" t="s">
        <v>1628</v>
      </c>
    </row>
    <row r="127" spans="1:27" ht="33" customHeight="1">
      <c r="A127" s="8" t="s">
        <v>2687</v>
      </c>
      <c r="B127" s="9">
        <v>410</v>
      </c>
      <c r="C127" s="8" t="s">
        <v>2688</v>
      </c>
      <c r="D127" s="8" t="s">
        <v>2680</v>
      </c>
      <c r="E127" s="8" t="s">
        <v>1666</v>
      </c>
      <c r="F127" s="8" t="s">
        <v>347</v>
      </c>
      <c r="G127" s="8" t="s">
        <v>341</v>
      </c>
      <c r="H127" s="8"/>
      <c r="I127" s="14" t="s">
        <v>1642</v>
      </c>
      <c r="J127" s="15"/>
      <c r="K127" s="8" t="s">
        <v>1670</v>
      </c>
      <c r="L127" s="8"/>
      <c r="M127" s="6" t="s">
        <v>1643</v>
      </c>
      <c r="N127" s="6" t="s">
        <v>1644</v>
      </c>
      <c r="O127" s="7">
        <f>SUMIFS('05_상품별배치367'!$K$7:$K$373,'05_상품별배치367'!$E$7:$E$373,A127,'05_상품별배치367'!$H$7:$H$373,"본진")</f>
        <v>0</v>
      </c>
      <c r="P127" s="7">
        <f>SUMIFS('05_상품별배치367'!$K$7:$K$373,'05_상품별배치367'!$E$7:$E$373,A127,'05_상품별배치367'!$H$7:$H$373,"추가 진열")</f>
        <v>0</v>
      </c>
      <c r="Q127" s="7">
        <f>O127+P127</f>
        <v>0</v>
      </c>
      <c r="R127" s="7">
        <v>1</v>
      </c>
      <c r="S127" s="6" t="s">
        <v>2018</v>
      </c>
      <c r="T127" s="6" t="s">
        <v>1637</v>
      </c>
      <c r="U127" s="6"/>
      <c r="V127" s="16"/>
      <c r="W127" s="16"/>
      <c r="X127" s="16"/>
      <c r="Y127" s="6" t="s">
        <v>1627</v>
      </c>
      <c r="Z127" s="15"/>
      <c r="AA127" s="15" t="s">
        <v>1628</v>
      </c>
    </row>
    <row r="128" spans="1:27" ht="33" customHeight="1">
      <c r="A128" s="6" t="s">
        <v>2685</v>
      </c>
      <c r="B128" s="7">
        <v>409</v>
      </c>
      <c r="C128" s="6" t="s">
        <v>2686</v>
      </c>
      <c r="D128" s="6" t="s">
        <v>2680</v>
      </c>
      <c r="E128" s="6" t="s">
        <v>1666</v>
      </c>
      <c r="F128" s="6" t="s">
        <v>1852</v>
      </c>
      <c r="G128" s="6" t="s">
        <v>1853</v>
      </c>
      <c r="H128" s="6"/>
      <c r="I128" s="14" t="s">
        <v>1669</v>
      </c>
      <c r="J128" s="15"/>
      <c r="K128" s="6" t="s">
        <v>1670</v>
      </c>
      <c r="L128" s="6"/>
      <c r="M128" s="6" t="s">
        <v>1671</v>
      </c>
      <c r="N128" s="6" t="s">
        <v>1644</v>
      </c>
      <c r="O128" s="7">
        <f>SUMIFS('05_상품별배치367'!$K$7:$K$373,'05_상품별배치367'!$E$7:$E$373,A128,'05_상품별배치367'!$H$7:$H$373,"본진")</f>
        <v>0</v>
      </c>
      <c r="P128" s="7">
        <f>SUMIFS('05_상품별배치367'!$K$7:$K$373,'05_상품별배치367'!$E$7:$E$373,A128,'05_상품별배치367'!$H$7:$H$373,"추가 진열")</f>
        <v>0</v>
      </c>
      <c r="Q128" s="7">
        <f>O128+P128</f>
        <v>0</v>
      </c>
      <c r="R128" s="7">
        <v>0</v>
      </c>
      <c r="S128" s="6" t="s">
        <v>1672</v>
      </c>
      <c r="T128" s="6" t="s">
        <v>1637</v>
      </c>
      <c r="U128" s="6"/>
      <c r="V128" s="16"/>
      <c r="W128" s="16"/>
      <c r="X128" s="16"/>
      <c r="Y128" s="6" t="s">
        <v>1627</v>
      </c>
      <c r="Z128" s="15"/>
      <c r="AA128" s="15" t="s">
        <v>1628</v>
      </c>
    </row>
    <row r="129" spans="1:27" ht="33" customHeight="1">
      <c r="A129" s="6" t="s">
        <v>6898</v>
      </c>
      <c r="B129" s="7">
        <v>2361</v>
      </c>
      <c r="C129" s="6" t="s">
        <v>6899</v>
      </c>
      <c r="D129" s="6" t="s">
        <v>2047</v>
      </c>
      <c r="E129" s="6" t="s">
        <v>1666</v>
      </c>
      <c r="F129" s="6" t="s">
        <v>1852</v>
      </c>
      <c r="G129" s="6" t="s">
        <v>1853</v>
      </c>
      <c r="H129" s="6"/>
      <c r="I129" s="14" t="s">
        <v>1669</v>
      </c>
      <c r="J129" s="15"/>
      <c r="K129" s="6" t="s">
        <v>1670</v>
      </c>
      <c r="L129" s="6" t="s">
        <v>3828</v>
      </c>
      <c r="M129" s="6" t="s">
        <v>1671</v>
      </c>
      <c r="N129" s="6" t="s">
        <v>1644</v>
      </c>
      <c r="O129" s="7">
        <f>SUMIFS('05_상품별배치367'!$K$7:$K$373,'05_상품별배치367'!$E$7:$E$373,A129,'05_상품별배치367'!$H$7:$H$373,"본진")</f>
        <v>0</v>
      </c>
      <c r="P129" s="7">
        <f>SUMIFS('05_상품별배치367'!$K$7:$K$373,'05_상품별배치367'!$E$7:$E$373,A129,'05_상품별배치367'!$H$7:$H$373,"추가 진열")</f>
        <v>0</v>
      </c>
      <c r="Q129" s="7">
        <f>O129+P129</f>
        <v>0</v>
      </c>
      <c r="R129" s="7">
        <v>0</v>
      </c>
      <c r="S129" s="6" t="s">
        <v>1672</v>
      </c>
      <c r="T129" s="6" t="s">
        <v>1637</v>
      </c>
      <c r="U129" s="6"/>
      <c r="V129" s="16"/>
      <c r="W129" s="16"/>
      <c r="X129" s="16"/>
      <c r="Y129" s="6" t="s">
        <v>1627</v>
      </c>
      <c r="Z129" s="15"/>
      <c r="AA129" s="15" t="s">
        <v>1628</v>
      </c>
    </row>
    <row r="130" spans="1:27" ht="33" customHeight="1">
      <c r="A130" s="6" t="s">
        <v>7126</v>
      </c>
      <c r="B130" s="7">
        <v>2467</v>
      </c>
      <c r="C130" s="6" t="s">
        <v>7127</v>
      </c>
      <c r="D130" s="6" t="s">
        <v>7128</v>
      </c>
      <c r="E130" s="6" t="s">
        <v>1641</v>
      </c>
      <c r="F130" s="6" t="s">
        <v>1691</v>
      </c>
      <c r="G130" s="6" t="s">
        <v>59</v>
      </c>
      <c r="H130" s="6"/>
      <c r="I130" s="14" t="s">
        <v>1642</v>
      </c>
      <c r="J130" s="15"/>
      <c r="K130" s="6" t="s">
        <v>1634</v>
      </c>
      <c r="L130" s="6" t="s">
        <v>3828</v>
      </c>
      <c r="M130" s="6" t="s">
        <v>1643</v>
      </c>
      <c r="N130" s="6" t="s">
        <v>1624</v>
      </c>
      <c r="O130" s="7">
        <f>SUMIFS('05_상품별배치367'!$K$7:$K$373,'05_상품별배치367'!$E$7:$E$373,A130,'05_상품별배치367'!$H$7:$H$373,"본진")</f>
        <v>0</v>
      </c>
      <c r="P130" s="7">
        <f>SUMIFS('05_상품별배치367'!$K$7:$K$373,'05_상품별배치367'!$E$7:$E$373,A130,'05_상품별배치367'!$H$7:$H$373,"추가 진열")</f>
        <v>0</v>
      </c>
      <c r="Q130" s="7">
        <f>O130+P130</f>
        <v>0</v>
      </c>
      <c r="R130" s="7">
        <v>1</v>
      </c>
      <c r="S130" s="6" t="s">
        <v>1721</v>
      </c>
      <c r="T130" s="6" t="s">
        <v>1637</v>
      </c>
      <c r="U130" s="6"/>
      <c r="V130" s="16"/>
      <c r="W130" s="16"/>
      <c r="X130" s="16"/>
      <c r="Y130" s="6" t="s">
        <v>1655</v>
      </c>
      <c r="Z130" s="15"/>
      <c r="AA130" s="15" t="s">
        <v>1628</v>
      </c>
    </row>
    <row r="131" spans="1:27" ht="33" customHeight="1">
      <c r="A131" s="6" t="s">
        <v>6253</v>
      </c>
      <c r="B131" s="7">
        <v>2059</v>
      </c>
      <c r="C131" s="6" t="s">
        <v>6254</v>
      </c>
      <c r="D131" s="6" t="s">
        <v>6255</v>
      </c>
      <c r="E131" s="6" t="s">
        <v>1641</v>
      </c>
      <c r="F131" s="6" t="s">
        <v>1691</v>
      </c>
      <c r="G131" s="6" t="s">
        <v>59</v>
      </c>
      <c r="H131" s="6"/>
      <c r="I131" s="14" t="s">
        <v>1642</v>
      </c>
      <c r="J131" s="15"/>
      <c r="K131" s="6" t="s">
        <v>1634</v>
      </c>
      <c r="L131" s="6" t="s">
        <v>3828</v>
      </c>
      <c r="M131" s="6" t="s">
        <v>1643</v>
      </c>
      <c r="N131" s="6" t="s">
        <v>1624</v>
      </c>
      <c r="O131" s="7">
        <f>SUMIFS('05_상품별배치367'!$K$7:$K$373,'05_상품별배치367'!$E$7:$E$373,A131,'05_상품별배치367'!$H$7:$H$373,"본진")</f>
        <v>0</v>
      </c>
      <c r="P131" s="7">
        <f>SUMIFS('05_상품별배치367'!$K$7:$K$373,'05_상품별배치367'!$E$7:$E$373,A131,'05_상품별배치367'!$H$7:$H$373,"추가 진열")</f>
        <v>0</v>
      </c>
      <c r="Q131" s="7">
        <f>O131+P131</f>
        <v>0</v>
      </c>
      <c r="R131" s="7">
        <v>1</v>
      </c>
      <c r="S131" s="6" t="s">
        <v>1721</v>
      </c>
      <c r="T131" s="6" t="s">
        <v>1637</v>
      </c>
      <c r="U131" s="6"/>
      <c r="V131" s="16"/>
      <c r="W131" s="16"/>
      <c r="X131" s="16"/>
      <c r="Y131" s="6" t="s">
        <v>1655</v>
      </c>
      <c r="Z131" s="15"/>
      <c r="AA131" s="15" t="s">
        <v>1628</v>
      </c>
    </row>
    <row r="132" spans="1:27" ht="33" customHeight="1">
      <c r="A132" s="6" t="s">
        <v>6259</v>
      </c>
      <c r="B132" s="7">
        <v>2061</v>
      </c>
      <c r="C132" s="6" t="s">
        <v>6254</v>
      </c>
      <c r="D132" s="6" t="s">
        <v>2133</v>
      </c>
      <c r="E132" s="6" t="s">
        <v>1641</v>
      </c>
      <c r="F132" s="6" t="s">
        <v>1691</v>
      </c>
      <c r="G132" s="6" t="s">
        <v>59</v>
      </c>
      <c r="H132" s="6"/>
      <c r="I132" s="14" t="s">
        <v>1642</v>
      </c>
      <c r="J132" s="15"/>
      <c r="K132" s="6" t="s">
        <v>1634</v>
      </c>
      <c r="L132" s="6" t="s">
        <v>3828</v>
      </c>
      <c r="M132" s="6" t="s">
        <v>1643</v>
      </c>
      <c r="N132" s="6" t="s">
        <v>1624</v>
      </c>
      <c r="O132" s="7">
        <f>SUMIFS('05_상품별배치367'!$K$7:$K$373,'05_상품별배치367'!$E$7:$E$373,A132,'05_상품별배치367'!$H$7:$H$373,"본진")</f>
        <v>0</v>
      </c>
      <c r="P132" s="7">
        <f>SUMIFS('05_상품별배치367'!$K$7:$K$373,'05_상품별배치367'!$E$7:$E$373,A132,'05_상품별배치367'!$H$7:$H$373,"추가 진열")</f>
        <v>0</v>
      </c>
      <c r="Q132" s="7">
        <f>O132+P132</f>
        <v>0</v>
      </c>
      <c r="R132" s="7">
        <v>1</v>
      </c>
      <c r="S132" s="6" t="s">
        <v>1721</v>
      </c>
      <c r="T132" s="6" t="s">
        <v>1637</v>
      </c>
      <c r="U132" s="6"/>
      <c r="V132" s="16"/>
      <c r="W132" s="16"/>
      <c r="X132" s="16"/>
      <c r="Y132" s="6" t="s">
        <v>1627</v>
      </c>
      <c r="Z132" s="15"/>
      <c r="AA132" s="15" t="s">
        <v>1628</v>
      </c>
    </row>
    <row r="133" spans="1:27" ht="33" customHeight="1">
      <c r="A133" s="6" t="s">
        <v>6262</v>
      </c>
      <c r="B133" s="7">
        <v>2063</v>
      </c>
      <c r="C133" s="6" t="s">
        <v>6263</v>
      </c>
      <c r="D133" s="6" t="s">
        <v>2133</v>
      </c>
      <c r="E133" s="6" t="s">
        <v>1641</v>
      </c>
      <c r="F133" s="6" t="s">
        <v>1691</v>
      </c>
      <c r="G133" s="6" t="s">
        <v>59</v>
      </c>
      <c r="H133" s="6"/>
      <c r="I133" s="14" t="s">
        <v>1642</v>
      </c>
      <c r="J133" s="15"/>
      <c r="K133" s="6" t="s">
        <v>1634</v>
      </c>
      <c r="L133" s="6" t="s">
        <v>3828</v>
      </c>
      <c r="M133" s="6" t="s">
        <v>1643</v>
      </c>
      <c r="N133" s="6" t="s">
        <v>1624</v>
      </c>
      <c r="O133" s="7">
        <f>SUMIFS('05_상품별배치367'!$K$7:$K$373,'05_상품별배치367'!$E$7:$E$373,A133,'05_상품별배치367'!$H$7:$H$373,"본진")</f>
        <v>0</v>
      </c>
      <c r="P133" s="7">
        <f>SUMIFS('05_상품별배치367'!$K$7:$K$373,'05_상품별배치367'!$E$7:$E$373,A133,'05_상품별배치367'!$H$7:$H$373,"추가 진열")</f>
        <v>0</v>
      </c>
      <c r="Q133" s="7">
        <f>O133+P133</f>
        <v>0</v>
      </c>
      <c r="R133" s="7">
        <v>1</v>
      </c>
      <c r="S133" s="6" t="s">
        <v>1721</v>
      </c>
      <c r="T133" s="6" t="s">
        <v>1637</v>
      </c>
      <c r="U133" s="6"/>
      <c r="V133" s="16"/>
      <c r="W133" s="16"/>
      <c r="X133" s="16"/>
      <c r="Y133" s="6" t="s">
        <v>1627</v>
      </c>
      <c r="Z133" s="15"/>
      <c r="AA133" s="15" t="s">
        <v>1628</v>
      </c>
    </row>
    <row r="134" spans="1:27" ht="33" customHeight="1">
      <c r="A134" s="6" t="s">
        <v>6267</v>
      </c>
      <c r="B134" s="7">
        <v>2065</v>
      </c>
      <c r="C134" s="6" t="s">
        <v>6268</v>
      </c>
      <c r="D134" s="6" t="s">
        <v>6269</v>
      </c>
      <c r="E134" s="6" t="s">
        <v>1641</v>
      </c>
      <c r="F134" s="6" t="s">
        <v>1691</v>
      </c>
      <c r="G134" s="6" t="s">
        <v>59</v>
      </c>
      <c r="H134" s="6"/>
      <c r="I134" s="14" t="s">
        <v>1642</v>
      </c>
      <c r="J134" s="15"/>
      <c r="K134" s="6" t="s">
        <v>1634</v>
      </c>
      <c r="L134" s="6" t="s">
        <v>3828</v>
      </c>
      <c r="M134" s="6" t="s">
        <v>1643</v>
      </c>
      <c r="N134" s="6" t="s">
        <v>1624</v>
      </c>
      <c r="O134" s="7">
        <f>SUMIFS('05_상품별배치367'!$K$7:$K$373,'05_상품별배치367'!$E$7:$E$373,A134,'05_상품별배치367'!$H$7:$H$373,"본진")</f>
        <v>0</v>
      </c>
      <c r="P134" s="7">
        <f>SUMIFS('05_상품별배치367'!$K$7:$K$373,'05_상품별배치367'!$E$7:$E$373,A134,'05_상품별배치367'!$H$7:$H$373,"추가 진열")</f>
        <v>0</v>
      </c>
      <c r="Q134" s="7">
        <f>O134+P134</f>
        <v>0</v>
      </c>
      <c r="R134" s="7">
        <v>1</v>
      </c>
      <c r="S134" s="6" t="s">
        <v>1721</v>
      </c>
      <c r="T134" s="6" t="s">
        <v>1637</v>
      </c>
      <c r="U134" s="6"/>
      <c r="V134" s="16"/>
      <c r="W134" s="16"/>
      <c r="X134" s="16"/>
      <c r="Y134" s="6" t="s">
        <v>1627</v>
      </c>
      <c r="Z134" s="15"/>
      <c r="AA134" s="15" t="s">
        <v>1628</v>
      </c>
    </row>
    <row r="135" spans="1:27" ht="33" customHeight="1">
      <c r="A135" s="8" t="s">
        <v>6203</v>
      </c>
      <c r="B135" s="9">
        <v>2034</v>
      </c>
      <c r="C135" s="8" t="s">
        <v>6204</v>
      </c>
      <c r="D135" s="8" t="s">
        <v>1694</v>
      </c>
      <c r="E135" s="8" t="s">
        <v>1641</v>
      </c>
      <c r="F135" s="8" t="s">
        <v>684</v>
      </c>
      <c r="G135" s="8" t="s">
        <v>91</v>
      </c>
      <c r="H135" s="8" t="s">
        <v>683</v>
      </c>
      <c r="I135" s="14" t="s">
        <v>1621</v>
      </c>
      <c r="J135" s="15"/>
      <c r="K135" s="8" t="s">
        <v>1634</v>
      </c>
      <c r="L135" s="8" t="s">
        <v>3828</v>
      </c>
      <c r="M135" s="6" t="s">
        <v>1623</v>
      </c>
      <c r="N135" s="6" t="s">
        <v>1624</v>
      </c>
      <c r="O135" s="7">
        <f>SUMIFS('05_상품별배치367'!$K$7:$K$373,'05_상품별배치367'!$E$7:$E$373,A135,'05_상품별배치367'!$H$7:$H$373,"본진")</f>
        <v>1</v>
      </c>
      <c r="P135" s="7">
        <f>SUMIFS('05_상품별배치367'!$K$7:$K$373,'05_상품별배치367'!$E$7:$E$373,A135,'05_상품별배치367'!$H$7:$H$373,"추가 진열")</f>
        <v>0</v>
      </c>
      <c r="Q135" s="7">
        <f>O135+P135</f>
        <v>1</v>
      </c>
      <c r="R135" s="7">
        <v>1</v>
      </c>
      <c r="S135" s="6" t="s">
        <v>1625</v>
      </c>
      <c r="T135" s="6" t="s">
        <v>1637</v>
      </c>
      <c r="U135" s="6"/>
      <c r="V135" s="16"/>
      <c r="W135" s="16"/>
      <c r="X135" s="16"/>
      <c r="Y135" s="6" t="s">
        <v>1627</v>
      </c>
      <c r="Z135" s="15"/>
      <c r="AA135" s="15" t="s">
        <v>1628</v>
      </c>
    </row>
    <row r="136" spans="1:27" ht="33" customHeight="1">
      <c r="A136" s="6" t="s">
        <v>6608</v>
      </c>
      <c r="B136" s="7">
        <v>2217</v>
      </c>
      <c r="C136" s="6" t="s">
        <v>6609</v>
      </c>
      <c r="D136" s="6" t="s">
        <v>6610</v>
      </c>
      <c r="E136" s="6" t="s">
        <v>1695</v>
      </c>
      <c r="F136" s="6" t="s">
        <v>482</v>
      </c>
      <c r="G136" s="6" t="s">
        <v>272</v>
      </c>
      <c r="H136" s="6"/>
      <c r="I136" s="14" t="s">
        <v>1642</v>
      </c>
      <c r="J136" s="15"/>
      <c r="K136" s="6" t="s">
        <v>1696</v>
      </c>
      <c r="L136" s="6"/>
      <c r="M136" s="6" t="s">
        <v>1643</v>
      </c>
      <c r="N136" s="6" t="s">
        <v>1644</v>
      </c>
      <c r="O136" s="7">
        <f>SUMIFS('05_상품별배치367'!$K$7:$K$373,'05_상품별배치367'!$E$7:$E$373,A136,'05_상품별배치367'!$H$7:$H$373,"본진")</f>
        <v>0</v>
      </c>
      <c r="P136" s="7">
        <f>SUMIFS('05_상품별배치367'!$K$7:$K$373,'05_상품별배치367'!$E$7:$E$373,A136,'05_상품별배치367'!$H$7:$H$373,"추가 진열")</f>
        <v>0</v>
      </c>
      <c r="Q136" s="7">
        <f>O136+P136</f>
        <v>0</v>
      </c>
      <c r="R136" s="7">
        <v>1</v>
      </c>
      <c r="S136" s="6" t="s">
        <v>1942</v>
      </c>
      <c r="T136" s="6" t="s">
        <v>1637</v>
      </c>
      <c r="U136" s="6"/>
      <c r="V136" s="16"/>
      <c r="W136" s="16"/>
      <c r="X136" s="16"/>
      <c r="Y136" s="6" t="s">
        <v>1627</v>
      </c>
      <c r="Z136" s="15"/>
      <c r="AA136" s="15" t="s">
        <v>1628</v>
      </c>
    </row>
    <row r="137" spans="1:27" ht="33" customHeight="1">
      <c r="A137" s="8" t="s">
        <v>4634</v>
      </c>
      <c r="B137" s="9">
        <v>1304</v>
      </c>
      <c r="C137" s="8" t="s">
        <v>4635</v>
      </c>
      <c r="D137" s="8" t="s">
        <v>2845</v>
      </c>
      <c r="E137" s="8" t="s">
        <v>1986</v>
      </c>
      <c r="F137" s="8" t="s">
        <v>913</v>
      </c>
      <c r="G137" s="8" t="s">
        <v>201</v>
      </c>
      <c r="H137" s="8"/>
      <c r="I137" s="14" t="s">
        <v>1642</v>
      </c>
      <c r="J137" s="15"/>
      <c r="K137" s="8" t="s">
        <v>1976</v>
      </c>
      <c r="L137" s="8"/>
      <c r="M137" s="6" t="s">
        <v>1643</v>
      </c>
      <c r="N137" s="6" t="s">
        <v>1644</v>
      </c>
      <c r="O137" s="7">
        <f>SUMIFS('05_상품별배치367'!$K$7:$K$373,'05_상품별배치367'!$E$7:$E$373,A137,'05_상품별배치367'!$H$7:$H$373,"본진")</f>
        <v>0</v>
      </c>
      <c r="P137" s="7">
        <f>SUMIFS('05_상품별배치367'!$K$7:$K$373,'05_상품별배치367'!$E$7:$E$373,A137,'05_상품별배치367'!$H$7:$H$373,"추가 진열")</f>
        <v>0</v>
      </c>
      <c r="Q137" s="7">
        <f>O137+P137</f>
        <v>0</v>
      </c>
      <c r="R137" s="7">
        <v>1</v>
      </c>
      <c r="S137" s="6" t="s">
        <v>2907</v>
      </c>
      <c r="T137" s="6" t="s">
        <v>1637</v>
      </c>
      <c r="U137" s="6"/>
      <c r="V137" s="16"/>
      <c r="W137" s="16"/>
      <c r="X137" s="16"/>
      <c r="Y137" s="6" t="s">
        <v>1627</v>
      </c>
      <c r="Z137" s="15"/>
      <c r="AA137" s="15" t="s">
        <v>1628</v>
      </c>
    </row>
    <row r="138" spans="1:27" ht="33" customHeight="1">
      <c r="A138" s="6" t="s">
        <v>4632</v>
      </c>
      <c r="B138" s="7">
        <v>1303</v>
      </c>
      <c r="C138" s="6" t="s">
        <v>4633</v>
      </c>
      <c r="D138" s="6" t="s">
        <v>2856</v>
      </c>
      <c r="E138" s="6" t="s">
        <v>2134</v>
      </c>
      <c r="F138" s="6" t="s">
        <v>2933</v>
      </c>
      <c r="G138" s="6" t="s">
        <v>1668</v>
      </c>
      <c r="H138" s="6"/>
      <c r="I138" s="14" t="s">
        <v>1807</v>
      </c>
      <c r="J138" s="15"/>
      <c r="K138" s="6" t="s">
        <v>1976</v>
      </c>
      <c r="L138" s="6" t="s">
        <v>2032</v>
      </c>
      <c r="M138" s="6" t="s">
        <v>1809</v>
      </c>
      <c r="N138" s="6" t="s">
        <v>1644</v>
      </c>
      <c r="O138" s="7">
        <f>SUMIFS('05_상품별배치367'!$K$7:$K$373,'05_상품별배치367'!$E$7:$E$373,A138,'05_상품별배치367'!$H$7:$H$373,"본진")</f>
        <v>0</v>
      </c>
      <c r="P138" s="7">
        <f>SUMIFS('05_상품별배치367'!$K$7:$K$373,'05_상품별배치367'!$E$7:$E$373,A138,'05_상품별배치367'!$H$7:$H$373,"추가 진열")</f>
        <v>0</v>
      </c>
      <c r="Q138" s="7">
        <f>O138+P138</f>
        <v>0</v>
      </c>
      <c r="R138" s="7">
        <v>0</v>
      </c>
      <c r="S138" s="6" t="s">
        <v>1810</v>
      </c>
      <c r="T138" s="6" t="s">
        <v>1637</v>
      </c>
      <c r="U138" s="6"/>
      <c r="V138" s="16"/>
      <c r="W138" s="16"/>
      <c r="X138" s="16"/>
      <c r="Y138" s="6" t="s">
        <v>1627</v>
      </c>
      <c r="Z138" s="15"/>
      <c r="AA138" s="15" t="s">
        <v>1628</v>
      </c>
    </row>
    <row r="139" spans="1:27" ht="33" customHeight="1">
      <c r="A139" s="6" t="s">
        <v>1200</v>
      </c>
      <c r="B139" s="7">
        <v>2505</v>
      </c>
      <c r="C139" s="6" t="s">
        <v>1199</v>
      </c>
      <c r="D139" s="6" t="s">
        <v>1682</v>
      </c>
      <c r="E139" s="6" t="s">
        <v>1620</v>
      </c>
      <c r="F139" s="6" t="s">
        <v>504</v>
      </c>
      <c r="G139" s="6" t="s">
        <v>341</v>
      </c>
      <c r="H139" s="6" t="s">
        <v>1198</v>
      </c>
      <c r="I139" s="14" t="s">
        <v>1633</v>
      </c>
      <c r="J139" s="15"/>
      <c r="K139" s="6" t="s">
        <v>1622</v>
      </c>
      <c r="L139" s="6" t="s">
        <v>3828</v>
      </c>
      <c r="M139" s="6" t="s">
        <v>1635</v>
      </c>
      <c r="N139" s="6" t="s">
        <v>1624</v>
      </c>
      <c r="O139" s="7">
        <f>SUMIFS('05_상품별배치367'!$K$7:$K$373,'05_상품별배치367'!$E$7:$E$373,A139,'05_상품별배치367'!$H$7:$H$373,"본진")</f>
        <v>1</v>
      </c>
      <c r="P139" s="7">
        <f>SUMIFS('05_상품별배치367'!$K$7:$K$373,'05_상품별배치367'!$E$7:$E$373,A139,'05_상품별배치367'!$H$7:$H$373,"추가 진열")</f>
        <v>0</v>
      </c>
      <c r="Q139" s="7">
        <f>O139+P139</f>
        <v>1</v>
      </c>
      <c r="R139" s="7">
        <v>1</v>
      </c>
      <c r="S139" s="6" t="s">
        <v>1636</v>
      </c>
      <c r="T139" s="6" t="s">
        <v>1637</v>
      </c>
      <c r="U139" s="6"/>
      <c r="V139" s="16"/>
      <c r="W139" s="16"/>
      <c r="X139" s="16"/>
      <c r="Y139" s="6" t="s">
        <v>1627</v>
      </c>
      <c r="Z139" s="15"/>
      <c r="AA139" s="15" t="s">
        <v>1628</v>
      </c>
    </row>
    <row r="140" spans="1:27" ht="33" customHeight="1">
      <c r="A140" s="6" t="s">
        <v>1031</v>
      </c>
      <c r="B140" s="7">
        <v>2385</v>
      </c>
      <c r="C140" s="6" t="s">
        <v>1030</v>
      </c>
      <c r="D140" s="6" t="s">
        <v>6952</v>
      </c>
      <c r="E140" s="6" t="s">
        <v>1981</v>
      </c>
      <c r="F140" s="6" t="s">
        <v>1025</v>
      </c>
      <c r="G140" s="6" t="s">
        <v>254</v>
      </c>
      <c r="H140" s="6" t="s">
        <v>1029</v>
      </c>
      <c r="I140" s="14" t="s">
        <v>1633</v>
      </c>
      <c r="J140" s="15"/>
      <c r="K140" s="6" t="s">
        <v>1982</v>
      </c>
      <c r="L140" s="6" t="s">
        <v>3828</v>
      </c>
      <c r="M140" s="6" t="s">
        <v>1635</v>
      </c>
      <c r="N140" s="6" t="s">
        <v>1624</v>
      </c>
      <c r="O140" s="7">
        <f>SUMIFS('05_상품별배치367'!$K$7:$K$373,'05_상품별배치367'!$E$7:$E$373,A140,'05_상품별배치367'!$H$7:$H$373,"본진")</f>
        <v>1</v>
      </c>
      <c r="P140" s="7">
        <f>SUMIFS('05_상품별배치367'!$K$7:$K$373,'05_상품별배치367'!$E$7:$E$373,A140,'05_상품별배치367'!$H$7:$H$373,"추가 진열")</f>
        <v>0</v>
      </c>
      <c r="Q140" s="7">
        <f>O140+P140</f>
        <v>1</v>
      </c>
      <c r="R140" s="7">
        <v>1</v>
      </c>
      <c r="S140" s="6" t="s">
        <v>1636</v>
      </c>
      <c r="T140" s="6" t="s">
        <v>1637</v>
      </c>
      <c r="U140" s="6"/>
      <c r="V140" s="16"/>
      <c r="W140" s="16"/>
      <c r="X140" s="16"/>
      <c r="Y140" s="6" t="s">
        <v>1627</v>
      </c>
      <c r="Z140" s="15"/>
      <c r="AA140" s="15" t="s">
        <v>1628</v>
      </c>
    </row>
    <row r="141" spans="1:27" ht="33" customHeight="1">
      <c r="A141" s="6" t="s">
        <v>1688</v>
      </c>
      <c r="B141" s="7">
        <v>15</v>
      </c>
      <c r="C141" s="6" t="s">
        <v>1689</v>
      </c>
      <c r="D141" s="6" t="s">
        <v>1690</v>
      </c>
      <c r="E141" s="6" t="s">
        <v>1641</v>
      </c>
      <c r="F141" s="6" t="s">
        <v>1691</v>
      </c>
      <c r="G141" s="6" t="s">
        <v>59</v>
      </c>
      <c r="H141" s="6" t="s">
        <v>620</v>
      </c>
      <c r="I141" s="14" t="s">
        <v>1633</v>
      </c>
      <c r="J141" s="15"/>
      <c r="K141" s="6" t="s">
        <v>1634</v>
      </c>
      <c r="L141" s="6"/>
      <c r="M141" s="6" t="s">
        <v>1635</v>
      </c>
      <c r="N141" s="6" t="s">
        <v>1624</v>
      </c>
      <c r="O141" s="7">
        <f>SUMIFS('05_상품별배치367'!$K$7:$K$373,'05_상품별배치367'!$E$7:$E$373,A141,'05_상품별배치367'!$H$7:$H$373,"본진")</f>
        <v>1</v>
      </c>
      <c r="P141" s="7">
        <f>SUMIFS('05_상품별배치367'!$K$7:$K$373,'05_상품별배치367'!$E$7:$E$373,A141,'05_상품별배치367'!$H$7:$H$373,"추가 진열")</f>
        <v>0</v>
      </c>
      <c r="Q141" s="7">
        <f>O141+P141</f>
        <v>1</v>
      </c>
      <c r="R141" s="7">
        <v>1</v>
      </c>
      <c r="S141" s="6" t="s">
        <v>1636</v>
      </c>
      <c r="T141" s="6" t="s">
        <v>1637</v>
      </c>
      <c r="U141" s="6"/>
      <c r="V141" s="16"/>
      <c r="W141" s="16"/>
      <c r="X141" s="16"/>
      <c r="Y141" s="6" t="s">
        <v>1655</v>
      </c>
      <c r="Z141" s="15"/>
      <c r="AA141" s="15" t="s">
        <v>1628</v>
      </c>
    </row>
    <row r="142" spans="1:27" ht="33" customHeight="1">
      <c r="A142" s="8" t="s">
        <v>6933</v>
      </c>
      <c r="B142" s="9">
        <v>2376</v>
      </c>
      <c r="C142" s="8" t="s">
        <v>6934</v>
      </c>
      <c r="D142" s="8" t="s">
        <v>6175</v>
      </c>
      <c r="E142" s="8" t="s">
        <v>1641</v>
      </c>
      <c r="F142" s="8" t="s">
        <v>670</v>
      </c>
      <c r="G142" s="8" t="s">
        <v>91</v>
      </c>
      <c r="H142" s="8" t="s">
        <v>669</v>
      </c>
      <c r="I142" s="14" t="s">
        <v>1633</v>
      </c>
      <c r="J142" s="15"/>
      <c r="K142" s="8" t="s">
        <v>1634</v>
      </c>
      <c r="L142" s="8" t="s">
        <v>3828</v>
      </c>
      <c r="M142" s="6" t="s">
        <v>1635</v>
      </c>
      <c r="N142" s="6" t="s">
        <v>1624</v>
      </c>
      <c r="O142" s="7">
        <f>SUMIFS('05_상품별배치367'!$K$7:$K$373,'05_상품별배치367'!$E$7:$E$373,A142,'05_상품별배치367'!$H$7:$H$373,"본진")</f>
        <v>1</v>
      </c>
      <c r="P142" s="7">
        <f>SUMIFS('05_상품별배치367'!$K$7:$K$373,'05_상품별배치367'!$E$7:$E$373,A142,'05_상품별배치367'!$H$7:$H$373,"추가 진열")</f>
        <v>0</v>
      </c>
      <c r="Q142" s="7">
        <f>O142+P142</f>
        <v>1</v>
      </c>
      <c r="R142" s="7">
        <v>1</v>
      </c>
      <c r="S142" s="6" t="s">
        <v>1636</v>
      </c>
      <c r="T142" s="6" t="s">
        <v>1637</v>
      </c>
      <c r="U142" s="6"/>
      <c r="V142" s="16"/>
      <c r="W142" s="16"/>
      <c r="X142" s="16"/>
      <c r="Y142" s="6" t="s">
        <v>1627</v>
      </c>
      <c r="Z142" s="15"/>
      <c r="AA142" s="15" t="s">
        <v>1628</v>
      </c>
    </row>
    <row r="143" spans="1:27" ht="33" customHeight="1">
      <c r="A143" s="6" t="s">
        <v>6673</v>
      </c>
      <c r="B143" s="7">
        <v>2247</v>
      </c>
      <c r="C143" s="6" t="s">
        <v>6674</v>
      </c>
      <c r="D143" s="6" t="s">
        <v>6675</v>
      </c>
      <c r="E143" s="6" t="s">
        <v>1641</v>
      </c>
      <c r="F143" s="6" t="s">
        <v>670</v>
      </c>
      <c r="G143" s="6" t="s">
        <v>91</v>
      </c>
      <c r="H143" s="6"/>
      <c r="I143" s="14" t="s">
        <v>1642</v>
      </c>
      <c r="J143" s="15"/>
      <c r="K143" s="6" t="s">
        <v>1634</v>
      </c>
      <c r="L143" s="6" t="s">
        <v>3828</v>
      </c>
      <c r="M143" s="6" t="s">
        <v>1643</v>
      </c>
      <c r="N143" s="6" t="s">
        <v>1624</v>
      </c>
      <c r="O143" s="7">
        <f>SUMIFS('05_상품별배치367'!$K$7:$K$373,'05_상품별배치367'!$E$7:$E$373,A143,'05_상품별배치367'!$H$7:$H$373,"본진")</f>
        <v>0</v>
      </c>
      <c r="P143" s="7">
        <f>SUMIFS('05_상품별배치367'!$K$7:$K$373,'05_상품별배치367'!$E$7:$E$373,A143,'05_상품별배치367'!$H$7:$H$373,"추가 진열")</f>
        <v>0</v>
      </c>
      <c r="Q143" s="7">
        <f>O143+P143</f>
        <v>0</v>
      </c>
      <c r="R143" s="7">
        <v>1</v>
      </c>
      <c r="S143" s="6" t="s">
        <v>1645</v>
      </c>
      <c r="T143" s="6" t="s">
        <v>1637</v>
      </c>
      <c r="U143" s="6"/>
      <c r="V143" s="16"/>
      <c r="W143" s="16"/>
      <c r="X143" s="16"/>
      <c r="Y143" s="6" t="s">
        <v>1655</v>
      </c>
      <c r="Z143" s="15"/>
      <c r="AA143" s="15" t="s">
        <v>1628</v>
      </c>
    </row>
    <row r="144" spans="1:27" ht="33" customHeight="1">
      <c r="A144" s="6" t="s">
        <v>5862</v>
      </c>
      <c r="B144" s="7">
        <v>1887</v>
      </c>
      <c r="C144" s="6" t="s">
        <v>5863</v>
      </c>
      <c r="D144" s="6" t="s">
        <v>5864</v>
      </c>
      <c r="E144" s="6" t="s">
        <v>1641</v>
      </c>
      <c r="F144" s="6" t="s">
        <v>670</v>
      </c>
      <c r="G144" s="6" t="s">
        <v>91</v>
      </c>
      <c r="H144" s="6"/>
      <c r="I144" s="14" t="s">
        <v>1642</v>
      </c>
      <c r="J144" s="15"/>
      <c r="K144" s="6" t="s">
        <v>1634</v>
      </c>
      <c r="L144" s="6" t="s">
        <v>3828</v>
      </c>
      <c r="M144" s="6" t="s">
        <v>1643</v>
      </c>
      <c r="N144" s="6" t="s">
        <v>1624</v>
      </c>
      <c r="O144" s="7">
        <f>SUMIFS('05_상품별배치367'!$K$7:$K$373,'05_상품별배치367'!$E$7:$E$373,A144,'05_상품별배치367'!$H$7:$H$373,"본진")</f>
        <v>0</v>
      </c>
      <c r="P144" s="7">
        <f>SUMIFS('05_상품별배치367'!$K$7:$K$373,'05_상품별배치367'!$E$7:$E$373,A144,'05_상품별배치367'!$H$7:$H$373,"추가 진열")</f>
        <v>0</v>
      </c>
      <c r="Q144" s="7">
        <f>O144+P144</f>
        <v>0</v>
      </c>
      <c r="R144" s="7">
        <v>1</v>
      </c>
      <c r="S144" s="6" t="s">
        <v>1645</v>
      </c>
      <c r="T144" s="6" t="s">
        <v>1637</v>
      </c>
      <c r="U144" s="6"/>
      <c r="V144" s="16"/>
      <c r="W144" s="16"/>
      <c r="X144" s="16"/>
      <c r="Y144" s="6" t="s">
        <v>1655</v>
      </c>
      <c r="Z144" s="15"/>
      <c r="AA144" s="15" t="s">
        <v>1628</v>
      </c>
    </row>
    <row r="145" spans="1:27" ht="33" customHeight="1">
      <c r="A145" s="6" t="s">
        <v>2811</v>
      </c>
      <c r="B145" s="7">
        <v>465</v>
      </c>
      <c r="C145" s="6" t="s">
        <v>2812</v>
      </c>
      <c r="D145" s="6" t="s">
        <v>2813</v>
      </c>
      <c r="E145" s="6" t="s">
        <v>1620</v>
      </c>
      <c r="F145" s="6" t="s">
        <v>1163</v>
      </c>
      <c r="G145" s="6" t="s">
        <v>323</v>
      </c>
      <c r="H145" s="6"/>
      <c r="I145" s="14" t="s">
        <v>1642</v>
      </c>
      <c r="J145" s="15"/>
      <c r="K145" s="6" t="s">
        <v>1622</v>
      </c>
      <c r="L145" s="6"/>
      <c r="M145" s="6" t="s">
        <v>1643</v>
      </c>
      <c r="N145" s="6" t="s">
        <v>1644</v>
      </c>
      <c r="O145" s="7">
        <f>SUMIFS('05_상품별배치367'!$K$7:$K$373,'05_상품별배치367'!$E$7:$E$373,A145,'05_상품별배치367'!$H$7:$H$373,"본진")</f>
        <v>0</v>
      </c>
      <c r="P145" s="7">
        <f>SUMIFS('05_상품별배치367'!$K$7:$K$373,'05_상품별배치367'!$E$7:$E$373,A145,'05_상품별배치367'!$H$7:$H$373,"추가 진열")</f>
        <v>0</v>
      </c>
      <c r="Q145" s="7">
        <f>O145+P145</f>
        <v>0</v>
      </c>
      <c r="R145" s="7">
        <v>1</v>
      </c>
      <c r="S145" s="6" t="s">
        <v>1654</v>
      </c>
      <c r="T145" s="6" t="s">
        <v>1637</v>
      </c>
      <c r="U145" s="6"/>
      <c r="V145" s="16"/>
      <c r="W145" s="16"/>
      <c r="X145" s="16"/>
      <c r="Y145" s="6" t="s">
        <v>1627</v>
      </c>
      <c r="Z145" s="15"/>
      <c r="AA145" s="15" t="s">
        <v>1628</v>
      </c>
    </row>
    <row r="146" spans="1:27" ht="33" customHeight="1">
      <c r="A146" s="8" t="s">
        <v>2851</v>
      </c>
      <c r="B146" s="9">
        <v>482</v>
      </c>
      <c r="C146" s="8" t="s">
        <v>2852</v>
      </c>
      <c r="D146" s="8" t="s">
        <v>2853</v>
      </c>
      <c r="E146" s="8" t="s">
        <v>1695</v>
      </c>
      <c r="F146" s="8" t="s">
        <v>1129</v>
      </c>
      <c r="G146" s="8" t="s">
        <v>307</v>
      </c>
      <c r="H146" s="8"/>
      <c r="I146" s="14" t="s">
        <v>1642</v>
      </c>
      <c r="J146" s="15"/>
      <c r="K146" s="8" t="s">
        <v>1696</v>
      </c>
      <c r="L146" s="8"/>
      <c r="M146" s="6" t="s">
        <v>1643</v>
      </c>
      <c r="N146" s="6" t="s">
        <v>1644</v>
      </c>
      <c r="O146" s="7">
        <f>SUMIFS('05_상품별배치367'!$K$7:$K$373,'05_상품별배치367'!$E$7:$E$373,A146,'05_상품별배치367'!$H$7:$H$373,"본진")</f>
        <v>0</v>
      </c>
      <c r="P146" s="7">
        <f>SUMIFS('05_상품별배치367'!$K$7:$K$373,'05_상품별배치367'!$E$7:$E$373,A146,'05_상품별배치367'!$H$7:$H$373,"추가 진열")</f>
        <v>0</v>
      </c>
      <c r="Q146" s="7">
        <f>O146+P146</f>
        <v>0</v>
      </c>
      <c r="R146" s="7">
        <v>1</v>
      </c>
      <c r="S146" s="6" t="s">
        <v>2850</v>
      </c>
      <c r="T146" s="6" t="s">
        <v>1637</v>
      </c>
      <c r="U146" s="6"/>
      <c r="V146" s="16"/>
      <c r="W146" s="16"/>
      <c r="X146" s="16"/>
      <c r="Y146" s="6" t="s">
        <v>1627</v>
      </c>
      <c r="Z146" s="15"/>
      <c r="AA146" s="15" t="s">
        <v>1628</v>
      </c>
    </row>
    <row r="147" spans="1:27" ht="33" customHeight="1">
      <c r="A147" s="6" t="s">
        <v>2854</v>
      </c>
      <c r="B147" s="7">
        <v>483</v>
      </c>
      <c r="C147" s="6" t="s">
        <v>2855</v>
      </c>
      <c r="D147" s="6" t="s">
        <v>2856</v>
      </c>
      <c r="E147" s="6" t="s">
        <v>1695</v>
      </c>
      <c r="F147" s="6" t="s">
        <v>497</v>
      </c>
      <c r="G147" s="6" t="s">
        <v>307</v>
      </c>
      <c r="H147" s="6"/>
      <c r="I147" s="14" t="s">
        <v>1642</v>
      </c>
      <c r="J147" s="15"/>
      <c r="K147" s="6" t="s">
        <v>1696</v>
      </c>
      <c r="L147" s="6"/>
      <c r="M147" s="6" t="s">
        <v>1643</v>
      </c>
      <c r="N147" s="6" t="s">
        <v>1644</v>
      </c>
      <c r="O147" s="7">
        <f>SUMIFS('05_상품별배치367'!$K$7:$K$373,'05_상품별배치367'!$E$7:$E$373,A147,'05_상품별배치367'!$H$7:$H$373,"본진")</f>
        <v>0</v>
      </c>
      <c r="P147" s="7">
        <f>SUMIFS('05_상품별배치367'!$K$7:$K$373,'05_상품별배치367'!$E$7:$E$373,A147,'05_상품별배치367'!$H$7:$H$373,"추가 진열")</f>
        <v>0</v>
      </c>
      <c r="Q147" s="7">
        <f>O147+P147</f>
        <v>0</v>
      </c>
      <c r="R147" s="7">
        <v>1</v>
      </c>
      <c r="S147" s="6" t="s">
        <v>2857</v>
      </c>
      <c r="T147" s="6" t="s">
        <v>1637</v>
      </c>
      <c r="U147" s="6"/>
      <c r="V147" s="16"/>
      <c r="W147" s="16"/>
      <c r="X147" s="16"/>
      <c r="Y147" s="6" t="s">
        <v>1627</v>
      </c>
      <c r="Z147" s="15"/>
      <c r="AA147" s="15" t="s">
        <v>1628</v>
      </c>
    </row>
    <row r="148" spans="1:27" ht="33" customHeight="1">
      <c r="A148" s="8" t="s">
        <v>3313</v>
      </c>
      <c r="B148" s="9">
        <v>690</v>
      </c>
      <c r="C148" s="8" t="s">
        <v>3314</v>
      </c>
      <c r="D148" s="8" t="s">
        <v>1876</v>
      </c>
      <c r="E148" s="8" t="s">
        <v>2134</v>
      </c>
      <c r="F148" s="8" t="s">
        <v>842</v>
      </c>
      <c r="G148" s="8" t="s">
        <v>164</v>
      </c>
      <c r="H148" s="8"/>
      <c r="I148" s="14" t="s">
        <v>1642</v>
      </c>
      <c r="J148" s="15"/>
      <c r="K148" s="8" t="s">
        <v>1976</v>
      </c>
      <c r="L148" s="8"/>
      <c r="M148" s="6" t="s">
        <v>1643</v>
      </c>
      <c r="N148" s="6" t="s">
        <v>1644</v>
      </c>
      <c r="O148" s="7">
        <f>SUMIFS('05_상품별배치367'!$K$7:$K$373,'05_상품별배치367'!$E$7:$E$373,A148,'05_상품별배치367'!$H$7:$H$373,"본진")</f>
        <v>0</v>
      </c>
      <c r="P148" s="7">
        <f>SUMIFS('05_상품별배치367'!$K$7:$K$373,'05_상품별배치367'!$E$7:$E$373,A148,'05_상품별배치367'!$H$7:$H$373,"추가 진열")</f>
        <v>0</v>
      </c>
      <c r="Q148" s="7">
        <f>O148+P148</f>
        <v>0</v>
      </c>
      <c r="R148" s="7">
        <v>1</v>
      </c>
      <c r="S148" s="6" t="s">
        <v>3009</v>
      </c>
      <c r="T148" s="6" t="s">
        <v>1637</v>
      </c>
      <c r="U148" s="6"/>
      <c r="V148" s="16"/>
      <c r="W148" s="16"/>
      <c r="X148" s="16"/>
      <c r="Y148" s="6" t="s">
        <v>1627</v>
      </c>
      <c r="Z148" s="15"/>
      <c r="AA148" s="15" t="s">
        <v>1628</v>
      </c>
    </row>
    <row r="149" spans="1:27" ht="33" customHeight="1">
      <c r="A149" s="6" t="s">
        <v>3310</v>
      </c>
      <c r="B149" s="7">
        <v>689</v>
      </c>
      <c r="C149" s="6" t="s">
        <v>3311</v>
      </c>
      <c r="D149" s="6" t="s">
        <v>3312</v>
      </c>
      <c r="E149" s="6" t="s">
        <v>2134</v>
      </c>
      <c r="F149" s="6" t="s">
        <v>481</v>
      </c>
      <c r="G149" s="6" t="s">
        <v>193</v>
      </c>
      <c r="H149" s="6"/>
      <c r="I149" s="14" t="s">
        <v>1642</v>
      </c>
      <c r="J149" s="15"/>
      <c r="K149" s="6" t="s">
        <v>1976</v>
      </c>
      <c r="L149" s="6"/>
      <c r="M149" s="6" t="s">
        <v>1643</v>
      </c>
      <c r="N149" s="6" t="s">
        <v>1644</v>
      </c>
      <c r="O149" s="7">
        <f>SUMIFS('05_상품별배치367'!$K$7:$K$373,'05_상품별배치367'!$E$7:$E$373,A149,'05_상품별배치367'!$H$7:$H$373,"본진")</f>
        <v>0</v>
      </c>
      <c r="P149" s="7">
        <f>SUMIFS('05_상품별배치367'!$K$7:$K$373,'05_상품별배치367'!$E$7:$E$373,A149,'05_상품별배치367'!$H$7:$H$373,"추가 진열")</f>
        <v>0</v>
      </c>
      <c r="Q149" s="7">
        <f>O149+P149</f>
        <v>0</v>
      </c>
      <c r="R149" s="7">
        <v>1</v>
      </c>
      <c r="S149" s="6" t="s">
        <v>3000</v>
      </c>
      <c r="T149" s="6" t="s">
        <v>1637</v>
      </c>
      <c r="U149" s="6"/>
      <c r="V149" s="16"/>
      <c r="W149" s="16"/>
      <c r="X149" s="16"/>
      <c r="Y149" s="6" t="s">
        <v>1627</v>
      </c>
      <c r="Z149" s="15"/>
      <c r="AA149" s="15" t="s">
        <v>1628</v>
      </c>
    </row>
    <row r="150" spans="1:27" ht="33" customHeight="1">
      <c r="A150" s="8" t="s">
        <v>1821</v>
      </c>
      <c r="B150" s="9">
        <v>68</v>
      </c>
      <c r="C150" s="8" t="s">
        <v>1822</v>
      </c>
      <c r="D150" s="8" t="s">
        <v>1823</v>
      </c>
      <c r="E150" s="8" t="s">
        <v>1641</v>
      </c>
      <c r="F150" s="8" t="s">
        <v>689</v>
      </c>
      <c r="G150" s="8" t="s">
        <v>91</v>
      </c>
      <c r="H150" s="8"/>
      <c r="I150" s="14" t="s">
        <v>1642</v>
      </c>
      <c r="J150" s="15"/>
      <c r="K150" s="8" t="s">
        <v>1634</v>
      </c>
      <c r="L150" s="8"/>
      <c r="M150" s="6" t="s">
        <v>1643</v>
      </c>
      <c r="N150" s="6" t="s">
        <v>1624</v>
      </c>
      <c r="O150" s="7">
        <f>SUMIFS('05_상품별배치367'!$K$7:$K$373,'05_상품별배치367'!$E$7:$E$373,A150,'05_상품별배치367'!$H$7:$H$373,"본진")</f>
        <v>0</v>
      </c>
      <c r="P150" s="7">
        <f>SUMIFS('05_상품별배치367'!$K$7:$K$373,'05_상품별배치367'!$E$7:$E$373,A150,'05_상품별배치367'!$H$7:$H$373,"추가 진열")</f>
        <v>0</v>
      </c>
      <c r="Q150" s="7">
        <f>O150+P150</f>
        <v>0</v>
      </c>
      <c r="R150" s="7">
        <v>1</v>
      </c>
      <c r="S150" s="6" t="s">
        <v>1824</v>
      </c>
      <c r="T150" s="6" t="s">
        <v>1637</v>
      </c>
      <c r="U150" s="6"/>
      <c r="V150" s="16"/>
      <c r="W150" s="16"/>
      <c r="X150" s="16"/>
      <c r="Y150" s="6" t="s">
        <v>1627</v>
      </c>
      <c r="Z150" s="15"/>
      <c r="AA150" s="15" t="s">
        <v>1628</v>
      </c>
    </row>
    <row r="151" spans="1:27" ht="33" customHeight="1">
      <c r="A151" s="6" t="s">
        <v>6027</v>
      </c>
      <c r="B151" s="7">
        <v>1961</v>
      </c>
      <c r="C151" s="6" t="s">
        <v>6028</v>
      </c>
      <c r="D151" s="6" t="s">
        <v>2631</v>
      </c>
      <c r="E151" s="6" t="s">
        <v>1814</v>
      </c>
      <c r="F151" s="6" t="s">
        <v>1359</v>
      </c>
      <c r="G151" s="6" t="s">
        <v>431</v>
      </c>
      <c r="H151" s="6"/>
      <c r="I151" s="14" t="s">
        <v>1642</v>
      </c>
      <c r="J151" s="15"/>
      <c r="K151" s="6" t="s">
        <v>1634</v>
      </c>
      <c r="L151" s="6" t="s">
        <v>3828</v>
      </c>
      <c r="M151" s="6" t="s">
        <v>1643</v>
      </c>
      <c r="N151" s="6" t="s">
        <v>1624</v>
      </c>
      <c r="O151" s="7">
        <f>SUMIFS('05_상품별배치367'!$K$7:$K$373,'05_상품별배치367'!$E$7:$E$373,A151,'05_상품별배치367'!$H$7:$H$373,"본진")</f>
        <v>0</v>
      </c>
      <c r="P151" s="7">
        <f>SUMIFS('05_상품별배치367'!$K$7:$K$373,'05_상품별배치367'!$E$7:$E$373,A151,'05_상품별배치367'!$H$7:$H$373,"추가 진열")</f>
        <v>0</v>
      </c>
      <c r="Q151" s="7">
        <f>O151+P151</f>
        <v>0</v>
      </c>
      <c r="R151" s="7">
        <v>1</v>
      </c>
      <c r="S151" s="6" t="s">
        <v>1815</v>
      </c>
      <c r="T151" s="6" t="s">
        <v>1637</v>
      </c>
      <c r="U151" s="6"/>
      <c r="V151" s="16"/>
      <c r="W151" s="16"/>
      <c r="X151" s="16"/>
      <c r="Y151" s="6" t="s">
        <v>1655</v>
      </c>
      <c r="Z151" s="15"/>
      <c r="AA151" s="15" t="s">
        <v>1628</v>
      </c>
    </row>
    <row r="152" spans="1:27" ht="33" customHeight="1">
      <c r="A152" s="8" t="s">
        <v>2543</v>
      </c>
      <c r="B152" s="9">
        <v>348</v>
      </c>
      <c r="C152" s="8" t="s">
        <v>2544</v>
      </c>
      <c r="D152" s="8" t="s">
        <v>1711</v>
      </c>
      <c r="E152" s="8" t="s">
        <v>1620</v>
      </c>
      <c r="F152" s="8" t="s">
        <v>1220</v>
      </c>
      <c r="G152" s="8" t="s">
        <v>349</v>
      </c>
      <c r="H152" s="8"/>
      <c r="I152" s="14" t="s">
        <v>1642</v>
      </c>
      <c r="J152" s="15"/>
      <c r="K152" s="8" t="s">
        <v>1622</v>
      </c>
      <c r="L152" s="8"/>
      <c r="M152" s="6" t="s">
        <v>1643</v>
      </c>
      <c r="N152" s="6" t="s">
        <v>1644</v>
      </c>
      <c r="O152" s="7">
        <f>SUMIFS('05_상품별배치367'!$K$7:$K$373,'05_상품별배치367'!$E$7:$E$373,A152,'05_상품별배치367'!$H$7:$H$373,"본진")</f>
        <v>0</v>
      </c>
      <c r="P152" s="7">
        <f>SUMIFS('05_상품별배치367'!$K$7:$K$373,'05_상품별배치367'!$E$7:$E$373,A152,'05_상품별배치367'!$H$7:$H$373,"추가 진열")</f>
        <v>0</v>
      </c>
      <c r="Q152" s="7">
        <f>O152+P152</f>
        <v>0</v>
      </c>
      <c r="R152" s="7">
        <v>1</v>
      </c>
      <c r="S152" s="6" t="s">
        <v>2080</v>
      </c>
      <c r="T152" s="6" t="s">
        <v>1637</v>
      </c>
      <c r="U152" s="6"/>
      <c r="V152" s="16"/>
      <c r="W152" s="16"/>
      <c r="X152" s="16"/>
      <c r="Y152" s="6" t="s">
        <v>1627</v>
      </c>
      <c r="Z152" s="15"/>
      <c r="AA152" s="15" t="s">
        <v>1628</v>
      </c>
    </row>
    <row r="153" spans="1:27" ht="33" customHeight="1">
      <c r="A153" s="6" t="s">
        <v>2541</v>
      </c>
      <c r="B153" s="7">
        <v>347</v>
      </c>
      <c r="C153" s="6" t="s">
        <v>2542</v>
      </c>
      <c r="D153" s="6" t="s">
        <v>1711</v>
      </c>
      <c r="E153" s="6" t="s">
        <v>1620</v>
      </c>
      <c r="F153" s="6" t="s">
        <v>1220</v>
      </c>
      <c r="G153" s="6" t="s">
        <v>349</v>
      </c>
      <c r="H153" s="6" t="s">
        <v>1219</v>
      </c>
      <c r="I153" s="14" t="s">
        <v>1633</v>
      </c>
      <c r="J153" s="15"/>
      <c r="K153" s="6" t="s">
        <v>1622</v>
      </c>
      <c r="L153" s="6"/>
      <c r="M153" s="6" t="s">
        <v>1635</v>
      </c>
      <c r="N153" s="6" t="s">
        <v>1644</v>
      </c>
      <c r="O153" s="7">
        <f>SUMIFS('05_상품별배치367'!$K$7:$K$373,'05_상품별배치367'!$E$7:$E$373,A153,'05_상품별배치367'!$H$7:$H$373,"본진")</f>
        <v>1</v>
      </c>
      <c r="P153" s="7">
        <f>SUMIFS('05_상품별배치367'!$K$7:$K$373,'05_상품별배치367'!$E$7:$E$373,A153,'05_상품별배치367'!$H$7:$H$373,"추가 진열")</f>
        <v>0</v>
      </c>
      <c r="Q153" s="7">
        <f>O153+P153</f>
        <v>1</v>
      </c>
      <c r="R153" s="7">
        <v>1</v>
      </c>
      <c r="S153" s="6" t="s">
        <v>1636</v>
      </c>
      <c r="T153" s="6" t="s">
        <v>1637</v>
      </c>
      <c r="U153" s="6"/>
      <c r="V153" s="16"/>
      <c r="W153" s="16"/>
      <c r="X153" s="16"/>
      <c r="Y153" s="6" t="s">
        <v>1627</v>
      </c>
      <c r="Z153" s="15"/>
      <c r="AA153" s="15" t="s">
        <v>1628</v>
      </c>
    </row>
    <row r="154" spans="1:27" ht="33" customHeight="1">
      <c r="A154" s="8" t="s">
        <v>2539</v>
      </c>
      <c r="B154" s="9">
        <v>346</v>
      </c>
      <c r="C154" s="8" t="s">
        <v>2540</v>
      </c>
      <c r="D154" s="8" t="s">
        <v>1711</v>
      </c>
      <c r="E154" s="8" t="s">
        <v>1620</v>
      </c>
      <c r="F154" s="8" t="s">
        <v>1220</v>
      </c>
      <c r="G154" s="8" t="s">
        <v>349</v>
      </c>
      <c r="H154" s="8" t="s">
        <v>1219</v>
      </c>
      <c r="I154" s="14" t="s">
        <v>1633</v>
      </c>
      <c r="J154" s="15"/>
      <c r="K154" s="8" t="s">
        <v>1622</v>
      </c>
      <c r="L154" s="8"/>
      <c r="M154" s="6" t="s">
        <v>1635</v>
      </c>
      <c r="N154" s="6" t="s">
        <v>1644</v>
      </c>
      <c r="O154" s="7">
        <f>SUMIFS('05_상품별배치367'!$K$7:$K$373,'05_상품별배치367'!$E$7:$E$373,A154,'05_상품별배치367'!$H$7:$H$373,"본진")</f>
        <v>1</v>
      </c>
      <c r="P154" s="7">
        <f>SUMIFS('05_상품별배치367'!$K$7:$K$373,'05_상품별배치367'!$E$7:$E$373,A154,'05_상품별배치367'!$H$7:$H$373,"추가 진열")</f>
        <v>0</v>
      </c>
      <c r="Q154" s="7">
        <f>O154+P154</f>
        <v>1</v>
      </c>
      <c r="R154" s="7">
        <v>1</v>
      </c>
      <c r="S154" s="6" t="s">
        <v>1636</v>
      </c>
      <c r="T154" s="6" t="s">
        <v>1637</v>
      </c>
      <c r="U154" s="6"/>
      <c r="V154" s="16"/>
      <c r="W154" s="16"/>
      <c r="X154" s="16"/>
      <c r="Y154" s="6" t="s">
        <v>1627</v>
      </c>
      <c r="Z154" s="15"/>
      <c r="AA154" s="15" t="s">
        <v>1628</v>
      </c>
    </row>
    <row r="155" spans="1:27" ht="33" customHeight="1">
      <c r="A155" s="8" t="s">
        <v>2531</v>
      </c>
      <c r="B155" s="9">
        <v>342</v>
      </c>
      <c r="C155" s="8" t="s">
        <v>2532</v>
      </c>
      <c r="D155" s="8" t="s">
        <v>1851</v>
      </c>
      <c r="E155" s="8" t="s">
        <v>1666</v>
      </c>
      <c r="F155" s="8" t="s">
        <v>1852</v>
      </c>
      <c r="G155" s="8" t="s">
        <v>1853</v>
      </c>
      <c r="H155" s="8"/>
      <c r="I155" s="14" t="s">
        <v>1669</v>
      </c>
      <c r="J155" s="15"/>
      <c r="K155" s="8" t="s">
        <v>1670</v>
      </c>
      <c r="L155" s="8"/>
      <c r="M155" s="6" t="s">
        <v>1671</v>
      </c>
      <c r="N155" s="6" t="s">
        <v>1644</v>
      </c>
      <c r="O155" s="7">
        <f>SUMIFS('05_상품별배치367'!$K$7:$K$373,'05_상품별배치367'!$E$7:$E$373,A155,'05_상품별배치367'!$H$7:$H$373,"본진")</f>
        <v>0</v>
      </c>
      <c r="P155" s="7">
        <f>SUMIFS('05_상품별배치367'!$K$7:$K$373,'05_상품별배치367'!$E$7:$E$373,A155,'05_상품별배치367'!$H$7:$H$373,"추가 진열")</f>
        <v>0</v>
      </c>
      <c r="Q155" s="7">
        <f>O155+P155</f>
        <v>0</v>
      </c>
      <c r="R155" s="7">
        <v>0</v>
      </c>
      <c r="S155" s="6" t="s">
        <v>1672</v>
      </c>
      <c r="T155" s="6" t="s">
        <v>1637</v>
      </c>
      <c r="U155" s="6"/>
      <c r="V155" s="16"/>
      <c r="W155" s="16"/>
      <c r="X155" s="16"/>
      <c r="Y155" s="6" t="s">
        <v>1627</v>
      </c>
      <c r="Z155" s="15"/>
      <c r="AA155" s="15" t="s">
        <v>1628</v>
      </c>
    </row>
    <row r="156" spans="1:27" ht="33" customHeight="1">
      <c r="A156" s="6" t="s">
        <v>2533</v>
      </c>
      <c r="B156" s="7">
        <v>343</v>
      </c>
      <c r="C156" s="6" t="s">
        <v>2534</v>
      </c>
      <c r="D156" s="6" t="s">
        <v>1851</v>
      </c>
      <c r="E156" s="6" t="s">
        <v>1666</v>
      </c>
      <c r="F156" s="6" t="s">
        <v>1852</v>
      </c>
      <c r="G156" s="6" t="s">
        <v>1853</v>
      </c>
      <c r="H156" s="6"/>
      <c r="I156" s="14" t="s">
        <v>1669</v>
      </c>
      <c r="J156" s="15"/>
      <c r="K156" s="6" t="s">
        <v>1670</v>
      </c>
      <c r="L156" s="6"/>
      <c r="M156" s="6" t="s">
        <v>1671</v>
      </c>
      <c r="N156" s="6" t="s">
        <v>1644</v>
      </c>
      <c r="O156" s="7">
        <f>SUMIFS('05_상품별배치367'!$K$7:$K$373,'05_상품별배치367'!$E$7:$E$373,A156,'05_상품별배치367'!$H$7:$H$373,"본진")</f>
        <v>0</v>
      </c>
      <c r="P156" s="7">
        <f>SUMIFS('05_상품별배치367'!$K$7:$K$373,'05_상품별배치367'!$E$7:$E$373,A156,'05_상품별배치367'!$H$7:$H$373,"추가 진열")</f>
        <v>0</v>
      </c>
      <c r="Q156" s="7">
        <f>O156+P156</f>
        <v>0</v>
      </c>
      <c r="R156" s="7">
        <v>0</v>
      </c>
      <c r="S156" s="6" t="s">
        <v>1672</v>
      </c>
      <c r="T156" s="6" t="s">
        <v>1637</v>
      </c>
      <c r="U156" s="6"/>
      <c r="V156" s="16"/>
      <c r="W156" s="16"/>
      <c r="X156" s="16"/>
      <c r="Y156" s="6" t="s">
        <v>1627</v>
      </c>
      <c r="Z156" s="15"/>
      <c r="AA156" s="15" t="s">
        <v>1628</v>
      </c>
    </row>
    <row r="157" spans="1:27" ht="33" customHeight="1">
      <c r="A157" s="6" t="s">
        <v>2529</v>
      </c>
      <c r="B157" s="7">
        <v>341</v>
      </c>
      <c r="C157" s="6" t="s">
        <v>2530</v>
      </c>
      <c r="D157" s="6" t="s">
        <v>1851</v>
      </c>
      <c r="E157" s="6" t="s">
        <v>1666</v>
      </c>
      <c r="F157" s="6" t="s">
        <v>1852</v>
      </c>
      <c r="G157" s="6" t="s">
        <v>1853</v>
      </c>
      <c r="H157" s="6"/>
      <c r="I157" s="14" t="s">
        <v>1669</v>
      </c>
      <c r="J157" s="15"/>
      <c r="K157" s="6" t="s">
        <v>1670</v>
      </c>
      <c r="L157" s="6"/>
      <c r="M157" s="6" t="s">
        <v>1671</v>
      </c>
      <c r="N157" s="6" t="s">
        <v>1644</v>
      </c>
      <c r="O157" s="7">
        <f>SUMIFS('05_상품별배치367'!$K$7:$K$373,'05_상품별배치367'!$E$7:$E$373,A157,'05_상품별배치367'!$H$7:$H$373,"본진")</f>
        <v>0</v>
      </c>
      <c r="P157" s="7">
        <f>SUMIFS('05_상품별배치367'!$K$7:$K$373,'05_상품별배치367'!$E$7:$E$373,A157,'05_상품별배치367'!$H$7:$H$373,"추가 진열")</f>
        <v>0</v>
      </c>
      <c r="Q157" s="7">
        <f>O157+P157</f>
        <v>0</v>
      </c>
      <c r="R157" s="7">
        <v>0</v>
      </c>
      <c r="S157" s="6" t="s">
        <v>1672</v>
      </c>
      <c r="T157" s="6" t="s">
        <v>1637</v>
      </c>
      <c r="U157" s="6"/>
      <c r="V157" s="16"/>
      <c r="W157" s="16"/>
      <c r="X157" s="16"/>
      <c r="Y157" s="6" t="s">
        <v>1627</v>
      </c>
      <c r="Z157" s="15"/>
      <c r="AA157" s="15" t="s">
        <v>1628</v>
      </c>
    </row>
    <row r="158" spans="1:27" ht="33" customHeight="1">
      <c r="A158" s="8" t="s">
        <v>2527</v>
      </c>
      <c r="B158" s="9">
        <v>340</v>
      </c>
      <c r="C158" s="8" t="s">
        <v>2528</v>
      </c>
      <c r="D158" s="8" t="s">
        <v>1851</v>
      </c>
      <c r="E158" s="8" t="s">
        <v>1666</v>
      </c>
      <c r="F158" s="8" t="s">
        <v>1852</v>
      </c>
      <c r="G158" s="8" t="s">
        <v>1853</v>
      </c>
      <c r="H158" s="8"/>
      <c r="I158" s="14" t="s">
        <v>1669</v>
      </c>
      <c r="J158" s="15"/>
      <c r="K158" s="8" t="s">
        <v>1670</v>
      </c>
      <c r="L158" s="8"/>
      <c r="M158" s="6" t="s">
        <v>1671</v>
      </c>
      <c r="N158" s="6" t="s">
        <v>1644</v>
      </c>
      <c r="O158" s="7">
        <f>SUMIFS('05_상품별배치367'!$K$7:$K$373,'05_상품별배치367'!$E$7:$E$373,A158,'05_상품별배치367'!$H$7:$H$373,"본진")</f>
        <v>0</v>
      </c>
      <c r="P158" s="7">
        <f>SUMIFS('05_상품별배치367'!$K$7:$K$373,'05_상품별배치367'!$E$7:$E$373,A158,'05_상품별배치367'!$H$7:$H$373,"추가 진열")</f>
        <v>0</v>
      </c>
      <c r="Q158" s="7">
        <f>O158+P158</f>
        <v>0</v>
      </c>
      <c r="R158" s="7">
        <v>0</v>
      </c>
      <c r="S158" s="6" t="s">
        <v>1672</v>
      </c>
      <c r="T158" s="6" t="s">
        <v>1637</v>
      </c>
      <c r="U158" s="6"/>
      <c r="V158" s="16"/>
      <c r="W158" s="16"/>
      <c r="X158" s="16"/>
      <c r="Y158" s="6" t="s">
        <v>1627</v>
      </c>
      <c r="Z158" s="15"/>
      <c r="AA158" s="15" t="s">
        <v>1628</v>
      </c>
    </row>
    <row r="159" spans="1:27" ht="33" customHeight="1">
      <c r="A159" s="8" t="s">
        <v>2548</v>
      </c>
      <c r="B159" s="9">
        <v>350</v>
      </c>
      <c r="C159" s="8" t="s">
        <v>2549</v>
      </c>
      <c r="D159" s="8" t="s">
        <v>2547</v>
      </c>
      <c r="E159" s="8" t="s">
        <v>1666</v>
      </c>
      <c r="F159" s="8" t="s">
        <v>1852</v>
      </c>
      <c r="G159" s="8" t="s">
        <v>1853</v>
      </c>
      <c r="H159" s="8"/>
      <c r="I159" s="14" t="s">
        <v>1669</v>
      </c>
      <c r="J159" s="15"/>
      <c r="K159" s="8" t="s">
        <v>1670</v>
      </c>
      <c r="L159" s="8"/>
      <c r="M159" s="6" t="s">
        <v>1671</v>
      </c>
      <c r="N159" s="6" t="s">
        <v>1644</v>
      </c>
      <c r="O159" s="7">
        <f>SUMIFS('05_상품별배치367'!$K$7:$K$373,'05_상품별배치367'!$E$7:$E$373,A159,'05_상품별배치367'!$H$7:$H$373,"본진")</f>
        <v>0</v>
      </c>
      <c r="P159" s="7">
        <f>SUMIFS('05_상품별배치367'!$K$7:$K$373,'05_상품별배치367'!$E$7:$E$373,A159,'05_상품별배치367'!$H$7:$H$373,"추가 진열")</f>
        <v>0</v>
      </c>
      <c r="Q159" s="7">
        <f>O159+P159</f>
        <v>0</v>
      </c>
      <c r="R159" s="7">
        <v>0</v>
      </c>
      <c r="S159" s="6" t="s">
        <v>1672</v>
      </c>
      <c r="T159" s="6" t="s">
        <v>1637</v>
      </c>
      <c r="U159" s="6"/>
      <c r="V159" s="16"/>
      <c r="W159" s="16"/>
      <c r="X159" s="16"/>
      <c r="Y159" s="6" t="s">
        <v>1655</v>
      </c>
      <c r="Z159" s="15"/>
      <c r="AA159" s="15" t="s">
        <v>1628</v>
      </c>
    </row>
    <row r="160" spans="1:27" ht="33" customHeight="1">
      <c r="A160" s="8" t="s">
        <v>2552</v>
      </c>
      <c r="B160" s="9">
        <v>352</v>
      </c>
      <c r="C160" s="8" t="s">
        <v>2553</v>
      </c>
      <c r="D160" s="8" t="s">
        <v>2547</v>
      </c>
      <c r="E160" s="8" t="s">
        <v>1666</v>
      </c>
      <c r="F160" s="8" t="s">
        <v>1852</v>
      </c>
      <c r="G160" s="8" t="s">
        <v>1853</v>
      </c>
      <c r="H160" s="8"/>
      <c r="I160" s="14" t="s">
        <v>1669</v>
      </c>
      <c r="J160" s="15"/>
      <c r="K160" s="8" t="s">
        <v>1670</v>
      </c>
      <c r="L160" s="8"/>
      <c r="M160" s="6" t="s">
        <v>1671</v>
      </c>
      <c r="N160" s="6" t="s">
        <v>1644</v>
      </c>
      <c r="O160" s="7">
        <f>SUMIFS('05_상품별배치367'!$K$7:$K$373,'05_상품별배치367'!$E$7:$E$373,A160,'05_상품별배치367'!$H$7:$H$373,"본진")</f>
        <v>0</v>
      </c>
      <c r="P160" s="7">
        <f>SUMIFS('05_상품별배치367'!$K$7:$K$373,'05_상품별배치367'!$E$7:$E$373,A160,'05_상품별배치367'!$H$7:$H$373,"추가 진열")</f>
        <v>0</v>
      </c>
      <c r="Q160" s="7">
        <f>O160+P160</f>
        <v>0</v>
      </c>
      <c r="R160" s="7">
        <v>0</v>
      </c>
      <c r="S160" s="6" t="s">
        <v>1672</v>
      </c>
      <c r="T160" s="6" t="s">
        <v>1637</v>
      </c>
      <c r="U160" s="6"/>
      <c r="V160" s="16"/>
      <c r="W160" s="16"/>
      <c r="X160" s="16"/>
      <c r="Y160" s="6" t="s">
        <v>1655</v>
      </c>
      <c r="Z160" s="15"/>
      <c r="AA160" s="15" t="s">
        <v>1628</v>
      </c>
    </row>
    <row r="161" spans="1:27" ht="33" customHeight="1">
      <c r="A161" s="6" t="s">
        <v>2545</v>
      </c>
      <c r="B161" s="7">
        <v>349</v>
      </c>
      <c r="C161" s="6" t="s">
        <v>2546</v>
      </c>
      <c r="D161" s="6" t="s">
        <v>2547</v>
      </c>
      <c r="E161" s="6" t="s">
        <v>1666</v>
      </c>
      <c r="F161" s="6" t="s">
        <v>1852</v>
      </c>
      <c r="G161" s="6" t="s">
        <v>1853</v>
      </c>
      <c r="H161" s="6"/>
      <c r="I161" s="14" t="s">
        <v>1669</v>
      </c>
      <c r="J161" s="15"/>
      <c r="K161" s="6" t="s">
        <v>1670</v>
      </c>
      <c r="L161" s="6"/>
      <c r="M161" s="6" t="s">
        <v>1671</v>
      </c>
      <c r="N161" s="6" t="s">
        <v>1644</v>
      </c>
      <c r="O161" s="7">
        <f>SUMIFS('05_상품별배치367'!$K$7:$K$373,'05_상품별배치367'!$E$7:$E$373,A161,'05_상품별배치367'!$H$7:$H$373,"본진")</f>
        <v>0</v>
      </c>
      <c r="P161" s="7">
        <f>SUMIFS('05_상품별배치367'!$K$7:$K$373,'05_상품별배치367'!$E$7:$E$373,A161,'05_상품별배치367'!$H$7:$H$373,"추가 진열")</f>
        <v>0</v>
      </c>
      <c r="Q161" s="7">
        <f>O161+P161</f>
        <v>0</v>
      </c>
      <c r="R161" s="7">
        <v>0</v>
      </c>
      <c r="S161" s="6" t="s">
        <v>1672</v>
      </c>
      <c r="T161" s="6" t="s">
        <v>1637</v>
      </c>
      <c r="U161" s="6"/>
      <c r="V161" s="16"/>
      <c r="W161" s="16"/>
      <c r="X161" s="16"/>
      <c r="Y161" s="6" t="s">
        <v>1655</v>
      </c>
      <c r="Z161" s="15"/>
      <c r="AA161" s="15" t="s">
        <v>1628</v>
      </c>
    </row>
    <row r="162" spans="1:27" ht="33" customHeight="1">
      <c r="A162" s="6" t="s">
        <v>2550</v>
      </c>
      <c r="B162" s="7">
        <v>351</v>
      </c>
      <c r="C162" s="6" t="s">
        <v>2551</v>
      </c>
      <c r="D162" s="6" t="s">
        <v>2547</v>
      </c>
      <c r="E162" s="6" t="s">
        <v>1666</v>
      </c>
      <c r="F162" s="6" t="s">
        <v>1852</v>
      </c>
      <c r="G162" s="6" t="s">
        <v>1853</v>
      </c>
      <c r="H162" s="6"/>
      <c r="I162" s="14" t="s">
        <v>1669</v>
      </c>
      <c r="J162" s="15"/>
      <c r="K162" s="6" t="s">
        <v>1670</v>
      </c>
      <c r="L162" s="6"/>
      <c r="M162" s="6" t="s">
        <v>1671</v>
      </c>
      <c r="N162" s="6" t="s">
        <v>1644</v>
      </c>
      <c r="O162" s="7">
        <f>SUMIFS('05_상품별배치367'!$K$7:$K$373,'05_상품별배치367'!$E$7:$E$373,A162,'05_상품별배치367'!$H$7:$H$373,"본진")</f>
        <v>0</v>
      </c>
      <c r="P162" s="7">
        <f>SUMIFS('05_상품별배치367'!$K$7:$K$373,'05_상품별배치367'!$E$7:$E$373,A162,'05_상품별배치367'!$H$7:$H$373,"추가 진열")</f>
        <v>0</v>
      </c>
      <c r="Q162" s="7">
        <f>O162+P162</f>
        <v>0</v>
      </c>
      <c r="R162" s="7">
        <v>0</v>
      </c>
      <c r="S162" s="6" t="s">
        <v>1672</v>
      </c>
      <c r="T162" s="6" t="s">
        <v>1637</v>
      </c>
      <c r="U162" s="6"/>
      <c r="V162" s="16"/>
      <c r="W162" s="16"/>
      <c r="X162" s="16"/>
      <c r="Y162" s="6" t="s">
        <v>1655</v>
      </c>
      <c r="Z162" s="15"/>
      <c r="AA162" s="15" t="s">
        <v>1628</v>
      </c>
    </row>
    <row r="163" spans="1:27" ht="33" customHeight="1">
      <c r="A163" s="6" t="s">
        <v>2537</v>
      </c>
      <c r="B163" s="7">
        <v>345</v>
      </c>
      <c r="C163" s="6" t="s">
        <v>2538</v>
      </c>
      <c r="D163" s="6" t="s">
        <v>1851</v>
      </c>
      <c r="E163" s="6" t="s">
        <v>1666</v>
      </c>
      <c r="F163" s="6" t="s">
        <v>1852</v>
      </c>
      <c r="G163" s="6" t="s">
        <v>1853</v>
      </c>
      <c r="H163" s="6"/>
      <c r="I163" s="14" t="s">
        <v>1669</v>
      </c>
      <c r="J163" s="15"/>
      <c r="K163" s="6" t="s">
        <v>1670</v>
      </c>
      <c r="L163" s="6"/>
      <c r="M163" s="6" t="s">
        <v>1671</v>
      </c>
      <c r="N163" s="6" t="s">
        <v>1644</v>
      </c>
      <c r="O163" s="7">
        <f>SUMIFS('05_상품별배치367'!$K$7:$K$373,'05_상품별배치367'!$E$7:$E$373,A163,'05_상품별배치367'!$H$7:$H$373,"본진")</f>
        <v>0</v>
      </c>
      <c r="P163" s="7">
        <f>SUMIFS('05_상품별배치367'!$K$7:$K$373,'05_상품별배치367'!$E$7:$E$373,A163,'05_상품별배치367'!$H$7:$H$373,"추가 진열")</f>
        <v>0</v>
      </c>
      <c r="Q163" s="7">
        <f>O163+P163</f>
        <v>0</v>
      </c>
      <c r="R163" s="7">
        <v>0</v>
      </c>
      <c r="S163" s="6" t="s">
        <v>1672</v>
      </c>
      <c r="T163" s="6" t="s">
        <v>1637</v>
      </c>
      <c r="U163" s="6"/>
      <c r="V163" s="16"/>
      <c r="W163" s="16"/>
      <c r="X163" s="16"/>
      <c r="Y163" s="6" t="s">
        <v>1627</v>
      </c>
      <c r="Z163" s="15"/>
      <c r="AA163" s="15" t="s">
        <v>1628</v>
      </c>
    </row>
    <row r="164" spans="1:27" ht="33" customHeight="1">
      <c r="A164" s="8" t="s">
        <v>2535</v>
      </c>
      <c r="B164" s="9">
        <v>344</v>
      </c>
      <c r="C164" s="8" t="s">
        <v>2536</v>
      </c>
      <c r="D164" s="8" t="s">
        <v>1851</v>
      </c>
      <c r="E164" s="8" t="s">
        <v>1666</v>
      </c>
      <c r="F164" s="8" t="s">
        <v>1852</v>
      </c>
      <c r="G164" s="8" t="s">
        <v>1853</v>
      </c>
      <c r="H164" s="8"/>
      <c r="I164" s="14" t="s">
        <v>1669</v>
      </c>
      <c r="J164" s="15"/>
      <c r="K164" s="8" t="s">
        <v>1670</v>
      </c>
      <c r="L164" s="8"/>
      <c r="M164" s="6" t="s">
        <v>1671</v>
      </c>
      <c r="N164" s="6" t="s">
        <v>1644</v>
      </c>
      <c r="O164" s="7">
        <f>SUMIFS('05_상품별배치367'!$K$7:$K$373,'05_상품별배치367'!$E$7:$E$373,A164,'05_상품별배치367'!$H$7:$H$373,"본진")</f>
        <v>0</v>
      </c>
      <c r="P164" s="7">
        <f>SUMIFS('05_상품별배치367'!$K$7:$K$373,'05_상품별배치367'!$E$7:$E$373,A164,'05_상품별배치367'!$H$7:$H$373,"추가 진열")</f>
        <v>0</v>
      </c>
      <c r="Q164" s="7">
        <f>O164+P164</f>
        <v>0</v>
      </c>
      <c r="R164" s="7">
        <v>0</v>
      </c>
      <c r="S164" s="6" t="s">
        <v>1672</v>
      </c>
      <c r="T164" s="6" t="s">
        <v>1637</v>
      </c>
      <c r="U164" s="6"/>
      <c r="V164" s="16"/>
      <c r="W164" s="16"/>
      <c r="X164" s="16"/>
      <c r="Y164" s="6" t="s">
        <v>1627</v>
      </c>
      <c r="Z164" s="15"/>
      <c r="AA164" s="15" t="s">
        <v>1628</v>
      </c>
    </row>
    <row r="165" spans="1:27" ht="33" customHeight="1">
      <c r="A165" s="8" t="s">
        <v>2967</v>
      </c>
      <c r="B165" s="9">
        <v>534</v>
      </c>
      <c r="C165" s="8" t="s">
        <v>2968</v>
      </c>
      <c r="D165" s="8" t="s">
        <v>1649</v>
      </c>
      <c r="E165" s="8" t="s">
        <v>1695</v>
      </c>
      <c r="F165" s="8" t="s">
        <v>482</v>
      </c>
      <c r="G165" s="8" t="s">
        <v>272</v>
      </c>
      <c r="H165" s="8"/>
      <c r="I165" s="14" t="s">
        <v>1642</v>
      </c>
      <c r="J165" s="15"/>
      <c r="K165" s="8" t="s">
        <v>1696</v>
      </c>
      <c r="L165" s="8"/>
      <c r="M165" s="6" t="s">
        <v>1643</v>
      </c>
      <c r="N165" s="6" t="s">
        <v>1644</v>
      </c>
      <c r="O165" s="7">
        <f>SUMIFS('05_상품별배치367'!$K$7:$K$373,'05_상품별배치367'!$E$7:$E$373,A165,'05_상품별배치367'!$H$7:$H$373,"본진")</f>
        <v>0</v>
      </c>
      <c r="P165" s="7">
        <f>SUMIFS('05_상품별배치367'!$K$7:$K$373,'05_상품별배치367'!$E$7:$E$373,A165,'05_상품별배치367'!$H$7:$H$373,"추가 진열")</f>
        <v>0</v>
      </c>
      <c r="Q165" s="7">
        <f>O165+P165</f>
        <v>0</v>
      </c>
      <c r="R165" s="7">
        <v>1</v>
      </c>
      <c r="S165" s="6" t="s">
        <v>1942</v>
      </c>
      <c r="T165" s="6" t="s">
        <v>1637</v>
      </c>
      <c r="U165" s="6"/>
      <c r="V165" s="16"/>
      <c r="W165" s="16"/>
      <c r="X165" s="16"/>
      <c r="Y165" s="6" t="s">
        <v>1627</v>
      </c>
      <c r="Z165" s="15"/>
      <c r="AA165" s="15" t="s">
        <v>1628</v>
      </c>
    </row>
    <row r="166" spans="1:27" ht="33" customHeight="1">
      <c r="A166" s="6" t="s">
        <v>2969</v>
      </c>
      <c r="B166" s="7">
        <v>535</v>
      </c>
      <c r="C166" s="6" t="s">
        <v>2970</v>
      </c>
      <c r="D166" s="6" t="s">
        <v>2007</v>
      </c>
      <c r="E166" s="6" t="s">
        <v>1695</v>
      </c>
      <c r="F166" s="6" t="s">
        <v>482</v>
      </c>
      <c r="G166" s="6" t="s">
        <v>272</v>
      </c>
      <c r="H166" s="6"/>
      <c r="I166" s="14" t="s">
        <v>1642</v>
      </c>
      <c r="J166" s="15"/>
      <c r="K166" s="6" t="s">
        <v>1696</v>
      </c>
      <c r="L166" s="6"/>
      <c r="M166" s="6" t="s">
        <v>1643</v>
      </c>
      <c r="N166" s="6" t="s">
        <v>1644</v>
      </c>
      <c r="O166" s="7">
        <f>SUMIFS('05_상품별배치367'!$K$7:$K$373,'05_상품별배치367'!$E$7:$E$373,A166,'05_상품별배치367'!$H$7:$H$373,"본진")</f>
        <v>0</v>
      </c>
      <c r="P166" s="7">
        <f>SUMIFS('05_상품별배치367'!$K$7:$K$373,'05_상품별배치367'!$E$7:$E$373,A166,'05_상품별배치367'!$H$7:$H$373,"추가 진열")</f>
        <v>0</v>
      </c>
      <c r="Q166" s="7">
        <f>O166+P166</f>
        <v>0</v>
      </c>
      <c r="R166" s="7">
        <v>1</v>
      </c>
      <c r="S166" s="6" t="s">
        <v>1942</v>
      </c>
      <c r="T166" s="6" t="s">
        <v>1637</v>
      </c>
      <c r="U166" s="6"/>
      <c r="V166" s="16"/>
      <c r="W166" s="16"/>
      <c r="X166" s="16"/>
      <c r="Y166" s="6" t="s">
        <v>1627</v>
      </c>
      <c r="Z166" s="15"/>
      <c r="AA166" s="15" t="s">
        <v>1628</v>
      </c>
    </row>
    <row r="167" spans="1:27" ht="33" customHeight="1">
      <c r="A167" s="6" t="s">
        <v>2974</v>
      </c>
      <c r="B167" s="7">
        <v>537</v>
      </c>
      <c r="C167" s="6" t="s">
        <v>2975</v>
      </c>
      <c r="D167" s="6" t="s">
        <v>2976</v>
      </c>
      <c r="E167" s="6" t="s">
        <v>1695</v>
      </c>
      <c r="F167" s="6" t="s">
        <v>482</v>
      </c>
      <c r="G167" s="6" t="s">
        <v>272</v>
      </c>
      <c r="H167" s="6"/>
      <c r="I167" s="14" t="s">
        <v>1642</v>
      </c>
      <c r="J167" s="15"/>
      <c r="K167" s="6" t="s">
        <v>1696</v>
      </c>
      <c r="L167" s="6"/>
      <c r="M167" s="6" t="s">
        <v>1643</v>
      </c>
      <c r="N167" s="6" t="s">
        <v>1644</v>
      </c>
      <c r="O167" s="7">
        <f>SUMIFS('05_상품별배치367'!$K$7:$K$373,'05_상품별배치367'!$E$7:$E$373,A167,'05_상품별배치367'!$H$7:$H$373,"본진")</f>
        <v>0</v>
      </c>
      <c r="P167" s="7">
        <f>SUMIFS('05_상품별배치367'!$K$7:$K$373,'05_상품별배치367'!$E$7:$E$373,A167,'05_상품별배치367'!$H$7:$H$373,"추가 진열")</f>
        <v>0</v>
      </c>
      <c r="Q167" s="7">
        <f>O167+P167</f>
        <v>0</v>
      </c>
      <c r="R167" s="7">
        <v>1</v>
      </c>
      <c r="S167" s="6" t="s">
        <v>1942</v>
      </c>
      <c r="T167" s="6" t="s">
        <v>1637</v>
      </c>
      <c r="U167" s="6"/>
      <c r="V167" s="16"/>
      <c r="W167" s="16"/>
      <c r="X167" s="16"/>
      <c r="Y167" s="6" t="s">
        <v>1627</v>
      </c>
      <c r="Z167" s="15"/>
      <c r="AA167" s="15" t="s">
        <v>1628</v>
      </c>
    </row>
    <row r="168" spans="1:27" ht="33" customHeight="1">
      <c r="A168" s="8" t="s">
        <v>2971</v>
      </c>
      <c r="B168" s="9">
        <v>536</v>
      </c>
      <c r="C168" s="8" t="s">
        <v>2972</v>
      </c>
      <c r="D168" s="8" t="s">
        <v>2973</v>
      </c>
      <c r="E168" s="8" t="s">
        <v>1695</v>
      </c>
      <c r="F168" s="8" t="s">
        <v>482</v>
      </c>
      <c r="G168" s="8" t="s">
        <v>272</v>
      </c>
      <c r="H168" s="8"/>
      <c r="I168" s="14" t="s">
        <v>1642</v>
      </c>
      <c r="J168" s="15"/>
      <c r="K168" s="8" t="s">
        <v>1696</v>
      </c>
      <c r="L168" s="8"/>
      <c r="M168" s="6" t="s">
        <v>1643</v>
      </c>
      <c r="N168" s="6" t="s">
        <v>1644</v>
      </c>
      <c r="O168" s="7">
        <f>SUMIFS('05_상품별배치367'!$K$7:$K$373,'05_상품별배치367'!$E$7:$E$373,A168,'05_상품별배치367'!$H$7:$H$373,"본진")</f>
        <v>0</v>
      </c>
      <c r="P168" s="7">
        <f>SUMIFS('05_상품별배치367'!$K$7:$K$373,'05_상품별배치367'!$E$7:$E$373,A168,'05_상품별배치367'!$H$7:$H$373,"추가 진열")</f>
        <v>0</v>
      </c>
      <c r="Q168" s="7">
        <f>O168+P168</f>
        <v>0</v>
      </c>
      <c r="R168" s="7">
        <v>1</v>
      </c>
      <c r="S168" s="6" t="s">
        <v>1942</v>
      </c>
      <c r="T168" s="6" t="s">
        <v>1637</v>
      </c>
      <c r="U168" s="6"/>
      <c r="V168" s="16"/>
      <c r="W168" s="16"/>
      <c r="X168" s="16"/>
      <c r="Y168" s="6" t="s">
        <v>1627</v>
      </c>
      <c r="Z168" s="15"/>
      <c r="AA168" s="15" t="s">
        <v>1628</v>
      </c>
    </row>
    <row r="169" spans="1:27" ht="33" customHeight="1">
      <c r="A169" s="6" t="s">
        <v>6819</v>
      </c>
      <c r="B169" s="7">
        <v>2315</v>
      </c>
      <c r="C169" s="6" t="s">
        <v>6820</v>
      </c>
      <c r="D169" s="6" t="s">
        <v>2078</v>
      </c>
      <c r="E169" s="6" t="s">
        <v>1695</v>
      </c>
      <c r="F169" s="6" t="s">
        <v>482</v>
      </c>
      <c r="G169" s="6" t="s">
        <v>272</v>
      </c>
      <c r="H169" s="6" t="s">
        <v>1054</v>
      </c>
      <c r="I169" s="14" t="s">
        <v>1633</v>
      </c>
      <c r="J169" s="15"/>
      <c r="K169" s="6" t="s">
        <v>1696</v>
      </c>
      <c r="L169" s="6" t="s">
        <v>5771</v>
      </c>
      <c r="M169" s="6" t="s">
        <v>1635</v>
      </c>
      <c r="N169" s="6" t="s">
        <v>1624</v>
      </c>
      <c r="O169" s="7">
        <f>SUMIFS('05_상품별배치367'!$K$7:$K$373,'05_상품별배치367'!$E$7:$E$373,A169,'05_상품별배치367'!$H$7:$H$373,"본진")</f>
        <v>1</v>
      </c>
      <c r="P169" s="7">
        <f>SUMIFS('05_상품별배치367'!$K$7:$K$373,'05_상품별배치367'!$E$7:$E$373,A169,'05_상품별배치367'!$H$7:$H$373,"추가 진열")</f>
        <v>0</v>
      </c>
      <c r="Q169" s="7">
        <f>O169+P169</f>
        <v>1</v>
      </c>
      <c r="R169" s="7">
        <v>1</v>
      </c>
      <c r="S169" s="6" t="s">
        <v>1636</v>
      </c>
      <c r="T169" s="6" t="s">
        <v>1637</v>
      </c>
      <c r="U169" s="6"/>
      <c r="V169" s="16"/>
      <c r="W169" s="16"/>
      <c r="X169" s="16"/>
      <c r="Y169" s="6" t="s">
        <v>1655</v>
      </c>
      <c r="Z169" s="15"/>
      <c r="AA169" s="15" t="s">
        <v>1628</v>
      </c>
    </row>
    <row r="170" spans="1:27" ht="33" customHeight="1">
      <c r="A170" s="6" t="s">
        <v>1482</v>
      </c>
      <c r="B170" s="7">
        <v>533</v>
      </c>
      <c r="C170" s="6" t="s">
        <v>1481</v>
      </c>
      <c r="D170" s="6" t="s">
        <v>1876</v>
      </c>
      <c r="E170" s="6" t="s">
        <v>1695</v>
      </c>
      <c r="F170" s="6" t="s">
        <v>482</v>
      </c>
      <c r="G170" s="6" t="s">
        <v>219</v>
      </c>
      <c r="H170" s="6" t="s">
        <v>949</v>
      </c>
      <c r="I170" s="14" t="s">
        <v>1621</v>
      </c>
      <c r="J170" s="15"/>
      <c r="K170" s="6" t="s">
        <v>1696</v>
      </c>
      <c r="L170" s="6"/>
      <c r="M170" s="6" t="s">
        <v>1623</v>
      </c>
      <c r="N170" s="6" t="s">
        <v>1624</v>
      </c>
      <c r="O170" s="7">
        <f>SUMIFS('05_상품별배치367'!$K$7:$K$373,'05_상품별배치367'!$E$7:$E$373,A170,'05_상품별배치367'!$H$7:$H$373,"본진")</f>
        <v>1</v>
      </c>
      <c r="P170" s="7">
        <f>SUMIFS('05_상품별배치367'!$K$7:$K$373,'05_상품별배치367'!$E$7:$E$373,A170,'05_상품별배치367'!$H$7:$H$373,"추가 진열")</f>
        <v>1</v>
      </c>
      <c r="Q170" s="7">
        <f>O170+P170</f>
        <v>2</v>
      </c>
      <c r="R170" s="7">
        <v>1</v>
      </c>
      <c r="S170" s="6" t="s">
        <v>1625</v>
      </c>
      <c r="T170" s="6" t="s">
        <v>1637</v>
      </c>
      <c r="U170" s="6"/>
      <c r="V170" s="16"/>
      <c r="W170" s="16"/>
      <c r="X170" s="16"/>
      <c r="Y170" s="6" t="s">
        <v>1627</v>
      </c>
      <c r="Z170" s="15"/>
      <c r="AA170" s="15" t="s">
        <v>1628</v>
      </c>
    </row>
    <row r="171" spans="1:27" ht="33" customHeight="1">
      <c r="A171" s="6" t="s">
        <v>3006</v>
      </c>
      <c r="B171" s="7">
        <v>551</v>
      </c>
      <c r="C171" s="6" t="s">
        <v>3007</v>
      </c>
      <c r="D171" s="6" t="s">
        <v>3008</v>
      </c>
      <c r="E171" s="6" t="s">
        <v>2134</v>
      </c>
      <c r="F171" s="6" t="s">
        <v>842</v>
      </c>
      <c r="G171" s="6" t="s">
        <v>164</v>
      </c>
      <c r="H171" s="6"/>
      <c r="I171" s="14" t="s">
        <v>1642</v>
      </c>
      <c r="J171" s="15"/>
      <c r="K171" s="6" t="s">
        <v>1976</v>
      </c>
      <c r="L171" s="6"/>
      <c r="M171" s="6" t="s">
        <v>1643</v>
      </c>
      <c r="N171" s="6" t="s">
        <v>1644</v>
      </c>
      <c r="O171" s="7">
        <f>SUMIFS('05_상품별배치367'!$K$7:$K$373,'05_상품별배치367'!$E$7:$E$373,A171,'05_상품별배치367'!$H$7:$H$373,"본진")</f>
        <v>0</v>
      </c>
      <c r="P171" s="7">
        <f>SUMIFS('05_상품별배치367'!$K$7:$K$373,'05_상품별배치367'!$E$7:$E$373,A171,'05_상품별배치367'!$H$7:$H$373,"추가 진열")</f>
        <v>0</v>
      </c>
      <c r="Q171" s="7">
        <f>O171+P171</f>
        <v>0</v>
      </c>
      <c r="R171" s="7">
        <v>1</v>
      </c>
      <c r="S171" s="6" t="s">
        <v>3009</v>
      </c>
      <c r="T171" s="6" t="s">
        <v>2997</v>
      </c>
      <c r="U171" s="6"/>
      <c r="V171" s="16"/>
      <c r="W171" s="16"/>
      <c r="X171" s="16"/>
      <c r="Y171" s="6" t="s">
        <v>1627</v>
      </c>
      <c r="Z171" s="15"/>
      <c r="AA171" s="15" t="s">
        <v>1628</v>
      </c>
    </row>
    <row r="172" spans="1:27" ht="33" customHeight="1">
      <c r="A172" s="6" t="s">
        <v>3034</v>
      </c>
      <c r="B172" s="7">
        <v>563</v>
      </c>
      <c r="C172" s="6" t="s">
        <v>3035</v>
      </c>
      <c r="D172" s="6" t="s">
        <v>2133</v>
      </c>
      <c r="E172" s="6" t="s">
        <v>2134</v>
      </c>
      <c r="F172" s="6" t="s">
        <v>2933</v>
      </c>
      <c r="G172" s="6" t="s">
        <v>1668</v>
      </c>
      <c r="H172" s="6"/>
      <c r="I172" s="14" t="s">
        <v>1807</v>
      </c>
      <c r="J172" s="15"/>
      <c r="K172" s="6" t="s">
        <v>1976</v>
      </c>
      <c r="L172" s="6" t="s">
        <v>2032</v>
      </c>
      <c r="M172" s="6" t="s">
        <v>1809</v>
      </c>
      <c r="N172" s="6" t="s">
        <v>1644</v>
      </c>
      <c r="O172" s="7">
        <f>SUMIFS('05_상품별배치367'!$K$7:$K$373,'05_상품별배치367'!$E$7:$E$373,A172,'05_상품별배치367'!$H$7:$H$373,"본진")</f>
        <v>0</v>
      </c>
      <c r="P172" s="7">
        <f>SUMIFS('05_상품별배치367'!$K$7:$K$373,'05_상품별배치367'!$E$7:$E$373,A172,'05_상품별배치367'!$H$7:$H$373,"추가 진열")</f>
        <v>0</v>
      </c>
      <c r="Q172" s="7">
        <f>O172+P172</f>
        <v>0</v>
      </c>
      <c r="R172" s="7">
        <v>0</v>
      </c>
      <c r="S172" s="6" t="s">
        <v>1810</v>
      </c>
      <c r="T172" s="6" t="s">
        <v>2997</v>
      </c>
      <c r="U172" s="6"/>
      <c r="V172" s="16"/>
      <c r="W172" s="16"/>
      <c r="X172" s="16"/>
      <c r="Y172" s="6" t="s">
        <v>1627</v>
      </c>
      <c r="Z172" s="15"/>
      <c r="AA172" s="15" t="s">
        <v>1628</v>
      </c>
    </row>
    <row r="173" spans="1:27" ht="33" customHeight="1">
      <c r="A173" s="6" t="s">
        <v>3028</v>
      </c>
      <c r="B173" s="7">
        <v>561</v>
      </c>
      <c r="C173" s="6" t="s">
        <v>3029</v>
      </c>
      <c r="D173" s="6" t="s">
        <v>3030</v>
      </c>
      <c r="E173" s="6" t="s">
        <v>2134</v>
      </c>
      <c r="F173" s="6" t="s">
        <v>2933</v>
      </c>
      <c r="G173" s="6" t="s">
        <v>1668</v>
      </c>
      <c r="H173" s="6"/>
      <c r="I173" s="14" t="s">
        <v>1807</v>
      </c>
      <c r="J173" s="15"/>
      <c r="K173" s="6" t="s">
        <v>1976</v>
      </c>
      <c r="L173" s="6" t="s">
        <v>2032</v>
      </c>
      <c r="M173" s="6" t="s">
        <v>1809</v>
      </c>
      <c r="N173" s="6" t="s">
        <v>1644</v>
      </c>
      <c r="O173" s="7">
        <f>SUMIFS('05_상품별배치367'!$K$7:$K$373,'05_상품별배치367'!$E$7:$E$373,A173,'05_상품별배치367'!$H$7:$H$373,"본진")</f>
        <v>0</v>
      </c>
      <c r="P173" s="7">
        <f>SUMIFS('05_상품별배치367'!$K$7:$K$373,'05_상품별배치367'!$E$7:$E$373,A173,'05_상품별배치367'!$H$7:$H$373,"추가 진열")</f>
        <v>0</v>
      </c>
      <c r="Q173" s="7">
        <f>O173+P173</f>
        <v>0</v>
      </c>
      <c r="R173" s="7">
        <v>0</v>
      </c>
      <c r="S173" s="6" t="s">
        <v>1810</v>
      </c>
      <c r="T173" s="6" t="s">
        <v>2997</v>
      </c>
      <c r="U173" s="6"/>
      <c r="V173" s="16"/>
      <c r="W173" s="16"/>
      <c r="X173" s="16"/>
      <c r="Y173" s="6" t="s">
        <v>1627</v>
      </c>
      <c r="Z173" s="15"/>
      <c r="AA173" s="15" t="s">
        <v>1628</v>
      </c>
    </row>
    <row r="174" spans="1:27" ht="33" customHeight="1">
      <c r="A174" s="8" t="s">
        <v>3031</v>
      </c>
      <c r="B174" s="9">
        <v>562</v>
      </c>
      <c r="C174" s="8" t="s">
        <v>3032</v>
      </c>
      <c r="D174" s="8" t="s">
        <v>3033</v>
      </c>
      <c r="E174" s="8" t="s">
        <v>2134</v>
      </c>
      <c r="F174" s="8" t="s">
        <v>2933</v>
      </c>
      <c r="G174" s="8" t="s">
        <v>1668</v>
      </c>
      <c r="H174" s="8"/>
      <c r="I174" s="14" t="s">
        <v>1807</v>
      </c>
      <c r="J174" s="15"/>
      <c r="K174" s="8" t="s">
        <v>1976</v>
      </c>
      <c r="L174" s="8" t="s">
        <v>2032</v>
      </c>
      <c r="M174" s="6" t="s">
        <v>1809</v>
      </c>
      <c r="N174" s="6" t="s">
        <v>1644</v>
      </c>
      <c r="O174" s="7">
        <f>SUMIFS('05_상품별배치367'!$K$7:$K$373,'05_상품별배치367'!$E$7:$E$373,A174,'05_상품별배치367'!$H$7:$H$373,"본진")</f>
        <v>0</v>
      </c>
      <c r="P174" s="7">
        <f>SUMIFS('05_상품별배치367'!$K$7:$K$373,'05_상품별배치367'!$E$7:$E$373,A174,'05_상품별배치367'!$H$7:$H$373,"추가 진열")</f>
        <v>0</v>
      </c>
      <c r="Q174" s="7">
        <f>O174+P174</f>
        <v>0</v>
      </c>
      <c r="R174" s="7">
        <v>0</v>
      </c>
      <c r="S174" s="6" t="s">
        <v>1810</v>
      </c>
      <c r="T174" s="6" t="s">
        <v>2997</v>
      </c>
      <c r="U174" s="6"/>
      <c r="V174" s="16"/>
      <c r="W174" s="16"/>
      <c r="X174" s="16"/>
      <c r="Y174" s="6" t="s">
        <v>1627</v>
      </c>
      <c r="Z174" s="15"/>
      <c r="AA174" s="15" t="s">
        <v>1628</v>
      </c>
    </row>
    <row r="175" spans="1:27" ht="33" customHeight="1">
      <c r="A175" s="6" t="s">
        <v>3038</v>
      </c>
      <c r="B175" s="7">
        <v>565</v>
      </c>
      <c r="C175" s="6" t="s">
        <v>3039</v>
      </c>
      <c r="D175" s="6" t="s">
        <v>3033</v>
      </c>
      <c r="E175" s="6" t="s">
        <v>2134</v>
      </c>
      <c r="F175" s="6" t="s">
        <v>481</v>
      </c>
      <c r="G175" s="6" t="s">
        <v>193</v>
      </c>
      <c r="H175" s="6"/>
      <c r="I175" s="14" t="s">
        <v>1642</v>
      </c>
      <c r="J175" s="15"/>
      <c r="K175" s="6" t="s">
        <v>1976</v>
      </c>
      <c r="L175" s="6"/>
      <c r="M175" s="6" t="s">
        <v>1643</v>
      </c>
      <c r="N175" s="6" t="s">
        <v>1644</v>
      </c>
      <c r="O175" s="7">
        <f>SUMIFS('05_상품별배치367'!$K$7:$K$373,'05_상품별배치367'!$E$7:$E$373,A175,'05_상품별배치367'!$H$7:$H$373,"본진")</f>
        <v>0</v>
      </c>
      <c r="P175" s="7">
        <f>SUMIFS('05_상품별배치367'!$K$7:$K$373,'05_상품별배치367'!$E$7:$E$373,A175,'05_상품별배치367'!$H$7:$H$373,"추가 진열")</f>
        <v>0</v>
      </c>
      <c r="Q175" s="7">
        <f>O175+P175</f>
        <v>0</v>
      </c>
      <c r="R175" s="7">
        <v>1</v>
      </c>
      <c r="S175" s="6" t="s">
        <v>3000</v>
      </c>
      <c r="T175" s="6" t="s">
        <v>2997</v>
      </c>
      <c r="U175" s="6"/>
      <c r="V175" s="16"/>
      <c r="W175" s="16"/>
      <c r="X175" s="16"/>
      <c r="Y175" s="6" t="s">
        <v>1627</v>
      </c>
      <c r="Z175" s="15"/>
      <c r="AA175" s="15" t="s">
        <v>1628</v>
      </c>
    </row>
    <row r="176" spans="1:27" ht="33" customHeight="1">
      <c r="A176" s="8" t="s">
        <v>3040</v>
      </c>
      <c r="B176" s="9">
        <v>566</v>
      </c>
      <c r="C176" s="8" t="s">
        <v>3041</v>
      </c>
      <c r="D176" s="8" t="s">
        <v>3042</v>
      </c>
      <c r="E176" s="8" t="s">
        <v>1814</v>
      </c>
      <c r="F176" s="8" t="s">
        <v>1376</v>
      </c>
      <c r="G176" s="8" t="s">
        <v>431</v>
      </c>
      <c r="H176" s="8"/>
      <c r="I176" s="14" t="s">
        <v>1642</v>
      </c>
      <c r="J176" s="15"/>
      <c r="K176" s="8" t="s">
        <v>1976</v>
      </c>
      <c r="L176" s="8"/>
      <c r="M176" s="6" t="s">
        <v>1643</v>
      </c>
      <c r="N176" s="6" t="s">
        <v>1644</v>
      </c>
      <c r="O176" s="7">
        <f>SUMIFS('05_상품별배치367'!$K$7:$K$373,'05_상품별배치367'!$E$7:$E$373,A176,'05_상품별배치367'!$H$7:$H$373,"본진")</f>
        <v>0</v>
      </c>
      <c r="P176" s="7">
        <f>SUMIFS('05_상품별배치367'!$K$7:$K$373,'05_상품별배치367'!$E$7:$E$373,A176,'05_상품별배치367'!$H$7:$H$373,"추가 진열")</f>
        <v>0</v>
      </c>
      <c r="Q176" s="7">
        <f>O176+P176</f>
        <v>0</v>
      </c>
      <c r="R176" s="7">
        <v>1</v>
      </c>
      <c r="S176" s="6" t="s">
        <v>1978</v>
      </c>
      <c r="T176" s="6" t="s">
        <v>2997</v>
      </c>
      <c r="U176" s="6"/>
      <c r="V176" s="16"/>
      <c r="W176" s="16"/>
      <c r="X176" s="16"/>
      <c r="Y176" s="6" t="s">
        <v>1627</v>
      </c>
      <c r="Z176" s="15"/>
      <c r="AA176" s="15" t="s">
        <v>1628</v>
      </c>
    </row>
    <row r="177" spans="1:27" ht="33" customHeight="1">
      <c r="A177" s="8" t="s">
        <v>3036</v>
      </c>
      <c r="B177" s="9">
        <v>564</v>
      </c>
      <c r="C177" s="8" t="s">
        <v>3037</v>
      </c>
      <c r="D177" s="8" t="s">
        <v>3030</v>
      </c>
      <c r="E177" s="8" t="s">
        <v>2134</v>
      </c>
      <c r="F177" s="8" t="s">
        <v>2933</v>
      </c>
      <c r="G177" s="8" t="s">
        <v>1668</v>
      </c>
      <c r="H177" s="8"/>
      <c r="I177" s="14" t="s">
        <v>1807</v>
      </c>
      <c r="J177" s="15"/>
      <c r="K177" s="8" t="s">
        <v>1976</v>
      </c>
      <c r="L177" s="8" t="s">
        <v>2032</v>
      </c>
      <c r="M177" s="6" t="s">
        <v>1809</v>
      </c>
      <c r="N177" s="6" t="s">
        <v>1644</v>
      </c>
      <c r="O177" s="7">
        <f>SUMIFS('05_상품별배치367'!$K$7:$K$373,'05_상품별배치367'!$E$7:$E$373,A177,'05_상품별배치367'!$H$7:$H$373,"본진")</f>
        <v>0</v>
      </c>
      <c r="P177" s="7">
        <f>SUMIFS('05_상품별배치367'!$K$7:$K$373,'05_상품별배치367'!$E$7:$E$373,A177,'05_상품별배치367'!$H$7:$H$373,"추가 진열")</f>
        <v>0</v>
      </c>
      <c r="Q177" s="7">
        <f>O177+P177</f>
        <v>0</v>
      </c>
      <c r="R177" s="7">
        <v>0</v>
      </c>
      <c r="S177" s="6" t="s">
        <v>1810</v>
      </c>
      <c r="T177" s="6" t="s">
        <v>2997</v>
      </c>
      <c r="U177" s="6"/>
      <c r="V177" s="16"/>
      <c r="W177" s="16"/>
      <c r="X177" s="16"/>
      <c r="Y177" s="6" t="s">
        <v>1627</v>
      </c>
      <c r="Z177" s="15"/>
      <c r="AA177" s="15" t="s">
        <v>1628</v>
      </c>
    </row>
    <row r="178" spans="1:27" ht="33" customHeight="1">
      <c r="A178" s="8" t="s">
        <v>3068</v>
      </c>
      <c r="B178" s="9">
        <v>578</v>
      </c>
      <c r="C178" s="8" t="s">
        <v>3069</v>
      </c>
      <c r="D178" s="8" t="s">
        <v>1926</v>
      </c>
      <c r="E178" s="8" t="s">
        <v>2134</v>
      </c>
      <c r="F178" s="8" t="s">
        <v>161</v>
      </c>
      <c r="G178" s="8" t="s">
        <v>395</v>
      </c>
      <c r="H178" s="8"/>
      <c r="I178" s="14" t="s">
        <v>1642</v>
      </c>
      <c r="J178" s="15"/>
      <c r="K178" s="8" t="s">
        <v>1976</v>
      </c>
      <c r="L178" s="8"/>
      <c r="M178" s="6" t="s">
        <v>1643</v>
      </c>
      <c r="N178" s="6" t="s">
        <v>1644</v>
      </c>
      <c r="O178" s="7">
        <f>SUMIFS('05_상품별배치367'!$K$7:$K$373,'05_상품별배치367'!$E$7:$E$373,A178,'05_상품별배치367'!$H$7:$H$373,"본진")</f>
        <v>0</v>
      </c>
      <c r="P178" s="7">
        <f>SUMIFS('05_상품별배치367'!$K$7:$K$373,'05_상품별배치367'!$E$7:$E$373,A178,'05_상품별배치367'!$H$7:$H$373,"추가 진열")</f>
        <v>0</v>
      </c>
      <c r="Q178" s="7">
        <f>O178+P178</f>
        <v>0</v>
      </c>
      <c r="R178" s="7">
        <v>1</v>
      </c>
      <c r="S178" s="6" t="s">
        <v>3070</v>
      </c>
      <c r="T178" s="6" t="s">
        <v>2997</v>
      </c>
      <c r="U178" s="6"/>
      <c r="V178" s="16"/>
      <c r="W178" s="16"/>
      <c r="X178" s="16"/>
      <c r="Y178" s="6" t="s">
        <v>1627</v>
      </c>
      <c r="Z178" s="15"/>
      <c r="AA178" s="15" t="s">
        <v>1628</v>
      </c>
    </row>
    <row r="179" spans="1:27" ht="33" customHeight="1">
      <c r="A179" s="8" t="s">
        <v>3073</v>
      </c>
      <c r="B179" s="9">
        <v>580</v>
      </c>
      <c r="C179" s="8" t="s">
        <v>3074</v>
      </c>
      <c r="D179" s="8" t="s">
        <v>1926</v>
      </c>
      <c r="E179" s="8" t="s">
        <v>2134</v>
      </c>
      <c r="F179" s="8" t="s">
        <v>162</v>
      </c>
      <c r="G179" s="8" t="s">
        <v>404</v>
      </c>
      <c r="H179" s="8"/>
      <c r="I179" s="14" t="s">
        <v>1642</v>
      </c>
      <c r="J179" s="15"/>
      <c r="K179" s="8" t="s">
        <v>1976</v>
      </c>
      <c r="L179" s="8"/>
      <c r="M179" s="6" t="s">
        <v>1643</v>
      </c>
      <c r="N179" s="6" t="s">
        <v>1644</v>
      </c>
      <c r="O179" s="7">
        <f>SUMIFS('05_상품별배치367'!$K$7:$K$373,'05_상품별배치367'!$E$7:$E$373,A179,'05_상품별배치367'!$H$7:$H$373,"본진")</f>
        <v>0</v>
      </c>
      <c r="P179" s="7">
        <f>SUMIFS('05_상품별배치367'!$K$7:$K$373,'05_상품별배치367'!$E$7:$E$373,A179,'05_상품별배치367'!$H$7:$H$373,"추가 진열")</f>
        <v>0</v>
      </c>
      <c r="Q179" s="7">
        <f>O179+P179</f>
        <v>0</v>
      </c>
      <c r="R179" s="7">
        <v>1</v>
      </c>
      <c r="S179" s="6" t="s">
        <v>2996</v>
      </c>
      <c r="T179" s="6" t="s">
        <v>2997</v>
      </c>
      <c r="U179" s="6"/>
      <c r="V179" s="16"/>
      <c r="W179" s="16"/>
      <c r="X179" s="16"/>
      <c r="Y179" s="6" t="s">
        <v>1627</v>
      </c>
      <c r="Z179" s="15"/>
      <c r="AA179" s="15" t="s">
        <v>1628</v>
      </c>
    </row>
    <row r="180" spans="1:27" ht="33" customHeight="1">
      <c r="A180" s="6" t="s">
        <v>3075</v>
      </c>
      <c r="B180" s="7">
        <v>581</v>
      </c>
      <c r="C180" s="6" t="s">
        <v>3076</v>
      </c>
      <c r="D180" s="6" t="s">
        <v>1926</v>
      </c>
      <c r="E180" s="6" t="s">
        <v>2134</v>
      </c>
      <c r="F180" s="6" t="s">
        <v>1081</v>
      </c>
      <c r="G180" s="6" t="s">
        <v>290</v>
      </c>
      <c r="H180" s="6"/>
      <c r="I180" s="14" t="s">
        <v>1642</v>
      </c>
      <c r="J180" s="15"/>
      <c r="K180" s="6" t="s">
        <v>1976</v>
      </c>
      <c r="L180" s="6"/>
      <c r="M180" s="6" t="s">
        <v>1643</v>
      </c>
      <c r="N180" s="6" t="s">
        <v>1644</v>
      </c>
      <c r="O180" s="7">
        <f>SUMIFS('05_상품별배치367'!$K$7:$K$373,'05_상품별배치367'!$E$7:$E$373,A180,'05_상품별배치367'!$H$7:$H$373,"본진")</f>
        <v>0</v>
      </c>
      <c r="P180" s="7">
        <f>SUMIFS('05_상품별배치367'!$K$7:$K$373,'05_상품별배치367'!$E$7:$E$373,A180,'05_상품별배치367'!$H$7:$H$373,"추가 진열")</f>
        <v>0</v>
      </c>
      <c r="Q180" s="7">
        <f>O180+P180</f>
        <v>0</v>
      </c>
      <c r="R180" s="7">
        <v>1</v>
      </c>
      <c r="S180" s="6" t="s">
        <v>2135</v>
      </c>
      <c r="T180" s="6" t="s">
        <v>2997</v>
      </c>
      <c r="U180" s="6"/>
      <c r="V180" s="16"/>
      <c r="W180" s="16"/>
      <c r="X180" s="16"/>
      <c r="Y180" s="6" t="s">
        <v>1627</v>
      </c>
      <c r="Z180" s="15"/>
      <c r="AA180" s="15" t="s">
        <v>1628</v>
      </c>
    </row>
    <row r="181" spans="1:27" ht="33" customHeight="1">
      <c r="A181" s="6" t="s">
        <v>3071</v>
      </c>
      <c r="B181" s="7">
        <v>579</v>
      </c>
      <c r="C181" s="6" t="s">
        <v>3072</v>
      </c>
      <c r="D181" s="6" t="s">
        <v>1926</v>
      </c>
      <c r="E181" s="6" t="s">
        <v>2134</v>
      </c>
      <c r="F181" s="6" t="s">
        <v>163</v>
      </c>
      <c r="G181" s="6" t="s">
        <v>414</v>
      </c>
      <c r="H181" s="6"/>
      <c r="I181" s="14" t="s">
        <v>1642</v>
      </c>
      <c r="J181" s="15"/>
      <c r="K181" s="6" t="s">
        <v>1976</v>
      </c>
      <c r="L181" s="6"/>
      <c r="M181" s="6" t="s">
        <v>1643</v>
      </c>
      <c r="N181" s="6" t="s">
        <v>1644</v>
      </c>
      <c r="O181" s="7">
        <f>SUMIFS('05_상품별배치367'!$K$7:$K$373,'05_상품별배치367'!$E$7:$E$373,A181,'05_상품별배치367'!$H$7:$H$373,"본진")</f>
        <v>0</v>
      </c>
      <c r="P181" s="7">
        <f>SUMIFS('05_상품별배치367'!$K$7:$K$373,'05_상품별배치367'!$E$7:$E$373,A181,'05_상품별배치367'!$H$7:$H$373,"추가 진열")</f>
        <v>0</v>
      </c>
      <c r="Q181" s="7">
        <f>O181+P181</f>
        <v>0</v>
      </c>
      <c r="R181" s="7">
        <v>1</v>
      </c>
      <c r="S181" s="6" t="s">
        <v>3048</v>
      </c>
      <c r="T181" s="6" t="s">
        <v>2997</v>
      </c>
      <c r="U181" s="6"/>
      <c r="V181" s="16"/>
      <c r="W181" s="16"/>
      <c r="X181" s="16"/>
      <c r="Y181" s="6" t="s">
        <v>1627</v>
      </c>
      <c r="Z181" s="15"/>
      <c r="AA181" s="15" t="s">
        <v>1628</v>
      </c>
    </row>
    <row r="182" spans="1:27" ht="33" customHeight="1">
      <c r="A182" s="8" t="s">
        <v>3021</v>
      </c>
      <c r="B182" s="9">
        <v>558</v>
      </c>
      <c r="C182" s="8" t="s">
        <v>3022</v>
      </c>
      <c r="D182" s="8" t="s">
        <v>2856</v>
      </c>
      <c r="E182" s="8" t="s">
        <v>2134</v>
      </c>
      <c r="F182" s="8" t="s">
        <v>1081</v>
      </c>
      <c r="G182" s="8" t="s">
        <v>290</v>
      </c>
      <c r="H182" s="8"/>
      <c r="I182" s="14" t="s">
        <v>1642</v>
      </c>
      <c r="J182" s="15"/>
      <c r="K182" s="8" t="s">
        <v>1976</v>
      </c>
      <c r="L182" s="8"/>
      <c r="M182" s="6" t="s">
        <v>1643</v>
      </c>
      <c r="N182" s="6" t="s">
        <v>1644</v>
      </c>
      <c r="O182" s="7">
        <f>SUMIFS('05_상품별배치367'!$K$7:$K$373,'05_상품별배치367'!$E$7:$E$373,A182,'05_상품별배치367'!$H$7:$H$373,"본진")</f>
        <v>0</v>
      </c>
      <c r="P182" s="7">
        <f>SUMIFS('05_상품별배치367'!$K$7:$K$373,'05_상품별배치367'!$E$7:$E$373,A182,'05_상품별배치367'!$H$7:$H$373,"추가 진열")</f>
        <v>0</v>
      </c>
      <c r="Q182" s="7">
        <f>O182+P182</f>
        <v>0</v>
      </c>
      <c r="R182" s="7">
        <v>1</v>
      </c>
      <c r="S182" s="6" t="s">
        <v>2135</v>
      </c>
      <c r="T182" s="6" t="s">
        <v>2997</v>
      </c>
      <c r="U182" s="6"/>
      <c r="V182" s="16"/>
      <c r="W182" s="16"/>
      <c r="X182" s="16"/>
      <c r="Y182" s="6" t="s">
        <v>1627</v>
      </c>
      <c r="Z182" s="15"/>
      <c r="AA182" s="15" t="s">
        <v>1628</v>
      </c>
    </row>
    <row r="183" spans="1:27" ht="33" customHeight="1">
      <c r="A183" s="8" t="s">
        <v>3025</v>
      </c>
      <c r="B183" s="9">
        <v>560</v>
      </c>
      <c r="C183" s="8" t="s">
        <v>3026</v>
      </c>
      <c r="D183" s="8" t="s">
        <v>3027</v>
      </c>
      <c r="E183" s="8" t="s">
        <v>2134</v>
      </c>
      <c r="F183" s="8" t="s">
        <v>1081</v>
      </c>
      <c r="G183" s="8" t="s">
        <v>290</v>
      </c>
      <c r="H183" s="8"/>
      <c r="I183" s="14" t="s">
        <v>1642</v>
      </c>
      <c r="J183" s="15"/>
      <c r="K183" s="8" t="s">
        <v>1976</v>
      </c>
      <c r="L183" s="8"/>
      <c r="M183" s="6" t="s">
        <v>1643</v>
      </c>
      <c r="N183" s="6" t="s">
        <v>1644</v>
      </c>
      <c r="O183" s="7">
        <f>SUMIFS('05_상품별배치367'!$K$7:$K$373,'05_상품별배치367'!$E$7:$E$373,A183,'05_상품별배치367'!$H$7:$H$373,"본진")</f>
        <v>0</v>
      </c>
      <c r="P183" s="7">
        <f>SUMIFS('05_상품별배치367'!$K$7:$K$373,'05_상품별배치367'!$E$7:$E$373,A183,'05_상품별배치367'!$H$7:$H$373,"추가 진열")</f>
        <v>0</v>
      </c>
      <c r="Q183" s="7">
        <f>O183+P183</f>
        <v>0</v>
      </c>
      <c r="R183" s="7">
        <v>1</v>
      </c>
      <c r="S183" s="6" t="s">
        <v>2135</v>
      </c>
      <c r="T183" s="6" t="s">
        <v>2997</v>
      </c>
      <c r="U183" s="6"/>
      <c r="V183" s="16"/>
      <c r="W183" s="16"/>
      <c r="X183" s="16"/>
      <c r="Y183" s="6" t="s">
        <v>1627</v>
      </c>
      <c r="Z183" s="15"/>
      <c r="AA183" s="15" t="s">
        <v>1628</v>
      </c>
    </row>
    <row r="184" spans="1:27" ht="33" customHeight="1">
      <c r="A184" s="6" t="s">
        <v>3023</v>
      </c>
      <c r="B184" s="7">
        <v>559</v>
      </c>
      <c r="C184" s="6" t="s">
        <v>3024</v>
      </c>
      <c r="D184" s="6" t="s">
        <v>2845</v>
      </c>
      <c r="E184" s="6" t="s">
        <v>1986</v>
      </c>
      <c r="F184" s="6" t="s">
        <v>913</v>
      </c>
      <c r="G184" s="6" t="s">
        <v>201</v>
      </c>
      <c r="H184" s="6"/>
      <c r="I184" s="14" t="s">
        <v>1642</v>
      </c>
      <c r="J184" s="15"/>
      <c r="K184" s="6" t="s">
        <v>1976</v>
      </c>
      <c r="L184" s="6"/>
      <c r="M184" s="6" t="s">
        <v>1643</v>
      </c>
      <c r="N184" s="6" t="s">
        <v>1644</v>
      </c>
      <c r="O184" s="7">
        <f>SUMIFS('05_상품별배치367'!$K$7:$K$373,'05_상품별배치367'!$E$7:$E$373,A184,'05_상품별배치367'!$H$7:$H$373,"본진")</f>
        <v>0</v>
      </c>
      <c r="P184" s="7">
        <f>SUMIFS('05_상품별배치367'!$K$7:$K$373,'05_상품별배치367'!$E$7:$E$373,A184,'05_상품별배치367'!$H$7:$H$373,"추가 진열")</f>
        <v>0</v>
      </c>
      <c r="Q184" s="7">
        <f>O184+P184</f>
        <v>0</v>
      </c>
      <c r="R184" s="7">
        <v>1</v>
      </c>
      <c r="S184" s="6" t="s">
        <v>2907</v>
      </c>
      <c r="T184" s="6" t="s">
        <v>2997</v>
      </c>
      <c r="U184" s="6"/>
      <c r="V184" s="16"/>
      <c r="W184" s="16"/>
      <c r="X184" s="16"/>
      <c r="Y184" s="6" t="s">
        <v>1627</v>
      </c>
      <c r="Z184" s="15"/>
      <c r="AA184" s="15" t="s">
        <v>1628</v>
      </c>
    </row>
    <row r="185" spans="1:27" ht="33" customHeight="1">
      <c r="A185" s="6" t="s">
        <v>3019</v>
      </c>
      <c r="B185" s="7">
        <v>557</v>
      </c>
      <c r="C185" s="6" t="s">
        <v>3020</v>
      </c>
      <c r="D185" s="6" t="s">
        <v>2856</v>
      </c>
      <c r="E185" s="6" t="s">
        <v>2134</v>
      </c>
      <c r="F185" s="6" t="s">
        <v>1263</v>
      </c>
      <c r="G185" s="6" t="s">
        <v>376</v>
      </c>
      <c r="H185" s="6" t="s">
        <v>1266</v>
      </c>
      <c r="I185" s="14" t="s">
        <v>1633</v>
      </c>
      <c r="J185" s="15"/>
      <c r="K185" s="6" t="s">
        <v>1976</v>
      </c>
      <c r="L185" s="6"/>
      <c r="M185" s="6" t="s">
        <v>1635</v>
      </c>
      <c r="N185" s="6" t="s">
        <v>1624</v>
      </c>
      <c r="O185" s="7">
        <f>SUMIFS('05_상품별배치367'!$K$7:$K$373,'05_상품별배치367'!$E$7:$E$373,A185,'05_상품별배치367'!$H$7:$H$373,"본진")</f>
        <v>1</v>
      </c>
      <c r="P185" s="7">
        <f>SUMIFS('05_상품별배치367'!$K$7:$K$373,'05_상품별배치367'!$E$7:$E$373,A185,'05_상품별배치367'!$H$7:$H$373,"추가 진열")</f>
        <v>0</v>
      </c>
      <c r="Q185" s="7">
        <f>O185+P185</f>
        <v>1</v>
      </c>
      <c r="R185" s="7">
        <v>1</v>
      </c>
      <c r="S185" s="6" t="s">
        <v>1636</v>
      </c>
      <c r="T185" s="6" t="s">
        <v>2997</v>
      </c>
      <c r="U185" s="6"/>
      <c r="V185" s="16"/>
      <c r="W185" s="16"/>
      <c r="X185" s="16"/>
      <c r="Y185" s="6" t="s">
        <v>1627</v>
      </c>
      <c r="Z185" s="15"/>
      <c r="AA185" s="15" t="s">
        <v>1628</v>
      </c>
    </row>
    <row r="186" spans="1:27" ht="33" customHeight="1">
      <c r="A186" s="8" t="s">
        <v>3012</v>
      </c>
      <c r="B186" s="9">
        <v>554</v>
      </c>
      <c r="C186" s="8" t="s">
        <v>3013</v>
      </c>
      <c r="D186" s="8" t="s">
        <v>2856</v>
      </c>
      <c r="E186" s="8" t="s">
        <v>2134</v>
      </c>
      <c r="F186" s="8" t="s">
        <v>1081</v>
      </c>
      <c r="G186" s="8" t="s">
        <v>290</v>
      </c>
      <c r="H186" s="8" t="s">
        <v>1082</v>
      </c>
      <c r="I186" s="14" t="s">
        <v>1642</v>
      </c>
      <c r="J186" s="15"/>
      <c r="K186" s="8" t="s">
        <v>1976</v>
      </c>
      <c r="L186" s="8"/>
      <c r="M186" s="6" t="s">
        <v>1643</v>
      </c>
      <c r="N186" s="6" t="s">
        <v>1644</v>
      </c>
      <c r="O186" s="7">
        <f>SUMIFS('05_상품별배치367'!$K$7:$K$373,'05_상품별배치367'!$E$7:$E$373,A186,'05_상품별배치367'!$H$7:$H$373,"본진")</f>
        <v>0</v>
      </c>
      <c r="P186" s="7">
        <f>SUMIFS('05_상품별배치367'!$K$7:$K$373,'05_상품별배치367'!$E$7:$E$373,A186,'05_상품별배치367'!$H$7:$H$373,"추가 진열")</f>
        <v>0</v>
      </c>
      <c r="Q186" s="7">
        <f>O186+P186</f>
        <v>0</v>
      </c>
      <c r="R186" s="7">
        <v>1</v>
      </c>
      <c r="S186" s="6" t="s">
        <v>2135</v>
      </c>
      <c r="T186" s="6" t="s">
        <v>2997</v>
      </c>
      <c r="U186" s="6"/>
      <c r="V186" s="16"/>
      <c r="W186" s="16"/>
      <c r="X186" s="16"/>
      <c r="Y186" s="6" t="s">
        <v>1627</v>
      </c>
      <c r="Z186" s="15"/>
      <c r="AA186" s="15" t="s">
        <v>1628</v>
      </c>
    </row>
    <row r="187" spans="1:27" ht="33" customHeight="1">
      <c r="A187" s="6" t="s">
        <v>3043</v>
      </c>
      <c r="B187" s="7">
        <v>567</v>
      </c>
      <c r="C187" s="6" t="s">
        <v>3044</v>
      </c>
      <c r="D187" s="6" t="s">
        <v>2845</v>
      </c>
      <c r="E187" s="6" t="s">
        <v>2134</v>
      </c>
      <c r="F187" s="6" t="s">
        <v>2933</v>
      </c>
      <c r="G187" s="6" t="s">
        <v>1668</v>
      </c>
      <c r="H187" s="6"/>
      <c r="I187" s="14" t="s">
        <v>1807</v>
      </c>
      <c r="J187" s="15"/>
      <c r="K187" s="6" t="s">
        <v>1976</v>
      </c>
      <c r="L187" s="6" t="s">
        <v>2032</v>
      </c>
      <c r="M187" s="6" t="s">
        <v>1809</v>
      </c>
      <c r="N187" s="6" t="s">
        <v>1644</v>
      </c>
      <c r="O187" s="7">
        <f>SUMIFS('05_상품별배치367'!$K$7:$K$373,'05_상품별배치367'!$E$7:$E$373,A187,'05_상품별배치367'!$H$7:$H$373,"본진")</f>
        <v>0</v>
      </c>
      <c r="P187" s="7">
        <f>SUMIFS('05_상품별배치367'!$K$7:$K$373,'05_상품별배치367'!$E$7:$E$373,A187,'05_상품별배치367'!$H$7:$H$373,"추가 진열")</f>
        <v>0</v>
      </c>
      <c r="Q187" s="7">
        <f>O187+P187</f>
        <v>0</v>
      </c>
      <c r="R187" s="7">
        <v>0</v>
      </c>
      <c r="S187" s="6" t="s">
        <v>1810</v>
      </c>
      <c r="T187" s="6" t="s">
        <v>2997</v>
      </c>
      <c r="U187" s="6"/>
      <c r="V187" s="16"/>
      <c r="W187" s="16"/>
      <c r="X187" s="16"/>
      <c r="Y187" s="6" t="s">
        <v>1627</v>
      </c>
      <c r="Z187" s="15"/>
      <c r="AA187" s="15" t="s">
        <v>1628</v>
      </c>
    </row>
    <row r="188" spans="1:27" ht="33" customHeight="1">
      <c r="A188" s="6" t="s">
        <v>3014</v>
      </c>
      <c r="B188" s="7">
        <v>555</v>
      </c>
      <c r="C188" s="6" t="s">
        <v>3015</v>
      </c>
      <c r="D188" s="6" t="s">
        <v>2856</v>
      </c>
      <c r="E188" s="6" t="s">
        <v>2134</v>
      </c>
      <c r="F188" s="6" t="s">
        <v>1263</v>
      </c>
      <c r="G188" s="6" t="s">
        <v>376</v>
      </c>
      <c r="H188" s="6"/>
      <c r="I188" s="14" t="s">
        <v>1642</v>
      </c>
      <c r="J188" s="15"/>
      <c r="K188" s="6" t="s">
        <v>1976</v>
      </c>
      <c r="L188" s="6"/>
      <c r="M188" s="6" t="s">
        <v>1643</v>
      </c>
      <c r="N188" s="6" t="s">
        <v>1644</v>
      </c>
      <c r="O188" s="7">
        <f>SUMIFS('05_상품별배치367'!$K$7:$K$373,'05_상품별배치367'!$E$7:$E$373,A188,'05_상품별배치367'!$H$7:$H$373,"본진")</f>
        <v>0</v>
      </c>
      <c r="P188" s="7">
        <f>SUMIFS('05_상품별배치367'!$K$7:$K$373,'05_상품별배치367'!$E$7:$E$373,A188,'05_상품별배치367'!$H$7:$H$373,"추가 진열")</f>
        <v>0</v>
      </c>
      <c r="Q188" s="7">
        <f>O188+P188</f>
        <v>0</v>
      </c>
      <c r="R188" s="7">
        <v>1</v>
      </c>
      <c r="S188" s="6" t="s">
        <v>3016</v>
      </c>
      <c r="T188" s="6" t="s">
        <v>2997</v>
      </c>
      <c r="U188" s="6"/>
      <c r="V188" s="16"/>
      <c r="W188" s="16"/>
      <c r="X188" s="16"/>
      <c r="Y188" s="6" t="s">
        <v>1627</v>
      </c>
      <c r="Z188" s="15"/>
      <c r="AA188" s="15" t="s">
        <v>1628</v>
      </c>
    </row>
    <row r="189" spans="1:27" ht="33" customHeight="1">
      <c r="A189" s="8" t="s">
        <v>3017</v>
      </c>
      <c r="B189" s="9">
        <v>556</v>
      </c>
      <c r="C189" s="8" t="s">
        <v>3018</v>
      </c>
      <c r="D189" s="8" t="s">
        <v>2856</v>
      </c>
      <c r="E189" s="8" t="s">
        <v>2134</v>
      </c>
      <c r="F189" s="8" t="s">
        <v>1263</v>
      </c>
      <c r="G189" s="8" t="s">
        <v>376</v>
      </c>
      <c r="H189" s="8" t="s">
        <v>1266</v>
      </c>
      <c r="I189" s="14" t="s">
        <v>1633</v>
      </c>
      <c r="J189" s="15"/>
      <c r="K189" s="8" t="s">
        <v>1976</v>
      </c>
      <c r="L189" s="8"/>
      <c r="M189" s="6" t="s">
        <v>1635</v>
      </c>
      <c r="N189" s="6" t="s">
        <v>1624</v>
      </c>
      <c r="O189" s="7">
        <f>SUMIFS('05_상품별배치367'!$K$7:$K$373,'05_상품별배치367'!$E$7:$E$373,A189,'05_상품별배치367'!$H$7:$H$373,"본진")</f>
        <v>1</v>
      </c>
      <c r="P189" s="7">
        <f>SUMIFS('05_상품별배치367'!$K$7:$K$373,'05_상품별배치367'!$E$7:$E$373,A189,'05_상품별배치367'!$H$7:$H$373,"추가 진열")</f>
        <v>0</v>
      </c>
      <c r="Q189" s="7">
        <f>O189+P189</f>
        <v>1</v>
      </c>
      <c r="R189" s="7">
        <v>1</v>
      </c>
      <c r="S189" s="6" t="s">
        <v>1636</v>
      </c>
      <c r="T189" s="6" t="s">
        <v>2997</v>
      </c>
      <c r="U189" s="6"/>
      <c r="V189" s="16"/>
      <c r="W189" s="16"/>
      <c r="X189" s="16"/>
      <c r="Y189" s="6" t="s">
        <v>1627</v>
      </c>
      <c r="Z189" s="15"/>
      <c r="AA189" s="15" t="s">
        <v>1628</v>
      </c>
    </row>
    <row r="190" spans="1:27" ht="33" customHeight="1">
      <c r="A190" s="8" t="s">
        <v>3060</v>
      </c>
      <c r="B190" s="9">
        <v>574</v>
      </c>
      <c r="C190" s="8" t="s">
        <v>3061</v>
      </c>
      <c r="D190" s="8" t="s">
        <v>2133</v>
      </c>
      <c r="E190" s="8" t="s">
        <v>2134</v>
      </c>
      <c r="F190" s="8" t="s">
        <v>1081</v>
      </c>
      <c r="G190" s="8" t="s">
        <v>290</v>
      </c>
      <c r="H190" s="8"/>
      <c r="I190" s="14" t="s">
        <v>1642</v>
      </c>
      <c r="J190" s="15"/>
      <c r="K190" s="8" t="s">
        <v>1976</v>
      </c>
      <c r="L190" s="8"/>
      <c r="M190" s="6" t="s">
        <v>1643</v>
      </c>
      <c r="N190" s="6" t="s">
        <v>1644</v>
      </c>
      <c r="O190" s="7">
        <f>SUMIFS('05_상품별배치367'!$K$7:$K$373,'05_상품별배치367'!$E$7:$E$373,A190,'05_상품별배치367'!$H$7:$H$373,"본진")</f>
        <v>0</v>
      </c>
      <c r="P190" s="7">
        <f>SUMIFS('05_상품별배치367'!$K$7:$K$373,'05_상품별배치367'!$E$7:$E$373,A190,'05_상품별배치367'!$H$7:$H$373,"추가 진열")</f>
        <v>0</v>
      </c>
      <c r="Q190" s="7">
        <f>O190+P190</f>
        <v>0</v>
      </c>
      <c r="R190" s="7">
        <v>1</v>
      </c>
      <c r="S190" s="6" t="s">
        <v>2135</v>
      </c>
      <c r="T190" s="6" t="s">
        <v>2997</v>
      </c>
      <c r="U190" s="6"/>
      <c r="V190" s="16"/>
      <c r="W190" s="16"/>
      <c r="X190" s="16"/>
      <c r="Y190" s="6" t="s">
        <v>1627</v>
      </c>
      <c r="Z190" s="15"/>
      <c r="AA190" s="15" t="s">
        <v>1628</v>
      </c>
    </row>
    <row r="191" spans="1:27" ht="33" customHeight="1">
      <c r="A191" s="6" t="s">
        <v>3058</v>
      </c>
      <c r="B191" s="7">
        <v>573</v>
      </c>
      <c r="C191" s="6" t="s">
        <v>3059</v>
      </c>
      <c r="D191" s="6" t="s">
        <v>3008</v>
      </c>
      <c r="E191" s="6" t="s">
        <v>2134</v>
      </c>
      <c r="F191" s="6" t="s">
        <v>1081</v>
      </c>
      <c r="G191" s="6" t="s">
        <v>290</v>
      </c>
      <c r="H191" s="6"/>
      <c r="I191" s="14" t="s">
        <v>1642</v>
      </c>
      <c r="J191" s="15"/>
      <c r="K191" s="6" t="s">
        <v>1976</v>
      </c>
      <c r="L191" s="6"/>
      <c r="M191" s="6" t="s">
        <v>1643</v>
      </c>
      <c r="N191" s="6" t="s">
        <v>1644</v>
      </c>
      <c r="O191" s="7">
        <f>SUMIFS('05_상품별배치367'!$K$7:$K$373,'05_상품별배치367'!$E$7:$E$373,A191,'05_상품별배치367'!$H$7:$H$373,"본진")</f>
        <v>0</v>
      </c>
      <c r="P191" s="7">
        <f>SUMIFS('05_상품별배치367'!$K$7:$K$373,'05_상품별배치367'!$E$7:$E$373,A191,'05_상품별배치367'!$H$7:$H$373,"추가 진열")</f>
        <v>0</v>
      </c>
      <c r="Q191" s="7">
        <f>O191+P191</f>
        <v>0</v>
      </c>
      <c r="R191" s="7">
        <v>1</v>
      </c>
      <c r="S191" s="6" t="s">
        <v>2135</v>
      </c>
      <c r="T191" s="6" t="s">
        <v>2997</v>
      </c>
      <c r="U191" s="6"/>
      <c r="V191" s="16"/>
      <c r="W191" s="16"/>
      <c r="X191" s="16"/>
      <c r="Y191" s="6" t="s">
        <v>1627</v>
      </c>
      <c r="Z191" s="15"/>
      <c r="AA191" s="15" t="s">
        <v>1628</v>
      </c>
    </row>
    <row r="192" spans="1:27" ht="33" customHeight="1">
      <c r="A192" s="6" t="s">
        <v>3066</v>
      </c>
      <c r="B192" s="7">
        <v>577</v>
      </c>
      <c r="C192" s="6" t="s">
        <v>3067</v>
      </c>
      <c r="D192" s="6" t="s">
        <v>1926</v>
      </c>
      <c r="E192" s="6" t="s">
        <v>1986</v>
      </c>
      <c r="F192" s="6" t="s">
        <v>1276</v>
      </c>
      <c r="G192" s="6" t="s">
        <v>1987</v>
      </c>
      <c r="H192" s="6"/>
      <c r="I192" s="14" t="s">
        <v>1642</v>
      </c>
      <c r="J192" s="15"/>
      <c r="K192" s="6" t="s">
        <v>1976</v>
      </c>
      <c r="L192" s="6"/>
      <c r="M192" s="6" t="s">
        <v>1643</v>
      </c>
      <c r="N192" s="6" t="s">
        <v>1644</v>
      </c>
      <c r="O192" s="7">
        <f>SUMIFS('05_상품별배치367'!$K$7:$K$373,'05_상품별배치367'!$E$7:$E$373,A192,'05_상품별배치367'!$H$7:$H$373,"본진")</f>
        <v>0</v>
      </c>
      <c r="P192" s="7">
        <f>SUMIFS('05_상품별배치367'!$K$7:$K$373,'05_상품별배치367'!$E$7:$E$373,A192,'05_상품별배치367'!$H$7:$H$373,"추가 진열")</f>
        <v>0</v>
      </c>
      <c r="Q192" s="7">
        <f>O192+P192</f>
        <v>0</v>
      </c>
      <c r="R192" s="7">
        <v>1</v>
      </c>
      <c r="S192" s="6" t="s">
        <v>1988</v>
      </c>
      <c r="T192" s="6" t="s">
        <v>2997</v>
      </c>
      <c r="U192" s="6"/>
      <c r="V192" s="16"/>
      <c r="W192" s="16"/>
      <c r="X192" s="16"/>
      <c r="Y192" s="6" t="s">
        <v>1627</v>
      </c>
      <c r="Z192" s="15"/>
      <c r="AA192" s="15" t="s">
        <v>1628</v>
      </c>
    </row>
    <row r="193" spans="1:27" ht="33" customHeight="1">
      <c r="A193" s="8" t="s">
        <v>3064</v>
      </c>
      <c r="B193" s="9">
        <v>576</v>
      </c>
      <c r="C193" s="8" t="s">
        <v>3065</v>
      </c>
      <c r="D193" s="8" t="s">
        <v>1926</v>
      </c>
      <c r="E193" s="8" t="s">
        <v>2134</v>
      </c>
      <c r="F193" s="8" t="s">
        <v>163</v>
      </c>
      <c r="G193" s="8" t="s">
        <v>414</v>
      </c>
      <c r="H193" s="8"/>
      <c r="I193" s="14" t="s">
        <v>1642</v>
      </c>
      <c r="J193" s="15"/>
      <c r="K193" s="8" t="s">
        <v>1976</v>
      </c>
      <c r="L193" s="8"/>
      <c r="M193" s="6" t="s">
        <v>1643</v>
      </c>
      <c r="N193" s="6" t="s">
        <v>1644</v>
      </c>
      <c r="O193" s="7">
        <f>SUMIFS('05_상품별배치367'!$K$7:$K$373,'05_상품별배치367'!$E$7:$E$373,A193,'05_상품별배치367'!$H$7:$H$373,"본진")</f>
        <v>0</v>
      </c>
      <c r="P193" s="7">
        <f>SUMIFS('05_상품별배치367'!$K$7:$K$373,'05_상품별배치367'!$E$7:$E$373,A193,'05_상품별배치367'!$H$7:$H$373,"추가 진열")</f>
        <v>0</v>
      </c>
      <c r="Q193" s="7">
        <f>O193+P193</f>
        <v>0</v>
      </c>
      <c r="R193" s="7">
        <v>1</v>
      </c>
      <c r="S193" s="6" t="s">
        <v>3048</v>
      </c>
      <c r="T193" s="6" t="s">
        <v>2997</v>
      </c>
      <c r="U193" s="6"/>
      <c r="V193" s="16"/>
      <c r="W193" s="16"/>
      <c r="X193" s="16"/>
      <c r="Y193" s="6" t="s">
        <v>1627</v>
      </c>
      <c r="Z193" s="15"/>
      <c r="AA193" s="15" t="s">
        <v>1628</v>
      </c>
    </row>
    <row r="194" spans="1:27" ht="33" customHeight="1">
      <c r="A194" s="6" t="s">
        <v>3062</v>
      </c>
      <c r="B194" s="7">
        <v>575</v>
      </c>
      <c r="C194" s="6" t="s">
        <v>3063</v>
      </c>
      <c r="D194" s="6" t="s">
        <v>3033</v>
      </c>
      <c r="E194" s="6" t="s">
        <v>2134</v>
      </c>
      <c r="F194" s="6" t="s">
        <v>1081</v>
      </c>
      <c r="G194" s="6" t="s">
        <v>290</v>
      </c>
      <c r="H194" s="6"/>
      <c r="I194" s="14" t="s">
        <v>1642</v>
      </c>
      <c r="J194" s="15"/>
      <c r="K194" s="6" t="s">
        <v>1976</v>
      </c>
      <c r="L194" s="6"/>
      <c r="M194" s="6" t="s">
        <v>1643</v>
      </c>
      <c r="N194" s="6" t="s">
        <v>1644</v>
      </c>
      <c r="O194" s="7">
        <f>SUMIFS('05_상품별배치367'!$K$7:$K$373,'05_상품별배치367'!$E$7:$E$373,A194,'05_상품별배치367'!$H$7:$H$373,"본진")</f>
        <v>0</v>
      </c>
      <c r="P194" s="7">
        <f>SUMIFS('05_상품별배치367'!$K$7:$K$373,'05_상품별배치367'!$E$7:$E$373,A194,'05_상품별배치367'!$H$7:$H$373,"추가 진열")</f>
        <v>0</v>
      </c>
      <c r="Q194" s="7">
        <f>O194+P194</f>
        <v>0</v>
      </c>
      <c r="R194" s="7">
        <v>1</v>
      </c>
      <c r="S194" s="6" t="s">
        <v>2135</v>
      </c>
      <c r="T194" s="6" t="s">
        <v>2997</v>
      </c>
      <c r="U194" s="6"/>
      <c r="V194" s="16"/>
      <c r="W194" s="16"/>
      <c r="X194" s="16"/>
      <c r="Y194" s="6" t="s">
        <v>1627</v>
      </c>
      <c r="Z194" s="15"/>
      <c r="AA194" s="15" t="s">
        <v>1628</v>
      </c>
    </row>
    <row r="195" spans="1:27" ht="33" customHeight="1">
      <c r="A195" s="6" t="s">
        <v>3049</v>
      </c>
      <c r="B195" s="7">
        <v>569</v>
      </c>
      <c r="C195" s="6" t="s">
        <v>3050</v>
      </c>
      <c r="D195" s="6" t="s">
        <v>2845</v>
      </c>
      <c r="E195" s="6" t="s">
        <v>1986</v>
      </c>
      <c r="F195" s="6" t="s">
        <v>913</v>
      </c>
      <c r="G195" s="6" t="s">
        <v>201</v>
      </c>
      <c r="H195" s="6"/>
      <c r="I195" s="14" t="s">
        <v>1642</v>
      </c>
      <c r="J195" s="15"/>
      <c r="K195" s="6" t="s">
        <v>1976</v>
      </c>
      <c r="L195" s="6"/>
      <c r="M195" s="6" t="s">
        <v>1643</v>
      </c>
      <c r="N195" s="6" t="s">
        <v>1644</v>
      </c>
      <c r="O195" s="7">
        <f>SUMIFS('05_상품별배치367'!$K$7:$K$373,'05_상품별배치367'!$E$7:$E$373,A195,'05_상품별배치367'!$H$7:$H$373,"본진")</f>
        <v>0</v>
      </c>
      <c r="P195" s="7">
        <f>SUMIFS('05_상품별배치367'!$K$7:$K$373,'05_상품별배치367'!$E$7:$E$373,A195,'05_상품별배치367'!$H$7:$H$373,"추가 진열")</f>
        <v>0</v>
      </c>
      <c r="Q195" s="7">
        <f>O195+P195</f>
        <v>0</v>
      </c>
      <c r="R195" s="7">
        <v>1</v>
      </c>
      <c r="S195" s="6" t="s">
        <v>2907</v>
      </c>
      <c r="T195" s="6" t="s">
        <v>2997</v>
      </c>
      <c r="U195" s="6"/>
      <c r="V195" s="16"/>
      <c r="W195" s="16"/>
      <c r="X195" s="16"/>
      <c r="Y195" s="6" t="s">
        <v>1627</v>
      </c>
      <c r="Z195" s="15"/>
      <c r="AA195" s="15" t="s">
        <v>1628</v>
      </c>
    </row>
    <row r="196" spans="1:27" ht="33" customHeight="1">
      <c r="A196" s="8" t="s">
        <v>3051</v>
      </c>
      <c r="B196" s="9">
        <v>570</v>
      </c>
      <c r="C196" s="8" t="s">
        <v>3052</v>
      </c>
      <c r="D196" s="8" t="s">
        <v>2984</v>
      </c>
      <c r="E196" s="8" t="s">
        <v>2134</v>
      </c>
      <c r="F196" s="8" t="s">
        <v>162</v>
      </c>
      <c r="G196" s="8" t="s">
        <v>404</v>
      </c>
      <c r="H196" s="8"/>
      <c r="I196" s="14" t="s">
        <v>1642</v>
      </c>
      <c r="J196" s="15"/>
      <c r="K196" s="8" t="s">
        <v>1976</v>
      </c>
      <c r="L196" s="8"/>
      <c r="M196" s="6" t="s">
        <v>1643</v>
      </c>
      <c r="N196" s="6" t="s">
        <v>1644</v>
      </c>
      <c r="O196" s="7">
        <f>SUMIFS('05_상품별배치367'!$K$7:$K$373,'05_상품별배치367'!$E$7:$E$373,A196,'05_상품별배치367'!$H$7:$H$373,"본진")</f>
        <v>0</v>
      </c>
      <c r="P196" s="7">
        <f>SUMIFS('05_상품별배치367'!$K$7:$K$373,'05_상품별배치367'!$E$7:$E$373,A196,'05_상품별배치367'!$H$7:$H$373,"추가 진열")</f>
        <v>0</v>
      </c>
      <c r="Q196" s="7">
        <f>O196+P196</f>
        <v>0</v>
      </c>
      <c r="R196" s="7">
        <v>1</v>
      </c>
      <c r="S196" s="6" t="s">
        <v>2996</v>
      </c>
      <c r="T196" s="6" t="s">
        <v>2997</v>
      </c>
      <c r="U196" s="6"/>
      <c r="V196" s="16"/>
      <c r="W196" s="16"/>
      <c r="X196" s="16"/>
      <c r="Y196" s="6" t="s">
        <v>1627</v>
      </c>
      <c r="Z196" s="15"/>
      <c r="AA196" s="15" t="s">
        <v>1628</v>
      </c>
    </row>
    <row r="197" spans="1:27" ht="33" customHeight="1">
      <c r="A197" s="6" t="s">
        <v>3053</v>
      </c>
      <c r="B197" s="7">
        <v>571</v>
      </c>
      <c r="C197" s="6" t="s">
        <v>3054</v>
      </c>
      <c r="D197" s="6" t="s">
        <v>3055</v>
      </c>
      <c r="E197" s="6" t="s">
        <v>2134</v>
      </c>
      <c r="F197" s="6" t="s">
        <v>162</v>
      </c>
      <c r="G197" s="6" t="s">
        <v>404</v>
      </c>
      <c r="H197" s="6"/>
      <c r="I197" s="14" t="s">
        <v>1642</v>
      </c>
      <c r="J197" s="15"/>
      <c r="K197" s="6" t="s">
        <v>1976</v>
      </c>
      <c r="L197" s="6"/>
      <c r="M197" s="6" t="s">
        <v>1643</v>
      </c>
      <c r="N197" s="6" t="s">
        <v>1644</v>
      </c>
      <c r="O197" s="7">
        <f>SUMIFS('05_상품별배치367'!$K$7:$K$373,'05_상품별배치367'!$E$7:$E$373,A197,'05_상품별배치367'!$H$7:$H$373,"본진")</f>
        <v>0</v>
      </c>
      <c r="P197" s="7">
        <f>SUMIFS('05_상품별배치367'!$K$7:$K$373,'05_상품별배치367'!$E$7:$E$373,A197,'05_상품별배치367'!$H$7:$H$373,"추가 진열")</f>
        <v>0</v>
      </c>
      <c r="Q197" s="7">
        <f>O197+P197</f>
        <v>0</v>
      </c>
      <c r="R197" s="7">
        <v>1</v>
      </c>
      <c r="S197" s="6" t="s">
        <v>2996</v>
      </c>
      <c r="T197" s="6" t="s">
        <v>2997</v>
      </c>
      <c r="U197" s="6"/>
      <c r="V197" s="16"/>
      <c r="W197" s="16"/>
      <c r="X197" s="16"/>
      <c r="Y197" s="6" t="s">
        <v>1627</v>
      </c>
      <c r="Z197" s="15"/>
      <c r="AA197" s="15" t="s">
        <v>1628</v>
      </c>
    </row>
    <row r="198" spans="1:27" ht="33" customHeight="1">
      <c r="A198" s="8" t="s">
        <v>3056</v>
      </c>
      <c r="B198" s="9">
        <v>572</v>
      </c>
      <c r="C198" s="8" t="s">
        <v>3057</v>
      </c>
      <c r="D198" s="8" t="s">
        <v>2133</v>
      </c>
      <c r="E198" s="8" t="s">
        <v>2134</v>
      </c>
      <c r="F198" s="8" t="s">
        <v>162</v>
      </c>
      <c r="G198" s="8" t="s">
        <v>404</v>
      </c>
      <c r="H198" s="8"/>
      <c r="I198" s="14" t="s">
        <v>1642</v>
      </c>
      <c r="J198" s="15"/>
      <c r="K198" s="8" t="s">
        <v>1976</v>
      </c>
      <c r="L198" s="8"/>
      <c r="M198" s="6" t="s">
        <v>1643</v>
      </c>
      <c r="N198" s="6" t="s">
        <v>1644</v>
      </c>
      <c r="O198" s="7">
        <f>SUMIFS('05_상품별배치367'!$K$7:$K$373,'05_상품별배치367'!$E$7:$E$373,A198,'05_상품별배치367'!$H$7:$H$373,"본진")</f>
        <v>0</v>
      </c>
      <c r="P198" s="7">
        <f>SUMIFS('05_상품별배치367'!$K$7:$K$373,'05_상품별배치367'!$E$7:$E$373,A198,'05_상품별배치367'!$H$7:$H$373,"추가 진열")</f>
        <v>0</v>
      </c>
      <c r="Q198" s="7">
        <f>O198+P198</f>
        <v>0</v>
      </c>
      <c r="R198" s="7">
        <v>1</v>
      </c>
      <c r="S198" s="6" t="s">
        <v>2996</v>
      </c>
      <c r="T198" s="6" t="s">
        <v>2997</v>
      </c>
      <c r="U198" s="6"/>
      <c r="V198" s="16"/>
      <c r="W198" s="16"/>
      <c r="X198" s="16"/>
      <c r="Y198" s="6" t="s">
        <v>1627</v>
      </c>
      <c r="Z198" s="15"/>
      <c r="AA198" s="15" t="s">
        <v>1628</v>
      </c>
    </row>
    <row r="199" spans="1:27" ht="33" customHeight="1">
      <c r="A199" s="8" t="s">
        <v>3003</v>
      </c>
      <c r="B199" s="9">
        <v>550</v>
      </c>
      <c r="C199" s="8" t="s">
        <v>3004</v>
      </c>
      <c r="D199" s="8" t="s">
        <v>3005</v>
      </c>
      <c r="E199" s="8" t="s">
        <v>1981</v>
      </c>
      <c r="F199" s="8" t="s">
        <v>122</v>
      </c>
      <c r="G199" s="8" t="s">
        <v>185</v>
      </c>
      <c r="H199" s="8"/>
      <c r="I199" s="14" t="s">
        <v>1642</v>
      </c>
      <c r="J199" s="15"/>
      <c r="K199" s="8" t="s">
        <v>1982</v>
      </c>
      <c r="L199" s="8"/>
      <c r="M199" s="6" t="s">
        <v>1643</v>
      </c>
      <c r="N199" s="6" t="s">
        <v>1644</v>
      </c>
      <c r="O199" s="7">
        <f>SUMIFS('05_상품별배치367'!$K$7:$K$373,'05_상품별배치367'!$E$7:$E$373,A199,'05_상품별배치367'!$H$7:$H$373,"본진")</f>
        <v>0</v>
      </c>
      <c r="P199" s="7">
        <f>SUMIFS('05_상품별배치367'!$K$7:$K$373,'05_상품별배치367'!$E$7:$E$373,A199,'05_상품별배치367'!$H$7:$H$373,"추가 진열")</f>
        <v>0</v>
      </c>
      <c r="Q199" s="7">
        <f>O199+P199</f>
        <v>0</v>
      </c>
      <c r="R199" s="7">
        <v>1</v>
      </c>
      <c r="S199" s="6" t="s">
        <v>1983</v>
      </c>
      <c r="T199" s="6" t="s">
        <v>2997</v>
      </c>
      <c r="U199" s="6"/>
      <c r="V199" s="16"/>
      <c r="W199" s="16"/>
      <c r="X199" s="16"/>
      <c r="Y199" s="6" t="s">
        <v>1627</v>
      </c>
      <c r="Z199" s="15"/>
      <c r="AA199" s="15" t="s">
        <v>1628</v>
      </c>
    </row>
    <row r="200" spans="1:27" ht="33" customHeight="1">
      <c r="A200" s="8" t="s">
        <v>2998</v>
      </c>
      <c r="B200" s="9">
        <v>548</v>
      </c>
      <c r="C200" s="8" t="s">
        <v>2999</v>
      </c>
      <c r="D200" s="8" t="s">
        <v>2714</v>
      </c>
      <c r="E200" s="8" t="s">
        <v>2134</v>
      </c>
      <c r="F200" s="8" t="s">
        <v>481</v>
      </c>
      <c r="G200" s="8" t="s">
        <v>193</v>
      </c>
      <c r="H200" s="8"/>
      <c r="I200" s="14" t="s">
        <v>1642</v>
      </c>
      <c r="J200" s="15"/>
      <c r="K200" s="8" t="s">
        <v>1976</v>
      </c>
      <c r="L200" s="8"/>
      <c r="M200" s="6" t="s">
        <v>1643</v>
      </c>
      <c r="N200" s="6" t="s">
        <v>1644</v>
      </c>
      <c r="O200" s="7">
        <f>SUMIFS('05_상품별배치367'!$K$7:$K$373,'05_상품별배치367'!$E$7:$E$373,A200,'05_상품별배치367'!$H$7:$H$373,"본진")</f>
        <v>0</v>
      </c>
      <c r="P200" s="7">
        <f>SUMIFS('05_상품별배치367'!$K$7:$K$373,'05_상품별배치367'!$E$7:$E$373,A200,'05_상품별배치367'!$H$7:$H$373,"추가 진열")</f>
        <v>0</v>
      </c>
      <c r="Q200" s="7">
        <f>O200+P200</f>
        <v>0</v>
      </c>
      <c r="R200" s="7">
        <v>1</v>
      </c>
      <c r="S200" s="6" t="s">
        <v>3000</v>
      </c>
      <c r="T200" s="6" t="s">
        <v>2997</v>
      </c>
      <c r="U200" s="6"/>
      <c r="V200" s="16"/>
      <c r="W200" s="16"/>
      <c r="X200" s="16"/>
      <c r="Y200" s="6" t="s">
        <v>1627</v>
      </c>
      <c r="Z200" s="15"/>
      <c r="AA200" s="15" t="s">
        <v>1628</v>
      </c>
    </row>
    <row r="201" spans="1:27" ht="33" customHeight="1">
      <c r="A201" s="6" t="s">
        <v>3001</v>
      </c>
      <c r="B201" s="7">
        <v>549</v>
      </c>
      <c r="C201" s="6" t="s">
        <v>3002</v>
      </c>
      <c r="D201" s="6" t="s">
        <v>2845</v>
      </c>
      <c r="E201" s="6" t="s">
        <v>1986</v>
      </c>
      <c r="F201" s="6" t="s">
        <v>913</v>
      </c>
      <c r="G201" s="6" t="s">
        <v>201</v>
      </c>
      <c r="H201" s="6" t="s">
        <v>914</v>
      </c>
      <c r="I201" s="14" t="s">
        <v>1633</v>
      </c>
      <c r="J201" s="15"/>
      <c r="K201" s="6" t="s">
        <v>1976</v>
      </c>
      <c r="L201" s="6"/>
      <c r="M201" s="6" t="s">
        <v>1635</v>
      </c>
      <c r="N201" s="6" t="s">
        <v>1624</v>
      </c>
      <c r="O201" s="7">
        <f>SUMIFS('05_상품별배치367'!$K$7:$K$373,'05_상품별배치367'!$E$7:$E$373,A201,'05_상품별배치367'!$H$7:$H$373,"본진")</f>
        <v>1</v>
      </c>
      <c r="P201" s="7">
        <f>SUMIFS('05_상품별배치367'!$K$7:$K$373,'05_상품별배치367'!$E$7:$E$373,A201,'05_상품별배치367'!$H$7:$H$373,"추가 진열")</f>
        <v>0</v>
      </c>
      <c r="Q201" s="7">
        <f>O201+P201</f>
        <v>1</v>
      </c>
      <c r="R201" s="7">
        <v>1</v>
      </c>
      <c r="S201" s="6" t="s">
        <v>1636</v>
      </c>
      <c r="T201" s="6" t="s">
        <v>2997</v>
      </c>
      <c r="U201" s="6"/>
      <c r="V201" s="16"/>
      <c r="W201" s="16"/>
      <c r="X201" s="16"/>
      <c r="Y201" s="6" t="s">
        <v>1627</v>
      </c>
      <c r="Z201" s="15"/>
      <c r="AA201" s="15" t="s">
        <v>1628</v>
      </c>
    </row>
    <row r="202" spans="1:27" ht="33" customHeight="1">
      <c r="A202" s="6" t="s">
        <v>2993</v>
      </c>
      <c r="B202" s="7">
        <v>547</v>
      </c>
      <c r="C202" s="6" t="s">
        <v>2994</v>
      </c>
      <c r="D202" s="6" t="s">
        <v>2995</v>
      </c>
      <c r="E202" s="6" t="s">
        <v>2134</v>
      </c>
      <c r="F202" s="6" t="s">
        <v>162</v>
      </c>
      <c r="G202" s="6" t="s">
        <v>404</v>
      </c>
      <c r="H202" s="6"/>
      <c r="I202" s="14" t="s">
        <v>1642</v>
      </c>
      <c r="J202" s="15"/>
      <c r="K202" s="6" t="s">
        <v>1976</v>
      </c>
      <c r="L202" s="6"/>
      <c r="M202" s="6" t="s">
        <v>1643</v>
      </c>
      <c r="N202" s="6" t="s">
        <v>1644</v>
      </c>
      <c r="O202" s="7">
        <f>SUMIFS('05_상품별배치367'!$K$7:$K$373,'05_상품별배치367'!$E$7:$E$373,A202,'05_상품별배치367'!$H$7:$H$373,"본진")</f>
        <v>0</v>
      </c>
      <c r="P202" s="7">
        <f>SUMIFS('05_상품별배치367'!$K$7:$K$373,'05_상품별배치367'!$E$7:$E$373,A202,'05_상품별배치367'!$H$7:$H$373,"추가 진열")</f>
        <v>0</v>
      </c>
      <c r="Q202" s="7">
        <f>O202+P202</f>
        <v>0</v>
      </c>
      <c r="R202" s="7">
        <v>1</v>
      </c>
      <c r="S202" s="6" t="s">
        <v>2996</v>
      </c>
      <c r="T202" s="6" t="s">
        <v>2997</v>
      </c>
      <c r="U202" s="6"/>
      <c r="V202" s="16"/>
      <c r="W202" s="16"/>
      <c r="X202" s="16"/>
      <c r="Y202" s="6" t="s">
        <v>1627</v>
      </c>
      <c r="Z202" s="15"/>
      <c r="AA202" s="15" t="s">
        <v>1628</v>
      </c>
    </row>
    <row r="203" spans="1:27" ht="33" customHeight="1">
      <c r="A203" s="6" t="s">
        <v>910</v>
      </c>
      <c r="B203" s="7">
        <v>553</v>
      </c>
      <c r="C203" s="6" t="s">
        <v>909</v>
      </c>
      <c r="D203" s="6" t="s">
        <v>2995</v>
      </c>
      <c r="E203" s="6" t="s">
        <v>2134</v>
      </c>
      <c r="F203" s="6" t="s">
        <v>481</v>
      </c>
      <c r="G203" s="6" t="s">
        <v>193</v>
      </c>
      <c r="H203" s="6" t="s">
        <v>908</v>
      </c>
      <c r="I203" s="14" t="s">
        <v>1633</v>
      </c>
      <c r="J203" s="15"/>
      <c r="K203" s="6" t="s">
        <v>1976</v>
      </c>
      <c r="L203" s="6"/>
      <c r="M203" s="6" t="s">
        <v>1635</v>
      </c>
      <c r="N203" s="6" t="s">
        <v>1624</v>
      </c>
      <c r="O203" s="7">
        <f>SUMIFS('05_상품별배치367'!$K$7:$K$373,'05_상품별배치367'!$E$7:$E$373,A203,'05_상품별배치367'!$H$7:$H$373,"본진")</f>
        <v>1</v>
      </c>
      <c r="P203" s="7">
        <f>SUMIFS('05_상품별배치367'!$K$7:$K$373,'05_상품별배치367'!$E$7:$E$373,A203,'05_상품별배치367'!$H$7:$H$373,"추가 진열")</f>
        <v>0</v>
      </c>
      <c r="Q203" s="7">
        <f>O203+P203</f>
        <v>1</v>
      </c>
      <c r="R203" s="7">
        <v>1</v>
      </c>
      <c r="S203" s="6" t="s">
        <v>1636</v>
      </c>
      <c r="T203" s="6" t="s">
        <v>2997</v>
      </c>
      <c r="U203" s="6"/>
      <c r="V203" s="16"/>
      <c r="W203" s="16"/>
      <c r="X203" s="16"/>
      <c r="Y203" s="6" t="s">
        <v>1627</v>
      </c>
      <c r="Z203" s="15"/>
      <c r="AA203" s="15" t="s">
        <v>1628</v>
      </c>
    </row>
    <row r="204" spans="1:27" ht="33" customHeight="1">
      <c r="A204" s="8" t="s">
        <v>3010</v>
      </c>
      <c r="B204" s="9">
        <v>552</v>
      </c>
      <c r="C204" s="8" t="s">
        <v>3011</v>
      </c>
      <c r="D204" s="8" t="s">
        <v>1926</v>
      </c>
      <c r="E204" s="8" t="s">
        <v>2134</v>
      </c>
      <c r="F204" s="8" t="s">
        <v>842</v>
      </c>
      <c r="G204" s="8" t="s">
        <v>164</v>
      </c>
      <c r="H204" s="8"/>
      <c r="I204" s="14" t="s">
        <v>1642</v>
      </c>
      <c r="J204" s="15"/>
      <c r="K204" s="8" t="s">
        <v>1976</v>
      </c>
      <c r="L204" s="8"/>
      <c r="M204" s="6" t="s">
        <v>1643</v>
      </c>
      <c r="N204" s="6" t="s">
        <v>1644</v>
      </c>
      <c r="O204" s="7">
        <f>SUMIFS('05_상품별배치367'!$K$7:$K$373,'05_상품별배치367'!$E$7:$E$373,A204,'05_상품별배치367'!$H$7:$H$373,"본진")</f>
        <v>0</v>
      </c>
      <c r="P204" s="7">
        <f>SUMIFS('05_상품별배치367'!$K$7:$K$373,'05_상품별배치367'!$E$7:$E$373,A204,'05_상품별배치367'!$H$7:$H$373,"추가 진열")</f>
        <v>0</v>
      </c>
      <c r="Q204" s="7">
        <f>O204+P204</f>
        <v>0</v>
      </c>
      <c r="R204" s="7">
        <v>1</v>
      </c>
      <c r="S204" s="6" t="s">
        <v>3009</v>
      </c>
      <c r="T204" s="6" t="s">
        <v>2997</v>
      </c>
      <c r="U204" s="6"/>
      <c r="V204" s="16"/>
      <c r="W204" s="16"/>
      <c r="X204" s="16"/>
      <c r="Y204" s="6" t="s">
        <v>1627</v>
      </c>
      <c r="Z204" s="15"/>
      <c r="AA204" s="15" t="s">
        <v>1628</v>
      </c>
    </row>
    <row r="205" spans="1:27" ht="33" customHeight="1">
      <c r="A205" s="8" t="s">
        <v>3045</v>
      </c>
      <c r="B205" s="9">
        <v>568</v>
      </c>
      <c r="C205" s="8" t="s">
        <v>3046</v>
      </c>
      <c r="D205" s="8" t="s">
        <v>3047</v>
      </c>
      <c r="E205" s="8" t="s">
        <v>2134</v>
      </c>
      <c r="F205" s="8" t="s">
        <v>163</v>
      </c>
      <c r="G205" s="8" t="s">
        <v>414</v>
      </c>
      <c r="H205" s="8"/>
      <c r="I205" s="14" t="s">
        <v>1642</v>
      </c>
      <c r="J205" s="15"/>
      <c r="K205" s="8" t="s">
        <v>1976</v>
      </c>
      <c r="L205" s="8"/>
      <c r="M205" s="6" t="s">
        <v>1643</v>
      </c>
      <c r="N205" s="6" t="s">
        <v>1644</v>
      </c>
      <c r="O205" s="7">
        <f>SUMIFS('05_상품별배치367'!$K$7:$K$373,'05_상품별배치367'!$E$7:$E$373,A205,'05_상품별배치367'!$H$7:$H$373,"본진")</f>
        <v>0</v>
      </c>
      <c r="P205" s="7">
        <f>SUMIFS('05_상품별배치367'!$K$7:$K$373,'05_상품별배치367'!$E$7:$E$373,A205,'05_상품별배치367'!$H$7:$H$373,"추가 진열")</f>
        <v>0</v>
      </c>
      <c r="Q205" s="7">
        <f>O205+P205</f>
        <v>0</v>
      </c>
      <c r="R205" s="7">
        <v>1</v>
      </c>
      <c r="S205" s="6" t="s">
        <v>3048</v>
      </c>
      <c r="T205" s="6" t="s">
        <v>2997</v>
      </c>
      <c r="U205" s="6"/>
      <c r="V205" s="16"/>
      <c r="W205" s="16"/>
      <c r="X205" s="16"/>
      <c r="Y205" s="6" t="s">
        <v>1627</v>
      </c>
      <c r="Z205" s="15"/>
      <c r="AA205" s="15" t="s">
        <v>1628</v>
      </c>
    </row>
    <row r="206" spans="1:27" ht="33" customHeight="1">
      <c r="A206" s="6" t="s">
        <v>5902</v>
      </c>
      <c r="B206" s="7">
        <v>1905</v>
      </c>
      <c r="C206" s="6" t="s">
        <v>5903</v>
      </c>
      <c r="D206" s="6"/>
      <c r="E206" s="6" t="s">
        <v>2746</v>
      </c>
      <c r="F206" s="6" t="s">
        <v>5399</v>
      </c>
      <c r="G206" s="6" t="s">
        <v>1668</v>
      </c>
      <c r="H206" s="6"/>
      <c r="I206" s="14" t="s">
        <v>1669</v>
      </c>
      <c r="J206" s="15"/>
      <c r="K206" s="6" t="s">
        <v>2748</v>
      </c>
      <c r="L206" s="6" t="s">
        <v>2079</v>
      </c>
      <c r="M206" s="6" t="s">
        <v>1671</v>
      </c>
      <c r="N206" s="6" t="s">
        <v>1644</v>
      </c>
      <c r="O206" s="7">
        <f>SUMIFS('05_상품별배치367'!$K$7:$K$373,'05_상품별배치367'!$E$7:$E$373,A206,'05_상품별배치367'!$H$7:$H$373,"본진")</f>
        <v>0</v>
      </c>
      <c r="P206" s="7">
        <f>SUMIFS('05_상품별배치367'!$K$7:$K$373,'05_상품별배치367'!$E$7:$E$373,A206,'05_상품별배치367'!$H$7:$H$373,"추가 진열")</f>
        <v>0</v>
      </c>
      <c r="Q206" s="7">
        <f>O206+P206</f>
        <v>0</v>
      </c>
      <c r="R206" s="7">
        <v>0</v>
      </c>
      <c r="S206" s="6" t="s">
        <v>1672</v>
      </c>
      <c r="T206" s="6" t="s">
        <v>1637</v>
      </c>
      <c r="U206" s="6"/>
      <c r="V206" s="16"/>
      <c r="W206" s="16"/>
      <c r="X206" s="16"/>
      <c r="Y206" s="6" t="s">
        <v>5772</v>
      </c>
      <c r="Z206" s="15"/>
      <c r="AA206" s="15" t="s">
        <v>1628</v>
      </c>
    </row>
    <row r="207" spans="1:27" ht="33" customHeight="1">
      <c r="A207" s="6" t="s">
        <v>2151</v>
      </c>
      <c r="B207" s="7">
        <v>187</v>
      </c>
      <c r="C207" s="6" t="s">
        <v>2152</v>
      </c>
      <c r="D207" s="6" t="s">
        <v>2153</v>
      </c>
      <c r="E207" s="6" t="s">
        <v>1620</v>
      </c>
      <c r="F207" s="6" t="s">
        <v>150</v>
      </c>
      <c r="G207" s="6" t="s">
        <v>332</v>
      </c>
      <c r="H207" s="6"/>
      <c r="I207" s="14" t="s">
        <v>1642</v>
      </c>
      <c r="J207" s="15"/>
      <c r="K207" s="6" t="s">
        <v>1622</v>
      </c>
      <c r="L207" s="6"/>
      <c r="M207" s="6" t="s">
        <v>1643</v>
      </c>
      <c r="N207" s="6" t="s">
        <v>1644</v>
      </c>
      <c r="O207" s="7">
        <f>SUMIFS('05_상품별배치367'!$K$7:$K$373,'05_상품별배치367'!$E$7:$E$373,A207,'05_상품별배치367'!$H$7:$H$373,"본진")</f>
        <v>0</v>
      </c>
      <c r="P207" s="7">
        <f>SUMIFS('05_상품별배치367'!$K$7:$K$373,'05_상품별배치367'!$E$7:$E$373,A207,'05_상품별배치367'!$H$7:$H$373,"추가 진열")</f>
        <v>0</v>
      </c>
      <c r="Q207" s="7">
        <f>O207+P207</f>
        <v>0</v>
      </c>
      <c r="R207" s="7">
        <v>1</v>
      </c>
      <c r="S207" s="6" t="s">
        <v>2037</v>
      </c>
      <c r="T207" s="6" t="s">
        <v>2154</v>
      </c>
      <c r="U207" s="6"/>
      <c r="V207" s="16"/>
      <c r="W207" s="16"/>
      <c r="X207" s="16"/>
      <c r="Y207" s="6" t="s">
        <v>1655</v>
      </c>
      <c r="Z207" s="15"/>
      <c r="AA207" s="15" t="s">
        <v>1628</v>
      </c>
    </row>
    <row r="208" spans="1:27" ht="33" customHeight="1">
      <c r="A208" s="6" t="s">
        <v>2167</v>
      </c>
      <c r="B208" s="7">
        <v>191</v>
      </c>
      <c r="C208" s="6" t="s">
        <v>2168</v>
      </c>
      <c r="D208" s="6" t="s">
        <v>2169</v>
      </c>
      <c r="E208" s="6" t="s">
        <v>1620</v>
      </c>
      <c r="F208" s="6" t="s">
        <v>505</v>
      </c>
      <c r="G208" s="6" t="s">
        <v>358</v>
      </c>
      <c r="H208" s="6"/>
      <c r="I208" s="14" t="s">
        <v>1642</v>
      </c>
      <c r="J208" s="15"/>
      <c r="K208" s="6" t="s">
        <v>1622</v>
      </c>
      <c r="L208" s="6"/>
      <c r="M208" s="6" t="s">
        <v>1643</v>
      </c>
      <c r="N208" s="6" t="s">
        <v>1644</v>
      </c>
      <c r="O208" s="7">
        <f>SUMIFS('05_상품별배치367'!$K$7:$K$373,'05_상품별배치367'!$E$7:$E$373,A208,'05_상품별배치367'!$H$7:$H$373,"본진")</f>
        <v>0</v>
      </c>
      <c r="P208" s="7">
        <f>SUMIFS('05_상품별배치367'!$K$7:$K$373,'05_상품별배치367'!$E$7:$E$373,A208,'05_상품별배치367'!$H$7:$H$373,"추가 진열")</f>
        <v>0</v>
      </c>
      <c r="Q208" s="7">
        <f>O208+P208</f>
        <v>0</v>
      </c>
      <c r="R208" s="7">
        <v>1</v>
      </c>
      <c r="S208" s="6" t="s">
        <v>1793</v>
      </c>
      <c r="T208" s="6" t="s">
        <v>2154</v>
      </c>
      <c r="U208" s="6"/>
      <c r="V208" s="16"/>
      <c r="W208" s="16"/>
      <c r="X208" s="16"/>
      <c r="Y208" s="6" t="s">
        <v>1655</v>
      </c>
      <c r="Z208" s="15"/>
      <c r="AA208" s="15" t="s">
        <v>1628</v>
      </c>
    </row>
    <row r="209" spans="1:27" ht="33" customHeight="1">
      <c r="A209" s="6" t="s">
        <v>2173</v>
      </c>
      <c r="B209" s="7">
        <v>193</v>
      </c>
      <c r="C209" s="6" t="s">
        <v>2174</v>
      </c>
      <c r="D209" s="6" t="s">
        <v>2169</v>
      </c>
      <c r="E209" s="6" t="s">
        <v>1620</v>
      </c>
      <c r="F209" s="6" t="s">
        <v>505</v>
      </c>
      <c r="G209" s="6" t="s">
        <v>358</v>
      </c>
      <c r="H209" s="6"/>
      <c r="I209" s="14" t="s">
        <v>1642</v>
      </c>
      <c r="J209" s="15"/>
      <c r="K209" s="6" t="s">
        <v>1622</v>
      </c>
      <c r="L209" s="6"/>
      <c r="M209" s="6" t="s">
        <v>1643</v>
      </c>
      <c r="N209" s="6" t="s">
        <v>1644</v>
      </c>
      <c r="O209" s="7">
        <f>SUMIFS('05_상품별배치367'!$K$7:$K$373,'05_상품별배치367'!$E$7:$E$373,A209,'05_상품별배치367'!$H$7:$H$373,"본진")</f>
        <v>0</v>
      </c>
      <c r="P209" s="7">
        <f>SUMIFS('05_상품별배치367'!$K$7:$K$373,'05_상품별배치367'!$E$7:$E$373,A209,'05_상품별배치367'!$H$7:$H$373,"추가 진열")</f>
        <v>0</v>
      </c>
      <c r="Q209" s="7">
        <f>O209+P209</f>
        <v>0</v>
      </c>
      <c r="R209" s="7">
        <v>1</v>
      </c>
      <c r="S209" s="6" t="s">
        <v>1793</v>
      </c>
      <c r="T209" s="6" t="s">
        <v>2154</v>
      </c>
      <c r="U209" s="6"/>
      <c r="V209" s="16"/>
      <c r="W209" s="16"/>
      <c r="X209" s="16"/>
      <c r="Y209" s="6" t="s">
        <v>1655</v>
      </c>
      <c r="Z209" s="15"/>
      <c r="AA209" s="15" t="s">
        <v>1628</v>
      </c>
    </row>
    <row r="210" spans="1:27" ht="33" customHeight="1">
      <c r="A210" s="8" t="s">
        <v>2170</v>
      </c>
      <c r="B210" s="9">
        <v>192</v>
      </c>
      <c r="C210" s="8" t="s">
        <v>2171</v>
      </c>
      <c r="D210" s="8" t="s">
        <v>2172</v>
      </c>
      <c r="E210" s="8" t="s">
        <v>1620</v>
      </c>
      <c r="F210" s="8" t="s">
        <v>2158</v>
      </c>
      <c r="G210" s="8" t="s">
        <v>358</v>
      </c>
      <c r="H210" s="8" t="s">
        <v>1243</v>
      </c>
      <c r="I210" s="14" t="s">
        <v>1633</v>
      </c>
      <c r="J210" s="15"/>
      <c r="K210" s="8" t="s">
        <v>1622</v>
      </c>
      <c r="L210" s="8"/>
      <c r="M210" s="6" t="s">
        <v>1635</v>
      </c>
      <c r="N210" s="6" t="s">
        <v>1624</v>
      </c>
      <c r="O210" s="7">
        <f>SUMIFS('05_상품별배치367'!$K$7:$K$373,'05_상품별배치367'!$E$7:$E$373,A210,'05_상품별배치367'!$H$7:$H$373,"본진")</f>
        <v>1</v>
      </c>
      <c r="P210" s="7">
        <f>SUMIFS('05_상품별배치367'!$K$7:$K$373,'05_상품별배치367'!$E$7:$E$373,A210,'05_상품별배치367'!$H$7:$H$373,"추가 진열")</f>
        <v>0</v>
      </c>
      <c r="Q210" s="7">
        <f>O210+P210</f>
        <v>1</v>
      </c>
      <c r="R210" s="7">
        <v>1</v>
      </c>
      <c r="S210" s="6" t="s">
        <v>1636</v>
      </c>
      <c r="T210" s="6" t="s">
        <v>2154</v>
      </c>
      <c r="U210" s="6"/>
      <c r="V210" s="16"/>
      <c r="W210" s="16"/>
      <c r="X210" s="16"/>
      <c r="Y210" s="6" t="s">
        <v>1655</v>
      </c>
      <c r="Z210" s="15"/>
      <c r="AA210" s="15" t="s">
        <v>1628</v>
      </c>
    </row>
    <row r="211" spans="1:27" ht="33" customHeight="1">
      <c r="A211" s="8" t="s">
        <v>2164</v>
      </c>
      <c r="B211" s="9">
        <v>190</v>
      </c>
      <c r="C211" s="8" t="s">
        <v>2165</v>
      </c>
      <c r="D211" s="8" t="s">
        <v>2166</v>
      </c>
      <c r="E211" s="8" t="s">
        <v>1620</v>
      </c>
      <c r="F211" s="8" t="s">
        <v>2121</v>
      </c>
      <c r="G211" s="8" t="s">
        <v>1668</v>
      </c>
      <c r="H211" s="8"/>
      <c r="I211" s="14" t="s">
        <v>1642</v>
      </c>
      <c r="J211" s="15"/>
      <c r="K211" s="8" t="s">
        <v>1622</v>
      </c>
      <c r="L211" s="8"/>
      <c r="M211" s="6" t="s">
        <v>1643</v>
      </c>
      <c r="N211" s="6" t="s">
        <v>1644</v>
      </c>
      <c r="O211" s="7">
        <f>SUMIFS('05_상품별배치367'!$K$7:$K$373,'05_상품별배치367'!$E$7:$E$373,A211,'05_상품별배치367'!$H$7:$H$373,"본진")</f>
        <v>0</v>
      </c>
      <c r="P211" s="7">
        <f>SUMIFS('05_상품별배치367'!$K$7:$K$373,'05_상품별배치367'!$E$7:$E$373,A211,'05_상품별배치367'!$H$7:$H$373,"추가 진열")</f>
        <v>0</v>
      </c>
      <c r="Q211" s="7">
        <f>O211+P211</f>
        <v>0</v>
      </c>
      <c r="R211" s="7">
        <v>1</v>
      </c>
      <c r="S211" s="6" t="s">
        <v>2122</v>
      </c>
      <c r="T211" s="6" t="s">
        <v>2154</v>
      </c>
      <c r="U211" s="6"/>
      <c r="V211" s="16"/>
      <c r="W211" s="16"/>
      <c r="X211" s="16"/>
      <c r="Y211" s="6" t="s">
        <v>1655</v>
      </c>
      <c r="Z211" s="15"/>
      <c r="AA211" s="15" t="s">
        <v>1628</v>
      </c>
    </row>
    <row r="212" spans="1:27" ht="33" customHeight="1">
      <c r="A212" s="8" t="s">
        <v>2188</v>
      </c>
      <c r="B212" s="9">
        <v>198</v>
      </c>
      <c r="C212" s="8" t="s">
        <v>2189</v>
      </c>
      <c r="D212" s="8" t="s">
        <v>2190</v>
      </c>
      <c r="E212" s="8" t="s">
        <v>1620</v>
      </c>
      <c r="F212" s="8" t="s">
        <v>1239</v>
      </c>
      <c r="G212" s="8" t="s">
        <v>358</v>
      </c>
      <c r="H212" s="8"/>
      <c r="I212" s="14" t="s">
        <v>1642</v>
      </c>
      <c r="J212" s="15"/>
      <c r="K212" s="8" t="s">
        <v>1622</v>
      </c>
      <c r="L212" s="8"/>
      <c r="M212" s="6" t="s">
        <v>1643</v>
      </c>
      <c r="N212" s="6" t="s">
        <v>1644</v>
      </c>
      <c r="O212" s="7">
        <f>SUMIFS('05_상품별배치367'!$K$7:$K$373,'05_상품별배치367'!$E$7:$E$373,A212,'05_상품별배치367'!$H$7:$H$373,"본진")</f>
        <v>0</v>
      </c>
      <c r="P212" s="7">
        <f>SUMIFS('05_상품별배치367'!$K$7:$K$373,'05_상품별배치367'!$E$7:$E$373,A212,'05_상품별배치367'!$H$7:$H$373,"추가 진열")</f>
        <v>0</v>
      </c>
      <c r="Q212" s="7">
        <f>O212+P212</f>
        <v>0</v>
      </c>
      <c r="R212" s="7">
        <v>1</v>
      </c>
      <c r="S212" s="6" t="s">
        <v>2187</v>
      </c>
      <c r="T212" s="6" t="s">
        <v>2154</v>
      </c>
      <c r="U212" s="6"/>
      <c r="V212" s="16"/>
      <c r="W212" s="16"/>
      <c r="X212" s="16"/>
      <c r="Y212" s="6" t="s">
        <v>1655</v>
      </c>
      <c r="Z212" s="15"/>
      <c r="AA212" s="15" t="s">
        <v>1628</v>
      </c>
    </row>
    <row r="213" spans="1:27" ht="33" customHeight="1">
      <c r="A213" s="8" t="s">
        <v>2181</v>
      </c>
      <c r="B213" s="9">
        <v>196</v>
      </c>
      <c r="C213" s="8" t="s">
        <v>2182</v>
      </c>
      <c r="D213" s="8" t="s">
        <v>2183</v>
      </c>
      <c r="E213" s="8" t="s">
        <v>1620</v>
      </c>
      <c r="F213" s="8" t="s">
        <v>2162</v>
      </c>
      <c r="G213" s="8" t="s">
        <v>358</v>
      </c>
      <c r="H213" s="8" t="s">
        <v>1243</v>
      </c>
      <c r="I213" s="14" t="s">
        <v>1642</v>
      </c>
      <c r="J213" s="15"/>
      <c r="K213" s="8" t="s">
        <v>1622</v>
      </c>
      <c r="L213" s="8"/>
      <c r="M213" s="6" t="s">
        <v>1643</v>
      </c>
      <c r="N213" s="6" t="s">
        <v>1644</v>
      </c>
      <c r="O213" s="7">
        <f>SUMIFS('05_상품별배치367'!$K$7:$K$373,'05_상품별배치367'!$E$7:$E$373,A213,'05_상품별배치367'!$H$7:$H$373,"본진")</f>
        <v>0</v>
      </c>
      <c r="P213" s="7">
        <f>SUMIFS('05_상품별배치367'!$K$7:$K$373,'05_상품별배치367'!$E$7:$E$373,A213,'05_상품별배치367'!$H$7:$H$373,"추가 진열")</f>
        <v>0</v>
      </c>
      <c r="Q213" s="7">
        <f>O213+P213</f>
        <v>0</v>
      </c>
      <c r="R213" s="7">
        <v>1</v>
      </c>
      <c r="S213" s="6" t="s">
        <v>2163</v>
      </c>
      <c r="T213" s="6" t="s">
        <v>2154</v>
      </c>
      <c r="U213" s="6"/>
      <c r="V213" s="16"/>
      <c r="W213" s="16"/>
      <c r="X213" s="16"/>
      <c r="Y213" s="6" t="s">
        <v>1655</v>
      </c>
      <c r="Z213" s="15"/>
      <c r="AA213" s="15" t="s">
        <v>1628</v>
      </c>
    </row>
    <row r="214" spans="1:27" ht="33" customHeight="1">
      <c r="A214" s="8" t="s">
        <v>2175</v>
      </c>
      <c r="B214" s="9">
        <v>194</v>
      </c>
      <c r="C214" s="8" t="s">
        <v>2176</v>
      </c>
      <c r="D214" s="8" t="s">
        <v>2177</v>
      </c>
      <c r="E214" s="8" t="s">
        <v>1620</v>
      </c>
      <c r="F214" s="8" t="s">
        <v>1234</v>
      </c>
      <c r="G214" s="8" t="s">
        <v>358</v>
      </c>
      <c r="H214" s="8"/>
      <c r="I214" s="14" t="s">
        <v>1642</v>
      </c>
      <c r="J214" s="15"/>
      <c r="K214" s="8" t="s">
        <v>1622</v>
      </c>
      <c r="L214" s="8"/>
      <c r="M214" s="6" t="s">
        <v>1643</v>
      </c>
      <c r="N214" s="6" t="s">
        <v>1644</v>
      </c>
      <c r="O214" s="7">
        <f>SUMIFS('05_상품별배치367'!$K$7:$K$373,'05_상품별배치367'!$E$7:$E$373,A214,'05_상품별배치367'!$H$7:$H$373,"본진")</f>
        <v>0</v>
      </c>
      <c r="P214" s="7">
        <f>SUMIFS('05_상품별배치367'!$K$7:$K$373,'05_상품별배치367'!$E$7:$E$373,A214,'05_상품별배치367'!$H$7:$H$373,"추가 진열")</f>
        <v>0</v>
      </c>
      <c r="Q214" s="7">
        <f>O214+P214</f>
        <v>0</v>
      </c>
      <c r="R214" s="7">
        <v>1</v>
      </c>
      <c r="S214" s="6" t="s">
        <v>1683</v>
      </c>
      <c r="T214" s="6" t="s">
        <v>2154</v>
      </c>
      <c r="U214" s="6"/>
      <c r="V214" s="16"/>
      <c r="W214" s="16"/>
      <c r="X214" s="16"/>
      <c r="Y214" s="6" t="s">
        <v>1655</v>
      </c>
      <c r="Z214" s="15"/>
      <c r="AA214" s="15" t="s">
        <v>1628</v>
      </c>
    </row>
    <row r="215" spans="1:27" ht="33" customHeight="1">
      <c r="A215" s="8" t="s">
        <v>2155</v>
      </c>
      <c r="B215" s="9">
        <v>188</v>
      </c>
      <c r="C215" s="8" t="s">
        <v>2156</v>
      </c>
      <c r="D215" s="8" t="s">
        <v>2157</v>
      </c>
      <c r="E215" s="8" t="s">
        <v>1620</v>
      </c>
      <c r="F215" s="8" t="s">
        <v>2158</v>
      </c>
      <c r="G215" s="8" t="s">
        <v>358</v>
      </c>
      <c r="H215" s="8" t="s">
        <v>1243</v>
      </c>
      <c r="I215" s="14" t="s">
        <v>1633</v>
      </c>
      <c r="J215" s="15"/>
      <c r="K215" s="8" t="s">
        <v>1622</v>
      </c>
      <c r="L215" s="8"/>
      <c r="M215" s="6" t="s">
        <v>1635</v>
      </c>
      <c r="N215" s="6" t="s">
        <v>1644</v>
      </c>
      <c r="O215" s="7">
        <f>SUMIFS('05_상품별배치367'!$K$7:$K$373,'05_상품별배치367'!$E$7:$E$373,A215,'05_상품별배치367'!$H$7:$H$373,"본진")</f>
        <v>1</v>
      </c>
      <c r="P215" s="7">
        <f>SUMIFS('05_상품별배치367'!$K$7:$K$373,'05_상품별배치367'!$E$7:$E$373,A215,'05_상품별배치367'!$H$7:$H$373,"추가 진열")</f>
        <v>0</v>
      </c>
      <c r="Q215" s="7">
        <f>O215+P215</f>
        <v>1</v>
      </c>
      <c r="R215" s="7">
        <v>1</v>
      </c>
      <c r="S215" s="6" t="s">
        <v>1636</v>
      </c>
      <c r="T215" s="6" t="s">
        <v>2154</v>
      </c>
      <c r="U215" s="6"/>
      <c r="V215" s="16"/>
      <c r="W215" s="16"/>
      <c r="X215" s="16"/>
      <c r="Y215" s="6" t="s">
        <v>1655</v>
      </c>
      <c r="Z215" s="15"/>
      <c r="AA215" s="15" t="s">
        <v>1628</v>
      </c>
    </row>
    <row r="216" spans="1:27" ht="33" customHeight="1">
      <c r="A216" s="6" t="s">
        <v>2159</v>
      </c>
      <c r="B216" s="7">
        <v>189</v>
      </c>
      <c r="C216" s="6" t="s">
        <v>2160</v>
      </c>
      <c r="D216" s="6" t="s">
        <v>2161</v>
      </c>
      <c r="E216" s="6" t="s">
        <v>1620</v>
      </c>
      <c r="F216" s="6" t="s">
        <v>2162</v>
      </c>
      <c r="G216" s="6" t="s">
        <v>358</v>
      </c>
      <c r="H216" s="6"/>
      <c r="I216" s="14" t="s">
        <v>1642</v>
      </c>
      <c r="J216" s="15"/>
      <c r="K216" s="6" t="s">
        <v>1622</v>
      </c>
      <c r="L216" s="6"/>
      <c r="M216" s="6" t="s">
        <v>1643</v>
      </c>
      <c r="N216" s="6" t="s">
        <v>1644</v>
      </c>
      <c r="O216" s="7">
        <f>SUMIFS('05_상품별배치367'!$K$7:$K$373,'05_상품별배치367'!$E$7:$E$373,A216,'05_상품별배치367'!$H$7:$H$373,"본진")</f>
        <v>0</v>
      </c>
      <c r="P216" s="7">
        <f>SUMIFS('05_상품별배치367'!$K$7:$K$373,'05_상품별배치367'!$E$7:$E$373,A216,'05_상품별배치367'!$H$7:$H$373,"추가 진열")</f>
        <v>0</v>
      </c>
      <c r="Q216" s="7">
        <f>O216+P216</f>
        <v>0</v>
      </c>
      <c r="R216" s="7">
        <v>1</v>
      </c>
      <c r="S216" s="6" t="s">
        <v>2163</v>
      </c>
      <c r="T216" s="6" t="s">
        <v>2154</v>
      </c>
      <c r="U216" s="6"/>
      <c r="V216" s="16"/>
      <c r="W216" s="16"/>
      <c r="X216" s="16"/>
      <c r="Y216" s="6" t="s">
        <v>1655</v>
      </c>
      <c r="Z216" s="15"/>
      <c r="AA216" s="15" t="s">
        <v>1628</v>
      </c>
    </row>
    <row r="217" spans="1:27" ht="33" customHeight="1">
      <c r="A217" s="6" t="s">
        <v>2178</v>
      </c>
      <c r="B217" s="7">
        <v>195</v>
      </c>
      <c r="C217" s="6" t="s">
        <v>2179</v>
      </c>
      <c r="D217" s="6" t="s">
        <v>2180</v>
      </c>
      <c r="E217" s="6" t="s">
        <v>1620</v>
      </c>
      <c r="F217" s="6" t="s">
        <v>2031</v>
      </c>
      <c r="G217" s="6" t="s">
        <v>1668</v>
      </c>
      <c r="H217" s="6"/>
      <c r="I217" s="14" t="s">
        <v>1642</v>
      </c>
      <c r="J217" s="15"/>
      <c r="K217" s="6" t="s">
        <v>1622</v>
      </c>
      <c r="L217" s="6" t="s">
        <v>2032</v>
      </c>
      <c r="M217" s="6" t="s">
        <v>1643</v>
      </c>
      <c r="N217" s="6" t="s">
        <v>1644</v>
      </c>
      <c r="O217" s="7">
        <f>SUMIFS('05_상품별배치367'!$K$7:$K$373,'05_상품별배치367'!$E$7:$E$373,A217,'05_상품별배치367'!$H$7:$H$373,"본진")</f>
        <v>0</v>
      </c>
      <c r="P217" s="7">
        <f>SUMIFS('05_상품별배치367'!$K$7:$K$373,'05_상품별배치367'!$E$7:$E$373,A217,'05_상품별배치367'!$H$7:$H$373,"추가 진열")</f>
        <v>0</v>
      </c>
      <c r="Q217" s="7">
        <f>O217+P217</f>
        <v>0</v>
      </c>
      <c r="R217" s="7">
        <v>1</v>
      </c>
      <c r="S217" s="6" t="s">
        <v>2033</v>
      </c>
      <c r="T217" s="6" t="s">
        <v>2154</v>
      </c>
      <c r="U217" s="6"/>
      <c r="V217" s="16"/>
      <c r="W217" s="16"/>
      <c r="X217" s="16"/>
      <c r="Y217" s="6" t="s">
        <v>1655</v>
      </c>
      <c r="Z217" s="15"/>
      <c r="AA217" s="15" t="s">
        <v>1628</v>
      </c>
    </row>
    <row r="218" spans="1:27" ht="33" customHeight="1">
      <c r="A218" s="6" t="s">
        <v>2184</v>
      </c>
      <c r="B218" s="7">
        <v>197</v>
      </c>
      <c r="C218" s="6" t="s">
        <v>2185</v>
      </c>
      <c r="D218" s="6" t="s">
        <v>2186</v>
      </c>
      <c r="E218" s="6" t="s">
        <v>1620</v>
      </c>
      <c r="F218" s="6" t="s">
        <v>1239</v>
      </c>
      <c r="G218" s="6" t="s">
        <v>358</v>
      </c>
      <c r="H218" s="6"/>
      <c r="I218" s="14" t="s">
        <v>1642</v>
      </c>
      <c r="J218" s="15"/>
      <c r="K218" s="6" t="s">
        <v>1622</v>
      </c>
      <c r="L218" s="6"/>
      <c r="M218" s="6" t="s">
        <v>1643</v>
      </c>
      <c r="N218" s="6" t="s">
        <v>1644</v>
      </c>
      <c r="O218" s="7">
        <f>SUMIFS('05_상품별배치367'!$K$7:$K$373,'05_상품별배치367'!$E$7:$E$373,A218,'05_상품별배치367'!$H$7:$H$373,"본진")</f>
        <v>0</v>
      </c>
      <c r="P218" s="7">
        <f>SUMIFS('05_상품별배치367'!$K$7:$K$373,'05_상품별배치367'!$E$7:$E$373,A218,'05_상품별배치367'!$H$7:$H$373,"추가 진열")</f>
        <v>0</v>
      </c>
      <c r="Q218" s="7">
        <f>O218+P218</f>
        <v>0</v>
      </c>
      <c r="R218" s="7">
        <v>1</v>
      </c>
      <c r="S218" s="6" t="s">
        <v>2187</v>
      </c>
      <c r="T218" s="6" t="s">
        <v>2154</v>
      </c>
      <c r="U218" s="6"/>
      <c r="V218" s="16"/>
      <c r="W218" s="16"/>
      <c r="X218" s="16"/>
      <c r="Y218" s="6" t="s">
        <v>1655</v>
      </c>
      <c r="Z218" s="15"/>
      <c r="AA218" s="15" t="s">
        <v>1628</v>
      </c>
    </row>
    <row r="219" spans="1:27" ht="33" customHeight="1">
      <c r="A219" s="6" t="s">
        <v>2191</v>
      </c>
      <c r="B219" s="7">
        <v>199</v>
      </c>
      <c r="C219" s="6" t="s">
        <v>2192</v>
      </c>
      <c r="D219" s="6" t="s">
        <v>2193</v>
      </c>
      <c r="E219" s="6" t="s">
        <v>1620</v>
      </c>
      <c r="F219" s="6" t="s">
        <v>2194</v>
      </c>
      <c r="G219" s="6" t="s">
        <v>107</v>
      </c>
      <c r="H219" s="6"/>
      <c r="I219" s="14" t="s">
        <v>1642</v>
      </c>
      <c r="J219" s="15"/>
      <c r="K219" s="6" t="s">
        <v>1622</v>
      </c>
      <c r="L219" s="6" t="s">
        <v>2195</v>
      </c>
      <c r="M219" s="6" t="s">
        <v>1643</v>
      </c>
      <c r="N219" s="6" t="s">
        <v>1644</v>
      </c>
      <c r="O219" s="7">
        <f>SUMIFS('05_상품별배치367'!$K$7:$K$373,'05_상품별배치367'!$E$7:$E$373,A219,'05_상품별배치367'!$H$7:$H$373,"본진")</f>
        <v>0</v>
      </c>
      <c r="P219" s="7">
        <f>SUMIFS('05_상품별배치367'!$K$7:$K$373,'05_상품별배치367'!$E$7:$E$373,A219,'05_상품별배치367'!$H$7:$H$373,"추가 진열")</f>
        <v>0</v>
      </c>
      <c r="Q219" s="7">
        <f>O219+P219</f>
        <v>0</v>
      </c>
      <c r="R219" s="7">
        <v>1</v>
      </c>
      <c r="S219" s="6" t="s">
        <v>2196</v>
      </c>
      <c r="T219" s="6" t="s">
        <v>2154</v>
      </c>
      <c r="U219" s="6"/>
      <c r="V219" s="16"/>
      <c r="W219" s="16"/>
      <c r="X219" s="16"/>
      <c r="Y219" s="6" t="s">
        <v>1655</v>
      </c>
      <c r="Z219" s="15"/>
      <c r="AA219" s="15" t="s">
        <v>1628</v>
      </c>
    </row>
    <row r="220" spans="1:27" ht="33" customHeight="1">
      <c r="A220" s="6" t="s">
        <v>3938</v>
      </c>
      <c r="B220" s="7">
        <v>977</v>
      </c>
      <c r="C220" s="6" t="s">
        <v>3939</v>
      </c>
      <c r="D220" s="6" t="s">
        <v>3940</v>
      </c>
      <c r="E220" s="6" t="s">
        <v>2746</v>
      </c>
      <c r="F220" s="6" t="s">
        <v>3635</v>
      </c>
      <c r="G220" s="6" t="s">
        <v>1668</v>
      </c>
      <c r="H220" s="6"/>
      <c r="I220" s="14" t="s">
        <v>1669</v>
      </c>
      <c r="J220" s="15"/>
      <c r="K220" s="6" t="s">
        <v>2748</v>
      </c>
      <c r="L220" s="6"/>
      <c r="M220" s="6" t="s">
        <v>1671</v>
      </c>
      <c r="N220" s="6" t="s">
        <v>1644</v>
      </c>
      <c r="O220" s="7">
        <f>SUMIFS('05_상품별배치367'!$K$7:$K$373,'05_상품별배치367'!$E$7:$E$373,A220,'05_상품별배치367'!$H$7:$H$373,"본진")</f>
        <v>0</v>
      </c>
      <c r="P220" s="7">
        <f>SUMIFS('05_상품별배치367'!$K$7:$K$373,'05_상품별배치367'!$E$7:$E$373,A220,'05_상품별배치367'!$H$7:$H$373,"추가 진열")</f>
        <v>0</v>
      </c>
      <c r="Q220" s="7">
        <f>O220+P220</f>
        <v>0</v>
      </c>
      <c r="R220" s="7">
        <v>0</v>
      </c>
      <c r="S220" s="6" t="s">
        <v>1672</v>
      </c>
      <c r="T220" s="6" t="s">
        <v>1637</v>
      </c>
      <c r="U220" s="6"/>
      <c r="V220" s="16"/>
      <c r="W220" s="16"/>
      <c r="X220" s="16"/>
      <c r="Y220" s="6" t="s">
        <v>1627</v>
      </c>
      <c r="Z220" s="15"/>
      <c r="AA220" s="15" t="s">
        <v>1628</v>
      </c>
    </row>
    <row r="221" spans="1:27" ht="33" customHeight="1">
      <c r="A221" s="8" t="s">
        <v>3941</v>
      </c>
      <c r="B221" s="9">
        <v>978</v>
      </c>
      <c r="C221" s="8" t="s">
        <v>3942</v>
      </c>
      <c r="D221" s="8" t="s">
        <v>3940</v>
      </c>
      <c r="E221" s="8" t="s">
        <v>2746</v>
      </c>
      <c r="F221" s="8" t="s">
        <v>3635</v>
      </c>
      <c r="G221" s="8" t="s">
        <v>1668</v>
      </c>
      <c r="H221" s="8"/>
      <c r="I221" s="14" t="s">
        <v>1669</v>
      </c>
      <c r="J221" s="15"/>
      <c r="K221" s="8" t="s">
        <v>2748</v>
      </c>
      <c r="L221" s="8"/>
      <c r="M221" s="6" t="s">
        <v>1671</v>
      </c>
      <c r="N221" s="6" t="s">
        <v>1644</v>
      </c>
      <c r="O221" s="7">
        <f>SUMIFS('05_상품별배치367'!$K$7:$K$373,'05_상품별배치367'!$E$7:$E$373,A221,'05_상품별배치367'!$H$7:$H$373,"본진")</f>
        <v>0</v>
      </c>
      <c r="P221" s="7">
        <f>SUMIFS('05_상품별배치367'!$K$7:$K$373,'05_상품별배치367'!$E$7:$E$373,A221,'05_상품별배치367'!$H$7:$H$373,"추가 진열")</f>
        <v>0</v>
      </c>
      <c r="Q221" s="7">
        <f>O221+P221</f>
        <v>0</v>
      </c>
      <c r="R221" s="7">
        <v>0</v>
      </c>
      <c r="S221" s="6" t="s">
        <v>1672</v>
      </c>
      <c r="T221" s="6" t="s">
        <v>1637</v>
      </c>
      <c r="U221" s="6"/>
      <c r="V221" s="16"/>
      <c r="W221" s="16"/>
      <c r="X221" s="16"/>
      <c r="Y221" s="6" t="s">
        <v>1627</v>
      </c>
      <c r="Z221" s="15"/>
      <c r="AA221" s="15" t="s">
        <v>1628</v>
      </c>
    </row>
    <row r="222" spans="1:27" ht="33" customHeight="1">
      <c r="A222" s="8" t="s">
        <v>5823</v>
      </c>
      <c r="B222" s="9">
        <v>1868</v>
      </c>
      <c r="C222" s="8" t="s">
        <v>5824</v>
      </c>
      <c r="D222" s="8" t="s">
        <v>4191</v>
      </c>
      <c r="E222" s="8" t="s">
        <v>1632</v>
      </c>
      <c r="F222" s="8" t="s">
        <v>1410</v>
      </c>
      <c r="G222" s="8" t="s">
        <v>447</v>
      </c>
      <c r="H222" s="8" t="s">
        <v>1409</v>
      </c>
      <c r="I222" s="14" t="s">
        <v>1621</v>
      </c>
      <c r="J222" s="15"/>
      <c r="K222" s="8" t="s">
        <v>1634</v>
      </c>
      <c r="L222" s="8" t="s">
        <v>3828</v>
      </c>
      <c r="M222" s="6" t="s">
        <v>1623</v>
      </c>
      <c r="N222" s="6" t="s">
        <v>1624</v>
      </c>
      <c r="O222" s="7">
        <f>SUMIFS('05_상품별배치367'!$K$7:$K$373,'05_상품별배치367'!$E$7:$E$373,A222,'05_상품별배치367'!$H$7:$H$373,"본진")</f>
        <v>2</v>
      </c>
      <c r="P222" s="7">
        <f>SUMIFS('05_상품별배치367'!$K$7:$K$373,'05_상품별배치367'!$E$7:$E$373,A222,'05_상품별배치367'!$H$7:$H$373,"추가 진열")</f>
        <v>0</v>
      </c>
      <c r="Q222" s="7">
        <f>O222+P222</f>
        <v>2</v>
      </c>
      <c r="R222" s="7">
        <v>2</v>
      </c>
      <c r="S222" s="6" t="s">
        <v>1625</v>
      </c>
      <c r="T222" s="6" t="s">
        <v>1637</v>
      </c>
      <c r="U222" s="6"/>
      <c r="V222" s="16"/>
      <c r="W222" s="16"/>
      <c r="X222" s="16"/>
      <c r="Y222" s="6" t="s">
        <v>1627</v>
      </c>
      <c r="Z222" s="15"/>
      <c r="AA222" s="15" t="s">
        <v>1628</v>
      </c>
    </row>
    <row r="223" spans="1:27" ht="33" customHeight="1">
      <c r="A223" s="6" t="s">
        <v>5818</v>
      </c>
      <c r="B223" s="7">
        <v>1865</v>
      </c>
      <c r="C223" s="6" t="s">
        <v>5819</v>
      </c>
      <c r="D223" s="6" t="s">
        <v>2856</v>
      </c>
      <c r="E223" s="6" t="s">
        <v>1632</v>
      </c>
      <c r="F223" s="6" t="s">
        <v>1410</v>
      </c>
      <c r="G223" s="6" t="s">
        <v>447</v>
      </c>
      <c r="H223" s="6"/>
      <c r="I223" s="14" t="s">
        <v>1642</v>
      </c>
      <c r="J223" s="15"/>
      <c r="K223" s="6" t="s">
        <v>1634</v>
      </c>
      <c r="L223" s="6" t="s">
        <v>3828</v>
      </c>
      <c r="M223" s="6" t="s">
        <v>1643</v>
      </c>
      <c r="N223" s="6" t="s">
        <v>1624</v>
      </c>
      <c r="O223" s="7">
        <f>SUMIFS('05_상품별배치367'!$K$7:$K$373,'05_상품별배치367'!$E$7:$E$373,A223,'05_상품별배치367'!$H$7:$H$373,"본진")</f>
        <v>0</v>
      </c>
      <c r="P223" s="7">
        <f>SUMIFS('05_상품별배치367'!$K$7:$K$373,'05_상품별배치367'!$E$7:$E$373,A223,'05_상품별배치367'!$H$7:$H$373,"추가 진열")</f>
        <v>0</v>
      </c>
      <c r="Q223" s="7">
        <f>O223+P223</f>
        <v>0</v>
      </c>
      <c r="R223" s="7">
        <v>1</v>
      </c>
      <c r="S223" s="6" t="s">
        <v>5817</v>
      </c>
      <c r="T223" s="6" t="s">
        <v>1637</v>
      </c>
      <c r="U223" s="6"/>
      <c r="V223" s="16"/>
      <c r="W223" s="16"/>
      <c r="X223" s="16"/>
      <c r="Y223" s="6" t="s">
        <v>1627</v>
      </c>
      <c r="Z223" s="15"/>
      <c r="AA223" s="15" t="s">
        <v>1628</v>
      </c>
    </row>
    <row r="224" spans="1:27" ht="33" customHeight="1">
      <c r="A224" s="8" t="s">
        <v>758</v>
      </c>
      <c r="B224" s="9">
        <v>1834</v>
      </c>
      <c r="C224" s="8" t="s">
        <v>757</v>
      </c>
      <c r="D224" s="8" t="s">
        <v>1649</v>
      </c>
      <c r="E224" s="8" t="s">
        <v>1632</v>
      </c>
      <c r="F224" s="8" t="s">
        <v>128</v>
      </c>
      <c r="G224" s="8" t="s">
        <v>228</v>
      </c>
      <c r="H224" s="8" t="s">
        <v>969</v>
      </c>
      <c r="I224" s="14" t="s">
        <v>1621</v>
      </c>
      <c r="J224" s="15"/>
      <c r="K224" s="8" t="s">
        <v>1634</v>
      </c>
      <c r="L224" s="8" t="s">
        <v>3828</v>
      </c>
      <c r="M224" s="6" t="s">
        <v>1623</v>
      </c>
      <c r="N224" s="6" t="s">
        <v>1624</v>
      </c>
      <c r="O224" s="7">
        <f>SUMIFS('05_상품별배치367'!$K$7:$K$373,'05_상품별배치367'!$E$7:$E$373,A224,'05_상품별배치367'!$H$7:$H$373,"본진")</f>
        <v>2</v>
      </c>
      <c r="P224" s="7">
        <f>SUMIFS('05_상품별배치367'!$K$7:$K$373,'05_상품별배치367'!$E$7:$E$373,A224,'05_상품별배치367'!$H$7:$H$373,"추가 진열")</f>
        <v>1</v>
      </c>
      <c r="Q224" s="7">
        <f>O224+P224</f>
        <v>3</v>
      </c>
      <c r="R224" s="7">
        <v>2</v>
      </c>
      <c r="S224" s="6" t="s">
        <v>1625</v>
      </c>
      <c r="T224" s="6" t="s">
        <v>1637</v>
      </c>
      <c r="U224" s="6"/>
      <c r="V224" s="16"/>
      <c r="W224" s="16"/>
      <c r="X224" s="16"/>
      <c r="Y224" s="6" t="s">
        <v>1627</v>
      </c>
      <c r="Z224" s="15"/>
      <c r="AA224" s="15" t="s">
        <v>1628</v>
      </c>
    </row>
    <row r="225" spans="1:27" ht="33" customHeight="1">
      <c r="A225" s="6" t="s">
        <v>979</v>
      </c>
      <c r="B225" s="7">
        <v>1857</v>
      </c>
      <c r="C225" s="6" t="s">
        <v>978</v>
      </c>
      <c r="D225" s="6" t="s">
        <v>5803</v>
      </c>
      <c r="E225" s="6" t="s">
        <v>1632</v>
      </c>
      <c r="F225" s="6" t="s">
        <v>128</v>
      </c>
      <c r="G225" s="6" t="s">
        <v>228</v>
      </c>
      <c r="H225" s="6" t="s">
        <v>977</v>
      </c>
      <c r="I225" s="14" t="s">
        <v>1633</v>
      </c>
      <c r="J225" s="15"/>
      <c r="K225" s="6" t="s">
        <v>1634</v>
      </c>
      <c r="L225" s="6" t="s">
        <v>3828</v>
      </c>
      <c r="M225" s="6" t="s">
        <v>1635</v>
      </c>
      <c r="N225" s="6" t="s">
        <v>1624</v>
      </c>
      <c r="O225" s="7">
        <f>SUMIFS('05_상품별배치367'!$K$7:$K$373,'05_상품별배치367'!$E$7:$E$373,A225,'05_상품별배치367'!$H$7:$H$373,"본진")</f>
        <v>1</v>
      </c>
      <c r="P225" s="7">
        <f>SUMIFS('05_상품별배치367'!$K$7:$K$373,'05_상품별배치367'!$E$7:$E$373,A225,'05_상품별배치367'!$H$7:$H$373,"추가 진열")</f>
        <v>1</v>
      </c>
      <c r="Q225" s="7">
        <f>O225+P225</f>
        <v>2</v>
      </c>
      <c r="R225" s="7">
        <v>1</v>
      </c>
      <c r="S225" s="6" t="s">
        <v>1636</v>
      </c>
      <c r="T225" s="6" t="s">
        <v>1637</v>
      </c>
      <c r="U225" s="6"/>
      <c r="V225" s="16"/>
      <c r="W225" s="16"/>
      <c r="X225" s="16"/>
      <c r="Y225" s="6" t="s">
        <v>1627</v>
      </c>
      <c r="Z225" s="15"/>
      <c r="AA225" s="15" t="s">
        <v>1628</v>
      </c>
    </row>
    <row r="226" spans="1:27" ht="33" customHeight="1">
      <c r="A226" s="8" t="s">
        <v>5890</v>
      </c>
      <c r="B226" s="9">
        <v>1900</v>
      </c>
      <c r="C226" s="8" t="s">
        <v>5891</v>
      </c>
      <c r="D226" s="8" t="s">
        <v>1686</v>
      </c>
      <c r="E226" s="8" t="s">
        <v>1632</v>
      </c>
      <c r="F226" s="8" t="s">
        <v>563</v>
      </c>
      <c r="G226" s="8" t="s">
        <v>25</v>
      </c>
      <c r="H226" s="8" t="s">
        <v>562</v>
      </c>
      <c r="I226" s="14" t="s">
        <v>1633</v>
      </c>
      <c r="J226" s="15"/>
      <c r="K226" s="8" t="s">
        <v>1634</v>
      </c>
      <c r="L226" s="8" t="s">
        <v>3828</v>
      </c>
      <c r="M226" s="6" t="s">
        <v>1635</v>
      </c>
      <c r="N226" s="6" t="s">
        <v>1624</v>
      </c>
      <c r="O226" s="7">
        <f>SUMIFS('05_상품별배치367'!$K$7:$K$373,'05_상품별배치367'!$E$7:$E$373,A226,'05_상품별배치367'!$H$7:$H$373,"본진")</f>
        <v>1</v>
      </c>
      <c r="P226" s="7">
        <f>SUMIFS('05_상품별배치367'!$K$7:$K$373,'05_상품별배치367'!$E$7:$E$373,A226,'05_상품별배치367'!$H$7:$H$373,"추가 진열")</f>
        <v>0</v>
      </c>
      <c r="Q226" s="7">
        <f>O226+P226</f>
        <v>1</v>
      </c>
      <c r="R226" s="7">
        <v>1</v>
      </c>
      <c r="S226" s="6" t="s">
        <v>1636</v>
      </c>
      <c r="T226" s="6" t="s">
        <v>1637</v>
      </c>
      <c r="U226" s="6"/>
      <c r="V226" s="16"/>
      <c r="W226" s="16"/>
      <c r="X226" s="16"/>
      <c r="Y226" s="6" t="s">
        <v>1627</v>
      </c>
      <c r="Z226" s="15"/>
      <c r="AA226" s="15" t="s">
        <v>1628</v>
      </c>
    </row>
    <row r="227" spans="1:27" ht="33" customHeight="1">
      <c r="A227" s="6" t="s">
        <v>5972</v>
      </c>
      <c r="B227" s="7">
        <v>1937</v>
      </c>
      <c r="C227" s="6" t="s">
        <v>5973</v>
      </c>
      <c r="D227" s="6" t="s">
        <v>5736</v>
      </c>
      <c r="E227" s="6" t="s">
        <v>1814</v>
      </c>
      <c r="F227" s="6" t="s">
        <v>1341</v>
      </c>
      <c r="G227" s="6" t="s">
        <v>423</v>
      </c>
      <c r="H227" s="6"/>
      <c r="I227" s="14" t="s">
        <v>1642</v>
      </c>
      <c r="J227" s="15"/>
      <c r="K227" s="6" t="s">
        <v>1634</v>
      </c>
      <c r="L227" s="6" t="s">
        <v>3828</v>
      </c>
      <c r="M227" s="6" t="s">
        <v>1643</v>
      </c>
      <c r="N227" s="6" t="s">
        <v>1624</v>
      </c>
      <c r="O227" s="7">
        <f>SUMIFS('05_상품별배치367'!$K$7:$K$373,'05_상품별배치367'!$E$7:$E$373,A227,'05_상품별배치367'!$H$7:$H$373,"본진")</f>
        <v>0</v>
      </c>
      <c r="P227" s="7">
        <f>SUMIFS('05_상품별배치367'!$K$7:$K$373,'05_상품별배치367'!$E$7:$E$373,A227,'05_상품별배치367'!$H$7:$H$373,"추가 진열")</f>
        <v>0</v>
      </c>
      <c r="Q227" s="7">
        <f>O227+P227</f>
        <v>0</v>
      </c>
      <c r="R227" s="7">
        <v>1</v>
      </c>
      <c r="S227" s="6" t="s">
        <v>5974</v>
      </c>
      <c r="T227" s="6" t="s">
        <v>1637</v>
      </c>
      <c r="U227" s="6"/>
      <c r="V227" s="16"/>
      <c r="W227" s="16"/>
      <c r="X227" s="16"/>
      <c r="Y227" s="6" t="s">
        <v>1627</v>
      </c>
      <c r="Z227" s="15"/>
      <c r="AA227" s="15" t="s">
        <v>1628</v>
      </c>
    </row>
    <row r="228" spans="1:27" ht="33" customHeight="1">
      <c r="A228" s="6" t="s">
        <v>3918</v>
      </c>
      <c r="B228" s="7">
        <v>969</v>
      </c>
      <c r="C228" s="6" t="s">
        <v>3919</v>
      </c>
      <c r="D228" s="6" t="s">
        <v>2133</v>
      </c>
      <c r="E228" s="6" t="s">
        <v>2134</v>
      </c>
      <c r="F228" s="6" t="s">
        <v>2933</v>
      </c>
      <c r="G228" s="6" t="s">
        <v>1668</v>
      </c>
      <c r="H228" s="6"/>
      <c r="I228" s="14" t="s">
        <v>1807</v>
      </c>
      <c r="J228" s="15"/>
      <c r="K228" s="6" t="s">
        <v>1976</v>
      </c>
      <c r="L228" s="6" t="s">
        <v>2032</v>
      </c>
      <c r="M228" s="6" t="s">
        <v>1809</v>
      </c>
      <c r="N228" s="6" t="s">
        <v>1644</v>
      </c>
      <c r="O228" s="7">
        <f>SUMIFS('05_상품별배치367'!$K$7:$K$373,'05_상품별배치367'!$E$7:$E$373,A228,'05_상품별배치367'!$H$7:$H$373,"본진")</f>
        <v>0</v>
      </c>
      <c r="P228" s="7">
        <f>SUMIFS('05_상품별배치367'!$K$7:$K$373,'05_상품별배치367'!$E$7:$E$373,A228,'05_상품별배치367'!$H$7:$H$373,"추가 진열")</f>
        <v>0</v>
      </c>
      <c r="Q228" s="7">
        <f>O228+P228</f>
        <v>0</v>
      </c>
      <c r="R228" s="7">
        <v>0</v>
      </c>
      <c r="S228" s="6" t="s">
        <v>1810</v>
      </c>
      <c r="T228" s="6" t="s">
        <v>1637</v>
      </c>
      <c r="U228" s="6"/>
      <c r="V228" s="16"/>
      <c r="W228" s="16"/>
      <c r="X228" s="16"/>
      <c r="Y228" s="6" t="s">
        <v>1627</v>
      </c>
      <c r="Z228" s="15"/>
      <c r="AA228" s="15" t="s">
        <v>1628</v>
      </c>
    </row>
    <row r="229" spans="1:27" ht="33" customHeight="1">
      <c r="A229" s="6" t="s">
        <v>3922</v>
      </c>
      <c r="B229" s="7">
        <v>971</v>
      </c>
      <c r="C229" s="6" t="s">
        <v>3923</v>
      </c>
      <c r="D229" s="6" t="s">
        <v>3924</v>
      </c>
      <c r="E229" s="6" t="s">
        <v>1986</v>
      </c>
      <c r="F229" s="6" t="s">
        <v>1276</v>
      </c>
      <c r="G229" s="6" t="s">
        <v>1987</v>
      </c>
      <c r="H229" s="6"/>
      <c r="I229" s="14" t="s">
        <v>1642</v>
      </c>
      <c r="J229" s="15"/>
      <c r="K229" s="6" t="s">
        <v>1976</v>
      </c>
      <c r="L229" s="6"/>
      <c r="M229" s="6" t="s">
        <v>1643</v>
      </c>
      <c r="N229" s="6" t="s">
        <v>1644</v>
      </c>
      <c r="O229" s="7">
        <f>SUMIFS('05_상품별배치367'!$K$7:$K$373,'05_상품별배치367'!$E$7:$E$373,A229,'05_상품별배치367'!$H$7:$H$373,"본진")</f>
        <v>0</v>
      </c>
      <c r="P229" s="7">
        <f>SUMIFS('05_상품별배치367'!$K$7:$K$373,'05_상품별배치367'!$E$7:$E$373,A229,'05_상품별배치367'!$H$7:$H$373,"추가 진열")</f>
        <v>0</v>
      </c>
      <c r="Q229" s="7">
        <f>O229+P229</f>
        <v>0</v>
      </c>
      <c r="R229" s="7">
        <v>1</v>
      </c>
      <c r="S229" s="6" t="s">
        <v>1988</v>
      </c>
      <c r="T229" s="6" t="s">
        <v>1637</v>
      </c>
      <c r="U229" s="6"/>
      <c r="V229" s="16"/>
      <c r="W229" s="16"/>
      <c r="X229" s="16"/>
      <c r="Y229" s="6" t="s">
        <v>1627</v>
      </c>
      <c r="Z229" s="15"/>
      <c r="AA229" s="15" t="s">
        <v>1628</v>
      </c>
    </row>
    <row r="230" spans="1:27" ht="33" customHeight="1">
      <c r="A230" s="8" t="s">
        <v>3920</v>
      </c>
      <c r="B230" s="9">
        <v>970</v>
      </c>
      <c r="C230" s="8" t="s">
        <v>3921</v>
      </c>
      <c r="D230" s="8" t="s">
        <v>2856</v>
      </c>
      <c r="E230" s="8" t="s">
        <v>2134</v>
      </c>
      <c r="F230" s="8" t="s">
        <v>2933</v>
      </c>
      <c r="G230" s="8" t="s">
        <v>1668</v>
      </c>
      <c r="H230" s="8"/>
      <c r="I230" s="14" t="s">
        <v>1807</v>
      </c>
      <c r="J230" s="15"/>
      <c r="K230" s="8" t="s">
        <v>1976</v>
      </c>
      <c r="L230" s="8" t="s">
        <v>2032</v>
      </c>
      <c r="M230" s="6" t="s">
        <v>1809</v>
      </c>
      <c r="N230" s="6" t="s">
        <v>1644</v>
      </c>
      <c r="O230" s="7">
        <f>SUMIFS('05_상품별배치367'!$K$7:$K$373,'05_상품별배치367'!$E$7:$E$373,A230,'05_상품별배치367'!$H$7:$H$373,"본진")</f>
        <v>0</v>
      </c>
      <c r="P230" s="7">
        <f>SUMIFS('05_상품별배치367'!$K$7:$K$373,'05_상품별배치367'!$E$7:$E$373,A230,'05_상품별배치367'!$H$7:$H$373,"추가 진열")</f>
        <v>0</v>
      </c>
      <c r="Q230" s="7">
        <f>O230+P230</f>
        <v>0</v>
      </c>
      <c r="R230" s="7">
        <v>0</v>
      </c>
      <c r="S230" s="6" t="s">
        <v>1810</v>
      </c>
      <c r="T230" s="6" t="s">
        <v>1637</v>
      </c>
      <c r="U230" s="6"/>
      <c r="V230" s="16"/>
      <c r="W230" s="16"/>
      <c r="X230" s="16"/>
      <c r="Y230" s="6" t="s">
        <v>1627</v>
      </c>
      <c r="Z230" s="15"/>
      <c r="AA230" s="15" t="s">
        <v>1628</v>
      </c>
    </row>
    <row r="231" spans="1:27" ht="33" customHeight="1">
      <c r="A231" s="6" t="s">
        <v>5916</v>
      </c>
      <c r="B231" s="7">
        <v>1911</v>
      </c>
      <c r="C231" s="6" t="s">
        <v>5917</v>
      </c>
      <c r="D231" s="6"/>
      <c r="E231" s="6" t="s">
        <v>1743</v>
      </c>
      <c r="F231" s="6" t="s">
        <v>2129</v>
      </c>
      <c r="G231" s="6" t="s">
        <v>1668</v>
      </c>
      <c r="H231" s="6"/>
      <c r="I231" s="14" t="s">
        <v>1807</v>
      </c>
      <c r="J231" s="15"/>
      <c r="K231" s="6" t="s">
        <v>1696</v>
      </c>
      <c r="L231" s="6" t="s">
        <v>2079</v>
      </c>
      <c r="M231" s="6" t="s">
        <v>1809</v>
      </c>
      <c r="N231" s="6" t="s">
        <v>1644</v>
      </c>
      <c r="O231" s="7">
        <f>SUMIFS('05_상품별배치367'!$K$7:$K$373,'05_상품별배치367'!$E$7:$E$373,A231,'05_상품별배치367'!$H$7:$H$373,"본진")</f>
        <v>0</v>
      </c>
      <c r="P231" s="7">
        <f>SUMIFS('05_상품별배치367'!$K$7:$K$373,'05_상품별배치367'!$E$7:$E$373,A231,'05_상품별배치367'!$H$7:$H$373,"추가 진열")</f>
        <v>0</v>
      </c>
      <c r="Q231" s="7">
        <f>O231+P231</f>
        <v>0</v>
      </c>
      <c r="R231" s="7">
        <v>0</v>
      </c>
      <c r="S231" s="6" t="s">
        <v>1810</v>
      </c>
      <c r="T231" s="6" t="s">
        <v>1637</v>
      </c>
      <c r="U231" s="6"/>
      <c r="V231" s="16"/>
      <c r="W231" s="16"/>
      <c r="X231" s="16"/>
      <c r="Y231" s="6" t="s">
        <v>5772</v>
      </c>
      <c r="Z231" s="15"/>
      <c r="AA231" s="15" t="s">
        <v>1628</v>
      </c>
    </row>
    <row r="232" spans="1:27" ht="33" customHeight="1">
      <c r="A232" s="8" t="s">
        <v>4779</v>
      </c>
      <c r="B232" s="9">
        <v>1374</v>
      </c>
      <c r="C232" s="8" t="s">
        <v>4780</v>
      </c>
      <c r="D232" s="8" t="s">
        <v>2556</v>
      </c>
      <c r="E232" s="8" t="s">
        <v>2746</v>
      </c>
      <c r="F232" s="8" t="s">
        <v>3635</v>
      </c>
      <c r="G232" s="8" t="s">
        <v>1668</v>
      </c>
      <c r="H232" s="8"/>
      <c r="I232" s="14" t="s">
        <v>1669</v>
      </c>
      <c r="J232" s="15"/>
      <c r="K232" s="8" t="s">
        <v>2748</v>
      </c>
      <c r="L232" s="8"/>
      <c r="M232" s="6" t="s">
        <v>1671</v>
      </c>
      <c r="N232" s="6" t="s">
        <v>1644</v>
      </c>
      <c r="O232" s="7">
        <f>SUMIFS('05_상품별배치367'!$K$7:$K$373,'05_상품별배치367'!$E$7:$E$373,A232,'05_상품별배치367'!$H$7:$H$373,"본진")</f>
        <v>0</v>
      </c>
      <c r="P232" s="7">
        <f>SUMIFS('05_상품별배치367'!$K$7:$K$373,'05_상품별배치367'!$E$7:$E$373,A232,'05_상품별배치367'!$H$7:$H$373,"추가 진열")</f>
        <v>0</v>
      </c>
      <c r="Q232" s="7">
        <f>O232+P232</f>
        <v>0</v>
      </c>
      <c r="R232" s="7">
        <v>0</v>
      </c>
      <c r="S232" s="6" t="s">
        <v>1672</v>
      </c>
      <c r="T232" s="6" t="s">
        <v>1637</v>
      </c>
      <c r="U232" s="6"/>
      <c r="V232" s="16"/>
      <c r="W232" s="16"/>
      <c r="X232" s="16"/>
      <c r="Y232" s="6" t="s">
        <v>1627</v>
      </c>
      <c r="Z232" s="15"/>
      <c r="AA232" s="15" t="s">
        <v>1628</v>
      </c>
    </row>
    <row r="233" spans="1:27" ht="33" customHeight="1">
      <c r="A233" s="6" t="s">
        <v>4777</v>
      </c>
      <c r="B233" s="7">
        <v>1373</v>
      </c>
      <c r="C233" s="6" t="s">
        <v>4778</v>
      </c>
      <c r="D233" s="6" t="s">
        <v>3600</v>
      </c>
      <c r="E233" s="6" t="s">
        <v>2134</v>
      </c>
      <c r="F233" s="6" t="s">
        <v>1081</v>
      </c>
      <c r="G233" s="6" t="s">
        <v>290</v>
      </c>
      <c r="H233" s="6"/>
      <c r="I233" s="14" t="s">
        <v>1642</v>
      </c>
      <c r="J233" s="15"/>
      <c r="K233" s="6" t="s">
        <v>1976</v>
      </c>
      <c r="L233" s="6"/>
      <c r="M233" s="6" t="s">
        <v>1643</v>
      </c>
      <c r="N233" s="6" t="s">
        <v>1644</v>
      </c>
      <c r="O233" s="7">
        <f>SUMIFS('05_상품별배치367'!$K$7:$K$373,'05_상품별배치367'!$E$7:$E$373,A233,'05_상품별배치367'!$H$7:$H$373,"본진")</f>
        <v>0</v>
      </c>
      <c r="P233" s="7">
        <f>SUMIFS('05_상품별배치367'!$K$7:$K$373,'05_상품별배치367'!$E$7:$E$373,A233,'05_상품별배치367'!$H$7:$H$373,"추가 진열")</f>
        <v>0</v>
      </c>
      <c r="Q233" s="7">
        <f>O233+P233</f>
        <v>0</v>
      </c>
      <c r="R233" s="7">
        <v>1</v>
      </c>
      <c r="S233" s="6" t="s">
        <v>2135</v>
      </c>
      <c r="T233" s="6" t="s">
        <v>1637</v>
      </c>
      <c r="U233" s="6"/>
      <c r="V233" s="16"/>
      <c r="W233" s="16"/>
      <c r="X233" s="16"/>
      <c r="Y233" s="6" t="s">
        <v>1627</v>
      </c>
      <c r="Z233" s="15"/>
      <c r="AA233" s="15" t="s">
        <v>1628</v>
      </c>
    </row>
    <row r="234" spans="1:27" ht="33" customHeight="1">
      <c r="A234" s="6" t="s">
        <v>1384</v>
      </c>
      <c r="B234" s="7">
        <v>1913</v>
      </c>
      <c r="C234" s="6" t="s">
        <v>1383</v>
      </c>
      <c r="D234" s="6" t="s">
        <v>5920</v>
      </c>
      <c r="E234" s="6" t="s">
        <v>1641</v>
      </c>
      <c r="F234" s="6" t="s">
        <v>1381</v>
      </c>
      <c r="G234" s="6" t="s">
        <v>439</v>
      </c>
      <c r="H234" s="6" t="s">
        <v>1382</v>
      </c>
      <c r="I234" s="14" t="s">
        <v>1621</v>
      </c>
      <c r="J234" s="15"/>
      <c r="K234" s="6" t="s">
        <v>1634</v>
      </c>
      <c r="L234" s="6" t="s">
        <v>3828</v>
      </c>
      <c r="M234" s="6" t="s">
        <v>1623</v>
      </c>
      <c r="N234" s="6" t="s">
        <v>1624</v>
      </c>
      <c r="O234" s="7">
        <f>SUMIFS('05_상품별배치367'!$K$7:$K$373,'05_상품별배치367'!$E$7:$E$373,A234,'05_상품별배치367'!$H$7:$H$373,"본진")</f>
        <v>2</v>
      </c>
      <c r="P234" s="7">
        <f>SUMIFS('05_상품별배치367'!$K$7:$K$373,'05_상품별배치367'!$E$7:$E$373,A234,'05_상품별배치367'!$H$7:$H$373,"추가 진열")</f>
        <v>0</v>
      </c>
      <c r="Q234" s="7">
        <f>O234+P234</f>
        <v>2</v>
      </c>
      <c r="R234" s="7">
        <v>2</v>
      </c>
      <c r="S234" s="6" t="s">
        <v>1625</v>
      </c>
      <c r="T234" s="6" t="s">
        <v>1637</v>
      </c>
      <c r="U234" s="6"/>
      <c r="V234" s="16"/>
      <c r="W234" s="16"/>
      <c r="X234" s="16"/>
      <c r="Y234" s="6" t="s">
        <v>1655</v>
      </c>
      <c r="Z234" s="15"/>
      <c r="AA234" s="15" t="s">
        <v>1628</v>
      </c>
    </row>
    <row r="235" spans="1:27" ht="33" customHeight="1">
      <c r="A235" s="8" t="s">
        <v>6062</v>
      </c>
      <c r="B235" s="9">
        <v>1978</v>
      </c>
      <c r="C235" s="8" t="s">
        <v>6063</v>
      </c>
      <c r="D235" s="8" t="s">
        <v>6064</v>
      </c>
      <c r="E235" s="8" t="s">
        <v>1814</v>
      </c>
      <c r="F235" s="8" t="s">
        <v>1359</v>
      </c>
      <c r="G235" s="8" t="s">
        <v>431</v>
      </c>
      <c r="H235" s="8"/>
      <c r="I235" s="14" t="s">
        <v>1642</v>
      </c>
      <c r="J235" s="15"/>
      <c r="K235" s="8" t="s">
        <v>1634</v>
      </c>
      <c r="L235" s="8" t="s">
        <v>3828</v>
      </c>
      <c r="M235" s="6" t="s">
        <v>1643</v>
      </c>
      <c r="N235" s="6" t="s">
        <v>1624</v>
      </c>
      <c r="O235" s="7">
        <f>SUMIFS('05_상품별배치367'!$K$7:$K$373,'05_상품별배치367'!$E$7:$E$373,A235,'05_상품별배치367'!$H$7:$H$373,"본진")</f>
        <v>0</v>
      </c>
      <c r="P235" s="7">
        <f>SUMIFS('05_상품별배치367'!$K$7:$K$373,'05_상품별배치367'!$E$7:$E$373,A235,'05_상품별배치367'!$H$7:$H$373,"추가 진열")</f>
        <v>0</v>
      </c>
      <c r="Q235" s="7">
        <f>O235+P235</f>
        <v>0</v>
      </c>
      <c r="R235" s="7">
        <v>1</v>
      </c>
      <c r="S235" s="6" t="s">
        <v>1815</v>
      </c>
      <c r="T235" s="6" t="s">
        <v>1637</v>
      </c>
      <c r="U235" s="6"/>
      <c r="V235" s="16"/>
      <c r="W235" s="16"/>
      <c r="X235" s="16"/>
      <c r="Y235" s="6" t="s">
        <v>1627</v>
      </c>
      <c r="Z235" s="15"/>
      <c r="AA235" s="15" t="s">
        <v>1628</v>
      </c>
    </row>
    <row r="236" spans="1:27" ht="33" customHeight="1">
      <c r="A236" s="8" t="s">
        <v>2279</v>
      </c>
      <c r="B236" s="9">
        <v>234</v>
      </c>
      <c r="C236" s="8" t="s">
        <v>2280</v>
      </c>
      <c r="D236" s="8" t="s">
        <v>2116</v>
      </c>
      <c r="E236" s="8" t="s">
        <v>1666</v>
      </c>
      <c r="F236" s="8" t="s">
        <v>1852</v>
      </c>
      <c r="G236" s="8" t="s">
        <v>1853</v>
      </c>
      <c r="H236" s="8"/>
      <c r="I236" s="14" t="s">
        <v>1669</v>
      </c>
      <c r="J236" s="15"/>
      <c r="K236" s="8" t="s">
        <v>1670</v>
      </c>
      <c r="L236" s="8"/>
      <c r="M236" s="6" t="s">
        <v>1671</v>
      </c>
      <c r="N236" s="6" t="s">
        <v>1644</v>
      </c>
      <c r="O236" s="7">
        <f>SUMIFS('05_상품별배치367'!$K$7:$K$373,'05_상품별배치367'!$E$7:$E$373,A236,'05_상품별배치367'!$H$7:$H$373,"본진")</f>
        <v>0</v>
      </c>
      <c r="P236" s="7">
        <f>SUMIFS('05_상품별배치367'!$K$7:$K$373,'05_상품별배치367'!$E$7:$E$373,A236,'05_상품별배치367'!$H$7:$H$373,"추가 진열")</f>
        <v>0</v>
      </c>
      <c r="Q236" s="7">
        <f>O236+P236</f>
        <v>0</v>
      </c>
      <c r="R236" s="7">
        <v>0</v>
      </c>
      <c r="S236" s="6" t="s">
        <v>1672</v>
      </c>
      <c r="T236" s="6" t="s">
        <v>1637</v>
      </c>
      <c r="U236" s="6"/>
      <c r="V236" s="16"/>
      <c r="W236" s="16"/>
      <c r="X236" s="16"/>
      <c r="Y236" s="6" t="s">
        <v>1655</v>
      </c>
      <c r="Z236" s="15"/>
      <c r="AA236" s="15" t="s">
        <v>1628</v>
      </c>
    </row>
    <row r="237" spans="1:27" ht="33" customHeight="1">
      <c r="A237" s="8" t="s">
        <v>2273</v>
      </c>
      <c r="B237" s="9">
        <v>232</v>
      </c>
      <c r="C237" s="8" t="s">
        <v>2274</v>
      </c>
      <c r="D237" s="8" t="s">
        <v>2275</v>
      </c>
      <c r="E237" s="8" t="s">
        <v>1666</v>
      </c>
      <c r="F237" s="8" t="s">
        <v>1852</v>
      </c>
      <c r="G237" s="8" t="s">
        <v>1853</v>
      </c>
      <c r="H237" s="8"/>
      <c r="I237" s="14" t="s">
        <v>1669</v>
      </c>
      <c r="J237" s="15"/>
      <c r="K237" s="8" t="s">
        <v>1670</v>
      </c>
      <c r="L237" s="8"/>
      <c r="M237" s="6" t="s">
        <v>1671</v>
      </c>
      <c r="N237" s="6" t="s">
        <v>1644</v>
      </c>
      <c r="O237" s="7">
        <f>SUMIFS('05_상품별배치367'!$K$7:$K$373,'05_상품별배치367'!$E$7:$E$373,A237,'05_상품별배치367'!$H$7:$H$373,"본진")</f>
        <v>0</v>
      </c>
      <c r="P237" s="7">
        <f>SUMIFS('05_상품별배치367'!$K$7:$K$373,'05_상품별배치367'!$E$7:$E$373,A237,'05_상품별배치367'!$H$7:$H$373,"추가 진열")</f>
        <v>0</v>
      </c>
      <c r="Q237" s="7">
        <f>O237+P237</f>
        <v>0</v>
      </c>
      <c r="R237" s="7">
        <v>0</v>
      </c>
      <c r="S237" s="6" t="s">
        <v>1672</v>
      </c>
      <c r="T237" s="6" t="s">
        <v>1637</v>
      </c>
      <c r="U237" s="6"/>
      <c r="V237" s="16"/>
      <c r="W237" s="16"/>
      <c r="X237" s="16"/>
      <c r="Y237" s="6" t="s">
        <v>1655</v>
      </c>
      <c r="Z237" s="15"/>
      <c r="AA237" s="15" t="s">
        <v>1628</v>
      </c>
    </row>
    <row r="238" spans="1:27" ht="33" customHeight="1">
      <c r="A238" s="6" t="s">
        <v>2330</v>
      </c>
      <c r="B238" s="7">
        <v>255</v>
      </c>
      <c r="C238" s="6" t="s">
        <v>2331</v>
      </c>
      <c r="D238" s="6" t="s">
        <v>2332</v>
      </c>
      <c r="E238" s="6" t="s">
        <v>1620</v>
      </c>
      <c r="F238" s="6" t="s">
        <v>2031</v>
      </c>
      <c r="G238" s="6" t="s">
        <v>1668</v>
      </c>
      <c r="H238" s="6"/>
      <c r="I238" s="14" t="s">
        <v>1642</v>
      </c>
      <c r="J238" s="15"/>
      <c r="K238" s="6" t="s">
        <v>1622</v>
      </c>
      <c r="L238" s="6" t="s">
        <v>2032</v>
      </c>
      <c r="M238" s="6" t="s">
        <v>1643</v>
      </c>
      <c r="N238" s="6" t="s">
        <v>1644</v>
      </c>
      <c r="O238" s="7">
        <f>SUMIFS('05_상품별배치367'!$K$7:$K$373,'05_상품별배치367'!$E$7:$E$373,A238,'05_상품별배치367'!$H$7:$H$373,"본진")</f>
        <v>0</v>
      </c>
      <c r="P238" s="7">
        <f>SUMIFS('05_상품별배치367'!$K$7:$K$373,'05_상품별배치367'!$E$7:$E$373,A238,'05_상품별배치367'!$H$7:$H$373,"추가 진열")</f>
        <v>0</v>
      </c>
      <c r="Q238" s="7">
        <f>O238+P238</f>
        <v>0</v>
      </c>
      <c r="R238" s="7">
        <v>1</v>
      </c>
      <c r="S238" s="6" t="s">
        <v>2033</v>
      </c>
      <c r="T238" s="6" t="s">
        <v>1637</v>
      </c>
      <c r="U238" s="6"/>
      <c r="V238" s="16"/>
      <c r="W238" s="16"/>
      <c r="X238" s="16"/>
      <c r="Y238" s="6" t="s">
        <v>1655</v>
      </c>
      <c r="Z238" s="15"/>
      <c r="AA238" s="15" t="s">
        <v>1628</v>
      </c>
    </row>
    <row r="239" spans="1:27" ht="33" customHeight="1">
      <c r="A239" s="6" t="s">
        <v>2276</v>
      </c>
      <c r="B239" s="7">
        <v>233</v>
      </c>
      <c r="C239" s="6" t="s">
        <v>2277</v>
      </c>
      <c r="D239" s="6" t="s">
        <v>2278</v>
      </c>
      <c r="E239" s="6" t="s">
        <v>1620</v>
      </c>
      <c r="F239" s="6" t="s">
        <v>1234</v>
      </c>
      <c r="G239" s="6" t="s">
        <v>358</v>
      </c>
      <c r="H239" s="6"/>
      <c r="I239" s="14" t="s">
        <v>1642</v>
      </c>
      <c r="J239" s="15"/>
      <c r="K239" s="6" t="s">
        <v>1622</v>
      </c>
      <c r="L239" s="6"/>
      <c r="M239" s="6" t="s">
        <v>1643</v>
      </c>
      <c r="N239" s="6" t="s">
        <v>1644</v>
      </c>
      <c r="O239" s="7">
        <f>SUMIFS('05_상품별배치367'!$K$7:$K$373,'05_상품별배치367'!$E$7:$E$373,A239,'05_상품별배치367'!$H$7:$H$373,"본진")</f>
        <v>0</v>
      </c>
      <c r="P239" s="7">
        <f>SUMIFS('05_상품별배치367'!$K$7:$K$373,'05_상품별배치367'!$E$7:$E$373,A239,'05_상품별배치367'!$H$7:$H$373,"추가 진열")</f>
        <v>0</v>
      </c>
      <c r="Q239" s="7">
        <f>O239+P239</f>
        <v>0</v>
      </c>
      <c r="R239" s="7">
        <v>1</v>
      </c>
      <c r="S239" s="6" t="s">
        <v>1683</v>
      </c>
      <c r="T239" s="6" t="s">
        <v>1637</v>
      </c>
      <c r="U239" s="6"/>
      <c r="V239" s="16"/>
      <c r="W239" s="16"/>
      <c r="X239" s="16"/>
      <c r="Y239" s="6" t="s">
        <v>1655</v>
      </c>
      <c r="Z239" s="15"/>
      <c r="AA239" s="15" t="s">
        <v>1628</v>
      </c>
    </row>
    <row r="240" spans="1:27" ht="33" customHeight="1">
      <c r="A240" s="8" t="s">
        <v>2341</v>
      </c>
      <c r="B240" s="9">
        <v>258</v>
      </c>
      <c r="C240" s="8" t="s">
        <v>2342</v>
      </c>
      <c r="D240" s="8" t="s">
        <v>2343</v>
      </c>
      <c r="E240" s="8" t="s">
        <v>1620</v>
      </c>
      <c r="F240" s="8" t="s">
        <v>505</v>
      </c>
      <c r="G240" s="8" t="s">
        <v>358</v>
      </c>
      <c r="H240" s="8"/>
      <c r="I240" s="14" t="s">
        <v>1642</v>
      </c>
      <c r="J240" s="15"/>
      <c r="K240" s="8" t="s">
        <v>1622</v>
      </c>
      <c r="L240" s="8"/>
      <c r="M240" s="6" t="s">
        <v>1643</v>
      </c>
      <c r="N240" s="6" t="s">
        <v>1644</v>
      </c>
      <c r="O240" s="7">
        <f>SUMIFS('05_상품별배치367'!$K$7:$K$373,'05_상품별배치367'!$E$7:$E$373,A240,'05_상품별배치367'!$H$7:$H$373,"본진")</f>
        <v>0</v>
      </c>
      <c r="P240" s="7">
        <f>SUMIFS('05_상품별배치367'!$K$7:$K$373,'05_상품별배치367'!$E$7:$E$373,A240,'05_상품별배치367'!$H$7:$H$373,"추가 진열")</f>
        <v>0</v>
      </c>
      <c r="Q240" s="7">
        <f>O240+P240</f>
        <v>0</v>
      </c>
      <c r="R240" s="7">
        <v>1</v>
      </c>
      <c r="S240" s="6" t="s">
        <v>1793</v>
      </c>
      <c r="T240" s="6" t="s">
        <v>1637</v>
      </c>
      <c r="U240" s="6"/>
      <c r="V240" s="16"/>
      <c r="W240" s="16"/>
      <c r="X240" s="16"/>
      <c r="Y240" s="6" t="s">
        <v>1655</v>
      </c>
      <c r="Z240" s="15"/>
      <c r="AA240" s="15" t="s">
        <v>1628</v>
      </c>
    </row>
    <row r="241" spans="1:27" ht="33" customHeight="1">
      <c r="A241" s="6" t="s">
        <v>2293</v>
      </c>
      <c r="B241" s="7">
        <v>241</v>
      </c>
      <c r="C241" s="6" t="s">
        <v>2294</v>
      </c>
      <c r="D241" s="6" t="s">
        <v>2226</v>
      </c>
      <c r="E241" s="6" t="s">
        <v>1620</v>
      </c>
      <c r="F241" s="6" t="s">
        <v>151</v>
      </c>
      <c r="G241" s="6" t="s">
        <v>349</v>
      </c>
      <c r="H241" s="6"/>
      <c r="I241" s="14" t="s">
        <v>1642</v>
      </c>
      <c r="J241" s="15"/>
      <c r="K241" s="6" t="s">
        <v>1622</v>
      </c>
      <c r="L241" s="6"/>
      <c r="M241" s="6" t="s">
        <v>1643</v>
      </c>
      <c r="N241" s="6" t="s">
        <v>1644</v>
      </c>
      <c r="O241" s="7">
        <f>SUMIFS('05_상품별배치367'!$K$7:$K$373,'05_상품별배치367'!$E$7:$E$373,A241,'05_상품별배치367'!$H$7:$H$373,"본진")</f>
        <v>0</v>
      </c>
      <c r="P241" s="7">
        <f>SUMIFS('05_상품별배치367'!$K$7:$K$373,'05_상품별배치367'!$E$7:$E$373,A241,'05_상품별배치367'!$H$7:$H$373,"추가 진열")</f>
        <v>0</v>
      </c>
      <c r="Q241" s="7">
        <f>O241+P241</f>
        <v>0</v>
      </c>
      <c r="R241" s="7">
        <v>1</v>
      </c>
      <c r="S241" s="6" t="s">
        <v>1676</v>
      </c>
      <c r="T241" s="6" t="s">
        <v>1637</v>
      </c>
      <c r="U241" s="6"/>
      <c r="V241" s="16"/>
      <c r="W241" s="16"/>
      <c r="X241" s="16"/>
      <c r="Y241" s="6" t="s">
        <v>1655</v>
      </c>
      <c r="Z241" s="15"/>
      <c r="AA241" s="15" t="s">
        <v>1628</v>
      </c>
    </row>
    <row r="242" spans="1:27" ht="33" customHeight="1">
      <c r="A242" s="8" t="s">
        <v>2291</v>
      </c>
      <c r="B242" s="9">
        <v>240</v>
      </c>
      <c r="C242" s="8" t="s">
        <v>2292</v>
      </c>
      <c r="D242" s="8" t="s">
        <v>2226</v>
      </c>
      <c r="E242" s="8" t="s">
        <v>1620</v>
      </c>
      <c r="F242" s="8" t="s">
        <v>151</v>
      </c>
      <c r="G242" s="8" t="s">
        <v>349</v>
      </c>
      <c r="H242" s="8"/>
      <c r="I242" s="14" t="s">
        <v>1642</v>
      </c>
      <c r="J242" s="15"/>
      <c r="K242" s="8" t="s">
        <v>1622</v>
      </c>
      <c r="L242" s="8"/>
      <c r="M242" s="6" t="s">
        <v>1643</v>
      </c>
      <c r="N242" s="6" t="s">
        <v>1644</v>
      </c>
      <c r="O242" s="7">
        <f>SUMIFS('05_상품별배치367'!$K$7:$K$373,'05_상품별배치367'!$E$7:$E$373,A242,'05_상품별배치367'!$H$7:$H$373,"본진")</f>
        <v>0</v>
      </c>
      <c r="P242" s="7">
        <f>SUMIFS('05_상품별배치367'!$K$7:$K$373,'05_상품별배치367'!$E$7:$E$373,A242,'05_상품별배치367'!$H$7:$H$373,"추가 진열")</f>
        <v>0</v>
      </c>
      <c r="Q242" s="7">
        <f>O242+P242</f>
        <v>0</v>
      </c>
      <c r="R242" s="7">
        <v>1</v>
      </c>
      <c r="S242" s="6" t="s">
        <v>1676</v>
      </c>
      <c r="T242" s="6" t="s">
        <v>1637</v>
      </c>
      <c r="U242" s="6"/>
      <c r="V242" s="16"/>
      <c r="W242" s="16"/>
      <c r="X242" s="16"/>
      <c r="Y242" s="6" t="s">
        <v>1655</v>
      </c>
      <c r="Z242" s="15"/>
      <c r="AA242" s="15" t="s">
        <v>1628</v>
      </c>
    </row>
    <row r="243" spans="1:27" ht="33" customHeight="1">
      <c r="A243" s="8" t="s">
        <v>2321</v>
      </c>
      <c r="B243" s="9">
        <v>252</v>
      </c>
      <c r="C243" s="8" t="s">
        <v>2322</v>
      </c>
      <c r="D243" s="8" t="s">
        <v>2323</v>
      </c>
      <c r="E243" s="8" t="s">
        <v>1620</v>
      </c>
      <c r="F243" s="8" t="s">
        <v>150</v>
      </c>
      <c r="G243" s="8" t="s">
        <v>332</v>
      </c>
      <c r="H243" s="8"/>
      <c r="I243" s="14" t="s">
        <v>1642</v>
      </c>
      <c r="J243" s="15"/>
      <c r="K243" s="8" t="s">
        <v>1622</v>
      </c>
      <c r="L243" s="8"/>
      <c r="M243" s="6" t="s">
        <v>1643</v>
      </c>
      <c r="N243" s="6" t="s">
        <v>1644</v>
      </c>
      <c r="O243" s="7">
        <f>SUMIFS('05_상품별배치367'!$K$7:$K$373,'05_상품별배치367'!$E$7:$E$373,A243,'05_상품별배치367'!$H$7:$H$373,"본진")</f>
        <v>0</v>
      </c>
      <c r="P243" s="7">
        <f>SUMIFS('05_상품별배치367'!$K$7:$K$373,'05_상품별배치367'!$E$7:$E$373,A243,'05_상품별배치367'!$H$7:$H$373,"추가 진열")</f>
        <v>0</v>
      </c>
      <c r="Q243" s="7">
        <f>O243+P243</f>
        <v>0</v>
      </c>
      <c r="R243" s="7">
        <v>1</v>
      </c>
      <c r="S243" s="6" t="s">
        <v>2037</v>
      </c>
      <c r="T243" s="6" t="s">
        <v>1637</v>
      </c>
      <c r="U243" s="6"/>
      <c r="V243" s="16"/>
      <c r="W243" s="16"/>
      <c r="X243" s="16"/>
      <c r="Y243" s="6" t="s">
        <v>1655</v>
      </c>
      <c r="Z243" s="15"/>
      <c r="AA243" s="15" t="s">
        <v>1628</v>
      </c>
    </row>
    <row r="244" spans="1:27" ht="33" customHeight="1">
      <c r="A244" s="6" t="s">
        <v>2308</v>
      </c>
      <c r="B244" s="7">
        <v>247</v>
      </c>
      <c r="C244" s="6" t="s">
        <v>2309</v>
      </c>
      <c r="D244" s="6" t="s">
        <v>2226</v>
      </c>
      <c r="E244" s="6" t="s">
        <v>1620</v>
      </c>
      <c r="F244" s="6" t="s">
        <v>151</v>
      </c>
      <c r="G244" s="6" t="s">
        <v>349</v>
      </c>
      <c r="H244" s="6"/>
      <c r="I244" s="14" t="s">
        <v>1642</v>
      </c>
      <c r="J244" s="15"/>
      <c r="K244" s="6" t="s">
        <v>1622</v>
      </c>
      <c r="L244" s="6"/>
      <c r="M244" s="6" t="s">
        <v>1643</v>
      </c>
      <c r="N244" s="6" t="s">
        <v>1644</v>
      </c>
      <c r="O244" s="7">
        <f>SUMIFS('05_상품별배치367'!$K$7:$K$373,'05_상품별배치367'!$E$7:$E$373,A244,'05_상품별배치367'!$H$7:$H$373,"본진")</f>
        <v>0</v>
      </c>
      <c r="P244" s="7">
        <f>SUMIFS('05_상품별배치367'!$K$7:$K$373,'05_상품별배치367'!$E$7:$E$373,A244,'05_상품별배치367'!$H$7:$H$373,"추가 진열")</f>
        <v>0</v>
      </c>
      <c r="Q244" s="7">
        <f>O244+P244</f>
        <v>0</v>
      </c>
      <c r="R244" s="7">
        <v>1</v>
      </c>
      <c r="S244" s="6" t="s">
        <v>1676</v>
      </c>
      <c r="T244" s="6" t="s">
        <v>1637</v>
      </c>
      <c r="U244" s="6"/>
      <c r="V244" s="16"/>
      <c r="W244" s="16"/>
      <c r="X244" s="16"/>
      <c r="Y244" s="6" t="s">
        <v>1655</v>
      </c>
      <c r="Z244" s="15"/>
      <c r="AA244" s="15" t="s">
        <v>1628</v>
      </c>
    </row>
    <row r="245" spans="1:27" ht="33" customHeight="1">
      <c r="A245" s="8" t="s">
        <v>2347</v>
      </c>
      <c r="B245" s="9">
        <v>260</v>
      </c>
      <c r="C245" s="8" t="s">
        <v>2348</v>
      </c>
      <c r="D245" s="8" t="s">
        <v>2116</v>
      </c>
      <c r="E245" s="8" t="s">
        <v>1620</v>
      </c>
      <c r="F245" s="8" t="s">
        <v>151</v>
      </c>
      <c r="G245" s="8" t="s">
        <v>349</v>
      </c>
      <c r="H245" s="8"/>
      <c r="I245" s="14" t="s">
        <v>1642</v>
      </c>
      <c r="J245" s="15"/>
      <c r="K245" s="8" t="s">
        <v>1622</v>
      </c>
      <c r="L245" s="8"/>
      <c r="M245" s="6" t="s">
        <v>1643</v>
      </c>
      <c r="N245" s="6" t="s">
        <v>1644</v>
      </c>
      <c r="O245" s="7">
        <f>SUMIFS('05_상품별배치367'!$K$7:$K$373,'05_상품별배치367'!$E$7:$E$373,A245,'05_상품별배치367'!$H$7:$H$373,"본진")</f>
        <v>0</v>
      </c>
      <c r="P245" s="7">
        <f>SUMIFS('05_상품별배치367'!$K$7:$K$373,'05_상품별배치367'!$E$7:$E$373,A245,'05_상품별배치367'!$H$7:$H$373,"추가 진열")</f>
        <v>0</v>
      </c>
      <c r="Q245" s="7">
        <f>O245+P245</f>
        <v>0</v>
      </c>
      <c r="R245" s="7">
        <v>1</v>
      </c>
      <c r="S245" s="6" t="s">
        <v>1676</v>
      </c>
      <c r="T245" s="6" t="s">
        <v>1637</v>
      </c>
      <c r="U245" s="6"/>
      <c r="V245" s="16"/>
      <c r="W245" s="16"/>
      <c r="X245" s="16"/>
      <c r="Y245" s="6" t="s">
        <v>1655</v>
      </c>
      <c r="Z245" s="15"/>
      <c r="AA245" s="15" t="s">
        <v>1628</v>
      </c>
    </row>
    <row r="246" spans="1:27" ht="33" customHeight="1">
      <c r="A246" s="8" t="s">
        <v>2306</v>
      </c>
      <c r="B246" s="9">
        <v>246</v>
      </c>
      <c r="C246" s="8" t="s">
        <v>2307</v>
      </c>
      <c r="D246" s="8" t="s">
        <v>2226</v>
      </c>
      <c r="E246" s="8" t="s">
        <v>1620</v>
      </c>
      <c r="F246" s="8" t="s">
        <v>151</v>
      </c>
      <c r="G246" s="8" t="s">
        <v>349</v>
      </c>
      <c r="H246" s="8"/>
      <c r="I246" s="14" t="s">
        <v>1642</v>
      </c>
      <c r="J246" s="15"/>
      <c r="K246" s="8" t="s">
        <v>1622</v>
      </c>
      <c r="L246" s="8"/>
      <c r="M246" s="6" t="s">
        <v>1643</v>
      </c>
      <c r="N246" s="6" t="s">
        <v>1644</v>
      </c>
      <c r="O246" s="7">
        <f>SUMIFS('05_상품별배치367'!$K$7:$K$373,'05_상품별배치367'!$E$7:$E$373,A246,'05_상품별배치367'!$H$7:$H$373,"본진")</f>
        <v>0</v>
      </c>
      <c r="P246" s="7">
        <f>SUMIFS('05_상품별배치367'!$K$7:$K$373,'05_상품별배치367'!$E$7:$E$373,A246,'05_상품별배치367'!$H$7:$H$373,"추가 진열")</f>
        <v>0</v>
      </c>
      <c r="Q246" s="7">
        <f>O246+P246</f>
        <v>0</v>
      </c>
      <c r="R246" s="7">
        <v>1</v>
      </c>
      <c r="S246" s="6" t="s">
        <v>1676</v>
      </c>
      <c r="T246" s="6" t="s">
        <v>1637</v>
      </c>
      <c r="U246" s="6"/>
      <c r="V246" s="16"/>
      <c r="W246" s="16"/>
      <c r="X246" s="16"/>
      <c r="Y246" s="6" t="s">
        <v>1655</v>
      </c>
      <c r="Z246" s="15"/>
      <c r="AA246" s="15" t="s">
        <v>1628</v>
      </c>
    </row>
    <row r="247" spans="1:27" ht="33" customHeight="1">
      <c r="A247" s="6" t="s">
        <v>2285</v>
      </c>
      <c r="B247" s="7">
        <v>237</v>
      </c>
      <c r="C247" s="6" t="s">
        <v>2286</v>
      </c>
      <c r="D247" s="6" t="s">
        <v>1879</v>
      </c>
      <c r="E247" s="6" t="s">
        <v>1666</v>
      </c>
      <c r="F247" s="6" t="s">
        <v>1852</v>
      </c>
      <c r="G247" s="6" t="s">
        <v>1853</v>
      </c>
      <c r="H247" s="6"/>
      <c r="I247" s="14" t="s">
        <v>1669</v>
      </c>
      <c r="J247" s="15"/>
      <c r="K247" s="6" t="s">
        <v>1670</v>
      </c>
      <c r="L247" s="6"/>
      <c r="M247" s="6" t="s">
        <v>1671</v>
      </c>
      <c r="N247" s="6" t="s">
        <v>1624</v>
      </c>
      <c r="O247" s="7">
        <f>SUMIFS('05_상품별배치367'!$K$7:$K$373,'05_상품별배치367'!$E$7:$E$373,A247,'05_상품별배치367'!$H$7:$H$373,"본진")</f>
        <v>0</v>
      </c>
      <c r="P247" s="7">
        <f>SUMIFS('05_상품별배치367'!$K$7:$K$373,'05_상품별배치367'!$E$7:$E$373,A247,'05_상품별배치367'!$H$7:$H$373,"추가 진열")</f>
        <v>0</v>
      </c>
      <c r="Q247" s="7">
        <f>O247+P247</f>
        <v>0</v>
      </c>
      <c r="R247" s="7">
        <v>0</v>
      </c>
      <c r="S247" s="6" t="s">
        <v>1672</v>
      </c>
      <c r="T247" s="6" t="s">
        <v>1637</v>
      </c>
      <c r="U247" s="6"/>
      <c r="V247" s="16"/>
      <c r="W247" s="16"/>
      <c r="X247" s="16"/>
      <c r="Y247" s="6" t="s">
        <v>1655</v>
      </c>
      <c r="Z247" s="15"/>
      <c r="AA247" s="15" t="s">
        <v>1628</v>
      </c>
    </row>
    <row r="248" spans="1:27" ht="33" customHeight="1">
      <c r="A248" s="6" t="s">
        <v>2281</v>
      </c>
      <c r="B248" s="7">
        <v>235</v>
      </c>
      <c r="C248" s="6" t="s">
        <v>2282</v>
      </c>
      <c r="D248" s="6" t="s">
        <v>1879</v>
      </c>
      <c r="E248" s="6" t="s">
        <v>1666</v>
      </c>
      <c r="F248" s="6" t="s">
        <v>1852</v>
      </c>
      <c r="G248" s="6" t="s">
        <v>1853</v>
      </c>
      <c r="H248" s="6"/>
      <c r="I248" s="14" t="s">
        <v>1669</v>
      </c>
      <c r="J248" s="15"/>
      <c r="K248" s="6" t="s">
        <v>1670</v>
      </c>
      <c r="L248" s="6"/>
      <c r="M248" s="6" t="s">
        <v>1671</v>
      </c>
      <c r="N248" s="6" t="s">
        <v>1624</v>
      </c>
      <c r="O248" s="7">
        <f>SUMIFS('05_상품별배치367'!$K$7:$K$373,'05_상품별배치367'!$E$7:$E$373,A248,'05_상품별배치367'!$H$7:$H$373,"본진")</f>
        <v>0</v>
      </c>
      <c r="P248" s="7">
        <f>SUMIFS('05_상품별배치367'!$K$7:$K$373,'05_상품별배치367'!$E$7:$E$373,A248,'05_상품별배치367'!$H$7:$H$373,"추가 진열")</f>
        <v>0</v>
      </c>
      <c r="Q248" s="7">
        <f>O248+P248</f>
        <v>0</v>
      </c>
      <c r="R248" s="7">
        <v>0</v>
      </c>
      <c r="S248" s="6" t="s">
        <v>1672</v>
      </c>
      <c r="T248" s="6" t="s">
        <v>1637</v>
      </c>
      <c r="U248" s="6"/>
      <c r="V248" s="16"/>
      <c r="W248" s="16"/>
      <c r="X248" s="16"/>
      <c r="Y248" s="6" t="s">
        <v>1655</v>
      </c>
      <c r="Z248" s="15"/>
      <c r="AA248" s="15" t="s">
        <v>1628</v>
      </c>
    </row>
    <row r="249" spans="1:27" ht="33" customHeight="1">
      <c r="A249" s="8" t="s">
        <v>2283</v>
      </c>
      <c r="B249" s="9">
        <v>236</v>
      </c>
      <c r="C249" s="8" t="s">
        <v>2284</v>
      </c>
      <c r="D249" s="8" t="s">
        <v>1879</v>
      </c>
      <c r="E249" s="8" t="s">
        <v>1666</v>
      </c>
      <c r="F249" s="8" t="s">
        <v>1852</v>
      </c>
      <c r="G249" s="8" t="s">
        <v>1853</v>
      </c>
      <c r="H249" s="8"/>
      <c r="I249" s="14" t="s">
        <v>1669</v>
      </c>
      <c r="J249" s="15"/>
      <c r="K249" s="8" t="s">
        <v>1670</v>
      </c>
      <c r="L249" s="8"/>
      <c r="M249" s="6" t="s">
        <v>1671</v>
      </c>
      <c r="N249" s="6" t="s">
        <v>1624</v>
      </c>
      <c r="O249" s="7">
        <f>SUMIFS('05_상품별배치367'!$K$7:$K$373,'05_상품별배치367'!$E$7:$E$373,A249,'05_상품별배치367'!$H$7:$H$373,"본진")</f>
        <v>0</v>
      </c>
      <c r="P249" s="7">
        <f>SUMIFS('05_상품별배치367'!$K$7:$K$373,'05_상품별배치367'!$E$7:$E$373,A249,'05_상품별배치367'!$H$7:$H$373,"추가 진열")</f>
        <v>0</v>
      </c>
      <c r="Q249" s="7">
        <f>O249+P249</f>
        <v>0</v>
      </c>
      <c r="R249" s="7">
        <v>0</v>
      </c>
      <c r="S249" s="6" t="s">
        <v>1672</v>
      </c>
      <c r="T249" s="6" t="s">
        <v>1637</v>
      </c>
      <c r="U249" s="6"/>
      <c r="V249" s="16"/>
      <c r="W249" s="16"/>
      <c r="X249" s="16"/>
      <c r="Y249" s="6" t="s">
        <v>1655</v>
      </c>
      <c r="Z249" s="15"/>
      <c r="AA249" s="15" t="s">
        <v>1628</v>
      </c>
    </row>
    <row r="250" spans="1:27" ht="33" customHeight="1">
      <c r="A250" s="8" t="s">
        <v>2287</v>
      </c>
      <c r="B250" s="9">
        <v>238</v>
      </c>
      <c r="C250" s="8" t="s">
        <v>2288</v>
      </c>
      <c r="D250" s="8" t="s">
        <v>1879</v>
      </c>
      <c r="E250" s="8" t="s">
        <v>1666</v>
      </c>
      <c r="F250" s="8" t="s">
        <v>1852</v>
      </c>
      <c r="G250" s="8" t="s">
        <v>1853</v>
      </c>
      <c r="H250" s="8"/>
      <c r="I250" s="14" t="s">
        <v>1669</v>
      </c>
      <c r="J250" s="15"/>
      <c r="K250" s="8" t="s">
        <v>1670</v>
      </c>
      <c r="L250" s="8"/>
      <c r="M250" s="6" t="s">
        <v>1671</v>
      </c>
      <c r="N250" s="6" t="s">
        <v>1624</v>
      </c>
      <c r="O250" s="7">
        <f>SUMIFS('05_상품별배치367'!$K$7:$K$373,'05_상품별배치367'!$E$7:$E$373,A250,'05_상품별배치367'!$H$7:$H$373,"본진")</f>
        <v>0</v>
      </c>
      <c r="P250" s="7">
        <f>SUMIFS('05_상품별배치367'!$K$7:$K$373,'05_상품별배치367'!$E$7:$E$373,A250,'05_상품별배치367'!$H$7:$H$373,"추가 진열")</f>
        <v>0</v>
      </c>
      <c r="Q250" s="7">
        <f>O250+P250</f>
        <v>0</v>
      </c>
      <c r="R250" s="7">
        <v>0</v>
      </c>
      <c r="S250" s="6" t="s">
        <v>1672</v>
      </c>
      <c r="T250" s="6" t="s">
        <v>1637</v>
      </c>
      <c r="U250" s="6"/>
      <c r="V250" s="16"/>
      <c r="W250" s="16"/>
      <c r="X250" s="16"/>
      <c r="Y250" s="6" t="s">
        <v>1655</v>
      </c>
      <c r="Z250" s="15"/>
      <c r="AA250" s="15" t="s">
        <v>1628</v>
      </c>
    </row>
    <row r="251" spans="1:27" ht="33" customHeight="1">
      <c r="A251" s="6" t="s">
        <v>2303</v>
      </c>
      <c r="B251" s="7">
        <v>245</v>
      </c>
      <c r="C251" s="6" t="s">
        <v>2304</v>
      </c>
      <c r="D251" s="6" t="s">
        <v>2305</v>
      </c>
      <c r="E251" s="6" t="s">
        <v>1666</v>
      </c>
      <c r="F251" s="6" t="s">
        <v>348</v>
      </c>
      <c r="G251" s="6" t="s">
        <v>341</v>
      </c>
      <c r="H251" s="6"/>
      <c r="I251" s="14" t="s">
        <v>1642</v>
      </c>
      <c r="J251" s="15"/>
      <c r="K251" s="6" t="s">
        <v>1670</v>
      </c>
      <c r="L251" s="6"/>
      <c r="M251" s="6" t="s">
        <v>1643</v>
      </c>
      <c r="N251" s="6" t="s">
        <v>1624</v>
      </c>
      <c r="O251" s="7">
        <f>SUMIFS('05_상품별배치367'!$K$7:$K$373,'05_상품별배치367'!$E$7:$E$373,A251,'05_상품별배치367'!$H$7:$H$373,"본진")</f>
        <v>0</v>
      </c>
      <c r="P251" s="7">
        <f>SUMIFS('05_상품별배치367'!$K$7:$K$373,'05_상품별배치367'!$E$7:$E$373,A251,'05_상품별배치367'!$H$7:$H$373,"추가 진열")</f>
        <v>0</v>
      </c>
      <c r="Q251" s="7">
        <f>O251+P251</f>
        <v>0</v>
      </c>
      <c r="R251" s="7">
        <v>1</v>
      </c>
      <c r="S251" s="6" t="s">
        <v>2040</v>
      </c>
      <c r="T251" s="6" t="s">
        <v>1637</v>
      </c>
      <c r="U251" s="6"/>
      <c r="V251" s="16"/>
      <c r="W251" s="16"/>
      <c r="X251" s="16"/>
      <c r="Y251" s="6" t="s">
        <v>1655</v>
      </c>
      <c r="Z251" s="15"/>
      <c r="AA251" s="15" t="s">
        <v>1628</v>
      </c>
    </row>
    <row r="252" spans="1:27" ht="33" customHeight="1">
      <c r="A252" s="8" t="s">
        <v>2310</v>
      </c>
      <c r="B252" s="9">
        <v>248</v>
      </c>
      <c r="C252" s="8" t="s">
        <v>2311</v>
      </c>
      <c r="D252" s="8" t="s">
        <v>2116</v>
      </c>
      <c r="E252" s="8" t="s">
        <v>1620</v>
      </c>
      <c r="F252" s="8" t="s">
        <v>151</v>
      </c>
      <c r="G252" s="8" t="s">
        <v>349</v>
      </c>
      <c r="H252" s="8"/>
      <c r="I252" s="14" t="s">
        <v>1642</v>
      </c>
      <c r="J252" s="15"/>
      <c r="K252" s="8" t="s">
        <v>1622</v>
      </c>
      <c r="L252" s="8"/>
      <c r="M252" s="6" t="s">
        <v>1643</v>
      </c>
      <c r="N252" s="6" t="s">
        <v>1624</v>
      </c>
      <c r="O252" s="7">
        <f>SUMIFS('05_상품별배치367'!$K$7:$K$373,'05_상품별배치367'!$E$7:$E$373,A252,'05_상품별배치367'!$H$7:$H$373,"본진")</f>
        <v>0</v>
      </c>
      <c r="P252" s="7">
        <f>SUMIFS('05_상품별배치367'!$K$7:$K$373,'05_상품별배치367'!$E$7:$E$373,A252,'05_상품별배치367'!$H$7:$H$373,"추가 진열")</f>
        <v>0</v>
      </c>
      <c r="Q252" s="7">
        <f>O252+P252</f>
        <v>0</v>
      </c>
      <c r="R252" s="7">
        <v>1</v>
      </c>
      <c r="S252" s="6" t="s">
        <v>1676</v>
      </c>
      <c r="T252" s="6" t="s">
        <v>1637</v>
      </c>
      <c r="U252" s="6"/>
      <c r="V252" s="16"/>
      <c r="W252" s="16"/>
      <c r="X252" s="16"/>
      <c r="Y252" s="6" t="s">
        <v>1655</v>
      </c>
      <c r="Z252" s="15"/>
      <c r="AA252" s="15" t="s">
        <v>1628</v>
      </c>
    </row>
    <row r="253" spans="1:27" ht="33" customHeight="1">
      <c r="A253" s="6" t="s">
        <v>2289</v>
      </c>
      <c r="B253" s="7">
        <v>239</v>
      </c>
      <c r="C253" s="6" t="s">
        <v>2290</v>
      </c>
      <c r="D253" s="6" t="s">
        <v>2229</v>
      </c>
      <c r="E253" s="6" t="s">
        <v>1620</v>
      </c>
      <c r="F253" s="6" t="s">
        <v>151</v>
      </c>
      <c r="G253" s="6" t="s">
        <v>349</v>
      </c>
      <c r="H253" s="6"/>
      <c r="I253" s="14" t="s">
        <v>1642</v>
      </c>
      <c r="J253" s="15"/>
      <c r="K253" s="6" t="s">
        <v>1622</v>
      </c>
      <c r="L253" s="6"/>
      <c r="M253" s="6" t="s">
        <v>1643</v>
      </c>
      <c r="N253" s="6" t="s">
        <v>1624</v>
      </c>
      <c r="O253" s="7">
        <f>SUMIFS('05_상품별배치367'!$K$7:$K$373,'05_상품별배치367'!$E$7:$E$373,A253,'05_상품별배치367'!$H$7:$H$373,"본진")</f>
        <v>0</v>
      </c>
      <c r="P253" s="7">
        <f>SUMIFS('05_상품별배치367'!$K$7:$K$373,'05_상품별배치367'!$E$7:$E$373,A253,'05_상품별배치367'!$H$7:$H$373,"추가 진열")</f>
        <v>0</v>
      </c>
      <c r="Q253" s="7">
        <f>O253+P253</f>
        <v>0</v>
      </c>
      <c r="R253" s="7">
        <v>1</v>
      </c>
      <c r="S253" s="6" t="s">
        <v>1676</v>
      </c>
      <c r="T253" s="6" t="s">
        <v>1637</v>
      </c>
      <c r="U253" s="6"/>
      <c r="V253" s="16"/>
      <c r="W253" s="16"/>
      <c r="X253" s="16"/>
      <c r="Y253" s="6" t="s">
        <v>1655</v>
      </c>
      <c r="Z253" s="15"/>
      <c r="AA253" s="15" t="s">
        <v>1628</v>
      </c>
    </row>
    <row r="254" spans="1:27" ht="33" customHeight="1">
      <c r="A254" s="8" t="s">
        <v>2315</v>
      </c>
      <c r="B254" s="9">
        <v>250</v>
      </c>
      <c r="C254" s="8" t="s">
        <v>2316</v>
      </c>
      <c r="D254" s="8" t="s">
        <v>2314</v>
      </c>
      <c r="E254" s="8" t="s">
        <v>1666</v>
      </c>
      <c r="F254" s="8" t="s">
        <v>348</v>
      </c>
      <c r="G254" s="8" t="s">
        <v>341</v>
      </c>
      <c r="H254" s="8"/>
      <c r="I254" s="14" t="s">
        <v>1642</v>
      </c>
      <c r="J254" s="15"/>
      <c r="K254" s="8" t="s">
        <v>1670</v>
      </c>
      <c r="L254" s="8"/>
      <c r="M254" s="6" t="s">
        <v>1643</v>
      </c>
      <c r="N254" s="6" t="s">
        <v>1624</v>
      </c>
      <c r="O254" s="7">
        <f>SUMIFS('05_상품별배치367'!$K$7:$K$373,'05_상품별배치367'!$E$7:$E$373,A254,'05_상품별배치367'!$H$7:$H$373,"본진")</f>
        <v>0</v>
      </c>
      <c r="P254" s="7">
        <f>SUMIFS('05_상품별배치367'!$K$7:$K$373,'05_상품별배치367'!$E$7:$E$373,A254,'05_상품별배치367'!$H$7:$H$373,"추가 진열")</f>
        <v>0</v>
      </c>
      <c r="Q254" s="7">
        <f>O254+P254</f>
        <v>0</v>
      </c>
      <c r="R254" s="7">
        <v>1</v>
      </c>
      <c r="S254" s="6" t="s">
        <v>2040</v>
      </c>
      <c r="T254" s="6" t="s">
        <v>1637</v>
      </c>
      <c r="U254" s="6"/>
      <c r="V254" s="16"/>
      <c r="W254" s="16"/>
      <c r="X254" s="16"/>
      <c r="Y254" s="6" t="s">
        <v>1655</v>
      </c>
      <c r="Z254" s="15"/>
      <c r="AA254" s="15" t="s">
        <v>1628</v>
      </c>
    </row>
    <row r="255" spans="1:27" ht="33" customHeight="1">
      <c r="A255" s="6" t="s">
        <v>2312</v>
      </c>
      <c r="B255" s="7">
        <v>249</v>
      </c>
      <c r="C255" s="6" t="s">
        <v>2313</v>
      </c>
      <c r="D255" s="6" t="s">
        <v>2314</v>
      </c>
      <c r="E255" s="6" t="s">
        <v>1666</v>
      </c>
      <c r="F255" s="6" t="s">
        <v>348</v>
      </c>
      <c r="G255" s="6" t="s">
        <v>341</v>
      </c>
      <c r="H255" s="6"/>
      <c r="I255" s="14" t="s">
        <v>1642</v>
      </c>
      <c r="J255" s="15"/>
      <c r="K255" s="6" t="s">
        <v>1670</v>
      </c>
      <c r="L255" s="6"/>
      <c r="M255" s="6" t="s">
        <v>1643</v>
      </c>
      <c r="N255" s="6" t="s">
        <v>1624</v>
      </c>
      <c r="O255" s="7">
        <f>SUMIFS('05_상품별배치367'!$K$7:$K$373,'05_상품별배치367'!$E$7:$E$373,A255,'05_상품별배치367'!$H$7:$H$373,"본진")</f>
        <v>0</v>
      </c>
      <c r="P255" s="7">
        <f>SUMIFS('05_상품별배치367'!$K$7:$K$373,'05_상품별배치367'!$E$7:$E$373,A255,'05_상품별배치367'!$H$7:$H$373,"추가 진열")</f>
        <v>0</v>
      </c>
      <c r="Q255" s="7">
        <f>O255+P255</f>
        <v>0</v>
      </c>
      <c r="R255" s="7">
        <v>1</v>
      </c>
      <c r="S255" s="6" t="s">
        <v>2040</v>
      </c>
      <c r="T255" s="6" t="s">
        <v>1637</v>
      </c>
      <c r="U255" s="6"/>
      <c r="V255" s="16"/>
      <c r="W255" s="16"/>
      <c r="X255" s="16"/>
      <c r="Y255" s="6" t="s">
        <v>1655</v>
      </c>
      <c r="Z255" s="15"/>
      <c r="AA255" s="15" t="s">
        <v>1628</v>
      </c>
    </row>
    <row r="256" spans="1:27" ht="33" customHeight="1">
      <c r="A256" s="6" t="s">
        <v>2317</v>
      </c>
      <c r="B256" s="7">
        <v>251</v>
      </c>
      <c r="C256" s="6" t="s">
        <v>2318</v>
      </c>
      <c r="D256" s="6" t="s">
        <v>2319</v>
      </c>
      <c r="E256" s="6" t="s">
        <v>1620</v>
      </c>
      <c r="F256" s="6" t="s">
        <v>2158</v>
      </c>
      <c r="G256" s="6" t="s">
        <v>358</v>
      </c>
      <c r="H256" s="6"/>
      <c r="I256" s="14" t="s">
        <v>1642</v>
      </c>
      <c r="J256" s="15"/>
      <c r="K256" s="6" t="s">
        <v>1622</v>
      </c>
      <c r="L256" s="6"/>
      <c r="M256" s="6" t="s">
        <v>1643</v>
      </c>
      <c r="N256" s="6" t="s">
        <v>1624</v>
      </c>
      <c r="O256" s="7">
        <f>SUMIFS('05_상품별배치367'!$K$7:$K$373,'05_상품별배치367'!$E$7:$E$373,A256,'05_상품별배치367'!$H$7:$H$373,"본진")</f>
        <v>0</v>
      </c>
      <c r="P256" s="7">
        <f>SUMIFS('05_상품별배치367'!$K$7:$K$373,'05_상품별배치367'!$E$7:$E$373,A256,'05_상품별배치367'!$H$7:$H$373,"추가 진열")</f>
        <v>0</v>
      </c>
      <c r="Q256" s="7">
        <f>O256+P256</f>
        <v>0</v>
      </c>
      <c r="R256" s="7">
        <v>1</v>
      </c>
      <c r="S256" s="6" t="s">
        <v>2320</v>
      </c>
      <c r="T256" s="6" t="s">
        <v>1637</v>
      </c>
      <c r="U256" s="6"/>
      <c r="V256" s="16"/>
      <c r="W256" s="16"/>
      <c r="X256" s="16"/>
      <c r="Y256" s="6" t="s">
        <v>1655</v>
      </c>
      <c r="Z256" s="15"/>
      <c r="AA256" s="15" t="s">
        <v>1628</v>
      </c>
    </row>
    <row r="257" spans="1:27" ht="33" customHeight="1">
      <c r="A257" s="6" t="s">
        <v>2349</v>
      </c>
      <c r="B257" s="7">
        <v>261</v>
      </c>
      <c r="C257" s="6" t="s">
        <v>2350</v>
      </c>
      <c r="D257" s="6" t="s">
        <v>2351</v>
      </c>
      <c r="E257" s="6" t="s">
        <v>1620</v>
      </c>
      <c r="F257" s="6" t="s">
        <v>504</v>
      </c>
      <c r="G257" s="6" t="s">
        <v>341</v>
      </c>
      <c r="H257" s="6"/>
      <c r="I257" s="14" t="s">
        <v>1642</v>
      </c>
      <c r="J257" s="15"/>
      <c r="K257" s="6" t="s">
        <v>1622</v>
      </c>
      <c r="L257" s="6"/>
      <c r="M257" s="6" t="s">
        <v>1643</v>
      </c>
      <c r="N257" s="6" t="s">
        <v>1624</v>
      </c>
      <c r="O257" s="7">
        <f>SUMIFS('05_상품별배치367'!$K$7:$K$373,'05_상품별배치367'!$E$7:$E$373,A257,'05_상품별배치367'!$H$7:$H$373,"본진")</f>
        <v>0</v>
      </c>
      <c r="P257" s="7">
        <f>SUMIFS('05_상품별배치367'!$K$7:$K$373,'05_상품별배치367'!$E$7:$E$373,A257,'05_상품별배치367'!$H$7:$H$373,"추가 진열")</f>
        <v>0</v>
      </c>
      <c r="Q257" s="7">
        <f>O257+P257</f>
        <v>0</v>
      </c>
      <c r="R257" s="7">
        <v>1</v>
      </c>
      <c r="S257" s="6" t="s">
        <v>2199</v>
      </c>
      <c r="T257" s="6" t="s">
        <v>1637</v>
      </c>
      <c r="U257" s="6"/>
      <c r="V257" s="16"/>
      <c r="W257" s="16"/>
      <c r="X257" s="16"/>
      <c r="Y257" s="6" t="s">
        <v>1655</v>
      </c>
      <c r="Z257" s="15"/>
      <c r="AA257" s="15" t="s">
        <v>1628</v>
      </c>
    </row>
    <row r="258" spans="1:27" ht="33" customHeight="1">
      <c r="A258" s="8" t="s">
        <v>2327</v>
      </c>
      <c r="B258" s="9">
        <v>254</v>
      </c>
      <c r="C258" s="8" t="s">
        <v>2328</v>
      </c>
      <c r="D258" s="8" t="s">
        <v>2329</v>
      </c>
      <c r="E258" s="8" t="s">
        <v>1620</v>
      </c>
      <c r="F258" s="8" t="s">
        <v>1220</v>
      </c>
      <c r="G258" s="8" t="s">
        <v>349</v>
      </c>
      <c r="H258" s="8"/>
      <c r="I258" s="14" t="s">
        <v>1642</v>
      </c>
      <c r="J258" s="15"/>
      <c r="K258" s="8" t="s">
        <v>1622</v>
      </c>
      <c r="L258" s="8"/>
      <c r="M258" s="6" t="s">
        <v>1643</v>
      </c>
      <c r="N258" s="6" t="s">
        <v>1644</v>
      </c>
      <c r="O258" s="7">
        <f>SUMIFS('05_상품별배치367'!$K$7:$K$373,'05_상품별배치367'!$E$7:$E$373,A258,'05_상품별배치367'!$H$7:$H$373,"본진")</f>
        <v>0</v>
      </c>
      <c r="P258" s="7">
        <f>SUMIFS('05_상품별배치367'!$K$7:$K$373,'05_상품별배치367'!$E$7:$E$373,A258,'05_상품별배치367'!$H$7:$H$373,"추가 진열")</f>
        <v>0</v>
      </c>
      <c r="Q258" s="7">
        <f>O258+P258</f>
        <v>0</v>
      </c>
      <c r="R258" s="7">
        <v>1</v>
      </c>
      <c r="S258" s="6" t="s">
        <v>2080</v>
      </c>
      <c r="T258" s="6" t="s">
        <v>1637</v>
      </c>
      <c r="U258" s="6"/>
      <c r="V258" s="16"/>
      <c r="W258" s="16"/>
      <c r="X258" s="16"/>
      <c r="Y258" s="6" t="s">
        <v>1655</v>
      </c>
      <c r="Z258" s="15"/>
      <c r="AA258" s="15" t="s">
        <v>1628</v>
      </c>
    </row>
    <row r="259" spans="1:27" ht="33" customHeight="1">
      <c r="A259" s="6" t="s">
        <v>2324</v>
      </c>
      <c r="B259" s="7">
        <v>253</v>
      </c>
      <c r="C259" s="6" t="s">
        <v>2325</v>
      </c>
      <c r="D259" s="6" t="s">
        <v>2229</v>
      </c>
      <c r="E259" s="6" t="s">
        <v>1620</v>
      </c>
      <c r="F259" s="6" t="s">
        <v>65</v>
      </c>
      <c r="G259" s="6" t="s">
        <v>59</v>
      </c>
      <c r="H259" s="6"/>
      <c r="I259" s="14" t="s">
        <v>1642</v>
      </c>
      <c r="J259" s="15"/>
      <c r="K259" s="6" t="s">
        <v>1622</v>
      </c>
      <c r="L259" s="6"/>
      <c r="M259" s="6" t="s">
        <v>1643</v>
      </c>
      <c r="N259" s="6" t="s">
        <v>1644</v>
      </c>
      <c r="O259" s="7">
        <f>SUMIFS('05_상품별배치367'!$K$7:$K$373,'05_상품별배치367'!$E$7:$E$373,A259,'05_상품별배치367'!$H$7:$H$373,"본진")</f>
        <v>0</v>
      </c>
      <c r="P259" s="7">
        <f>SUMIFS('05_상품별배치367'!$K$7:$K$373,'05_상품별배치367'!$E$7:$E$373,A259,'05_상품별배치367'!$H$7:$H$373,"추가 진열")</f>
        <v>0</v>
      </c>
      <c r="Q259" s="7">
        <f>O259+P259</f>
        <v>0</v>
      </c>
      <c r="R259" s="7">
        <v>1</v>
      </c>
      <c r="S259" s="6" t="s">
        <v>2326</v>
      </c>
      <c r="T259" s="6" t="s">
        <v>1637</v>
      </c>
      <c r="U259" s="6"/>
      <c r="V259" s="16"/>
      <c r="W259" s="16"/>
      <c r="X259" s="16"/>
      <c r="Y259" s="6" t="s">
        <v>1655</v>
      </c>
      <c r="Z259" s="15"/>
      <c r="AA259" s="15" t="s">
        <v>1628</v>
      </c>
    </row>
    <row r="260" spans="1:27" ht="33" customHeight="1">
      <c r="A260" s="6" t="s">
        <v>2344</v>
      </c>
      <c r="B260" s="7">
        <v>259</v>
      </c>
      <c r="C260" s="6" t="s">
        <v>2345</v>
      </c>
      <c r="D260" s="6" t="s">
        <v>2346</v>
      </c>
      <c r="E260" s="6" t="s">
        <v>1620</v>
      </c>
      <c r="F260" s="6" t="s">
        <v>505</v>
      </c>
      <c r="G260" s="6" t="s">
        <v>358</v>
      </c>
      <c r="H260" s="6"/>
      <c r="I260" s="14" t="s">
        <v>1642</v>
      </c>
      <c r="J260" s="15"/>
      <c r="K260" s="6" t="s">
        <v>1622</v>
      </c>
      <c r="L260" s="6"/>
      <c r="M260" s="6" t="s">
        <v>1643</v>
      </c>
      <c r="N260" s="6" t="s">
        <v>1644</v>
      </c>
      <c r="O260" s="7">
        <f>SUMIFS('05_상품별배치367'!$K$7:$K$373,'05_상품별배치367'!$E$7:$E$373,A260,'05_상품별배치367'!$H$7:$H$373,"본진")</f>
        <v>0</v>
      </c>
      <c r="P260" s="7">
        <f>SUMIFS('05_상품별배치367'!$K$7:$K$373,'05_상품별배치367'!$E$7:$E$373,A260,'05_상품별배치367'!$H$7:$H$373,"추가 진열")</f>
        <v>0</v>
      </c>
      <c r="Q260" s="7">
        <f>O260+P260</f>
        <v>0</v>
      </c>
      <c r="R260" s="7">
        <v>1</v>
      </c>
      <c r="S260" s="6" t="s">
        <v>1793</v>
      </c>
      <c r="T260" s="6" t="s">
        <v>1637</v>
      </c>
      <c r="U260" s="6"/>
      <c r="V260" s="16"/>
      <c r="W260" s="16"/>
      <c r="X260" s="16"/>
      <c r="Y260" s="6" t="s">
        <v>1655</v>
      </c>
      <c r="Z260" s="15"/>
      <c r="AA260" s="15" t="s">
        <v>1628</v>
      </c>
    </row>
    <row r="261" spans="1:27" ht="33" customHeight="1">
      <c r="A261" s="8" t="s">
        <v>2333</v>
      </c>
      <c r="B261" s="9">
        <v>256</v>
      </c>
      <c r="C261" s="8" t="s">
        <v>2334</v>
      </c>
      <c r="D261" s="8" t="s">
        <v>2335</v>
      </c>
      <c r="E261" s="8" t="s">
        <v>1620</v>
      </c>
      <c r="F261" s="8" t="s">
        <v>505</v>
      </c>
      <c r="G261" s="8" t="s">
        <v>358</v>
      </c>
      <c r="H261" s="8"/>
      <c r="I261" s="14" t="s">
        <v>1642</v>
      </c>
      <c r="J261" s="15"/>
      <c r="K261" s="8" t="s">
        <v>1622</v>
      </c>
      <c r="L261" s="8"/>
      <c r="M261" s="6" t="s">
        <v>1643</v>
      </c>
      <c r="N261" s="6" t="s">
        <v>1644</v>
      </c>
      <c r="O261" s="7">
        <f>SUMIFS('05_상품별배치367'!$K$7:$K$373,'05_상품별배치367'!$E$7:$E$373,A261,'05_상품별배치367'!$H$7:$H$373,"본진")</f>
        <v>0</v>
      </c>
      <c r="P261" s="7">
        <f>SUMIFS('05_상품별배치367'!$K$7:$K$373,'05_상품별배치367'!$E$7:$E$373,A261,'05_상품별배치367'!$H$7:$H$373,"추가 진열")</f>
        <v>0</v>
      </c>
      <c r="Q261" s="7">
        <f>O261+P261</f>
        <v>0</v>
      </c>
      <c r="R261" s="7">
        <v>1</v>
      </c>
      <c r="S261" s="6" t="s">
        <v>1793</v>
      </c>
      <c r="T261" s="6" t="s">
        <v>1637</v>
      </c>
      <c r="U261" s="6"/>
      <c r="V261" s="16"/>
      <c r="W261" s="16"/>
      <c r="X261" s="16"/>
      <c r="Y261" s="6" t="s">
        <v>1655</v>
      </c>
      <c r="Z261" s="15"/>
      <c r="AA261" s="15" t="s">
        <v>1628</v>
      </c>
    </row>
    <row r="262" spans="1:27" ht="33" customHeight="1">
      <c r="A262" s="6" t="s">
        <v>2298</v>
      </c>
      <c r="B262" s="7">
        <v>243</v>
      </c>
      <c r="C262" s="6" t="s">
        <v>2299</v>
      </c>
      <c r="D262" s="6" t="s">
        <v>2300</v>
      </c>
      <c r="E262" s="6" t="s">
        <v>1620</v>
      </c>
      <c r="F262" s="6" t="s">
        <v>151</v>
      </c>
      <c r="G262" s="6" t="s">
        <v>349</v>
      </c>
      <c r="H262" s="6"/>
      <c r="I262" s="14" t="s">
        <v>1642</v>
      </c>
      <c r="J262" s="15"/>
      <c r="K262" s="6" t="s">
        <v>1622</v>
      </c>
      <c r="L262" s="6"/>
      <c r="M262" s="6" t="s">
        <v>1643</v>
      </c>
      <c r="N262" s="6" t="s">
        <v>1644</v>
      </c>
      <c r="O262" s="7">
        <f>SUMIFS('05_상품별배치367'!$K$7:$K$373,'05_상품별배치367'!$E$7:$E$373,A262,'05_상품별배치367'!$H$7:$H$373,"본진")</f>
        <v>0</v>
      </c>
      <c r="P262" s="7">
        <f>SUMIFS('05_상품별배치367'!$K$7:$K$373,'05_상품별배치367'!$E$7:$E$373,A262,'05_상품별배치367'!$H$7:$H$373,"추가 진열")</f>
        <v>0</v>
      </c>
      <c r="Q262" s="7">
        <f>O262+P262</f>
        <v>0</v>
      </c>
      <c r="R262" s="7">
        <v>1</v>
      </c>
      <c r="S262" s="6" t="s">
        <v>1676</v>
      </c>
      <c r="T262" s="6" t="s">
        <v>1637</v>
      </c>
      <c r="U262" s="6"/>
      <c r="V262" s="16"/>
      <c r="W262" s="16"/>
      <c r="X262" s="16"/>
      <c r="Y262" s="6" t="s">
        <v>1655</v>
      </c>
      <c r="Z262" s="15"/>
      <c r="AA262" s="15" t="s">
        <v>1628</v>
      </c>
    </row>
    <row r="263" spans="1:27" ht="33" customHeight="1">
      <c r="A263" s="8" t="s">
        <v>2301</v>
      </c>
      <c r="B263" s="9">
        <v>244</v>
      </c>
      <c r="C263" s="8" t="s">
        <v>2302</v>
      </c>
      <c r="D263" s="8" t="s">
        <v>2300</v>
      </c>
      <c r="E263" s="8" t="s">
        <v>1620</v>
      </c>
      <c r="F263" s="8" t="s">
        <v>151</v>
      </c>
      <c r="G263" s="8" t="s">
        <v>349</v>
      </c>
      <c r="H263" s="8"/>
      <c r="I263" s="14" t="s">
        <v>1642</v>
      </c>
      <c r="J263" s="15"/>
      <c r="K263" s="8" t="s">
        <v>1622</v>
      </c>
      <c r="L263" s="8"/>
      <c r="M263" s="6" t="s">
        <v>1643</v>
      </c>
      <c r="N263" s="6" t="s">
        <v>1644</v>
      </c>
      <c r="O263" s="7">
        <f>SUMIFS('05_상품별배치367'!$K$7:$K$373,'05_상품별배치367'!$E$7:$E$373,A263,'05_상품별배치367'!$H$7:$H$373,"본진")</f>
        <v>0</v>
      </c>
      <c r="P263" s="7">
        <f>SUMIFS('05_상품별배치367'!$K$7:$K$373,'05_상품별배치367'!$E$7:$E$373,A263,'05_상품별배치367'!$H$7:$H$373,"추가 진열")</f>
        <v>0</v>
      </c>
      <c r="Q263" s="7">
        <f>O263+P263</f>
        <v>0</v>
      </c>
      <c r="R263" s="7">
        <v>1</v>
      </c>
      <c r="S263" s="6" t="s">
        <v>1676</v>
      </c>
      <c r="T263" s="6" t="s">
        <v>1637</v>
      </c>
      <c r="U263" s="6"/>
      <c r="V263" s="16"/>
      <c r="W263" s="16"/>
      <c r="X263" s="16"/>
      <c r="Y263" s="6" t="s">
        <v>1655</v>
      </c>
      <c r="Z263" s="15"/>
      <c r="AA263" s="15" t="s">
        <v>1628</v>
      </c>
    </row>
    <row r="264" spans="1:27" ht="33" customHeight="1">
      <c r="A264" s="8" t="s">
        <v>2295</v>
      </c>
      <c r="B264" s="9">
        <v>242</v>
      </c>
      <c r="C264" s="8" t="s">
        <v>2296</v>
      </c>
      <c r="D264" s="8" t="s">
        <v>2297</v>
      </c>
      <c r="E264" s="8" t="s">
        <v>1620</v>
      </c>
      <c r="F264" s="8" t="s">
        <v>504</v>
      </c>
      <c r="G264" s="8" t="s">
        <v>341</v>
      </c>
      <c r="H264" s="8"/>
      <c r="I264" s="14" t="s">
        <v>1642</v>
      </c>
      <c r="J264" s="15"/>
      <c r="K264" s="8" t="s">
        <v>1622</v>
      </c>
      <c r="L264" s="8"/>
      <c r="M264" s="6" t="s">
        <v>1643</v>
      </c>
      <c r="N264" s="6" t="s">
        <v>1644</v>
      </c>
      <c r="O264" s="7">
        <f>SUMIFS('05_상품별배치367'!$K$7:$K$373,'05_상품별배치367'!$E$7:$E$373,A264,'05_상품별배치367'!$H$7:$H$373,"본진")</f>
        <v>0</v>
      </c>
      <c r="P264" s="7">
        <f>SUMIFS('05_상품별배치367'!$K$7:$K$373,'05_상품별배치367'!$E$7:$E$373,A264,'05_상품별배치367'!$H$7:$H$373,"추가 진열")</f>
        <v>0</v>
      </c>
      <c r="Q264" s="7">
        <f>O264+P264</f>
        <v>0</v>
      </c>
      <c r="R264" s="7">
        <v>1</v>
      </c>
      <c r="S264" s="6" t="s">
        <v>2199</v>
      </c>
      <c r="T264" s="6" t="s">
        <v>1637</v>
      </c>
      <c r="U264" s="6"/>
      <c r="V264" s="16"/>
      <c r="W264" s="16"/>
      <c r="X264" s="16"/>
      <c r="Y264" s="6" t="s">
        <v>1655</v>
      </c>
      <c r="Z264" s="15"/>
      <c r="AA264" s="15" t="s">
        <v>1628</v>
      </c>
    </row>
    <row r="265" spans="1:27" ht="33" customHeight="1">
      <c r="A265" s="6" t="s">
        <v>2336</v>
      </c>
      <c r="B265" s="7">
        <v>257</v>
      </c>
      <c r="C265" s="6" t="s">
        <v>2337</v>
      </c>
      <c r="D265" s="6" t="s">
        <v>2338</v>
      </c>
      <c r="E265" s="6" t="s">
        <v>1620</v>
      </c>
      <c r="F265" s="6" t="s">
        <v>2339</v>
      </c>
      <c r="G265" s="6" t="s">
        <v>358</v>
      </c>
      <c r="H265" s="6"/>
      <c r="I265" s="14" t="s">
        <v>1642</v>
      </c>
      <c r="J265" s="15"/>
      <c r="K265" s="6" t="s">
        <v>1622</v>
      </c>
      <c r="L265" s="6"/>
      <c r="M265" s="6" t="s">
        <v>1643</v>
      </c>
      <c r="N265" s="6" t="s">
        <v>1644</v>
      </c>
      <c r="O265" s="7">
        <f>SUMIFS('05_상품별배치367'!$K$7:$K$373,'05_상품별배치367'!$E$7:$E$373,A265,'05_상품별배치367'!$H$7:$H$373,"본진")</f>
        <v>0</v>
      </c>
      <c r="P265" s="7">
        <f>SUMIFS('05_상품별배치367'!$K$7:$K$373,'05_상품별배치367'!$E$7:$E$373,A265,'05_상품별배치367'!$H$7:$H$373,"추가 진열")</f>
        <v>0</v>
      </c>
      <c r="Q265" s="7">
        <f>O265+P265</f>
        <v>0</v>
      </c>
      <c r="R265" s="7">
        <v>1</v>
      </c>
      <c r="S265" s="6" t="s">
        <v>2340</v>
      </c>
      <c r="T265" s="6" t="s">
        <v>1637</v>
      </c>
      <c r="U265" s="6"/>
      <c r="V265" s="16"/>
      <c r="W265" s="16"/>
      <c r="X265" s="16"/>
      <c r="Y265" s="6" t="s">
        <v>1655</v>
      </c>
      <c r="Z265" s="15"/>
      <c r="AA265" s="15" t="s">
        <v>1628</v>
      </c>
    </row>
    <row r="266" spans="1:27" ht="33" customHeight="1">
      <c r="A266" s="8" t="s">
        <v>2264</v>
      </c>
      <c r="B266" s="9">
        <v>228</v>
      </c>
      <c r="C266" s="8" t="s">
        <v>2265</v>
      </c>
      <c r="D266" s="8" t="s">
        <v>2259</v>
      </c>
      <c r="E266" s="8" t="s">
        <v>1620</v>
      </c>
      <c r="F266" s="8" t="s">
        <v>2048</v>
      </c>
      <c r="G266" s="8" t="s">
        <v>1668</v>
      </c>
      <c r="H266" s="8"/>
      <c r="I266" s="14" t="s">
        <v>1669</v>
      </c>
      <c r="J266" s="15"/>
      <c r="K266" s="8" t="s">
        <v>1622</v>
      </c>
      <c r="L266" s="8"/>
      <c r="M266" s="6" t="s">
        <v>1671</v>
      </c>
      <c r="N266" s="6" t="s">
        <v>1624</v>
      </c>
      <c r="O266" s="7">
        <f>SUMIFS('05_상품별배치367'!$K$7:$K$373,'05_상품별배치367'!$E$7:$E$373,A266,'05_상품별배치367'!$H$7:$H$373,"본진")</f>
        <v>0</v>
      </c>
      <c r="P266" s="7">
        <f>SUMIFS('05_상품별배치367'!$K$7:$K$373,'05_상품별배치367'!$E$7:$E$373,A266,'05_상품별배치367'!$H$7:$H$373,"추가 진열")</f>
        <v>0</v>
      </c>
      <c r="Q266" s="7">
        <f>O266+P266</f>
        <v>0</v>
      </c>
      <c r="R266" s="7">
        <v>0</v>
      </c>
      <c r="S266" s="6" t="s">
        <v>1672</v>
      </c>
      <c r="T266" s="6" t="s">
        <v>1637</v>
      </c>
      <c r="U266" s="6"/>
      <c r="V266" s="16"/>
      <c r="W266" s="16"/>
      <c r="X266" s="16"/>
      <c r="Y266" s="6" t="s">
        <v>1627</v>
      </c>
      <c r="Z266" s="15"/>
      <c r="AA266" s="15" t="s">
        <v>1628</v>
      </c>
    </row>
    <row r="267" spans="1:27" ht="33" customHeight="1">
      <c r="A267" s="8" t="s">
        <v>2260</v>
      </c>
      <c r="B267" s="9">
        <v>226</v>
      </c>
      <c r="C267" s="8" t="s">
        <v>2261</v>
      </c>
      <c r="D267" s="8" t="s">
        <v>2259</v>
      </c>
      <c r="E267" s="8" t="s">
        <v>1620</v>
      </c>
      <c r="F267" s="8" t="s">
        <v>2048</v>
      </c>
      <c r="G267" s="8" t="s">
        <v>1668</v>
      </c>
      <c r="H267" s="8"/>
      <c r="I267" s="14" t="s">
        <v>1669</v>
      </c>
      <c r="J267" s="15"/>
      <c r="K267" s="8" t="s">
        <v>1622</v>
      </c>
      <c r="L267" s="8"/>
      <c r="M267" s="6" t="s">
        <v>1671</v>
      </c>
      <c r="N267" s="6" t="s">
        <v>1624</v>
      </c>
      <c r="O267" s="7">
        <f>SUMIFS('05_상품별배치367'!$K$7:$K$373,'05_상품별배치367'!$E$7:$E$373,A267,'05_상품별배치367'!$H$7:$H$373,"본진")</f>
        <v>0</v>
      </c>
      <c r="P267" s="7">
        <f>SUMIFS('05_상품별배치367'!$K$7:$K$373,'05_상품별배치367'!$E$7:$E$373,A267,'05_상품별배치367'!$H$7:$H$373,"추가 진열")</f>
        <v>0</v>
      </c>
      <c r="Q267" s="7">
        <f>O267+P267</f>
        <v>0</v>
      </c>
      <c r="R267" s="7">
        <v>0</v>
      </c>
      <c r="S267" s="6" t="s">
        <v>1672</v>
      </c>
      <c r="T267" s="6" t="s">
        <v>1637</v>
      </c>
      <c r="U267" s="6"/>
      <c r="V267" s="16"/>
      <c r="W267" s="16"/>
      <c r="X267" s="16"/>
      <c r="Y267" s="6" t="s">
        <v>1627</v>
      </c>
      <c r="Z267" s="15"/>
      <c r="AA267" s="15" t="s">
        <v>1628</v>
      </c>
    </row>
    <row r="268" spans="1:27" ht="33" customHeight="1">
      <c r="A268" s="6" t="s">
        <v>2257</v>
      </c>
      <c r="B268" s="7">
        <v>225</v>
      </c>
      <c r="C268" s="6" t="s">
        <v>2258</v>
      </c>
      <c r="D268" s="6" t="s">
        <v>2259</v>
      </c>
      <c r="E268" s="6" t="s">
        <v>1620</v>
      </c>
      <c r="F268" s="6" t="s">
        <v>2048</v>
      </c>
      <c r="G268" s="6" t="s">
        <v>1668</v>
      </c>
      <c r="H268" s="6"/>
      <c r="I268" s="14" t="s">
        <v>1669</v>
      </c>
      <c r="J268" s="15"/>
      <c r="K268" s="6" t="s">
        <v>1622</v>
      </c>
      <c r="L268" s="6"/>
      <c r="M268" s="6" t="s">
        <v>1671</v>
      </c>
      <c r="N268" s="6" t="s">
        <v>1624</v>
      </c>
      <c r="O268" s="7">
        <f>SUMIFS('05_상품별배치367'!$K$7:$K$373,'05_상품별배치367'!$E$7:$E$373,A268,'05_상품별배치367'!$H$7:$H$373,"본진")</f>
        <v>0</v>
      </c>
      <c r="P268" s="7">
        <f>SUMIFS('05_상품별배치367'!$K$7:$K$373,'05_상품별배치367'!$E$7:$E$373,A268,'05_상품별배치367'!$H$7:$H$373,"추가 진열")</f>
        <v>0</v>
      </c>
      <c r="Q268" s="7">
        <f>O268+P268</f>
        <v>0</v>
      </c>
      <c r="R268" s="7">
        <v>0</v>
      </c>
      <c r="S268" s="6" t="s">
        <v>1672</v>
      </c>
      <c r="T268" s="6" t="s">
        <v>1637</v>
      </c>
      <c r="U268" s="6"/>
      <c r="V268" s="16"/>
      <c r="W268" s="16"/>
      <c r="X268" s="16"/>
      <c r="Y268" s="6" t="s">
        <v>1627</v>
      </c>
      <c r="Z268" s="15"/>
      <c r="AA268" s="15" t="s">
        <v>1628</v>
      </c>
    </row>
    <row r="269" spans="1:27" ht="33" customHeight="1">
      <c r="A269" s="6" t="s">
        <v>2271</v>
      </c>
      <c r="B269" s="7">
        <v>231</v>
      </c>
      <c r="C269" s="6" t="s">
        <v>2272</v>
      </c>
      <c r="D269" s="6" t="s">
        <v>2270</v>
      </c>
      <c r="E269" s="6" t="s">
        <v>1620</v>
      </c>
      <c r="F269" s="6" t="s">
        <v>1220</v>
      </c>
      <c r="G269" s="6" t="s">
        <v>349</v>
      </c>
      <c r="H269" s="6"/>
      <c r="I269" s="14" t="s">
        <v>1642</v>
      </c>
      <c r="J269" s="15"/>
      <c r="K269" s="6" t="s">
        <v>1622</v>
      </c>
      <c r="L269" s="6"/>
      <c r="M269" s="6" t="s">
        <v>1643</v>
      </c>
      <c r="N269" s="6" t="s">
        <v>1644</v>
      </c>
      <c r="O269" s="7">
        <f>SUMIFS('05_상품별배치367'!$K$7:$K$373,'05_상품별배치367'!$E$7:$E$373,A269,'05_상품별배치367'!$H$7:$H$373,"본진")</f>
        <v>0</v>
      </c>
      <c r="P269" s="7">
        <f>SUMIFS('05_상품별배치367'!$K$7:$K$373,'05_상품별배치367'!$E$7:$E$373,A269,'05_상품별배치367'!$H$7:$H$373,"추가 진열")</f>
        <v>0</v>
      </c>
      <c r="Q269" s="7">
        <f>O269+P269</f>
        <v>0</v>
      </c>
      <c r="R269" s="7">
        <v>1</v>
      </c>
      <c r="S269" s="6" t="s">
        <v>2080</v>
      </c>
      <c r="T269" s="6" t="s">
        <v>1637</v>
      </c>
      <c r="U269" s="6"/>
      <c r="V269" s="16"/>
      <c r="W269" s="16"/>
      <c r="X269" s="16"/>
      <c r="Y269" s="6" t="s">
        <v>1627</v>
      </c>
      <c r="Z269" s="15"/>
      <c r="AA269" s="15" t="s">
        <v>1628</v>
      </c>
    </row>
    <row r="270" spans="1:27" ht="33" customHeight="1">
      <c r="A270" s="8" t="s">
        <v>2268</v>
      </c>
      <c r="B270" s="9">
        <v>230</v>
      </c>
      <c r="C270" s="8" t="s">
        <v>2269</v>
      </c>
      <c r="D270" s="8" t="s">
        <v>2270</v>
      </c>
      <c r="E270" s="8" t="s">
        <v>1620</v>
      </c>
      <c r="F270" s="8" t="s">
        <v>1220</v>
      </c>
      <c r="G270" s="8" t="s">
        <v>349</v>
      </c>
      <c r="H270" s="8"/>
      <c r="I270" s="14" t="s">
        <v>1642</v>
      </c>
      <c r="J270" s="15"/>
      <c r="K270" s="8" t="s">
        <v>1622</v>
      </c>
      <c r="L270" s="8"/>
      <c r="M270" s="6" t="s">
        <v>1643</v>
      </c>
      <c r="N270" s="6" t="s">
        <v>1644</v>
      </c>
      <c r="O270" s="7">
        <f>SUMIFS('05_상품별배치367'!$K$7:$K$373,'05_상품별배치367'!$E$7:$E$373,A270,'05_상품별배치367'!$H$7:$H$373,"본진")</f>
        <v>0</v>
      </c>
      <c r="P270" s="7">
        <f>SUMIFS('05_상품별배치367'!$K$7:$K$373,'05_상품별배치367'!$E$7:$E$373,A270,'05_상품별배치367'!$H$7:$H$373,"추가 진열")</f>
        <v>0</v>
      </c>
      <c r="Q270" s="7">
        <f>O270+P270</f>
        <v>0</v>
      </c>
      <c r="R270" s="7">
        <v>1</v>
      </c>
      <c r="S270" s="6" t="s">
        <v>2080</v>
      </c>
      <c r="T270" s="6" t="s">
        <v>1637</v>
      </c>
      <c r="U270" s="6"/>
      <c r="V270" s="16"/>
      <c r="W270" s="16"/>
      <c r="X270" s="16"/>
      <c r="Y270" s="6" t="s">
        <v>1627</v>
      </c>
      <c r="Z270" s="15"/>
      <c r="AA270" s="15" t="s">
        <v>1628</v>
      </c>
    </row>
    <row r="271" spans="1:27" ht="33" customHeight="1">
      <c r="A271" s="6" t="s">
        <v>2262</v>
      </c>
      <c r="B271" s="7">
        <v>227</v>
      </c>
      <c r="C271" s="6" t="s">
        <v>2263</v>
      </c>
      <c r="D271" s="6" t="s">
        <v>2013</v>
      </c>
      <c r="E271" s="6" t="s">
        <v>1620</v>
      </c>
      <c r="F271" s="6" t="s">
        <v>2048</v>
      </c>
      <c r="G271" s="6" t="s">
        <v>1668</v>
      </c>
      <c r="H271" s="6"/>
      <c r="I271" s="14" t="s">
        <v>1669</v>
      </c>
      <c r="J271" s="15"/>
      <c r="K271" s="6" t="s">
        <v>1622</v>
      </c>
      <c r="L271" s="6"/>
      <c r="M271" s="6" t="s">
        <v>1671</v>
      </c>
      <c r="N271" s="6" t="s">
        <v>1624</v>
      </c>
      <c r="O271" s="7">
        <f>SUMIFS('05_상품별배치367'!$K$7:$K$373,'05_상품별배치367'!$E$7:$E$373,A271,'05_상품별배치367'!$H$7:$H$373,"본진")</f>
        <v>0</v>
      </c>
      <c r="P271" s="7">
        <f>SUMIFS('05_상품별배치367'!$K$7:$K$373,'05_상품별배치367'!$E$7:$E$373,A271,'05_상품별배치367'!$H$7:$H$373,"추가 진열")</f>
        <v>0</v>
      </c>
      <c r="Q271" s="7">
        <f>O271+P271</f>
        <v>0</v>
      </c>
      <c r="R271" s="7">
        <v>0</v>
      </c>
      <c r="S271" s="6" t="s">
        <v>1672</v>
      </c>
      <c r="T271" s="6" t="s">
        <v>1637</v>
      </c>
      <c r="U271" s="6"/>
      <c r="V271" s="16"/>
      <c r="W271" s="16"/>
      <c r="X271" s="16"/>
      <c r="Y271" s="6" t="s">
        <v>1627</v>
      </c>
      <c r="Z271" s="15"/>
      <c r="AA271" s="15" t="s">
        <v>1628</v>
      </c>
    </row>
    <row r="272" spans="1:27" ht="33" customHeight="1">
      <c r="A272" s="6" t="s">
        <v>2266</v>
      </c>
      <c r="B272" s="7">
        <v>229</v>
      </c>
      <c r="C272" s="6" t="s">
        <v>2267</v>
      </c>
      <c r="D272" s="6" t="s">
        <v>2259</v>
      </c>
      <c r="E272" s="6" t="s">
        <v>1666</v>
      </c>
      <c r="F272" s="6" t="s">
        <v>1852</v>
      </c>
      <c r="G272" s="6" t="s">
        <v>1853</v>
      </c>
      <c r="H272" s="6"/>
      <c r="I272" s="14" t="s">
        <v>1669</v>
      </c>
      <c r="J272" s="15"/>
      <c r="K272" s="6" t="s">
        <v>1670</v>
      </c>
      <c r="L272" s="6"/>
      <c r="M272" s="6" t="s">
        <v>1671</v>
      </c>
      <c r="N272" s="6" t="s">
        <v>1624</v>
      </c>
      <c r="O272" s="7">
        <f>SUMIFS('05_상품별배치367'!$K$7:$K$373,'05_상품별배치367'!$E$7:$E$373,A272,'05_상품별배치367'!$H$7:$H$373,"본진")</f>
        <v>0</v>
      </c>
      <c r="P272" s="7">
        <f>SUMIFS('05_상품별배치367'!$K$7:$K$373,'05_상품별배치367'!$E$7:$E$373,A272,'05_상품별배치367'!$H$7:$H$373,"추가 진열")</f>
        <v>0</v>
      </c>
      <c r="Q272" s="7">
        <f>O272+P272</f>
        <v>0</v>
      </c>
      <c r="R272" s="7">
        <v>0</v>
      </c>
      <c r="S272" s="6" t="s">
        <v>1672</v>
      </c>
      <c r="T272" s="6" t="s">
        <v>1637</v>
      </c>
      <c r="U272" s="6"/>
      <c r="V272" s="16"/>
      <c r="W272" s="16"/>
      <c r="X272" s="16"/>
      <c r="Y272" s="6" t="s">
        <v>1627</v>
      </c>
      <c r="Z272" s="15"/>
      <c r="AA272" s="15" t="s">
        <v>1628</v>
      </c>
    </row>
    <row r="273" spans="1:27" ht="33" customHeight="1">
      <c r="A273" s="6" t="s">
        <v>6189</v>
      </c>
      <c r="B273" s="7">
        <v>2029</v>
      </c>
      <c r="C273" s="6" t="s">
        <v>6190</v>
      </c>
      <c r="D273" s="6" t="s">
        <v>1846</v>
      </c>
      <c r="E273" s="6" t="s">
        <v>1641</v>
      </c>
      <c r="F273" s="6" t="s">
        <v>670</v>
      </c>
      <c r="G273" s="6" t="s">
        <v>91</v>
      </c>
      <c r="H273" s="6" t="s">
        <v>669</v>
      </c>
      <c r="I273" s="14" t="s">
        <v>1633</v>
      </c>
      <c r="J273" s="15"/>
      <c r="K273" s="6" t="s">
        <v>1634</v>
      </c>
      <c r="L273" s="6" t="s">
        <v>3828</v>
      </c>
      <c r="M273" s="6" t="s">
        <v>1635</v>
      </c>
      <c r="N273" s="6" t="s">
        <v>1624</v>
      </c>
      <c r="O273" s="7">
        <f>SUMIFS('05_상품별배치367'!$K$7:$K$373,'05_상품별배치367'!$E$7:$E$373,A273,'05_상품별배치367'!$H$7:$H$373,"본진")</f>
        <v>1</v>
      </c>
      <c r="P273" s="7">
        <f>SUMIFS('05_상품별배치367'!$K$7:$K$373,'05_상품별배치367'!$E$7:$E$373,A273,'05_상품별배치367'!$H$7:$H$373,"추가 진열")</f>
        <v>0</v>
      </c>
      <c r="Q273" s="7">
        <f>O273+P273</f>
        <v>1</v>
      </c>
      <c r="R273" s="7">
        <v>1</v>
      </c>
      <c r="S273" s="6" t="s">
        <v>1636</v>
      </c>
      <c r="T273" s="6" t="s">
        <v>1637</v>
      </c>
      <c r="U273" s="6"/>
      <c r="V273" s="16"/>
      <c r="W273" s="16"/>
      <c r="X273" s="16"/>
      <c r="Y273" s="6" t="s">
        <v>1627</v>
      </c>
      <c r="Z273" s="15"/>
      <c r="AA273" s="15" t="s">
        <v>1628</v>
      </c>
    </row>
    <row r="274" spans="1:27" ht="33" customHeight="1">
      <c r="A274" s="6" t="s">
        <v>4789</v>
      </c>
      <c r="B274" s="7">
        <v>1379</v>
      </c>
      <c r="C274" s="6" t="s">
        <v>4790</v>
      </c>
      <c r="D274" s="6" t="s">
        <v>1937</v>
      </c>
      <c r="E274" s="6" t="s">
        <v>1986</v>
      </c>
      <c r="F274" s="6" t="s">
        <v>913</v>
      </c>
      <c r="G274" s="6" t="s">
        <v>201</v>
      </c>
      <c r="H274" s="6"/>
      <c r="I274" s="14" t="s">
        <v>1642</v>
      </c>
      <c r="J274" s="15"/>
      <c r="K274" s="6" t="s">
        <v>1976</v>
      </c>
      <c r="L274" s="6"/>
      <c r="M274" s="6" t="s">
        <v>1643</v>
      </c>
      <c r="N274" s="6" t="s">
        <v>1644</v>
      </c>
      <c r="O274" s="7">
        <f>SUMIFS('05_상품별배치367'!$K$7:$K$373,'05_상품별배치367'!$E$7:$E$373,A274,'05_상품별배치367'!$H$7:$H$373,"본진")</f>
        <v>0</v>
      </c>
      <c r="P274" s="7">
        <f>SUMIFS('05_상품별배치367'!$K$7:$K$373,'05_상품별배치367'!$E$7:$E$373,A274,'05_상품별배치367'!$H$7:$H$373,"추가 진열")</f>
        <v>0</v>
      </c>
      <c r="Q274" s="7">
        <f>O274+P274</f>
        <v>0</v>
      </c>
      <c r="R274" s="7">
        <v>1</v>
      </c>
      <c r="S274" s="6" t="s">
        <v>2907</v>
      </c>
      <c r="T274" s="6" t="s">
        <v>1637</v>
      </c>
      <c r="U274" s="6"/>
      <c r="V274" s="16"/>
      <c r="W274" s="16"/>
      <c r="X274" s="16"/>
      <c r="Y274" s="6" t="s">
        <v>1627</v>
      </c>
      <c r="Z274" s="15"/>
      <c r="AA274" s="15" t="s">
        <v>1628</v>
      </c>
    </row>
    <row r="275" spans="1:27" ht="33" customHeight="1">
      <c r="A275" s="8" t="s">
        <v>4791</v>
      </c>
      <c r="B275" s="9">
        <v>1380</v>
      </c>
      <c r="C275" s="8" t="s">
        <v>4792</v>
      </c>
      <c r="D275" s="8" t="s">
        <v>1937</v>
      </c>
      <c r="E275" s="8" t="s">
        <v>1986</v>
      </c>
      <c r="F275" s="8" t="s">
        <v>913</v>
      </c>
      <c r="G275" s="8" t="s">
        <v>201</v>
      </c>
      <c r="H275" s="8"/>
      <c r="I275" s="14" t="s">
        <v>1642</v>
      </c>
      <c r="J275" s="15"/>
      <c r="K275" s="8" t="s">
        <v>1976</v>
      </c>
      <c r="L275" s="8"/>
      <c r="M275" s="6" t="s">
        <v>1643</v>
      </c>
      <c r="N275" s="6" t="s">
        <v>1644</v>
      </c>
      <c r="O275" s="7">
        <f>SUMIFS('05_상품별배치367'!$K$7:$K$373,'05_상품별배치367'!$E$7:$E$373,A275,'05_상품별배치367'!$H$7:$H$373,"본진")</f>
        <v>0</v>
      </c>
      <c r="P275" s="7">
        <f>SUMIFS('05_상품별배치367'!$K$7:$K$373,'05_상품별배치367'!$E$7:$E$373,A275,'05_상품별배치367'!$H$7:$H$373,"추가 진열")</f>
        <v>0</v>
      </c>
      <c r="Q275" s="7">
        <f>O275+P275</f>
        <v>0</v>
      </c>
      <c r="R275" s="7">
        <v>1</v>
      </c>
      <c r="S275" s="6" t="s">
        <v>2907</v>
      </c>
      <c r="T275" s="6" t="s">
        <v>1637</v>
      </c>
      <c r="U275" s="6"/>
      <c r="V275" s="16"/>
      <c r="W275" s="16"/>
      <c r="X275" s="16"/>
      <c r="Y275" s="6" t="s">
        <v>1627</v>
      </c>
      <c r="Z275" s="15"/>
      <c r="AA275" s="15" t="s">
        <v>1628</v>
      </c>
    </row>
    <row r="276" spans="1:27" ht="33" customHeight="1">
      <c r="A276" s="8" t="s">
        <v>4787</v>
      </c>
      <c r="B276" s="9">
        <v>1378</v>
      </c>
      <c r="C276" s="8" t="s">
        <v>4788</v>
      </c>
      <c r="D276" s="8" t="s">
        <v>3319</v>
      </c>
      <c r="E276" s="8" t="s">
        <v>2134</v>
      </c>
      <c r="F276" s="8" t="s">
        <v>162</v>
      </c>
      <c r="G276" s="8" t="s">
        <v>404</v>
      </c>
      <c r="H276" s="8"/>
      <c r="I276" s="14" t="s">
        <v>1642</v>
      </c>
      <c r="J276" s="15"/>
      <c r="K276" s="8" t="s">
        <v>1976</v>
      </c>
      <c r="L276" s="8"/>
      <c r="M276" s="6" t="s">
        <v>1643</v>
      </c>
      <c r="N276" s="6" t="s">
        <v>1644</v>
      </c>
      <c r="O276" s="7">
        <f>SUMIFS('05_상품별배치367'!$K$7:$K$373,'05_상품별배치367'!$E$7:$E$373,A276,'05_상품별배치367'!$H$7:$H$373,"본진")</f>
        <v>0</v>
      </c>
      <c r="P276" s="7">
        <f>SUMIFS('05_상품별배치367'!$K$7:$K$373,'05_상품별배치367'!$E$7:$E$373,A276,'05_상품별배치367'!$H$7:$H$373,"추가 진열")</f>
        <v>0</v>
      </c>
      <c r="Q276" s="7">
        <f>O276+P276</f>
        <v>0</v>
      </c>
      <c r="R276" s="7">
        <v>1</v>
      </c>
      <c r="S276" s="6" t="s">
        <v>2996</v>
      </c>
      <c r="T276" s="6" t="s">
        <v>1637</v>
      </c>
      <c r="U276" s="6"/>
      <c r="V276" s="16"/>
      <c r="W276" s="16"/>
      <c r="X276" s="16"/>
      <c r="Y276" s="6" t="s">
        <v>1627</v>
      </c>
      <c r="Z276" s="15"/>
      <c r="AA276" s="15" t="s">
        <v>1628</v>
      </c>
    </row>
    <row r="277" spans="1:27" ht="33" customHeight="1">
      <c r="A277" s="6" t="s">
        <v>4785</v>
      </c>
      <c r="B277" s="7">
        <v>1377</v>
      </c>
      <c r="C277" s="6" t="s">
        <v>4786</v>
      </c>
      <c r="D277" s="6" t="s">
        <v>2133</v>
      </c>
      <c r="E277" s="6" t="s">
        <v>2134</v>
      </c>
      <c r="F277" s="6" t="s">
        <v>2933</v>
      </c>
      <c r="G277" s="6" t="s">
        <v>1668</v>
      </c>
      <c r="H277" s="6"/>
      <c r="I277" s="14" t="s">
        <v>1807</v>
      </c>
      <c r="J277" s="15"/>
      <c r="K277" s="6" t="s">
        <v>1976</v>
      </c>
      <c r="L277" s="6" t="s">
        <v>2032</v>
      </c>
      <c r="M277" s="6" t="s">
        <v>1809</v>
      </c>
      <c r="N277" s="6" t="s">
        <v>1644</v>
      </c>
      <c r="O277" s="7">
        <f>SUMIFS('05_상품별배치367'!$K$7:$K$373,'05_상품별배치367'!$E$7:$E$373,A277,'05_상품별배치367'!$H$7:$H$373,"본진")</f>
        <v>0</v>
      </c>
      <c r="P277" s="7">
        <f>SUMIFS('05_상품별배치367'!$K$7:$K$373,'05_상품별배치367'!$E$7:$E$373,A277,'05_상품별배치367'!$H$7:$H$373,"추가 진열")</f>
        <v>0</v>
      </c>
      <c r="Q277" s="7">
        <f>O277+P277</f>
        <v>0</v>
      </c>
      <c r="R277" s="7">
        <v>0</v>
      </c>
      <c r="S277" s="6" t="s">
        <v>1810</v>
      </c>
      <c r="T277" s="6" t="s">
        <v>1637</v>
      </c>
      <c r="U277" s="6"/>
      <c r="V277" s="16"/>
      <c r="W277" s="16"/>
      <c r="X277" s="16"/>
      <c r="Y277" s="6" t="s">
        <v>1627</v>
      </c>
      <c r="Z277" s="15"/>
      <c r="AA277" s="15" t="s">
        <v>1628</v>
      </c>
    </row>
    <row r="278" spans="1:27" ht="33" customHeight="1">
      <c r="A278" s="8" t="s">
        <v>6846</v>
      </c>
      <c r="B278" s="9">
        <v>2332</v>
      </c>
      <c r="C278" s="8" t="s">
        <v>6847</v>
      </c>
      <c r="D278" s="8" t="s">
        <v>2856</v>
      </c>
      <c r="E278" s="8" t="s">
        <v>2134</v>
      </c>
      <c r="F278" s="8" t="s">
        <v>1081</v>
      </c>
      <c r="G278" s="8" t="s">
        <v>290</v>
      </c>
      <c r="H278" s="8" t="s">
        <v>1086</v>
      </c>
      <c r="I278" s="14" t="s">
        <v>1633</v>
      </c>
      <c r="J278" s="15"/>
      <c r="K278" s="8" t="s">
        <v>1976</v>
      </c>
      <c r="L278" s="8" t="s">
        <v>3828</v>
      </c>
      <c r="M278" s="6" t="s">
        <v>1635</v>
      </c>
      <c r="N278" s="6" t="s">
        <v>1624</v>
      </c>
      <c r="O278" s="7">
        <f>SUMIFS('05_상품별배치367'!$K$7:$K$373,'05_상품별배치367'!$E$7:$E$373,A278,'05_상품별배치367'!$H$7:$H$373,"본진")</f>
        <v>1</v>
      </c>
      <c r="P278" s="7">
        <f>SUMIFS('05_상품별배치367'!$K$7:$K$373,'05_상품별배치367'!$E$7:$E$373,A278,'05_상품별배치367'!$H$7:$H$373,"추가 진열")</f>
        <v>0</v>
      </c>
      <c r="Q278" s="7">
        <f>O278+P278</f>
        <v>1</v>
      </c>
      <c r="R278" s="7">
        <v>1</v>
      </c>
      <c r="S278" s="6" t="s">
        <v>1636</v>
      </c>
      <c r="T278" s="6" t="s">
        <v>6823</v>
      </c>
      <c r="U278" s="6"/>
      <c r="V278" s="16"/>
      <c r="W278" s="16"/>
      <c r="X278" s="16"/>
      <c r="Y278" s="6" t="s">
        <v>1627</v>
      </c>
      <c r="Z278" s="15"/>
      <c r="AA278" s="15" t="s">
        <v>1628</v>
      </c>
    </row>
    <row r="279" spans="1:27" ht="33" customHeight="1">
      <c r="A279" s="6" t="s">
        <v>1522</v>
      </c>
      <c r="B279" s="7">
        <v>2325</v>
      </c>
      <c r="C279" s="6" t="s">
        <v>1521</v>
      </c>
      <c r="D279" s="6" t="s">
        <v>2714</v>
      </c>
      <c r="E279" s="6" t="s">
        <v>1695</v>
      </c>
      <c r="F279" s="6" t="s">
        <v>497</v>
      </c>
      <c r="G279" s="6" t="s">
        <v>307</v>
      </c>
      <c r="H279" s="6" t="s">
        <v>1124</v>
      </c>
      <c r="I279" s="14" t="s">
        <v>1633</v>
      </c>
      <c r="J279" s="15"/>
      <c r="K279" s="6" t="s">
        <v>1696</v>
      </c>
      <c r="L279" s="6" t="s">
        <v>3828</v>
      </c>
      <c r="M279" s="6" t="s">
        <v>1635</v>
      </c>
      <c r="N279" s="6" t="s">
        <v>1624</v>
      </c>
      <c r="O279" s="7">
        <f>SUMIFS('05_상품별배치367'!$K$7:$K$373,'05_상품별배치367'!$E$7:$E$373,A279,'05_상품별배치367'!$H$7:$H$373,"본진")</f>
        <v>1</v>
      </c>
      <c r="P279" s="7">
        <f>SUMIFS('05_상품별배치367'!$K$7:$K$373,'05_상품별배치367'!$E$7:$E$373,A279,'05_상품별배치367'!$H$7:$H$373,"추가 진열")</f>
        <v>1</v>
      </c>
      <c r="Q279" s="7">
        <f>O279+P279</f>
        <v>2</v>
      </c>
      <c r="R279" s="7">
        <v>1</v>
      </c>
      <c r="S279" s="6" t="s">
        <v>1636</v>
      </c>
      <c r="T279" s="6" t="s">
        <v>6823</v>
      </c>
      <c r="U279" s="6"/>
      <c r="V279" s="16"/>
      <c r="W279" s="16"/>
      <c r="X279" s="16"/>
      <c r="Y279" s="6" t="s">
        <v>1627</v>
      </c>
      <c r="Z279" s="15"/>
      <c r="AA279" s="15" t="s">
        <v>1628</v>
      </c>
    </row>
    <row r="280" spans="1:27" ht="33" customHeight="1">
      <c r="A280" s="6" t="s">
        <v>4231</v>
      </c>
      <c r="B280" s="7">
        <v>1107</v>
      </c>
      <c r="C280" s="6" t="s">
        <v>4232</v>
      </c>
      <c r="D280" s="6" t="s">
        <v>2856</v>
      </c>
      <c r="E280" s="6" t="s">
        <v>2134</v>
      </c>
      <c r="F280" s="6" t="s">
        <v>1081</v>
      </c>
      <c r="G280" s="6" t="s">
        <v>290</v>
      </c>
      <c r="H280" s="6"/>
      <c r="I280" s="14" t="s">
        <v>1642</v>
      </c>
      <c r="J280" s="15"/>
      <c r="K280" s="6" t="s">
        <v>1976</v>
      </c>
      <c r="L280" s="6"/>
      <c r="M280" s="6" t="s">
        <v>1643</v>
      </c>
      <c r="N280" s="6" t="s">
        <v>1644</v>
      </c>
      <c r="O280" s="7">
        <f>SUMIFS('05_상품별배치367'!$K$7:$K$373,'05_상품별배치367'!$E$7:$E$373,A280,'05_상품별배치367'!$H$7:$H$373,"본진")</f>
        <v>0</v>
      </c>
      <c r="P280" s="7">
        <f>SUMIFS('05_상품별배치367'!$K$7:$K$373,'05_상품별배치367'!$E$7:$E$373,A280,'05_상품별배치367'!$H$7:$H$373,"추가 진열")</f>
        <v>0</v>
      </c>
      <c r="Q280" s="7">
        <f>O280+P280</f>
        <v>0</v>
      </c>
      <c r="R280" s="7">
        <v>1</v>
      </c>
      <c r="S280" s="6" t="s">
        <v>2135</v>
      </c>
      <c r="T280" s="6" t="s">
        <v>1637</v>
      </c>
      <c r="U280" s="6"/>
      <c r="V280" s="16"/>
      <c r="W280" s="16"/>
      <c r="X280" s="16"/>
      <c r="Y280" s="6" t="s">
        <v>1627</v>
      </c>
      <c r="Z280" s="15"/>
      <c r="AA280" s="15" t="s">
        <v>1628</v>
      </c>
    </row>
    <row r="281" spans="1:27" ht="33" customHeight="1">
      <c r="A281" s="6" t="s">
        <v>4235</v>
      </c>
      <c r="B281" s="7">
        <v>1109</v>
      </c>
      <c r="C281" s="6" t="s">
        <v>4236</v>
      </c>
      <c r="D281" s="6" t="s">
        <v>2588</v>
      </c>
      <c r="E281" s="6" t="s">
        <v>2134</v>
      </c>
      <c r="F281" s="6" t="s">
        <v>1081</v>
      </c>
      <c r="G281" s="6" t="s">
        <v>290</v>
      </c>
      <c r="H281" s="6"/>
      <c r="I281" s="14" t="s">
        <v>1642</v>
      </c>
      <c r="J281" s="15"/>
      <c r="K281" s="6" t="s">
        <v>1976</v>
      </c>
      <c r="L281" s="6"/>
      <c r="M281" s="6" t="s">
        <v>1643</v>
      </c>
      <c r="N281" s="6" t="s">
        <v>1644</v>
      </c>
      <c r="O281" s="7">
        <f>SUMIFS('05_상품별배치367'!$K$7:$K$373,'05_상품별배치367'!$E$7:$E$373,A281,'05_상품별배치367'!$H$7:$H$373,"본진")</f>
        <v>0</v>
      </c>
      <c r="P281" s="7">
        <f>SUMIFS('05_상품별배치367'!$K$7:$K$373,'05_상품별배치367'!$E$7:$E$373,A281,'05_상품별배치367'!$H$7:$H$373,"추가 진열")</f>
        <v>0</v>
      </c>
      <c r="Q281" s="7">
        <f>O281+P281</f>
        <v>0</v>
      </c>
      <c r="R281" s="7">
        <v>1</v>
      </c>
      <c r="S281" s="6" t="s">
        <v>2135</v>
      </c>
      <c r="T281" s="6" t="s">
        <v>1637</v>
      </c>
      <c r="U281" s="6"/>
      <c r="V281" s="16"/>
      <c r="W281" s="16"/>
      <c r="X281" s="16"/>
      <c r="Y281" s="6" t="s">
        <v>1627</v>
      </c>
      <c r="Z281" s="15"/>
      <c r="AA281" s="15" t="s">
        <v>1628</v>
      </c>
    </row>
    <row r="282" spans="1:27" ht="33" customHeight="1">
      <c r="A282" s="8" t="s">
        <v>4233</v>
      </c>
      <c r="B282" s="9">
        <v>1108</v>
      </c>
      <c r="C282" s="8" t="s">
        <v>4234</v>
      </c>
      <c r="D282" s="8" t="s">
        <v>2845</v>
      </c>
      <c r="E282" s="8" t="s">
        <v>2134</v>
      </c>
      <c r="F282" s="8" t="s">
        <v>1081</v>
      </c>
      <c r="G282" s="8" t="s">
        <v>290</v>
      </c>
      <c r="H282" s="8"/>
      <c r="I282" s="14" t="s">
        <v>1642</v>
      </c>
      <c r="J282" s="15"/>
      <c r="K282" s="8" t="s">
        <v>1976</v>
      </c>
      <c r="L282" s="8"/>
      <c r="M282" s="6" t="s">
        <v>1643</v>
      </c>
      <c r="N282" s="6" t="s">
        <v>1644</v>
      </c>
      <c r="O282" s="7">
        <f>SUMIFS('05_상품별배치367'!$K$7:$K$373,'05_상품별배치367'!$E$7:$E$373,A282,'05_상품별배치367'!$H$7:$H$373,"본진")</f>
        <v>0</v>
      </c>
      <c r="P282" s="7">
        <f>SUMIFS('05_상품별배치367'!$K$7:$K$373,'05_상품별배치367'!$E$7:$E$373,A282,'05_상품별배치367'!$H$7:$H$373,"추가 진열")</f>
        <v>0</v>
      </c>
      <c r="Q282" s="7">
        <f>O282+P282</f>
        <v>0</v>
      </c>
      <c r="R282" s="7">
        <v>1</v>
      </c>
      <c r="S282" s="6" t="s">
        <v>2135</v>
      </c>
      <c r="T282" s="6" t="s">
        <v>1637</v>
      </c>
      <c r="U282" s="6"/>
      <c r="V282" s="16"/>
      <c r="W282" s="16"/>
      <c r="X282" s="16"/>
      <c r="Y282" s="6" t="s">
        <v>1627</v>
      </c>
      <c r="Z282" s="15"/>
      <c r="AA282" s="15" t="s">
        <v>1628</v>
      </c>
    </row>
    <row r="283" spans="1:27" ht="33" customHeight="1">
      <c r="A283" s="8" t="s">
        <v>4241</v>
      </c>
      <c r="B283" s="9">
        <v>1112</v>
      </c>
      <c r="C283" s="8" t="s">
        <v>4242</v>
      </c>
      <c r="D283" s="8" t="s">
        <v>4243</v>
      </c>
      <c r="E283" s="8" t="s">
        <v>2134</v>
      </c>
      <c r="F283" s="8" t="s">
        <v>161</v>
      </c>
      <c r="G283" s="8" t="s">
        <v>395</v>
      </c>
      <c r="H283" s="8"/>
      <c r="I283" s="14" t="s">
        <v>1642</v>
      </c>
      <c r="J283" s="15"/>
      <c r="K283" s="8" t="s">
        <v>1976</v>
      </c>
      <c r="L283" s="8"/>
      <c r="M283" s="6" t="s">
        <v>1643</v>
      </c>
      <c r="N283" s="6" t="s">
        <v>1644</v>
      </c>
      <c r="O283" s="7">
        <f>SUMIFS('05_상품별배치367'!$K$7:$K$373,'05_상품별배치367'!$E$7:$E$373,A283,'05_상품별배치367'!$H$7:$H$373,"본진")</f>
        <v>0</v>
      </c>
      <c r="P283" s="7">
        <f>SUMIFS('05_상품별배치367'!$K$7:$K$373,'05_상품별배치367'!$E$7:$E$373,A283,'05_상품별배치367'!$H$7:$H$373,"추가 진열")</f>
        <v>0</v>
      </c>
      <c r="Q283" s="7">
        <f>O283+P283</f>
        <v>0</v>
      </c>
      <c r="R283" s="7">
        <v>1</v>
      </c>
      <c r="S283" s="6" t="s">
        <v>3070</v>
      </c>
      <c r="T283" s="6" t="s">
        <v>1637</v>
      </c>
      <c r="U283" s="6"/>
      <c r="V283" s="16"/>
      <c r="W283" s="16"/>
      <c r="X283" s="16"/>
      <c r="Y283" s="6" t="s">
        <v>1655</v>
      </c>
      <c r="Z283" s="15"/>
      <c r="AA283" s="15" t="s">
        <v>1628</v>
      </c>
    </row>
    <row r="284" spans="1:27" ht="33" customHeight="1">
      <c r="A284" s="6" t="s">
        <v>4239</v>
      </c>
      <c r="B284" s="7">
        <v>1111</v>
      </c>
      <c r="C284" s="6" t="s">
        <v>4240</v>
      </c>
      <c r="D284" s="6" t="s">
        <v>2572</v>
      </c>
      <c r="E284" s="6" t="s">
        <v>2134</v>
      </c>
      <c r="F284" s="6" t="s">
        <v>161</v>
      </c>
      <c r="G284" s="6" t="s">
        <v>395</v>
      </c>
      <c r="H284" s="6"/>
      <c r="I284" s="14" t="s">
        <v>1642</v>
      </c>
      <c r="J284" s="15"/>
      <c r="K284" s="6" t="s">
        <v>1976</v>
      </c>
      <c r="L284" s="6"/>
      <c r="M284" s="6" t="s">
        <v>1643</v>
      </c>
      <c r="N284" s="6" t="s">
        <v>1644</v>
      </c>
      <c r="O284" s="7">
        <f>SUMIFS('05_상품별배치367'!$K$7:$K$373,'05_상품별배치367'!$E$7:$E$373,A284,'05_상품별배치367'!$H$7:$H$373,"본진")</f>
        <v>0</v>
      </c>
      <c r="P284" s="7">
        <f>SUMIFS('05_상품별배치367'!$K$7:$K$373,'05_상품별배치367'!$E$7:$E$373,A284,'05_상품별배치367'!$H$7:$H$373,"추가 진열")</f>
        <v>0</v>
      </c>
      <c r="Q284" s="7">
        <f>O284+P284</f>
        <v>0</v>
      </c>
      <c r="R284" s="7">
        <v>1</v>
      </c>
      <c r="S284" s="6" t="s">
        <v>3070</v>
      </c>
      <c r="T284" s="6" t="s">
        <v>1637</v>
      </c>
      <c r="U284" s="6"/>
      <c r="V284" s="16"/>
      <c r="W284" s="16"/>
      <c r="X284" s="16"/>
      <c r="Y284" s="6" t="s">
        <v>1627</v>
      </c>
      <c r="Z284" s="15"/>
      <c r="AA284" s="15" t="s">
        <v>1628</v>
      </c>
    </row>
    <row r="285" spans="1:27" ht="33" customHeight="1">
      <c r="A285" s="8" t="s">
        <v>6611</v>
      </c>
      <c r="B285" s="9">
        <v>2218</v>
      </c>
      <c r="C285" s="8" t="s">
        <v>6612</v>
      </c>
      <c r="D285" s="8" t="s">
        <v>2133</v>
      </c>
      <c r="E285" s="8" t="s">
        <v>2134</v>
      </c>
      <c r="F285" s="8" t="s">
        <v>156</v>
      </c>
      <c r="G285" s="8" t="s">
        <v>3239</v>
      </c>
      <c r="H285" s="8"/>
      <c r="I285" s="14" t="s">
        <v>1642</v>
      </c>
      <c r="J285" s="15"/>
      <c r="K285" s="8" t="s">
        <v>1976</v>
      </c>
      <c r="L285" s="8"/>
      <c r="M285" s="6" t="s">
        <v>1643</v>
      </c>
      <c r="N285" s="6" t="s">
        <v>1644</v>
      </c>
      <c r="O285" s="7">
        <f>SUMIFS('05_상품별배치367'!$K$7:$K$373,'05_상품별배치367'!$E$7:$E$373,A285,'05_상품별배치367'!$H$7:$H$373,"본진")</f>
        <v>0</v>
      </c>
      <c r="P285" s="7">
        <f>SUMIFS('05_상품별배치367'!$K$7:$K$373,'05_상품별배치367'!$E$7:$E$373,A285,'05_상품별배치367'!$H$7:$H$373,"추가 진열")</f>
        <v>0</v>
      </c>
      <c r="Q285" s="7">
        <f>O285+P285</f>
        <v>0</v>
      </c>
      <c r="R285" s="7">
        <v>1</v>
      </c>
      <c r="S285" s="6" t="s">
        <v>3240</v>
      </c>
      <c r="T285" s="6" t="s">
        <v>1637</v>
      </c>
      <c r="U285" s="6"/>
      <c r="V285" s="16"/>
      <c r="W285" s="16"/>
      <c r="X285" s="16"/>
      <c r="Y285" s="6" t="s">
        <v>1627</v>
      </c>
      <c r="Z285" s="15"/>
      <c r="AA285" s="15" t="s">
        <v>1628</v>
      </c>
    </row>
    <row r="286" spans="1:27" ht="33" customHeight="1">
      <c r="A286" s="6" t="s">
        <v>6613</v>
      </c>
      <c r="B286" s="7">
        <v>2219</v>
      </c>
      <c r="C286" s="6" t="s">
        <v>6614</v>
      </c>
      <c r="D286" s="6" t="s">
        <v>2845</v>
      </c>
      <c r="E286" s="6" t="s">
        <v>2134</v>
      </c>
      <c r="F286" s="6" t="s">
        <v>156</v>
      </c>
      <c r="G286" s="6" t="s">
        <v>3239</v>
      </c>
      <c r="H286" s="6"/>
      <c r="I286" s="14" t="s">
        <v>1642</v>
      </c>
      <c r="J286" s="15"/>
      <c r="K286" s="6" t="s">
        <v>1976</v>
      </c>
      <c r="L286" s="6"/>
      <c r="M286" s="6" t="s">
        <v>1643</v>
      </c>
      <c r="N286" s="6" t="s">
        <v>1644</v>
      </c>
      <c r="O286" s="7">
        <f>SUMIFS('05_상품별배치367'!$K$7:$K$373,'05_상품별배치367'!$E$7:$E$373,A286,'05_상품별배치367'!$H$7:$H$373,"본진")</f>
        <v>0</v>
      </c>
      <c r="P286" s="7">
        <f>SUMIFS('05_상품별배치367'!$K$7:$K$373,'05_상품별배치367'!$E$7:$E$373,A286,'05_상품별배치367'!$H$7:$H$373,"추가 진열")</f>
        <v>0</v>
      </c>
      <c r="Q286" s="7">
        <f>O286+P286</f>
        <v>0</v>
      </c>
      <c r="R286" s="7">
        <v>1</v>
      </c>
      <c r="S286" s="6" t="s">
        <v>3240</v>
      </c>
      <c r="T286" s="6" t="s">
        <v>1637</v>
      </c>
      <c r="U286" s="6"/>
      <c r="V286" s="16"/>
      <c r="W286" s="16"/>
      <c r="X286" s="16"/>
      <c r="Y286" s="6" t="s">
        <v>1627</v>
      </c>
      <c r="Z286" s="15"/>
      <c r="AA286" s="15" t="s">
        <v>1628</v>
      </c>
    </row>
    <row r="287" spans="1:27" ht="33" customHeight="1">
      <c r="A287" s="8" t="s">
        <v>6615</v>
      </c>
      <c r="B287" s="9">
        <v>2220</v>
      </c>
      <c r="C287" s="8" t="s">
        <v>6616</v>
      </c>
      <c r="D287" s="8" t="s">
        <v>3055</v>
      </c>
      <c r="E287" s="8" t="s">
        <v>2134</v>
      </c>
      <c r="F287" s="8" t="s">
        <v>156</v>
      </c>
      <c r="G287" s="8" t="s">
        <v>3239</v>
      </c>
      <c r="H287" s="8"/>
      <c r="I287" s="14" t="s">
        <v>1642</v>
      </c>
      <c r="J287" s="15"/>
      <c r="K287" s="8" t="s">
        <v>1976</v>
      </c>
      <c r="L287" s="8"/>
      <c r="M287" s="6" t="s">
        <v>1643</v>
      </c>
      <c r="N287" s="6" t="s">
        <v>1644</v>
      </c>
      <c r="O287" s="7">
        <f>SUMIFS('05_상품별배치367'!$K$7:$K$373,'05_상품별배치367'!$E$7:$E$373,A287,'05_상품별배치367'!$H$7:$H$373,"본진")</f>
        <v>0</v>
      </c>
      <c r="P287" s="7">
        <f>SUMIFS('05_상품별배치367'!$K$7:$K$373,'05_상품별배치367'!$E$7:$E$373,A287,'05_상품별배치367'!$H$7:$H$373,"추가 진열")</f>
        <v>0</v>
      </c>
      <c r="Q287" s="7">
        <f>O287+P287</f>
        <v>0</v>
      </c>
      <c r="R287" s="7">
        <v>1</v>
      </c>
      <c r="S287" s="6" t="s">
        <v>3240</v>
      </c>
      <c r="T287" s="6" t="s">
        <v>1637</v>
      </c>
      <c r="U287" s="6"/>
      <c r="V287" s="16"/>
      <c r="W287" s="16"/>
      <c r="X287" s="16"/>
      <c r="Y287" s="6" t="s">
        <v>1627</v>
      </c>
      <c r="Z287" s="15"/>
      <c r="AA287" s="15" t="s">
        <v>1628</v>
      </c>
    </row>
    <row r="288" spans="1:27" ht="33" customHeight="1">
      <c r="A288" s="6" t="s">
        <v>4252</v>
      </c>
      <c r="B288" s="7">
        <v>1117</v>
      </c>
      <c r="C288" s="6" t="s">
        <v>4253</v>
      </c>
      <c r="D288" s="6" t="s">
        <v>2845</v>
      </c>
      <c r="E288" s="6" t="s">
        <v>2134</v>
      </c>
      <c r="F288" s="6" t="s">
        <v>1081</v>
      </c>
      <c r="G288" s="6" t="s">
        <v>290</v>
      </c>
      <c r="H288" s="6"/>
      <c r="I288" s="14" t="s">
        <v>1642</v>
      </c>
      <c r="J288" s="15"/>
      <c r="K288" s="6" t="s">
        <v>1976</v>
      </c>
      <c r="L288" s="6"/>
      <c r="M288" s="6" t="s">
        <v>1643</v>
      </c>
      <c r="N288" s="6" t="s">
        <v>1644</v>
      </c>
      <c r="O288" s="7">
        <f>SUMIFS('05_상품별배치367'!$K$7:$K$373,'05_상품별배치367'!$E$7:$E$373,A288,'05_상품별배치367'!$H$7:$H$373,"본진")</f>
        <v>0</v>
      </c>
      <c r="P288" s="7">
        <f>SUMIFS('05_상품별배치367'!$K$7:$K$373,'05_상품별배치367'!$E$7:$E$373,A288,'05_상품별배치367'!$H$7:$H$373,"추가 진열")</f>
        <v>0</v>
      </c>
      <c r="Q288" s="7">
        <f>O288+P288</f>
        <v>0</v>
      </c>
      <c r="R288" s="7">
        <v>1</v>
      </c>
      <c r="S288" s="6" t="s">
        <v>2135</v>
      </c>
      <c r="T288" s="6" t="s">
        <v>1637</v>
      </c>
      <c r="U288" s="6"/>
      <c r="V288" s="16"/>
      <c r="W288" s="16"/>
      <c r="X288" s="16"/>
      <c r="Y288" s="6" t="s">
        <v>1627</v>
      </c>
      <c r="Z288" s="15"/>
      <c r="AA288" s="15" t="s">
        <v>1628</v>
      </c>
    </row>
    <row r="289" spans="1:27" ht="33" customHeight="1">
      <c r="A289" s="6" t="s">
        <v>4244</v>
      </c>
      <c r="B289" s="7">
        <v>1113</v>
      </c>
      <c r="C289" s="6" t="s">
        <v>4245</v>
      </c>
      <c r="D289" s="6" t="s">
        <v>2133</v>
      </c>
      <c r="E289" s="6" t="s">
        <v>2134</v>
      </c>
      <c r="F289" s="6" t="s">
        <v>1081</v>
      </c>
      <c r="G289" s="6" t="s">
        <v>290</v>
      </c>
      <c r="H289" s="6"/>
      <c r="I289" s="14" t="s">
        <v>1642</v>
      </c>
      <c r="J289" s="15"/>
      <c r="K289" s="6" t="s">
        <v>1976</v>
      </c>
      <c r="L289" s="6"/>
      <c r="M289" s="6" t="s">
        <v>1643</v>
      </c>
      <c r="N289" s="6" t="s">
        <v>1644</v>
      </c>
      <c r="O289" s="7">
        <f>SUMIFS('05_상품별배치367'!$K$7:$K$373,'05_상품별배치367'!$E$7:$E$373,A289,'05_상품별배치367'!$H$7:$H$373,"본진")</f>
        <v>0</v>
      </c>
      <c r="P289" s="7">
        <f>SUMIFS('05_상품별배치367'!$K$7:$K$373,'05_상품별배치367'!$E$7:$E$373,A289,'05_상품별배치367'!$H$7:$H$373,"추가 진열")</f>
        <v>0</v>
      </c>
      <c r="Q289" s="7">
        <f>O289+P289</f>
        <v>0</v>
      </c>
      <c r="R289" s="7">
        <v>1</v>
      </c>
      <c r="S289" s="6" t="s">
        <v>2135</v>
      </c>
      <c r="T289" s="6" t="s">
        <v>1637</v>
      </c>
      <c r="U289" s="6"/>
      <c r="V289" s="16"/>
      <c r="W289" s="16"/>
      <c r="X289" s="16"/>
      <c r="Y289" s="6" t="s">
        <v>1627</v>
      </c>
      <c r="Z289" s="15"/>
      <c r="AA289" s="15" t="s">
        <v>1628</v>
      </c>
    </row>
    <row r="290" spans="1:27" ht="33" customHeight="1">
      <c r="A290" s="8" t="s">
        <v>4246</v>
      </c>
      <c r="B290" s="9">
        <v>1114</v>
      </c>
      <c r="C290" s="8" t="s">
        <v>4247</v>
      </c>
      <c r="D290" s="8" t="s">
        <v>1686</v>
      </c>
      <c r="E290" s="8" t="s">
        <v>1814</v>
      </c>
      <c r="F290" s="8" t="s">
        <v>1376</v>
      </c>
      <c r="G290" s="8" t="s">
        <v>431</v>
      </c>
      <c r="H290" s="8"/>
      <c r="I290" s="14" t="s">
        <v>1642</v>
      </c>
      <c r="J290" s="15"/>
      <c r="K290" s="8" t="s">
        <v>1976</v>
      </c>
      <c r="L290" s="8"/>
      <c r="M290" s="6" t="s">
        <v>1643</v>
      </c>
      <c r="N290" s="6" t="s">
        <v>1644</v>
      </c>
      <c r="O290" s="7">
        <f>SUMIFS('05_상품별배치367'!$K$7:$K$373,'05_상품별배치367'!$E$7:$E$373,A290,'05_상품별배치367'!$H$7:$H$373,"본진")</f>
        <v>0</v>
      </c>
      <c r="P290" s="7">
        <f>SUMIFS('05_상품별배치367'!$K$7:$K$373,'05_상품별배치367'!$E$7:$E$373,A290,'05_상품별배치367'!$H$7:$H$373,"추가 진열")</f>
        <v>0</v>
      </c>
      <c r="Q290" s="7">
        <f>O290+P290</f>
        <v>0</v>
      </c>
      <c r="R290" s="7">
        <v>1</v>
      </c>
      <c r="S290" s="6" t="s">
        <v>1978</v>
      </c>
      <c r="T290" s="6" t="s">
        <v>1637</v>
      </c>
      <c r="U290" s="6"/>
      <c r="V290" s="16"/>
      <c r="W290" s="16"/>
      <c r="X290" s="16"/>
      <c r="Y290" s="6" t="s">
        <v>1627</v>
      </c>
      <c r="Z290" s="15"/>
      <c r="AA290" s="15" t="s">
        <v>1628</v>
      </c>
    </row>
    <row r="291" spans="1:27" ht="33" customHeight="1">
      <c r="A291" s="8" t="s">
        <v>4250</v>
      </c>
      <c r="B291" s="9">
        <v>1116</v>
      </c>
      <c r="C291" s="8" t="s">
        <v>4251</v>
      </c>
      <c r="D291" s="8" t="s">
        <v>1724</v>
      </c>
      <c r="E291" s="8" t="s">
        <v>2134</v>
      </c>
      <c r="F291" s="8" t="s">
        <v>1081</v>
      </c>
      <c r="G291" s="8" t="s">
        <v>290</v>
      </c>
      <c r="H291" s="8"/>
      <c r="I291" s="14" t="s">
        <v>1642</v>
      </c>
      <c r="J291" s="15"/>
      <c r="K291" s="8" t="s">
        <v>1976</v>
      </c>
      <c r="L291" s="8"/>
      <c r="M291" s="6" t="s">
        <v>1643</v>
      </c>
      <c r="N291" s="6" t="s">
        <v>1644</v>
      </c>
      <c r="O291" s="7">
        <f>SUMIFS('05_상품별배치367'!$K$7:$K$373,'05_상품별배치367'!$E$7:$E$373,A291,'05_상품별배치367'!$H$7:$H$373,"본진")</f>
        <v>0</v>
      </c>
      <c r="P291" s="7">
        <f>SUMIFS('05_상품별배치367'!$K$7:$K$373,'05_상품별배치367'!$E$7:$E$373,A291,'05_상품별배치367'!$H$7:$H$373,"추가 진열")</f>
        <v>0</v>
      </c>
      <c r="Q291" s="7">
        <f>O291+P291</f>
        <v>0</v>
      </c>
      <c r="R291" s="7">
        <v>1</v>
      </c>
      <c r="S291" s="6" t="s">
        <v>2135</v>
      </c>
      <c r="T291" s="6" t="s">
        <v>1637</v>
      </c>
      <c r="U291" s="6"/>
      <c r="V291" s="16"/>
      <c r="W291" s="16"/>
      <c r="X291" s="16"/>
      <c r="Y291" s="6" t="s">
        <v>1627</v>
      </c>
      <c r="Z291" s="15"/>
      <c r="AA291" s="15" t="s">
        <v>1628</v>
      </c>
    </row>
    <row r="292" spans="1:27" ht="33" customHeight="1">
      <c r="A292" s="6" t="s">
        <v>4248</v>
      </c>
      <c r="B292" s="7">
        <v>1115</v>
      </c>
      <c r="C292" s="6" t="s">
        <v>4249</v>
      </c>
      <c r="D292" s="6" t="s">
        <v>2588</v>
      </c>
      <c r="E292" s="6" t="s">
        <v>2134</v>
      </c>
      <c r="F292" s="6" t="s">
        <v>1081</v>
      </c>
      <c r="G292" s="6" t="s">
        <v>290</v>
      </c>
      <c r="H292" s="6"/>
      <c r="I292" s="14" t="s">
        <v>1642</v>
      </c>
      <c r="J292" s="15"/>
      <c r="K292" s="6" t="s">
        <v>1976</v>
      </c>
      <c r="L292" s="6"/>
      <c r="M292" s="6" t="s">
        <v>1643</v>
      </c>
      <c r="N292" s="6" t="s">
        <v>1644</v>
      </c>
      <c r="O292" s="7">
        <f>SUMIFS('05_상품별배치367'!$K$7:$K$373,'05_상품별배치367'!$E$7:$E$373,A292,'05_상품별배치367'!$H$7:$H$373,"본진")</f>
        <v>0</v>
      </c>
      <c r="P292" s="7">
        <f>SUMIFS('05_상품별배치367'!$K$7:$K$373,'05_상품별배치367'!$E$7:$E$373,A292,'05_상품별배치367'!$H$7:$H$373,"추가 진열")</f>
        <v>0</v>
      </c>
      <c r="Q292" s="7">
        <f>O292+P292</f>
        <v>0</v>
      </c>
      <c r="R292" s="7">
        <v>1</v>
      </c>
      <c r="S292" s="6" t="s">
        <v>2135</v>
      </c>
      <c r="T292" s="6" t="s">
        <v>1637</v>
      </c>
      <c r="U292" s="6"/>
      <c r="V292" s="16"/>
      <c r="W292" s="16"/>
      <c r="X292" s="16"/>
      <c r="Y292" s="6" t="s">
        <v>1627</v>
      </c>
      <c r="Z292" s="15"/>
      <c r="AA292" s="15" t="s">
        <v>1628</v>
      </c>
    </row>
    <row r="293" spans="1:27" ht="33" customHeight="1">
      <c r="A293" s="8" t="s">
        <v>4270</v>
      </c>
      <c r="B293" s="9">
        <v>1126</v>
      </c>
      <c r="C293" s="8" t="s">
        <v>4271</v>
      </c>
      <c r="D293" s="8" t="s">
        <v>1649</v>
      </c>
      <c r="E293" s="8" t="s">
        <v>2134</v>
      </c>
      <c r="F293" s="8" t="s">
        <v>1263</v>
      </c>
      <c r="G293" s="8" t="s">
        <v>376</v>
      </c>
      <c r="H293" s="8"/>
      <c r="I293" s="14" t="s">
        <v>1642</v>
      </c>
      <c r="J293" s="15"/>
      <c r="K293" s="8" t="s">
        <v>1976</v>
      </c>
      <c r="L293" s="8"/>
      <c r="M293" s="6" t="s">
        <v>1643</v>
      </c>
      <c r="N293" s="6" t="s">
        <v>1644</v>
      </c>
      <c r="O293" s="7">
        <f>SUMIFS('05_상품별배치367'!$K$7:$K$373,'05_상품별배치367'!$E$7:$E$373,A293,'05_상품별배치367'!$H$7:$H$373,"본진")</f>
        <v>0</v>
      </c>
      <c r="P293" s="7">
        <f>SUMIFS('05_상품별배치367'!$K$7:$K$373,'05_상품별배치367'!$E$7:$E$373,A293,'05_상품별배치367'!$H$7:$H$373,"추가 진열")</f>
        <v>0</v>
      </c>
      <c r="Q293" s="7">
        <f>O293+P293</f>
        <v>0</v>
      </c>
      <c r="R293" s="7">
        <v>1</v>
      </c>
      <c r="S293" s="6" t="s">
        <v>3016</v>
      </c>
      <c r="T293" s="6" t="s">
        <v>1637</v>
      </c>
      <c r="U293" s="6"/>
      <c r="V293" s="16"/>
      <c r="W293" s="16"/>
      <c r="X293" s="16"/>
      <c r="Y293" s="6" t="s">
        <v>1627</v>
      </c>
      <c r="Z293" s="15"/>
      <c r="AA293" s="15" t="s">
        <v>1628</v>
      </c>
    </row>
    <row r="294" spans="1:27" ht="33" customHeight="1">
      <c r="A294" s="6" t="s">
        <v>4267</v>
      </c>
      <c r="B294" s="7">
        <v>1125</v>
      </c>
      <c r="C294" s="6" t="s">
        <v>4268</v>
      </c>
      <c r="D294" s="6" t="s">
        <v>4269</v>
      </c>
      <c r="E294" s="6" t="s">
        <v>1986</v>
      </c>
      <c r="F294" s="6" t="s">
        <v>3378</v>
      </c>
      <c r="G294" s="6" t="s">
        <v>38</v>
      </c>
      <c r="H294" s="6"/>
      <c r="I294" s="14" t="s">
        <v>1642</v>
      </c>
      <c r="J294" s="15"/>
      <c r="K294" s="6" t="s">
        <v>1976</v>
      </c>
      <c r="L294" s="6"/>
      <c r="M294" s="6" t="s">
        <v>1643</v>
      </c>
      <c r="N294" s="6" t="s">
        <v>1644</v>
      </c>
      <c r="O294" s="7">
        <f>SUMIFS('05_상품별배치367'!$K$7:$K$373,'05_상품별배치367'!$E$7:$E$373,A294,'05_상품별배치367'!$H$7:$H$373,"본진")</f>
        <v>0</v>
      </c>
      <c r="P294" s="7">
        <f>SUMIFS('05_상품별배치367'!$K$7:$K$373,'05_상품별배치367'!$E$7:$E$373,A294,'05_상품별배치367'!$H$7:$H$373,"추가 진열")</f>
        <v>0</v>
      </c>
      <c r="Q294" s="7">
        <f>O294+P294</f>
        <v>0</v>
      </c>
      <c r="R294" s="7">
        <v>1</v>
      </c>
      <c r="S294" s="6" t="s">
        <v>3379</v>
      </c>
      <c r="T294" s="6" t="s">
        <v>1637</v>
      </c>
      <c r="U294" s="6"/>
      <c r="V294" s="16"/>
      <c r="W294" s="16"/>
      <c r="X294" s="16"/>
      <c r="Y294" s="6" t="s">
        <v>1627</v>
      </c>
      <c r="Z294" s="15"/>
      <c r="AA294" s="15" t="s">
        <v>1628</v>
      </c>
    </row>
    <row r="295" spans="1:27" ht="33" customHeight="1">
      <c r="A295" s="6" t="s">
        <v>4272</v>
      </c>
      <c r="B295" s="7">
        <v>1127</v>
      </c>
      <c r="C295" s="6" t="s">
        <v>4273</v>
      </c>
      <c r="D295" s="6" t="s">
        <v>1937</v>
      </c>
      <c r="E295" s="6" t="s">
        <v>2134</v>
      </c>
      <c r="F295" s="6" t="s">
        <v>481</v>
      </c>
      <c r="G295" s="6" t="s">
        <v>193</v>
      </c>
      <c r="H295" s="6"/>
      <c r="I295" s="14" t="s">
        <v>1642</v>
      </c>
      <c r="J295" s="15"/>
      <c r="K295" s="6" t="s">
        <v>1976</v>
      </c>
      <c r="L295" s="6"/>
      <c r="M295" s="6" t="s">
        <v>1643</v>
      </c>
      <c r="N295" s="6" t="s">
        <v>1644</v>
      </c>
      <c r="O295" s="7">
        <f>SUMIFS('05_상품별배치367'!$K$7:$K$373,'05_상품별배치367'!$E$7:$E$373,A295,'05_상품별배치367'!$H$7:$H$373,"본진")</f>
        <v>0</v>
      </c>
      <c r="P295" s="7">
        <f>SUMIFS('05_상품별배치367'!$K$7:$K$373,'05_상품별배치367'!$E$7:$E$373,A295,'05_상품별배치367'!$H$7:$H$373,"추가 진열")</f>
        <v>0</v>
      </c>
      <c r="Q295" s="7">
        <f>O295+P295</f>
        <v>0</v>
      </c>
      <c r="R295" s="7">
        <v>1</v>
      </c>
      <c r="S295" s="6" t="s">
        <v>3000</v>
      </c>
      <c r="T295" s="6" t="s">
        <v>1637</v>
      </c>
      <c r="U295" s="6"/>
      <c r="V295" s="16"/>
      <c r="W295" s="16"/>
      <c r="X295" s="16"/>
      <c r="Y295" s="6" t="s">
        <v>1627</v>
      </c>
      <c r="Z295" s="15"/>
      <c r="AA295" s="15" t="s">
        <v>1628</v>
      </c>
    </row>
    <row r="296" spans="1:27" ht="33" customHeight="1">
      <c r="A296" s="6" t="s">
        <v>6617</v>
      </c>
      <c r="B296" s="7">
        <v>2221</v>
      </c>
      <c r="C296" s="6" t="s">
        <v>6618</v>
      </c>
      <c r="D296" s="6" t="s">
        <v>2133</v>
      </c>
      <c r="E296" s="6" t="s">
        <v>2134</v>
      </c>
      <c r="F296" s="6" t="s">
        <v>842</v>
      </c>
      <c r="G296" s="6" t="s">
        <v>164</v>
      </c>
      <c r="H296" s="6"/>
      <c r="I296" s="14" t="s">
        <v>1642</v>
      </c>
      <c r="J296" s="15"/>
      <c r="K296" s="6" t="s">
        <v>1976</v>
      </c>
      <c r="L296" s="6"/>
      <c r="M296" s="6" t="s">
        <v>1643</v>
      </c>
      <c r="N296" s="6" t="s">
        <v>1644</v>
      </c>
      <c r="O296" s="7">
        <f>SUMIFS('05_상품별배치367'!$K$7:$K$373,'05_상품별배치367'!$E$7:$E$373,A296,'05_상품별배치367'!$H$7:$H$373,"본진")</f>
        <v>0</v>
      </c>
      <c r="P296" s="7">
        <f>SUMIFS('05_상품별배치367'!$K$7:$K$373,'05_상품별배치367'!$E$7:$E$373,A296,'05_상품별배치367'!$H$7:$H$373,"추가 진열")</f>
        <v>0</v>
      </c>
      <c r="Q296" s="7">
        <f>O296+P296</f>
        <v>0</v>
      </c>
      <c r="R296" s="7">
        <v>1</v>
      </c>
      <c r="S296" s="6" t="s">
        <v>3009</v>
      </c>
      <c r="T296" s="6" t="s">
        <v>1637</v>
      </c>
      <c r="U296" s="6"/>
      <c r="V296" s="16"/>
      <c r="W296" s="16"/>
      <c r="X296" s="16"/>
      <c r="Y296" s="6" t="s">
        <v>1627</v>
      </c>
      <c r="Z296" s="15"/>
      <c r="AA296" s="15" t="s">
        <v>1628</v>
      </c>
    </row>
    <row r="297" spans="1:27" ht="33" customHeight="1">
      <c r="A297" s="8" t="s">
        <v>6619</v>
      </c>
      <c r="B297" s="9">
        <v>2222</v>
      </c>
      <c r="C297" s="8" t="s">
        <v>6620</v>
      </c>
      <c r="D297" s="8" t="s">
        <v>5389</v>
      </c>
      <c r="E297" s="8" t="s">
        <v>2134</v>
      </c>
      <c r="F297" s="8" t="s">
        <v>842</v>
      </c>
      <c r="G297" s="8" t="s">
        <v>164</v>
      </c>
      <c r="H297" s="8"/>
      <c r="I297" s="14" t="s">
        <v>1642</v>
      </c>
      <c r="J297" s="15"/>
      <c r="K297" s="8" t="s">
        <v>1976</v>
      </c>
      <c r="L297" s="8"/>
      <c r="M297" s="6" t="s">
        <v>1643</v>
      </c>
      <c r="N297" s="6" t="s">
        <v>1644</v>
      </c>
      <c r="O297" s="7">
        <f>SUMIFS('05_상품별배치367'!$K$7:$K$373,'05_상품별배치367'!$E$7:$E$373,A297,'05_상품별배치367'!$H$7:$H$373,"본진")</f>
        <v>0</v>
      </c>
      <c r="P297" s="7">
        <f>SUMIFS('05_상품별배치367'!$K$7:$K$373,'05_상품별배치367'!$E$7:$E$373,A297,'05_상품별배치367'!$H$7:$H$373,"추가 진열")</f>
        <v>0</v>
      </c>
      <c r="Q297" s="7">
        <f>O297+P297</f>
        <v>0</v>
      </c>
      <c r="R297" s="7">
        <v>1</v>
      </c>
      <c r="S297" s="6" t="s">
        <v>3009</v>
      </c>
      <c r="T297" s="6" t="s">
        <v>1637</v>
      </c>
      <c r="U297" s="6"/>
      <c r="V297" s="16"/>
      <c r="W297" s="16"/>
      <c r="X297" s="16"/>
      <c r="Y297" s="6" t="s">
        <v>1627</v>
      </c>
      <c r="Z297" s="15"/>
      <c r="AA297" s="15" t="s">
        <v>1628</v>
      </c>
    </row>
    <row r="298" spans="1:27" ht="33" customHeight="1">
      <c r="A298" s="6" t="s">
        <v>4223</v>
      </c>
      <c r="B298" s="7">
        <v>1103</v>
      </c>
      <c r="C298" s="6" t="s">
        <v>4224</v>
      </c>
      <c r="D298" s="6" t="s">
        <v>1686</v>
      </c>
      <c r="E298" s="6" t="s">
        <v>1814</v>
      </c>
      <c r="F298" s="6" t="s">
        <v>1376</v>
      </c>
      <c r="G298" s="6" t="s">
        <v>431</v>
      </c>
      <c r="H298" s="6"/>
      <c r="I298" s="14" t="s">
        <v>1642</v>
      </c>
      <c r="J298" s="15"/>
      <c r="K298" s="6" t="s">
        <v>1976</v>
      </c>
      <c r="L298" s="6"/>
      <c r="M298" s="6" t="s">
        <v>1643</v>
      </c>
      <c r="N298" s="6" t="s">
        <v>1644</v>
      </c>
      <c r="O298" s="7">
        <f>SUMIFS('05_상품별배치367'!$K$7:$K$373,'05_상품별배치367'!$E$7:$E$373,A298,'05_상품별배치367'!$H$7:$H$373,"본진")</f>
        <v>0</v>
      </c>
      <c r="P298" s="7">
        <f>SUMIFS('05_상품별배치367'!$K$7:$K$373,'05_상품별배치367'!$E$7:$E$373,A298,'05_상품별배치367'!$H$7:$H$373,"추가 진열")</f>
        <v>0</v>
      </c>
      <c r="Q298" s="7">
        <f>O298+P298</f>
        <v>0</v>
      </c>
      <c r="R298" s="7">
        <v>1</v>
      </c>
      <c r="S298" s="6" t="s">
        <v>1978</v>
      </c>
      <c r="T298" s="6" t="s">
        <v>1637</v>
      </c>
      <c r="U298" s="6"/>
      <c r="V298" s="16"/>
      <c r="W298" s="16"/>
      <c r="X298" s="16"/>
      <c r="Y298" s="6" t="s">
        <v>1627</v>
      </c>
      <c r="Z298" s="15"/>
      <c r="AA298" s="15" t="s">
        <v>1628</v>
      </c>
    </row>
    <row r="299" spans="1:27" ht="33" customHeight="1">
      <c r="A299" s="8" t="s">
        <v>4225</v>
      </c>
      <c r="B299" s="9">
        <v>1104</v>
      </c>
      <c r="C299" s="8" t="s">
        <v>4226</v>
      </c>
      <c r="D299" s="8" t="s">
        <v>3232</v>
      </c>
      <c r="E299" s="8" t="s">
        <v>2134</v>
      </c>
      <c r="F299" s="8" t="s">
        <v>2933</v>
      </c>
      <c r="G299" s="8" t="s">
        <v>1668</v>
      </c>
      <c r="H299" s="8"/>
      <c r="I299" s="14" t="s">
        <v>1807</v>
      </c>
      <c r="J299" s="15"/>
      <c r="K299" s="8" t="s">
        <v>1976</v>
      </c>
      <c r="L299" s="8" t="s">
        <v>2032</v>
      </c>
      <c r="M299" s="6" t="s">
        <v>1809</v>
      </c>
      <c r="N299" s="6" t="s">
        <v>1644</v>
      </c>
      <c r="O299" s="7">
        <f>SUMIFS('05_상품별배치367'!$K$7:$K$373,'05_상품별배치367'!$E$7:$E$373,A299,'05_상품별배치367'!$H$7:$H$373,"본진")</f>
        <v>0</v>
      </c>
      <c r="P299" s="7">
        <f>SUMIFS('05_상품별배치367'!$K$7:$K$373,'05_상품별배치367'!$E$7:$E$373,A299,'05_상품별배치367'!$H$7:$H$373,"추가 진열")</f>
        <v>0</v>
      </c>
      <c r="Q299" s="7">
        <f>O299+P299</f>
        <v>0</v>
      </c>
      <c r="R299" s="7">
        <v>0</v>
      </c>
      <c r="S299" s="6" t="s">
        <v>1810</v>
      </c>
      <c r="T299" s="6" t="s">
        <v>1637</v>
      </c>
      <c r="U299" s="6"/>
      <c r="V299" s="16"/>
      <c r="W299" s="16"/>
      <c r="X299" s="16"/>
      <c r="Y299" s="6" t="s">
        <v>1627</v>
      </c>
      <c r="Z299" s="15"/>
      <c r="AA299" s="15" t="s">
        <v>1628</v>
      </c>
    </row>
    <row r="300" spans="1:27" ht="33" customHeight="1">
      <c r="A300" s="8" t="s">
        <v>4229</v>
      </c>
      <c r="B300" s="9">
        <v>1106</v>
      </c>
      <c r="C300" s="8" t="s">
        <v>4230</v>
      </c>
      <c r="D300" s="8" t="s">
        <v>2856</v>
      </c>
      <c r="E300" s="8" t="s">
        <v>2134</v>
      </c>
      <c r="F300" s="8" t="s">
        <v>2933</v>
      </c>
      <c r="G300" s="8" t="s">
        <v>1668</v>
      </c>
      <c r="H300" s="8"/>
      <c r="I300" s="14" t="s">
        <v>1807</v>
      </c>
      <c r="J300" s="15"/>
      <c r="K300" s="8" t="s">
        <v>1976</v>
      </c>
      <c r="L300" s="8" t="s">
        <v>2032</v>
      </c>
      <c r="M300" s="6" t="s">
        <v>1809</v>
      </c>
      <c r="N300" s="6" t="s">
        <v>1644</v>
      </c>
      <c r="O300" s="7">
        <f>SUMIFS('05_상품별배치367'!$K$7:$K$373,'05_상품별배치367'!$E$7:$E$373,A300,'05_상품별배치367'!$H$7:$H$373,"본진")</f>
        <v>0</v>
      </c>
      <c r="P300" s="7">
        <f>SUMIFS('05_상품별배치367'!$K$7:$K$373,'05_상품별배치367'!$E$7:$E$373,A300,'05_상품별배치367'!$H$7:$H$373,"추가 진열")</f>
        <v>0</v>
      </c>
      <c r="Q300" s="7">
        <f>O300+P300</f>
        <v>0</v>
      </c>
      <c r="R300" s="7">
        <v>0</v>
      </c>
      <c r="S300" s="6" t="s">
        <v>1810</v>
      </c>
      <c r="T300" s="6" t="s">
        <v>1637</v>
      </c>
      <c r="U300" s="6"/>
      <c r="V300" s="16"/>
      <c r="W300" s="16"/>
      <c r="X300" s="16"/>
      <c r="Y300" s="6" t="s">
        <v>1627</v>
      </c>
      <c r="Z300" s="15"/>
      <c r="AA300" s="15" t="s">
        <v>1628</v>
      </c>
    </row>
    <row r="301" spans="1:27" ht="33" customHeight="1">
      <c r="A301" s="8" t="s">
        <v>4220</v>
      </c>
      <c r="B301" s="9">
        <v>1102</v>
      </c>
      <c r="C301" s="8" t="s">
        <v>4221</v>
      </c>
      <c r="D301" s="8" t="s">
        <v>4222</v>
      </c>
      <c r="E301" s="8" t="s">
        <v>1986</v>
      </c>
      <c r="F301" s="8" t="s">
        <v>1276</v>
      </c>
      <c r="G301" s="8" t="s">
        <v>1987</v>
      </c>
      <c r="H301" s="8"/>
      <c r="I301" s="14" t="s">
        <v>1642</v>
      </c>
      <c r="J301" s="15"/>
      <c r="K301" s="8" t="s">
        <v>1976</v>
      </c>
      <c r="L301" s="8"/>
      <c r="M301" s="6" t="s">
        <v>1643</v>
      </c>
      <c r="N301" s="6" t="s">
        <v>1644</v>
      </c>
      <c r="O301" s="7">
        <f>SUMIFS('05_상품별배치367'!$K$7:$K$373,'05_상품별배치367'!$E$7:$E$373,A301,'05_상품별배치367'!$H$7:$H$373,"본진")</f>
        <v>0</v>
      </c>
      <c r="P301" s="7">
        <f>SUMIFS('05_상품별배치367'!$K$7:$K$373,'05_상품별배치367'!$E$7:$E$373,A301,'05_상품별배치367'!$H$7:$H$373,"추가 진열")</f>
        <v>0</v>
      </c>
      <c r="Q301" s="7">
        <f>O301+P301</f>
        <v>0</v>
      </c>
      <c r="R301" s="7">
        <v>1</v>
      </c>
      <c r="S301" s="6" t="s">
        <v>1988</v>
      </c>
      <c r="T301" s="6" t="s">
        <v>1637</v>
      </c>
      <c r="U301" s="6"/>
      <c r="V301" s="16"/>
      <c r="W301" s="16"/>
      <c r="X301" s="16"/>
      <c r="Y301" s="6" t="s">
        <v>1655</v>
      </c>
      <c r="Z301" s="15"/>
      <c r="AA301" s="15" t="s">
        <v>1628</v>
      </c>
    </row>
    <row r="302" spans="1:27" ht="33" customHeight="1">
      <c r="A302" s="6" t="s">
        <v>4227</v>
      </c>
      <c r="B302" s="7">
        <v>1105</v>
      </c>
      <c r="C302" s="6" t="s">
        <v>4228</v>
      </c>
      <c r="D302" s="6" t="s">
        <v>2133</v>
      </c>
      <c r="E302" s="6" t="s">
        <v>2134</v>
      </c>
      <c r="F302" s="6" t="s">
        <v>2933</v>
      </c>
      <c r="G302" s="6" t="s">
        <v>1668</v>
      </c>
      <c r="H302" s="6"/>
      <c r="I302" s="14" t="s">
        <v>1807</v>
      </c>
      <c r="J302" s="15"/>
      <c r="K302" s="6" t="s">
        <v>1976</v>
      </c>
      <c r="L302" s="6" t="s">
        <v>2032</v>
      </c>
      <c r="M302" s="6" t="s">
        <v>1809</v>
      </c>
      <c r="N302" s="6" t="s">
        <v>1644</v>
      </c>
      <c r="O302" s="7">
        <f>SUMIFS('05_상품별배치367'!$K$7:$K$373,'05_상품별배치367'!$E$7:$E$373,A302,'05_상품별배치367'!$H$7:$H$373,"본진")</f>
        <v>0</v>
      </c>
      <c r="P302" s="7">
        <f>SUMIFS('05_상품별배치367'!$K$7:$K$373,'05_상품별배치367'!$E$7:$E$373,A302,'05_상품별배치367'!$H$7:$H$373,"추가 진열")</f>
        <v>0</v>
      </c>
      <c r="Q302" s="7">
        <f>O302+P302</f>
        <v>0</v>
      </c>
      <c r="R302" s="7">
        <v>0</v>
      </c>
      <c r="S302" s="6" t="s">
        <v>1810</v>
      </c>
      <c r="T302" s="6" t="s">
        <v>1637</v>
      </c>
      <c r="U302" s="6"/>
      <c r="V302" s="16"/>
      <c r="W302" s="16"/>
      <c r="X302" s="16"/>
      <c r="Y302" s="6" t="s">
        <v>1627</v>
      </c>
      <c r="Z302" s="15"/>
      <c r="AA302" s="15" t="s">
        <v>1628</v>
      </c>
    </row>
    <row r="303" spans="1:27" ht="33" customHeight="1">
      <c r="A303" s="6" t="s">
        <v>4262</v>
      </c>
      <c r="B303" s="7">
        <v>1123</v>
      </c>
      <c r="C303" s="6" t="s">
        <v>4263</v>
      </c>
      <c r="D303" s="6" t="s">
        <v>4264</v>
      </c>
      <c r="E303" s="6" t="s">
        <v>1986</v>
      </c>
      <c r="F303" s="6" t="s">
        <v>3378</v>
      </c>
      <c r="G303" s="6" t="s">
        <v>38</v>
      </c>
      <c r="H303" s="6"/>
      <c r="I303" s="14" t="s">
        <v>1642</v>
      </c>
      <c r="J303" s="15"/>
      <c r="K303" s="6" t="s">
        <v>1976</v>
      </c>
      <c r="L303" s="6"/>
      <c r="M303" s="6" t="s">
        <v>1643</v>
      </c>
      <c r="N303" s="6" t="s">
        <v>1644</v>
      </c>
      <c r="O303" s="7">
        <f>SUMIFS('05_상품별배치367'!$K$7:$K$373,'05_상품별배치367'!$E$7:$E$373,A303,'05_상품별배치367'!$H$7:$H$373,"본진")</f>
        <v>0</v>
      </c>
      <c r="P303" s="7">
        <f>SUMIFS('05_상품별배치367'!$K$7:$K$373,'05_상품별배치367'!$E$7:$E$373,A303,'05_상품별배치367'!$H$7:$H$373,"추가 진열")</f>
        <v>0</v>
      </c>
      <c r="Q303" s="7">
        <f>O303+P303</f>
        <v>0</v>
      </c>
      <c r="R303" s="7">
        <v>1</v>
      </c>
      <c r="S303" s="6" t="s">
        <v>3379</v>
      </c>
      <c r="T303" s="6" t="s">
        <v>1637</v>
      </c>
      <c r="U303" s="6"/>
      <c r="V303" s="16"/>
      <c r="W303" s="16"/>
      <c r="X303" s="16"/>
      <c r="Y303" s="6" t="s">
        <v>1627</v>
      </c>
      <c r="Z303" s="15"/>
      <c r="AA303" s="15" t="s">
        <v>1628</v>
      </c>
    </row>
    <row r="304" spans="1:27" ht="33" customHeight="1">
      <c r="A304" s="8" t="s">
        <v>4254</v>
      </c>
      <c r="B304" s="9">
        <v>1118</v>
      </c>
      <c r="C304" s="8" t="s">
        <v>4255</v>
      </c>
      <c r="D304" s="8" t="s">
        <v>1711</v>
      </c>
      <c r="E304" s="8" t="s">
        <v>1814</v>
      </c>
      <c r="F304" s="8" t="s">
        <v>1376</v>
      </c>
      <c r="G304" s="8" t="s">
        <v>431</v>
      </c>
      <c r="H304" s="8"/>
      <c r="I304" s="14" t="s">
        <v>1642</v>
      </c>
      <c r="J304" s="15"/>
      <c r="K304" s="8" t="s">
        <v>1976</v>
      </c>
      <c r="L304" s="8"/>
      <c r="M304" s="6" t="s">
        <v>1643</v>
      </c>
      <c r="N304" s="6" t="s">
        <v>1644</v>
      </c>
      <c r="O304" s="7">
        <f>SUMIFS('05_상품별배치367'!$K$7:$K$373,'05_상품별배치367'!$E$7:$E$373,A304,'05_상품별배치367'!$H$7:$H$373,"본진")</f>
        <v>0</v>
      </c>
      <c r="P304" s="7">
        <f>SUMIFS('05_상품별배치367'!$K$7:$K$373,'05_상품별배치367'!$E$7:$E$373,A304,'05_상품별배치367'!$H$7:$H$373,"추가 진열")</f>
        <v>0</v>
      </c>
      <c r="Q304" s="7">
        <f>O304+P304</f>
        <v>0</v>
      </c>
      <c r="R304" s="7">
        <v>1</v>
      </c>
      <c r="S304" s="6" t="s">
        <v>1978</v>
      </c>
      <c r="T304" s="6" t="s">
        <v>1637</v>
      </c>
      <c r="U304" s="6"/>
      <c r="V304" s="16"/>
      <c r="W304" s="16"/>
      <c r="X304" s="16"/>
      <c r="Y304" s="6" t="s">
        <v>1627</v>
      </c>
      <c r="Z304" s="15"/>
      <c r="AA304" s="15" t="s">
        <v>1628</v>
      </c>
    </row>
    <row r="305" spans="1:27" ht="33" customHeight="1">
      <c r="A305" s="6" t="s">
        <v>4256</v>
      </c>
      <c r="B305" s="7">
        <v>1119</v>
      </c>
      <c r="C305" s="6" t="s">
        <v>4257</v>
      </c>
      <c r="D305" s="6" t="s">
        <v>2856</v>
      </c>
      <c r="E305" s="6" t="s">
        <v>2134</v>
      </c>
      <c r="F305" s="6" t="s">
        <v>2933</v>
      </c>
      <c r="G305" s="6" t="s">
        <v>1668</v>
      </c>
      <c r="H305" s="6"/>
      <c r="I305" s="14" t="s">
        <v>1807</v>
      </c>
      <c r="J305" s="15"/>
      <c r="K305" s="6" t="s">
        <v>1976</v>
      </c>
      <c r="L305" s="6" t="s">
        <v>2032</v>
      </c>
      <c r="M305" s="6" t="s">
        <v>1809</v>
      </c>
      <c r="N305" s="6" t="s">
        <v>1644</v>
      </c>
      <c r="O305" s="7">
        <f>SUMIFS('05_상품별배치367'!$K$7:$K$373,'05_상품별배치367'!$E$7:$E$373,A305,'05_상품별배치367'!$H$7:$H$373,"본진")</f>
        <v>0</v>
      </c>
      <c r="P305" s="7">
        <f>SUMIFS('05_상품별배치367'!$K$7:$K$373,'05_상품별배치367'!$E$7:$E$373,A305,'05_상품별배치367'!$H$7:$H$373,"추가 진열")</f>
        <v>0</v>
      </c>
      <c r="Q305" s="7">
        <f>O305+P305</f>
        <v>0</v>
      </c>
      <c r="R305" s="7">
        <v>0</v>
      </c>
      <c r="S305" s="6" t="s">
        <v>1810</v>
      </c>
      <c r="T305" s="6" t="s">
        <v>1637</v>
      </c>
      <c r="U305" s="6"/>
      <c r="V305" s="16"/>
      <c r="W305" s="16"/>
      <c r="X305" s="16"/>
      <c r="Y305" s="6" t="s">
        <v>1627</v>
      </c>
      <c r="Z305" s="15"/>
      <c r="AA305" s="15" t="s">
        <v>1628</v>
      </c>
    </row>
    <row r="306" spans="1:27" ht="33" customHeight="1">
      <c r="A306" s="6" t="s">
        <v>4258</v>
      </c>
      <c r="B306" s="7">
        <v>1121</v>
      </c>
      <c r="C306" s="6" t="s">
        <v>4259</v>
      </c>
      <c r="D306" s="6" t="s">
        <v>2572</v>
      </c>
      <c r="E306" s="6" t="s">
        <v>2134</v>
      </c>
      <c r="F306" s="6" t="s">
        <v>2933</v>
      </c>
      <c r="G306" s="6" t="s">
        <v>1668</v>
      </c>
      <c r="H306" s="6"/>
      <c r="I306" s="14" t="s">
        <v>1807</v>
      </c>
      <c r="J306" s="15"/>
      <c r="K306" s="6" t="s">
        <v>1976</v>
      </c>
      <c r="L306" s="6" t="s">
        <v>2032</v>
      </c>
      <c r="M306" s="6" t="s">
        <v>1809</v>
      </c>
      <c r="N306" s="6" t="s">
        <v>1644</v>
      </c>
      <c r="O306" s="7">
        <f>SUMIFS('05_상품별배치367'!$K$7:$K$373,'05_상품별배치367'!$E$7:$E$373,A306,'05_상품별배치367'!$H$7:$H$373,"본진")</f>
        <v>0</v>
      </c>
      <c r="P306" s="7">
        <f>SUMIFS('05_상품별배치367'!$K$7:$K$373,'05_상품별배치367'!$E$7:$E$373,A306,'05_상품별배치367'!$H$7:$H$373,"추가 진열")</f>
        <v>0</v>
      </c>
      <c r="Q306" s="7">
        <f>O306+P306</f>
        <v>0</v>
      </c>
      <c r="R306" s="7">
        <v>0</v>
      </c>
      <c r="S306" s="6" t="s">
        <v>1810</v>
      </c>
      <c r="T306" s="6" t="s">
        <v>1637</v>
      </c>
      <c r="U306" s="6"/>
      <c r="V306" s="16"/>
      <c r="W306" s="16"/>
      <c r="X306" s="16"/>
      <c r="Y306" s="6" t="s">
        <v>1627</v>
      </c>
      <c r="Z306" s="15"/>
      <c r="AA306" s="15" t="s">
        <v>1628</v>
      </c>
    </row>
    <row r="307" spans="1:27" ht="33" customHeight="1">
      <c r="A307" s="8" t="s">
        <v>4265</v>
      </c>
      <c r="B307" s="9">
        <v>1124</v>
      </c>
      <c r="C307" s="8" t="s">
        <v>4266</v>
      </c>
      <c r="D307" s="8" t="s">
        <v>2572</v>
      </c>
      <c r="E307" s="8" t="s">
        <v>2134</v>
      </c>
      <c r="F307" s="8" t="s">
        <v>2933</v>
      </c>
      <c r="G307" s="8" t="s">
        <v>1668</v>
      </c>
      <c r="H307" s="8"/>
      <c r="I307" s="14" t="s">
        <v>1807</v>
      </c>
      <c r="J307" s="15"/>
      <c r="K307" s="8" t="s">
        <v>1976</v>
      </c>
      <c r="L307" s="8" t="s">
        <v>2032</v>
      </c>
      <c r="M307" s="6" t="s">
        <v>1809</v>
      </c>
      <c r="N307" s="6" t="s">
        <v>1644</v>
      </c>
      <c r="O307" s="7">
        <f>SUMIFS('05_상품별배치367'!$K$7:$K$373,'05_상품별배치367'!$E$7:$E$373,A307,'05_상품별배치367'!$H$7:$H$373,"본진")</f>
        <v>0</v>
      </c>
      <c r="P307" s="7">
        <f>SUMIFS('05_상품별배치367'!$K$7:$K$373,'05_상품별배치367'!$E$7:$E$373,A307,'05_상품별배치367'!$H$7:$H$373,"추가 진열")</f>
        <v>0</v>
      </c>
      <c r="Q307" s="7">
        <f>O307+P307</f>
        <v>0</v>
      </c>
      <c r="R307" s="7">
        <v>0</v>
      </c>
      <c r="S307" s="6" t="s">
        <v>1810</v>
      </c>
      <c r="T307" s="6" t="s">
        <v>1637</v>
      </c>
      <c r="U307" s="6"/>
      <c r="V307" s="16"/>
      <c r="W307" s="16"/>
      <c r="X307" s="16"/>
      <c r="Y307" s="6" t="s">
        <v>1627</v>
      </c>
      <c r="Z307" s="15"/>
      <c r="AA307" s="15" t="s">
        <v>1628</v>
      </c>
    </row>
    <row r="308" spans="1:27" ht="33" customHeight="1">
      <c r="A308" s="8" t="s">
        <v>4260</v>
      </c>
      <c r="B308" s="9">
        <v>1122</v>
      </c>
      <c r="C308" s="8" t="s">
        <v>4261</v>
      </c>
      <c r="D308" s="8" t="s">
        <v>1937</v>
      </c>
      <c r="E308" s="8" t="s">
        <v>2134</v>
      </c>
      <c r="F308" s="8" t="s">
        <v>2933</v>
      </c>
      <c r="G308" s="8" t="s">
        <v>1668</v>
      </c>
      <c r="H308" s="8"/>
      <c r="I308" s="14" t="s">
        <v>1807</v>
      </c>
      <c r="J308" s="15"/>
      <c r="K308" s="8" t="s">
        <v>1976</v>
      </c>
      <c r="L308" s="8" t="s">
        <v>2032</v>
      </c>
      <c r="M308" s="6" t="s">
        <v>1809</v>
      </c>
      <c r="N308" s="6" t="s">
        <v>1644</v>
      </c>
      <c r="O308" s="7">
        <f>SUMIFS('05_상품별배치367'!$K$7:$K$373,'05_상품별배치367'!$E$7:$E$373,A308,'05_상품별배치367'!$H$7:$H$373,"본진")</f>
        <v>0</v>
      </c>
      <c r="P308" s="7">
        <f>SUMIFS('05_상품별배치367'!$K$7:$K$373,'05_상품별배치367'!$E$7:$E$373,A308,'05_상품별배치367'!$H$7:$H$373,"추가 진열")</f>
        <v>0</v>
      </c>
      <c r="Q308" s="7">
        <f>O308+P308</f>
        <v>0</v>
      </c>
      <c r="R308" s="7">
        <v>0</v>
      </c>
      <c r="S308" s="6" t="s">
        <v>1810</v>
      </c>
      <c r="T308" s="6" t="s">
        <v>1637</v>
      </c>
      <c r="U308" s="6"/>
      <c r="V308" s="16"/>
      <c r="W308" s="16"/>
      <c r="X308" s="16"/>
      <c r="Y308" s="6" t="s">
        <v>1627</v>
      </c>
      <c r="Z308" s="15"/>
      <c r="AA308" s="15" t="s">
        <v>1628</v>
      </c>
    </row>
    <row r="309" spans="1:27" ht="33" customHeight="1">
      <c r="A309" s="8" t="s">
        <v>938</v>
      </c>
      <c r="B309" s="9">
        <v>1120</v>
      </c>
      <c r="C309" s="8" t="s">
        <v>937</v>
      </c>
      <c r="D309" s="8" t="s">
        <v>2845</v>
      </c>
      <c r="E309" s="8" t="s">
        <v>1986</v>
      </c>
      <c r="F309" s="8" t="s">
        <v>931</v>
      </c>
      <c r="G309" s="8" t="s">
        <v>211</v>
      </c>
      <c r="H309" s="8" t="s">
        <v>936</v>
      </c>
      <c r="I309" s="14" t="s">
        <v>1992</v>
      </c>
      <c r="J309" s="15"/>
      <c r="K309" s="8" t="s">
        <v>1976</v>
      </c>
      <c r="L309" s="8"/>
      <c r="M309" s="6" t="s">
        <v>1993</v>
      </c>
      <c r="N309" s="6" t="s">
        <v>1644</v>
      </c>
      <c r="O309" s="7">
        <f>SUMIFS('05_상품별배치367'!$K$7:$K$373,'05_상품별배치367'!$E$7:$E$373,A309,'05_상품별배치367'!$H$7:$H$373,"본진")</f>
        <v>1</v>
      </c>
      <c r="P309" s="7">
        <f>SUMIFS('05_상품별배치367'!$K$7:$K$373,'05_상품별배치367'!$E$7:$E$373,A309,'05_상품별배치367'!$H$7:$H$373,"추가 진열")</f>
        <v>0</v>
      </c>
      <c r="Q309" s="7">
        <f>O309+P309</f>
        <v>1</v>
      </c>
      <c r="R309" s="7">
        <v>1</v>
      </c>
      <c r="S309" s="6" t="s">
        <v>1994</v>
      </c>
      <c r="T309" s="6" t="s">
        <v>1637</v>
      </c>
      <c r="U309" s="6"/>
      <c r="V309" s="16"/>
      <c r="W309" s="16"/>
      <c r="X309" s="16"/>
      <c r="Y309" s="6" t="s">
        <v>1627</v>
      </c>
      <c r="Z309" s="15"/>
      <c r="AA309" s="15" t="s">
        <v>1628</v>
      </c>
    </row>
    <row r="310" spans="1:27" ht="33" customHeight="1">
      <c r="A310" s="8" t="s">
        <v>4237</v>
      </c>
      <c r="B310" s="9">
        <v>1110</v>
      </c>
      <c r="C310" s="8" t="s">
        <v>4238</v>
      </c>
      <c r="D310" s="8" t="s">
        <v>4179</v>
      </c>
      <c r="E310" s="8" t="s">
        <v>2134</v>
      </c>
      <c r="F310" s="8" t="s">
        <v>1081</v>
      </c>
      <c r="G310" s="8" t="s">
        <v>290</v>
      </c>
      <c r="H310" s="8"/>
      <c r="I310" s="14" t="s">
        <v>1642</v>
      </c>
      <c r="J310" s="15"/>
      <c r="K310" s="8" t="s">
        <v>1976</v>
      </c>
      <c r="L310" s="8"/>
      <c r="M310" s="6" t="s">
        <v>1643</v>
      </c>
      <c r="N310" s="6" t="s">
        <v>1644</v>
      </c>
      <c r="O310" s="7">
        <f>SUMIFS('05_상품별배치367'!$K$7:$K$373,'05_상품별배치367'!$E$7:$E$373,A310,'05_상품별배치367'!$H$7:$H$373,"본진")</f>
        <v>0</v>
      </c>
      <c r="P310" s="7">
        <f>SUMIFS('05_상품별배치367'!$K$7:$K$373,'05_상품별배치367'!$E$7:$E$373,A310,'05_상품별배치367'!$H$7:$H$373,"추가 진열")</f>
        <v>0</v>
      </c>
      <c r="Q310" s="7">
        <f>O310+P310</f>
        <v>0</v>
      </c>
      <c r="R310" s="7">
        <v>1</v>
      </c>
      <c r="S310" s="6" t="s">
        <v>2135</v>
      </c>
      <c r="T310" s="6" t="s">
        <v>1637</v>
      </c>
      <c r="U310" s="6"/>
      <c r="V310" s="16"/>
      <c r="W310" s="16"/>
      <c r="X310" s="16"/>
      <c r="Y310" s="6" t="s">
        <v>1627</v>
      </c>
      <c r="Z310" s="15"/>
      <c r="AA310" s="15" t="s">
        <v>1628</v>
      </c>
    </row>
    <row r="311" spans="1:27" ht="33" customHeight="1">
      <c r="A311" s="8" t="s">
        <v>3725</v>
      </c>
      <c r="B311" s="9">
        <v>880</v>
      </c>
      <c r="C311" s="8" t="s">
        <v>3726</v>
      </c>
      <c r="D311" s="8" t="s">
        <v>3150</v>
      </c>
      <c r="E311" s="8" t="s">
        <v>1986</v>
      </c>
      <c r="F311" s="8" t="s">
        <v>1276</v>
      </c>
      <c r="G311" s="8" t="s">
        <v>1987</v>
      </c>
      <c r="H311" s="8"/>
      <c r="I311" s="14" t="s">
        <v>1642</v>
      </c>
      <c r="J311" s="15"/>
      <c r="K311" s="8" t="s">
        <v>1976</v>
      </c>
      <c r="L311" s="8"/>
      <c r="M311" s="6" t="s">
        <v>1643</v>
      </c>
      <c r="N311" s="6" t="s">
        <v>1644</v>
      </c>
      <c r="O311" s="7">
        <f>SUMIFS('05_상품별배치367'!$K$7:$K$373,'05_상품별배치367'!$E$7:$E$373,A311,'05_상품별배치367'!$H$7:$H$373,"본진")</f>
        <v>0</v>
      </c>
      <c r="P311" s="7">
        <f>SUMIFS('05_상품별배치367'!$K$7:$K$373,'05_상품별배치367'!$E$7:$E$373,A311,'05_상품별배치367'!$H$7:$H$373,"추가 진열")</f>
        <v>0</v>
      </c>
      <c r="Q311" s="7">
        <f>O311+P311</f>
        <v>0</v>
      </c>
      <c r="R311" s="7">
        <v>1</v>
      </c>
      <c r="S311" s="6" t="s">
        <v>1988</v>
      </c>
      <c r="T311" s="6" t="s">
        <v>1637</v>
      </c>
      <c r="U311" s="6"/>
      <c r="V311" s="16"/>
      <c r="W311" s="16"/>
      <c r="X311" s="16"/>
      <c r="Y311" s="6" t="s">
        <v>1627</v>
      </c>
      <c r="Z311" s="15"/>
      <c r="AA311" s="15" t="s">
        <v>1628</v>
      </c>
    </row>
    <row r="312" spans="1:27" ht="33" customHeight="1">
      <c r="A312" s="6" t="s">
        <v>3723</v>
      </c>
      <c r="B312" s="7">
        <v>879</v>
      </c>
      <c r="C312" s="6" t="s">
        <v>3724</v>
      </c>
      <c r="D312" s="6" t="s">
        <v>3150</v>
      </c>
      <c r="E312" s="6" t="s">
        <v>2134</v>
      </c>
      <c r="F312" s="6" t="s">
        <v>1081</v>
      </c>
      <c r="G312" s="6" t="s">
        <v>290</v>
      </c>
      <c r="H312" s="6"/>
      <c r="I312" s="14" t="s">
        <v>1642</v>
      </c>
      <c r="J312" s="15"/>
      <c r="K312" s="6" t="s">
        <v>1976</v>
      </c>
      <c r="L312" s="6"/>
      <c r="M312" s="6" t="s">
        <v>1643</v>
      </c>
      <c r="N312" s="6" t="s">
        <v>1644</v>
      </c>
      <c r="O312" s="7">
        <f>SUMIFS('05_상품별배치367'!$K$7:$K$373,'05_상품별배치367'!$E$7:$E$373,A312,'05_상품별배치367'!$H$7:$H$373,"본진")</f>
        <v>0</v>
      </c>
      <c r="P312" s="7">
        <f>SUMIFS('05_상품별배치367'!$K$7:$K$373,'05_상품별배치367'!$E$7:$E$373,A312,'05_상품별배치367'!$H$7:$H$373,"추가 진열")</f>
        <v>0</v>
      </c>
      <c r="Q312" s="7">
        <f>O312+P312</f>
        <v>0</v>
      </c>
      <c r="R312" s="7">
        <v>1</v>
      </c>
      <c r="S312" s="6" t="s">
        <v>2135</v>
      </c>
      <c r="T312" s="6" t="s">
        <v>1637</v>
      </c>
      <c r="U312" s="6"/>
      <c r="V312" s="16"/>
      <c r="W312" s="16"/>
      <c r="X312" s="16"/>
      <c r="Y312" s="6" t="s">
        <v>1627</v>
      </c>
      <c r="Z312" s="15"/>
      <c r="AA312" s="15" t="s">
        <v>1628</v>
      </c>
    </row>
    <row r="313" spans="1:27" ht="33" customHeight="1">
      <c r="A313" s="6" t="s">
        <v>3731</v>
      </c>
      <c r="B313" s="7">
        <v>883</v>
      </c>
      <c r="C313" s="6" t="s">
        <v>3732</v>
      </c>
      <c r="D313" s="6" t="s">
        <v>2845</v>
      </c>
      <c r="E313" s="6" t="s">
        <v>1986</v>
      </c>
      <c r="F313" s="6" t="s">
        <v>913</v>
      </c>
      <c r="G313" s="6" t="s">
        <v>201</v>
      </c>
      <c r="H313" s="6"/>
      <c r="I313" s="14" t="s">
        <v>1642</v>
      </c>
      <c r="J313" s="15"/>
      <c r="K313" s="6" t="s">
        <v>1976</v>
      </c>
      <c r="L313" s="6"/>
      <c r="M313" s="6" t="s">
        <v>1643</v>
      </c>
      <c r="N313" s="6" t="s">
        <v>1644</v>
      </c>
      <c r="O313" s="7">
        <f>SUMIFS('05_상품별배치367'!$K$7:$K$373,'05_상품별배치367'!$E$7:$E$373,A313,'05_상품별배치367'!$H$7:$H$373,"본진")</f>
        <v>0</v>
      </c>
      <c r="P313" s="7">
        <f>SUMIFS('05_상품별배치367'!$K$7:$K$373,'05_상품별배치367'!$E$7:$E$373,A313,'05_상품별배치367'!$H$7:$H$373,"추가 진열")</f>
        <v>0</v>
      </c>
      <c r="Q313" s="7">
        <f>O313+P313</f>
        <v>0</v>
      </c>
      <c r="R313" s="7">
        <v>1</v>
      </c>
      <c r="S313" s="6" t="s">
        <v>2907</v>
      </c>
      <c r="T313" s="6" t="s">
        <v>1637</v>
      </c>
      <c r="U313" s="6"/>
      <c r="V313" s="16"/>
      <c r="W313" s="16"/>
      <c r="X313" s="16"/>
      <c r="Y313" s="6" t="s">
        <v>1627</v>
      </c>
      <c r="Z313" s="15"/>
      <c r="AA313" s="15" t="s">
        <v>1628</v>
      </c>
    </row>
    <row r="314" spans="1:27" ht="33" customHeight="1">
      <c r="A314" s="8" t="s">
        <v>3733</v>
      </c>
      <c r="B314" s="9">
        <v>884</v>
      </c>
      <c r="C314" s="8" t="s">
        <v>3734</v>
      </c>
      <c r="D314" s="8" t="s">
        <v>1851</v>
      </c>
      <c r="E314" s="8" t="s">
        <v>2134</v>
      </c>
      <c r="F314" s="8" t="s">
        <v>2933</v>
      </c>
      <c r="G314" s="8" t="s">
        <v>1668</v>
      </c>
      <c r="H314" s="8"/>
      <c r="I314" s="14" t="s">
        <v>1807</v>
      </c>
      <c r="J314" s="15"/>
      <c r="K314" s="8" t="s">
        <v>1976</v>
      </c>
      <c r="L314" s="8" t="s">
        <v>2032</v>
      </c>
      <c r="M314" s="6" t="s">
        <v>1809</v>
      </c>
      <c r="N314" s="6" t="s">
        <v>1644</v>
      </c>
      <c r="O314" s="7">
        <f>SUMIFS('05_상품별배치367'!$K$7:$K$373,'05_상품별배치367'!$E$7:$E$373,A314,'05_상품별배치367'!$H$7:$H$373,"본진")</f>
        <v>0</v>
      </c>
      <c r="P314" s="7">
        <f>SUMIFS('05_상품별배치367'!$K$7:$K$373,'05_상품별배치367'!$E$7:$E$373,A314,'05_상품별배치367'!$H$7:$H$373,"추가 진열")</f>
        <v>0</v>
      </c>
      <c r="Q314" s="7">
        <f>O314+P314</f>
        <v>0</v>
      </c>
      <c r="R314" s="7">
        <v>0</v>
      </c>
      <c r="S314" s="6" t="s">
        <v>1810</v>
      </c>
      <c r="T314" s="6" t="s">
        <v>1637</v>
      </c>
      <c r="U314" s="6"/>
      <c r="V314" s="16"/>
      <c r="W314" s="16"/>
      <c r="X314" s="16"/>
      <c r="Y314" s="6" t="s">
        <v>1627</v>
      </c>
      <c r="Z314" s="15"/>
      <c r="AA314" s="15" t="s">
        <v>1628</v>
      </c>
    </row>
    <row r="315" spans="1:27" ht="33" customHeight="1">
      <c r="A315" s="6" t="s">
        <v>3727</v>
      </c>
      <c r="B315" s="7">
        <v>881</v>
      </c>
      <c r="C315" s="6" t="s">
        <v>3728</v>
      </c>
      <c r="D315" s="6" t="s">
        <v>3716</v>
      </c>
      <c r="E315" s="6" t="s">
        <v>2134</v>
      </c>
      <c r="F315" s="6" t="s">
        <v>2933</v>
      </c>
      <c r="G315" s="6" t="s">
        <v>1668</v>
      </c>
      <c r="H315" s="6"/>
      <c r="I315" s="14" t="s">
        <v>1807</v>
      </c>
      <c r="J315" s="15"/>
      <c r="K315" s="6" t="s">
        <v>1976</v>
      </c>
      <c r="L315" s="6" t="s">
        <v>2032</v>
      </c>
      <c r="M315" s="6" t="s">
        <v>1809</v>
      </c>
      <c r="N315" s="6" t="s">
        <v>1644</v>
      </c>
      <c r="O315" s="7">
        <f>SUMIFS('05_상품별배치367'!$K$7:$K$373,'05_상품별배치367'!$E$7:$E$373,A315,'05_상품별배치367'!$H$7:$H$373,"본진")</f>
        <v>0</v>
      </c>
      <c r="P315" s="7">
        <f>SUMIFS('05_상품별배치367'!$K$7:$K$373,'05_상품별배치367'!$E$7:$E$373,A315,'05_상품별배치367'!$H$7:$H$373,"추가 진열")</f>
        <v>0</v>
      </c>
      <c r="Q315" s="7">
        <f>O315+P315</f>
        <v>0</v>
      </c>
      <c r="R315" s="7">
        <v>0</v>
      </c>
      <c r="S315" s="6" t="s">
        <v>1810</v>
      </c>
      <c r="T315" s="6" t="s">
        <v>1637</v>
      </c>
      <c r="U315" s="6"/>
      <c r="V315" s="16"/>
      <c r="W315" s="16"/>
      <c r="X315" s="16"/>
      <c r="Y315" s="6" t="s">
        <v>1655</v>
      </c>
      <c r="Z315" s="15"/>
      <c r="AA315" s="15" t="s">
        <v>1628</v>
      </c>
    </row>
    <row r="316" spans="1:27" ht="33" customHeight="1">
      <c r="A316" s="8" t="s">
        <v>3729</v>
      </c>
      <c r="B316" s="9">
        <v>882</v>
      </c>
      <c r="C316" s="8" t="s">
        <v>3730</v>
      </c>
      <c r="D316" s="8" t="s">
        <v>3008</v>
      </c>
      <c r="E316" s="8" t="s">
        <v>1986</v>
      </c>
      <c r="F316" s="8" t="s">
        <v>493</v>
      </c>
      <c r="G316" s="8" t="s">
        <v>299</v>
      </c>
      <c r="H316" s="8"/>
      <c r="I316" s="14" t="s">
        <v>1642</v>
      </c>
      <c r="J316" s="15"/>
      <c r="K316" s="8" t="s">
        <v>1976</v>
      </c>
      <c r="L316" s="8"/>
      <c r="M316" s="6" t="s">
        <v>1643</v>
      </c>
      <c r="N316" s="6" t="s">
        <v>1644</v>
      </c>
      <c r="O316" s="7">
        <f>SUMIFS('05_상품별배치367'!$K$7:$K$373,'05_상품별배치367'!$E$7:$E$373,A316,'05_상품별배치367'!$H$7:$H$373,"본진")</f>
        <v>0</v>
      </c>
      <c r="P316" s="7">
        <f>SUMIFS('05_상품별배치367'!$K$7:$K$373,'05_상품별배치367'!$E$7:$E$373,A316,'05_상품별배치367'!$H$7:$H$373,"추가 진열")</f>
        <v>0</v>
      </c>
      <c r="Q316" s="7">
        <f>O316+P316</f>
        <v>0</v>
      </c>
      <c r="R316" s="7">
        <v>1</v>
      </c>
      <c r="S316" s="6" t="s">
        <v>3084</v>
      </c>
      <c r="T316" s="6" t="s">
        <v>1637</v>
      </c>
      <c r="U316" s="6"/>
      <c r="V316" s="16"/>
      <c r="W316" s="16"/>
      <c r="X316" s="16"/>
      <c r="Y316" s="6" t="s">
        <v>1627</v>
      </c>
      <c r="Z316" s="15"/>
      <c r="AA316" s="15" t="s">
        <v>1628</v>
      </c>
    </row>
    <row r="317" spans="1:27" ht="33" customHeight="1">
      <c r="A317" s="6" t="s">
        <v>3714</v>
      </c>
      <c r="B317" s="7">
        <v>875</v>
      </c>
      <c r="C317" s="6" t="s">
        <v>3715</v>
      </c>
      <c r="D317" s="6" t="s">
        <v>3716</v>
      </c>
      <c r="E317" s="6" t="s">
        <v>2134</v>
      </c>
      <c r="F317" s="6" t="s">
        <v>842</v>
      </c>
      <c r="G317" s="6" t="s">
        <v>164</v>
      </c>
      <c r="H317" s="6"/>
      <c r="I317" s="14" t="s">
        <v>1642</v>
      </c>
      <c r="J317" s="15"/>
      <c r="K317" s="6" t="s">
        <v>1976</v>
      </c>
      <c r="L317" s="6"/>
      <c r="M317" s="6" t="s">
        <v>1643</v>
      </c>
      <c r="N317" s="6" t="s">
        <v>1644</v>
      </c>
      <c r="O317" s="7">
        <f>SUMIFS('05_상품별배치367'!$K$7:$K$373,'05_상품별배치367'!$E$7:$E$373,A317,'05_상품별배치367'!$H$7:$H$373,"본진")</f>
        <v>0</v>
      </c>
      <c r="P317" s="7">
        <f>SUMIFS('05_상품별배치367'!$K$7:$K$373,'05_상품별배치367'!$E$7:$E$373,A317,'05_상품별배치367'!$H$7:$H$373,"추가 진열")</f>
        <v>0</v>
      </c>
      <c r="Q317" s="7">
        <f>O317+P317</f>
        <v>0</v>
      </c>
      <c r="R317" s="7">
        <v>1</v>
      </c>
      <c r="S317" s="6" t="s">
        <v>3009</v>
      </c>
      <c r="T317" s="6" t="s">
        <v>1637</v>
      </c>
      <c r="U317" s="6"/>
      <c r="V317" s="16"/>
      <c r="W317" s="16"/>
      <c r="X317" s="16"/>
      <c r="Y317" s="6" t="s">
        <v>1655</v>
      </c>
      <c r="Z317" s="15"/>
      <c r="AA317" s="15" t="s">
        <v>1628</v>
      </c>
    </row>
    <row r="318" spans="1:27" ht="33" customHeight="1">
      <c r="A318" s="6" t="s">
        <v>3719</v>
      </c>
      <c r="B318" s="7">
        <v>877</v>
      </c>
      <c r="C318" s="6" t="s">
        <v>3720</v>
      </c>
      <c r="D318" s="6" t="s">
        <v>2845</v>
      </c>
      <c r="E318" s="6" t="s">
        <v>1986</v>
      </c>
      <c r="F318" s="6" t="s">
        <v>913</v>
      </c>
      <c r="G318" s="6" t="s">
        <v>201</v>
      </c>
      <c r="H318" s="6"/>
      <c r="I318" s="14" t="s">
        <v>1642</v>
      </c>
      <c r="J318" s="15"/>
      <c r="K318" s="6" t="s">
        <v>1976</v>
      </c>
      <c r="L318" s="6"/>
      <c r="M318" s="6" t="s">
        <v>1643</v>
      </c>
      <c r="N318" s="6" t="s">
        <v>1644</v>
      </c>
      <c r="O318" s="7">
        <f>SUMIFS('05_상품별배치367'!$K$7:$K$373,'05_상품별배치367'!$E$7:$E$373,A318,'05_상품별배치367'!$H$7:$H$373,"본진")</f>
        <v>0</v>
      </c>
      <c r="P318" s="7">
        <f>SUMIFS('05_상품별배치367'!$K$7:$K$373,'05_상품별배치367'!$E$7:$E$373,A318,'05_상품별배치367'!$H$7:$H$373,"추가 진열")</f>
        <v>0</v>
      </c>
      <c r="Q318" s="7">
        <f>O318+P318</f>
        <v>0</v>
      </c>
      <c r="R318" s="7">
        <v>1</v>
      </c>
      <c r="S318" s="6" t="s">
        <v>2907</v>
      </c>
      <c r="T318" s="6" t="s">
        <v>1637</v>
      </c>
      <c r="U318" s="6"/>
      <c r="V318" s="16"/>
      <c r="W318" s="16"/>
      <c r="X318" s="16"/>
      <c r="Y318" s="6" t="s">
        <v>1627</v>
      </c>
      <c r="Z318" s="15"/>
      <c r="AA318" s="15" t="s">
        <v>1628</v>
      </c>
    </row>
    <row r="319" spans="1:27" ht="33" customHeight="1">
      <c r="A319" s="8" t="s">
        <v>3712</v>
      </c>
      <c r="B319" s="9">
        <v>874</v>
      </c>
      <c r="C319" s="8" t="s">
        <v>3713</v>
      </c>
      <c r="D319" s="8" t="s">
        <v>2845</v>
      </c>
      <c r="E319" s="8" t="s">
        <v>2134</v>
      </c>
      <c r="F319" s="8" t="s">
        <v>481</v>
      </c>
      <c r="G319" s="8" t="s">
        <v>193</v>
      </c>
      <c r="H319" s="8"/>
      <c r="I319" s="14" t="s">
        <v>1642</v>
      </c>
      <c r="J319" s="15"/>
      <c r="K319" s="8" t="s">
        <v>1976</v>
      </c>
      <c r="L319" s="8"/>
      <c r="M319" s="6" t="s">
        <v>1643</v>
      </c>
      <c r="N319" s="6" t="s">
        <v>1644</v>
      </c>
      <c r="O319" s="7">
        <f>SUMIFS('05_상품별배치367'!$K$7:$K$373,'05_상품별배치367'!$E$7:$E$373,A319,'05_상품별배치367'!$H$7:$H$373,"본진")</f>
        <v>0</v>
      </c>
      <c r="P319" s="7">
        <f>SUMIFS('05_상품별배치367'!$K$7:$K$373,'05_상품별배치367'!$E$7:$E$373,A319,'05_상품별배치367'!$H$7:$H$373,"추가 진열")</f>
        <v>0</v>
      </c>
      <c r="Q319" s="7">
        <f>O319+P319</f>
        <v>0</v>
      </c>
      <c r="R319" s="7">
        <v>1</v>
      </c>
      <c r="S319" s="6" t="s">
        <v>3000</v>
      </c>
      <c r="T319" s="6" t="s">
        <v>1637</v>
      </c>
      <c r="U319" s="6"/>
      <c r="V319" s="16"/>
      <c r="W319" s="16"/>
      <c r="X319" s="16"/>
      <c r="Y319" s="6" t="s">
        <v>1627</v>
      </c>
      <c r="Z319" s="15"/>
      <c r="AA319" s="15" t="s">
        <v>1628</v>
      </c>
    </row>
    <row r="320" spans="1:27" ht="33" customHeight="1">
      <c r="A320" s="8" t="s">
        <v>3717</v>
      </c>
      <c r="B320" s="9">
        <v>876</v>
      </c>
      <c r="C320" s="8" t="s">
        <v>3718</v>
      </c>
      <c r="D320" s="8" t="s">
        <v>2133</v>
      </c>
      <c r="E320" s="8" t="s">
        <v>2134</v>
      </c>
      <c r="F320" s="8" t="s">
        <v>481</v>
      </c>
      <c r="G320" s="8" t="s">
        <v>193</v>
      </c>
      <c r="H320" s="8"/>
      <c r="I320" s="14" t="s">
        <v>1642</v>
      </c>
      <c r="J320" s="15"/>
      <c r="K320" s="8" t="s">
        <v>1976</v>
      </c>
      <c r="L320" s="8"/>
      <c r="M320" s="6" t="s">
        <v>1643</v>
      </c>
      <c r="N320" s="6" t="s">
        <v>1644</v>
      </c>
      <c r="O320" s="7">
        <f>SUMIFS('05_상품별배치367'!$K$7:$K$373,'05_상품별배치367'!$E$7:$E$373,A320,'05_상품별배치367'!$H$7:$H$373,"본진")</f>
        <v>0</v>
      </c>
      <c r="P320" s="7">
        <f>SUMIFS('05_상품별배치367'!$K$7:$K$373,'05_상품별배치367'!$E$7:$E$373,A320,'05_상품별배치367'!$H$7:$H$373,"추가 진열")</f>
        <v>0</v>
      </c>
      <c r="Q320" s="7">
        <f>O320+P320</f>
        <v>0</v>
      </c>
      <c r="R320" s="7">
        <v>1</v>
      </c>
      <c r="S320" s="6" t="s">
        <v>3000</v>
      </c>
      <c r="T320" s="6" t="s">
        <v>1637</v>
      </c>
      <c r="U320" s="6"/>
      <c r="V320" s="16"/>
      <c r="W320" s="16"/>
      <c r="X320" s="16"/>
      <c r="Y320" s="6" t="s">
        <v>1627</v>
      </c>
      <c r="Z320" s="15"/>
      <c r="AA320" s="15" t="s">
        <v>1628</v>
      </c>
    </row>
    <row r="321" spans="1:27" ht="33" customHeight="1">
      <c r="A321" s="8" t="s">
        <v>3721</v>
      </c>
      <c r="B321" s="9">
        <v>878</v>
      </c>
      <c r="C321" s="8" t="s">
        <v>3722</v>
      </c>
      <c r="D321" s="8" t="s">
        <v>3150</v>
      </c>
      <c r="E321" s="8" t="s">
        <v>2134</v>
      </c>
      <c r="F321" s="8" t="s">
        <v>163</v>
      </c>
      <c r="G321" s="8" t="s">
        <v>414</v>
      </c>
      <c r="H321" s="8"/>
      <c r="I321" s="14" t="s">
        <v>1642</v>
      </c>
      <c r="J321" s="15"/>
      <c r="K321" s="8" t="s">
        <v>1976</v>
      </c>
      <c r="L321" s="8"/>
      <c r="M321" s="6" t="s">
        <v>1643</v>
      </c>
      <c r="N321" s="6" t="s">
        <v>1644</v>
      </c>
      <c r="O321" s="7">
        <f>SUMIFS('05_상품별배치367'!$K$7:$K$373,'05_상품별배치367'!$E$7:$E$373,A321,'05_상품별배치367'!$H$7:$H$373,"본진")</f>
        <v>0</v>
      </c>
      <c r="P321" s="7">
        <f>SUMIFS('05_상품별배치367'!$K$7:$K$373,'05_상품별배치367'!$E$7:$E$373,A321,'05_상품별배치367'!$H$7:$H$373,"추가 진열")</f>
        <v>0</v>
      </c>
      <c r="Q321" s="7">
        <f>O321+P321</f>
        <v>0</v>
      </c>
      <c r="R321" s="7">
        <v>1</v>
      </c>
      <c r="S321" s="6" t="s">
        <v>3048</v>
      </c>
      <c r="T321" s="6" t="s">
        <v>1637</v>
      </c>
      <c r="U321" s="6"/>
      <c r="V321" s="16"/>
      <c r="W321" s="16"/>
      <c r="X321" s="16"/>
      <c r="Y321" s="6" t="s">
        <v>1627</v>
      </c>
      <c r="Z321" s="15"/>
      <c r="AA321" s="15" t="s">
        <v>1628</v>
      </c>
    </row>
    <row r="322" spans="1:27" ht="33" customHeight="1">
      <c r="A322" s="6" t="s">
        <v>3958</v>
      </c>
      <c r="B322" s="7">
        <v>985</v>
      </c>
      <c r="C322" s="6" t="s">
        <v>3959</v>
      </c>
      <c r="D322" s="6" t="s">
        <v>3960</v>
      </c>
      <c r="E322" s="6" t="s">
        <v>2134</v>
      </c>
      <c r="F322" s="6" t="s">
        <v>2933</v>
      </c>
      <c r="G322" s="6" t="s">
        <v>1668</v>
      </c>
      <c r="H322" s="6"/>
      <c r="I322" s="14" t="s">
        <v>1807</v>
      </c>
      <c r="J322" s="15"/>
      <c r="K322" s="6" t="s">
        <v>1976</v>
      </c>
      <c r="L322" s="6" t="s">
        <v>2032</v>
      </c>
      <c r="M322" s="6" t="s">
        <v>1809</v>
      </c>
      <c r="N322" s="6" t="s">
        <v>1644</v>
      </c>
      <c r="O322" s="7">
        <f>SUMIFS('05_상품별배치367'!$K$7:$K$373,'05_상품별배치367'!$E$7:$E$373,A322,'05_상품별배치367'!$H$7:$H$373,"본진")</f>
        <v>0</v>
      </c>
      <c r="P322" s="7">
        <f>SUMIFS('05_상품별배치367'!$K$7:$K$373,'05_상품별배치367'!$E$7:$E$373,A322,'05_상품별배치367'!$H$7:$H$373,"추가 진열")</f>
        <v>0</v>
      </c>
      <c r="Q322" s="7">
        <f>O322+P322</f>
        <v>0</v>
      </c>
      <c r="R322" s="7">
        <v>0</v>
      </c>
      <c r="S322" s="6" t="s">
        <v>1810</v>
      </c>
      <c r="T322" s="6" t="s">
        <v>1637</v>
      </c>
      <c r="U322" s="6"/>
      <c r="V322" s="16"/>
      <c r="W322" s="16"/>
      <c r="X322" s="16"/>
      <c r="Y322" s="6" t="s">
        <v>1627</v>
      </c>
      <c r="Z322" s="15"/>
      <c r="AA322" s="15" t="s">
        <v>1628</v>
      </c>
    </row>
    <row r="323" spans="1:27" ht="33" customHeight="1">
      <c r="A323" s="8" t="s">
        <v>3946</v>
      </c>
      <c r="B323" s="9">
        <v>980</v>
      </c>
      <c r="C323" s="8" t="s">
        <v>3947</v>
      </c>
      <c r="D323" s="8" t="s">
        <v>3948</v>
      </c>
      <c r="E323" s="8" t="s">
        <v>2134</v>
      </c>
      <c r="F323" s="8" t="s">
        <v>156</v>
      </c>
      <c r="G323" s="8" t="s">
        <v>3239</v>
      </c>
      <c r="H323" s="8"/>
      <c r="I323" s="14" t="s">
        <v>1642</v>
      </c>
      <c r="J323" s="15"/>
      <c r="K323" s="8" t="s">
        <v>1976</v>
      </c>
      <c r="L323" s="8"/>
      <c r="M323" s="6" t="s">
        <v>1643</v>
      </c>
      <c r="N323" s="6" t="s">
        <v>1644</v>
      </c>
      <c r="O323" s="7">
        <f>SUMIFS('05_상품별배치367'!$K$7:$K$373,'05_상품별배치367'!$E$7:$E$373,A323,'05_상품별배치367'!$H$7:$H$373,"본진")</f>
        <v>0</v>
      </c>
      <c r="P323" s="7">
        <f>SUMIFS('05_상품별배치367'!$K$7:$K$373,'05_상품별배치367'!$E$7:$E$373,A323,'05_상품별배치367'!$H$7:$H$373,"추가 진열")</f>
        <v>0</v>
      </c>
      <c r="Q323" s="7">
        <f>O323+P323</f>
        <v>0</v>
      </c>
      <c r="R323" s="7">
        <v>1</v>
      </c>
      <c r="S323" s="6" t="s">
        <v>3240</v>
      </c>
      <c r="T323" s="6" t="s">
        <v>1637</v>
      </c>
      <c r="U323" s="6"/>
      <c r="V323" s="16"/>
      <c r="W323" s="16"/>
      <c r="X323" s="16"/>
      <c r="Y323" s="6" t="s">
        <v>1627</v>
      </c>
      <c r="Z323" s="15"/>
      <c r="AA323" s="15" t="s">
        <v>1628</v>
      </c>
    </row>
    <row r="324" spans="1:27" ht="33" customHeight="1">
      <c r="A324" s="6" t="s">
        <v>3953</v>
      </c>
      <c r="B324" s="7">
        <v>983</v>
      </c>
      <c r="C324" s="6" t="s">
        <v>3954</v>
      </c>
      <c r="D324" s="6" t="s">
        <v>3955</v>
      </c>
      <c r="E324" s="6" t="s">
        <v>1814</v>
      </c>
      <c r="F324" s="6" t="s">
        <v>514</v>
      </c>
      <c r="G324" s="6" t="s">
        <v>423</v>
      </c>
      <c r="H324" s="6"/>
      <c r="I324" s="14" t="s">
        <v>1642</v>
      </c>
      <c r="J324" s="15"/>
      <c r="K324" s="6" t="s">
        <v>1976</v>
      </c>
      <c r="L324" s="6"/>
      <c r="M324" s="6" t="s">
        <v>1643</v>
      </c>
      <c r="N324" s="6" t="s">
        <v>1644</v>
      </c>
      <c r="O324" s="7">
        <f>SUMIFS('05_상품별배치367'!$K$7:$K$373,'05_상품별배치367'!$E$7:$E$373,A324,'05_상품별배치367'!$H$7:$H$373,"본진")</f>
        <v>0</v>
      </c>
      <c r="P324" s="7">
        <f>SUMIFS('05_상품별배치367'!$K$7:$K$373,'05_상품별배치367'!$E$7:$E$373,A324,'05_상품별배치367'!$H$7:$H$373,"추가 진열")</f>
        <v>0</v>
      </c>
      <c r="Q324" s="7">
        <f>O324+P324</f>
        <v>0</v>
      </c>
      <c r="R324" s="7">
        <v>1</v>
      </c>
      <c r="S324" s="6" t="s">
        <v>1991</v>
      </c>
      <c r="T324" s="6" t="s">
        <v>1637</v>
      </c>
      <c r="U324" s="6"/>
      <c r="V324" s="16"/>
      <c r="W324" s="16"/>
      <c r="X324" s="16"/>
      <c r="Y324" s="6" t="s">
        <v>1627</v>
      </c>
      <c r="Z324" s="15"/>
      <c r="AA324" s="15" t="s">
        <v>1628</v>
      </c>
    </row>
    <row r="325" spans="1:27" ht="33" customHeight="1">
      <c r="A325" s="8" t="s">
        <v>3956</v>
      </c>
      <c r="B325" s="9">
        <v>984</v>
      </c>
      <c r="C325" s="8" t="s">
        <v>3957</v>
      </c>
      <c r="D325" s="8" t="s">
        <v>2133</v>
      </c>
      <c r="E325" s="8" t="s">
        <v>1986</v>
      </c>
      <c r="F325" s="8" t="s">
        <v>493</v>
      </c>
      <c r="G325" s="8" t="s">
        <v>299</v>
      </c>
      <c r="H325" s="8"/>
      <c r="I325" s="14" t="s">
        <v>1642</v>
      </c>
      <c r="J325" s="15"/>
      <c r="K325" s="8" t="s">
        <v>1976</v>
      </c>
      <c r="L325" s="8"/>
      <c r="M325" s="6" t="s">
        <v>1643</v>
      </c>
      <c r="N325" s="6" t="s">
        <v>1644</v>
      </c>
      <c r="O325" s="7">
        <f>SUMIFS('05_상품별배치367'!$K$7:$K$373,'05_상품별배치367'!$E$7:$E$373,A325,'05_상품별배치367'!$H$7:$H$373,"본진")</f>
        <v>0</v>
      </c>
      <c r="P325" s="7">
        <f>SUMIFS('05_상품별배치367'!$K$7:$K$373,'05_상품별배치367'!$E$7:$E$373,A325,'05_상품별배치367'!$H$7:$H$373,"추가 진열")</f>
        <v>0</v>
      </c>
      <c r="Q325" s="7">
        <f>O325+P325</f>
        <v>0</v>
      </c>
      <c r="R325" s="7">
        <v>1</v>
      </c>
      <c r="S325" s="6" t="s">
        <v>3084</v>
      </c>
      <c r="T325" s="6" t="s">
        <v>1637</v>
      </c>
      <c r="U325" s="6"/>
      <c r="V325" s="16"/>
      <c r="W325" s="16"/>
      <c r="X325" s="16"/>
      <c r="Y325" s="6" t="s">
        <v>1627</v>
      </c>
      <c r="Z325" s="15"/>
      <c r="AA325" s="15" t="s">
        <v>1628</v>
      </c>
    </row>
    <row r="326" spans="1:27" ht="33" customHeight="1">
      <c r="A326" s="8" t="s">
        <v>3951</v>
      </c>
      <c r="B326" s="9">
        <v>982</v>
      </c>
      <c r="C326" s="8" t="s">
        <v>3952</v>
      </c>
      <c r="D326" s="8" t="s">
        <v>2701</v>
      </c>
      <c r="E326" s="8" t="s">
        <v>1695</v>
      </c>
      <c r="F326" s="8" t="s">
        <v>1129</v>
      </c>
      <c r="G326" s="8" t="s">
        <v>307</v>
      </c>
      <c r="H326" s="8"/>
      <c r="I326" s="14" t="s">
        <v>1642</v>
      </c>
      <c r="J326" s="15"/>
      <c r="K326" s="8" t="s">
        <v>1696</v>
      </c>
      <c r="L326" s="8"/>
      <c r="M326" s="6" t="s">
        <v>1643</v>
      </c>
      <c r="N326" s="6" t="s">
        <v>1644</v>
      </c>
      <c r="O326" s="7">
        <f>SUMIFS('05_상품별배치367'!$K$7:$K$373,'05_상품별배치367'!$E$7:$E$373,A326,'05_상품별배치367'!$H$7:$H$373,"본진")</f>
        <v>0</v>
      </c>
      <c r="P326" s="7">
        <f>SUMIFS('05_상품별배치367'!$K$7:$K$373,'05_상품별배치367'!$E$7:$E$373,A326,'05_상품별배치367'!$H$7:$H$373,"추가 진열")</f>
        <v>0</v>
      </c>
      <c r="Q326" s="7">
        <f>O326+P326</f>
        <v>0</v>
      </c>
      <c r="R326" s="7">
        <v>1</v>
      </c>
      <c r="S326" s="6" t="s">
        <v>2850</v>
      </c>
      <c r="T326" s="6" t="s">
        <v>1637</v>
      </c>
      <c r="U326" s="6"/>
      <c r="V326" s="16"/>
      <c r="W326" s="16"/>
      <c r="X326" s="16"/>
      <c r="Y326" s="6" t="s">
        <v>1627</v>
      </c>
      <c r="Z326" s="15"/>
      <c r="AA326" s="15" t="s">
        <v>1628</v>
      </c>
    </row>
    <row r="327" spans="1:27" ht="33" customHeight="1">
      <c r="A327" s="6" t="s">
        <v>3949</v>
      </c>
      <c r="B327" s="7">
        <v>981</v>
      </c>
      <c r="C327" s="6" t="s">
        <v>3950</v>
      </c>
      <c r="D327" s="6" t="s">
        <v>2910</v>
      </c>
      <c r="E327" s="6" t="s">
        <v>2134</v>
      </c>
      <c r="F327" s="6" t="s">
        <v>2933</v>
      </c>
      <c r="G327" s="6" t="s">
        <v>1668</v>
      </c>
      <c r="H327" s="6"/>
      <c r="I327" s="14" t="s">
        <v>1807</v>
      </c>
      <c r="J327" s="15"/>
      <c r="K327" s="6" t="s">
        <v>1976</v>
      </c>
      <c r="L327" s="6" t="s">
        <v>2032</v>
      </c>
      <c r="M327" s="6" t="s">
        <v>1809</v>
      </c>
      <c r="N327" s="6" t="s">
        <v>1644</v>
      </c>
      <c r="O327" s="7">
        <f>SUMIFS('05_상품별배치367'!$K$7:$K$373,'05_상품별배치367'!$E$7:$E$373,A327,'05_상품별배치367'!$H$7:$H$373,"본진")</f>
        <v>0</v>
      </c>
      <c r="P327" s="7">
        <f>SUMIFS('05_상품별배치367'!$K$7:$K$373,'05_상품별배치367'!$E$7:$E$373,A327,'05_상품별배치367'!$H$7:$H$373,"추가 진열")</f>
        <v>0</v>
      </c>
      <c r="Q327" s="7">
        <f>O327+P327</f>
        <v>0</v>
      </c>
      <c r="R327" s="7">
        <v>0</v>
      </c>
      <c r="S327" s="6" t="s">
        <v>1810</v>
      </c>
      <c r="T327" s="6" t="s">
        <v>1637</v>
      </c>
      <c r="U327" s="6"/>
      <c r="V327" s="16"/>
      <c r="W327" s="16"/>
      <c r="X327" s="16"/>
      <c r="Y327" s="6" t="s">
        <v>1627</v>
      </c>
      <c r="Z327" s="15"/>
      <c r="AA327" s="15" t="s">
        <v>1628</v>
      </c>
    </row>
    <row r="328" spans="1:27" ht="33" customHeight="1">
      <c r="A328" s="6" t="s">
        <v>3943</v>
      </c>
      <c r="B328" s="7">
        <v>979</v>
      </c>
      <c r="C328" s="6" t="s">
        <v>3944</v>
      </c>
      <c r="D328" s="6" t="s">
        <v>3945</v>
      </c>
      <c r="E328" s="6" t="s">
        <v>2134</v>
      </c>
      <c r="F328" s="6" t="s">
        <v>1081</v>
      </c>
      <c r="G328" s="6" t="s">
        <v>290</v>
      </c>
      <c r="H328" s="6"/>
      <c r="I328" s="14" t="s">
        <v>1642</v>
      </c>
      <c r="J328" s="15"/>
      <c r="K328" s="6" t="s">
        <v>1976</v>
      </c>
      <c r="L328" s="6"/>
      <c r="M328" s="6" t="s">
        <v>1643</v>
      </c>
      <c r="N328" s="6" t="s">
        <v>1644</v>
      </c>
      <c r="O328" s="7">
        <f>SUMIFS('05_상품별배치367'!$K$7:$K$373,'05_상품별배치367'!$E$7:$E$373,A328,'05_상품별배치367'!$H$7:$H$373,"본진")</f>
        <v>0</v>
      </c>
      <c r="P328" s="7">
        <f>SUMIFS('05_상품별배치367'!$K$7:$K$373,'05_상품별배치367'!$E$7:$E$373,A328,'05_상품별배치367'!$H$7:$H$373,"추가 진열")</f>
        <v>0</v>
      </c>
      <c r="Q328" s="7">
        <f>O328+P328</f>
        <v>0</v>
      </c>
      <c r="R328" s="7">
        <v>1</v>
      </c>
      <c r="S328" s="6" t="s">
        <v>2135</v>
      </c>
      <c r="T328" s="6" t="s">
        <v>1637</v>
      </c>
      <c r="U328" s="6"/>
      <c r="V328" s="16"/>
      <c r="W328" s="16"/>
      <c r="X328" s="16"/>
      <c r="Y328" s="6" t="s">
        <v>1627</v>
      </c>
      <c r="Z328" s="15"/>
      <c r="AA328" s="15" t="s">
        <v>1628</v>
      </c>
    </row>
    <row r="329" spans="1:27" ht="33" customHeight="1">
      <c r="A329" s="8" t="s">
        <v>4460</v>
      </c>
      <c r="B329" s="9">
        <v>1220</v>
      </c>
      <c r="C329" s="8" t="s">
        <v>4461</v>
      </c>
      <c r="D329" s="8" t="s">
        <v>3055</v>
      </c>
      <c r="E329" s="8" t="s">
        <v>2134</v>
      </c>
      <c r="F329" s="8" t="s">
        <v>2933</v>
      </c>
      <c r="G329" s="8" t="s">
        <v>1668</v>
      </c>
      <c r="H329" s="8"/>
      <c r="I329" s="14" t="s">
        <v>1807</v>
      </c>
      <c r="J329" s="15"/>
      <c r="K329" s="8" t="s">
        <v>1976</v>
      </c>
      <c r="L329" s="8" t="s">
        <v>2032</v>
      </c>
      <c r="M329" s="6" t="s">
        <v>1809</v>
      </c>
      <c r="N329" s="6" t="s">
        <v>1624</v>
      </c>
      <c r="O329" s="7">
        <f>SUMIFS('05_상품별배치367'!$K$7:$K$373,'05_상품별배치367'!$E$7:$E$373,A329,'05_상품별배치367'!$H$7:$H$373,"본진")</f>
        <v>0</v>
      </c>
      <c r="P329" s="7">
        <f>SUMIFS('05_상품별배치367'!$K$7:$K$373,'05_상품별배치367'!$E$7:$E$373,A329,'05_상품별배치367'!$H$7:$H$373,"추가 진열")</f>
        <v>0</v>
      </c>
      <c r="Q329" s="7">
        <f>O329+P329</f>
        <v>0</v>
      </c>
      <c r="R329" s="7">
        <v>0</v>
      </c>
      <c r="S329" s="6" t="s">
        <v>1810</v>
      </c>
      <c r="T329" s="6" t="s">
        <v>1637</v>
      </c>
      <c r="U329" s="6"/>
      <c r="V329" s="16"/>
      <c r="W329" s="16"/>
      <c r="X329" s="16"/>
      <c r="Y329" s="6" t="s">
        <v>1627</v>
      </c>
      <c r="Z329" s="15"/>
      <c r="AA329" s="15" t="s">
        <v>1628</v>
      </c>
    </row>
    <row r="330" spans="1:27" ht="33" customHeight="1">
      <c r="A330" s="6" t="s">
        <v>4458</v>
      </c>
      <c r="B330" s="7">
        <v>1219</v>
      </c>
      <c r="C330" s="6" t="s">
        <v>4459</v>
      </c>
      <c r="D330" s="6" t="s">
        <v>2845</v>
      </c>
      <c r="E330" s="6" t="s">
        <v>2134</v>
      </c>
      <c r="F330" s="6" t="s">
        <v>2933</v>
      </c>
      <c r="G330" s="6" t="s">
        <v>1668</v>
      </c>
      <c r="H330" s="6"/>
      <c r="I330" s="14" t="s">
        <v>1807</v>
      </c>
      <c r="J330" s="15"/>
      <c r="K330" s="6" t="s">
        <v>1976</v>
      </c>
      <c r="L330" s="6" t="s">
        <v>2032</v>
      </c>
      <c r="M330" s="6" t="s">
        <v>1809</v>
      </c>
      <c r="N330" s="6" t="s">
        <v>1624</v>
      </c>
      <c r="O330" s="7">
        <f>SUMIFS('05_상품별배치367'!$K$7:$K$373,'05_상품별배치367'!$E$7:$E$373,A330,'05_상품별배치367'!$H$7:$H$373,"본진")</f>
        <v>0</v>
      </c>
      <c r="P330" s="7">
        <f>SUMIFS('05_상품별배치367'!$K$7:$K$373,'05_상품별배치367'!$E$7:$E$373,A330,'05_상품별배치367'!$H$7:$H$373,"추가 진열")</f>
        <v>0</v>
      </c>
      <c r="Q330" s="7">
        <f>O330+P330</f>
        <v>0</v>
      </c>
      <c r="R330" s="7">
        <v>0</v>
      </c>
      <c r="S330" s="6" t="s">
        <v>1810</v>
      </c>
      <c r="T330" s="6" t="s">
        <v>1637</v>
      </c>
      <c r="U330" s="6"/>
      <c r="V330" s="16"/>
      <c r="W330" s="16"/>
      <c r="X330" s="16"/>
      <c r="Y330" s="6" t="s">
        <v>1627</v>
      </c>
      <c r="Z330" s="15"/>
      <c r="AA330" s="15" t="s">
        <v>1628</v>
      </c>
    </row>
    <row r="331" spans="1:27" ht="33" customHeight="1">
      <c r="A331" s="8" t="s">
        <v>4452</v>
      </c>
      <c r="B331" s="9">
        <v>1216</v>
      </c>
      <c r="C331" s="8" t="s">
        <v>4453</v>
      </c>
      <c r="D331" s="8" t="s">
        <v>2856</v>
      </c>
      <c r="E331" s="8" t="s">
        <v>2134</v>
      </c>
      <c r="F331" s="8" t="s">
        <v>156</v>
      </c>
      <c r="G331" s="8" t="s">
        <v>3239</v>
      </c>
      <c r="H331" s="8"/>
      <c r="I331" s="14" t="s">
        <v>1642</v>
      </c>
      <c r="J331" s="15"/>
      <c r="K331" s="8" t="s">
        <v>1976</v>
      </c>
      <c r="L331" s="8"/>
      <c r="M331" s="6" t="s">
        <v>1643</v>
      </c>
      <c r="N331" s="6" t="s">
        <v>1644</v>
      </c>
      <c r="O331" s="7">
        <f>SUMIFS('05_상품별배치367'!$K$7:$K$373,'05_상품별배치367'!$E$7:$E$373,A331,'05_상품별배치367'!$H$7:$H$373,"본진")</f>
        <v>0</v>
      </c>
      <c r="P331" s="7">
        <f>SUMIFS('05_상품별배치367'!$K$7:$K$373,'05_상품별배치367'!$E$7:$E$373,A331,'05_상품별배치367'!$H$7:$H$373,"추가 진열")</f>
        <v>0</v>
      </c>
      <c r="Q331" s="7">
        <f>O331+P331</f>
        <v>0</v>
      </c>
      <c r="R331" s="7">
        <v>1</v>
      </c>
      <c r="S331" s="6" t="s">
        <v>3240</v>
      </c>
      <c r="T331" s="6" t="s">
        <v>1637</v>
      </c>
      <c r="U331" s="6"/>
      <c r="V331" s="16"/>
      <c r="W331" s="16"/>
      <c r="X331" s="16"/>
      <c r="Y331" s="6" t="s">
        <v>1627</v>
      </c>
      <c r="Z331" s="15"/>
      <c r="AA331" s="15" t="s">
        <v>1628</v>
      </c>
    </row>
    <row r="332" spans="1:27" ht="33" customHeight="1">
      <c r="A332" s="6" t="s">
        <v>4450</v>
      </c>
      <c r="B332" s="7">
        <v>1215</v>
      </c>
      <c r="C332" s="6" t="s">
        <v>4451</v>
      </c>
      <c r="D332" s="6" t="s">
        <v>2856</v>
      </c>
      <c r="E332" s="6" t="s">
        <v>2134</v>
      </c>
      <c r="F332" s="6" t="s">
        <v>156</v>
      </c>
      <c r="G332" s="6" t="s">
        <v>3239</v>
      </c>
      <c r="H332" s="6"/>
      <c r="I332" s="14" t="s">
        <v>1642</v>
      </c>
      <c r="J332" s="15"/>
      <c r="K332" s="6" t="s">
        <v>1976</v>
      </c>
      <c r="L332" s="6"/>
      <c r="M332" s="6" t="s">
        <v>1643</v>
      </c>
      <c r="N332" s="6" t="s">
        <v>1644</v>
      </c>
      <c r="O332" s="7">
        <f>SUMIFS('05_상품별배치367'!$K$7:$K$373,'05_상품별배치367'!$E$7:$E$373,A332,'05_상품별배치367'!$H$7:$H$373,"본진")</f>
        <v>0</v>
      </c>
      <c r="P332" s="7">
        <f>SUMIFS('05_상품별배치367'!$K$7:$K$373,'05_상품별배치367'!$E$7:$E$373,A332,'05_상품별배치367'!$H$7:$H$373,"추가 진열")</f>
        <v>0</v>
      </c>
      <c r="Q332" s="7">
        <f>O332+P332</f>
        <v>0</v>
      </c>
      <c r="R332" s="7">
        <v>1</v>
      </c>
      <c r="S332" s="6" t="s">
        <v>3240</v>
      </c>
      <c r="T332" s="6" t="s">
        <v>1637</v>
      </c>
      <c r="U332" s="6"/>
      <c r="V332" s="16"/>
      <c r="W332" s="16"/>
      <c r="X332" s="16"/>
      <c r="Y332" s="6" t="s">
        <v>1627</v>
      </c>
      <c r="Z332" s="15"/>
      <c r="AA332" s="15" t="s">
        <v>1628</v>
      </c>
    </row>
    <row r="333" spans="1:27" ht="33" customHeight="1">
      <c r="A333" s="6" t="s">
        <v>4466</v>
      </c>
      <c r="B333" s="7">
        <v>1223</v>
      </c>
      <c r="C333" s="6" t="s">
        <v>4467</v>
      </c>
      <c r="D333" s="6" t="s">
        <v>2899</v>
      </c>
      <c r="E333" s="6" t="s">
        <v>1695</v>
      </c>
      <c r="F333" s="6" t="s">
        <v>482</v>
      </c>
      <c r="G333" s="6" t="s">
        <v>272</v>
      </c>
      <c r="H333" s="6"/>
      <c r="I333" s="14" t="s">
        <v>1642</v>
      </c>
      <c r="J333" s="15"/>
      <c r="K333" s="6" t="s">
        <v>1696</v>
      </c>
      <c r="L333" s="6"/>
      <c r="M333" s="6" t="s">
        <v>1643</v>
      </c>
      <c r="N333" s="6" t="s">
        <v>1644</v>
      </c>
      <c r="O333" s="7">
        <f>SUMIFS('05_상품별배치367'!$K$7:$K$373,'05_상품별배치367'!$E$7:$E$373,A333,'05_상품별배치367'!$H$7:$H$373,"본진")</f>
        <v>0</v>
      </c>
      <c r="P333" s="7">
        <f>SUMIFS('05_상품별배치367'!$K$7:$K$373,'05_상품별배치367'!$E$7:$E$373,A333,'05_상품별배치367'!$H$7:$H$373,"추가 진열")</f>
        <v>0</v>
      </c>
      <c r="Q333" s="7">
        <f>O333+P333</f>
        <v>0</v>
      </c>
      <c r="R333" s="7">
        <v>1</v>
      </c>
      <c r="S333" s="6" t="s">
        <v>1942</v>
      </c>
      <c r="T333" s="6" t="s">
        <v>1637</v>
      </c>
      <c r="U333" s="6"/>
      <c r="V333" s="16"/>
      <c r="W333" s="16"/>
      <c r="X333" s="16"/>
      <c r="Y333" s="6" t="s">
        <v>1627</v>
      </c>
      <c r="Z333" s="15"/>
      <c r="AA333" s="15" t="s">
        <v>1628</v>
      </c>
    </row>
    <row r="334" spans="1:27" ht="33" customHeight="1">
      <c r="A334" s="6" t="s">
        <v>4462</v>
      </c>
      <c r="B334" s="7">
        <v>1221</v>
      </c>
      <c r="C334" s="6" t="s">
        <v>4463</v>
      </c>
      <c r="D334" s="6" t="s">
        <v>2007</v>
      </c>
      <c r="E334" s="6" t="s">
        <v>1695</v>
      </c>
      <c r="F334" s="6" t="s">
        <v>482</v>
      </c>
      <c r="G334" s="6" t="s">
        <v>272</v>
      </c>
      <c r="H334" s="6"/>
      <c r="I334" s="14" t="s">
        <v>1642</v>
      </c>
      <c r="J334" s="15"/>
      <c r="K334" s="6" t="s">
        <v>1696</v>
      </c>
      <c r="L334" s="6"/>
      <c r="M334" s="6" t="s">
        <v>1643</v>
      </c>
      <c r="N334" s="6" t="s">
        <v>1644</v>
      </c>
      <c r="O334" s="7">
        <f>SUMIFS('05_상품별배치367'!$K$7:$K$373,'05_상품별배치367'!$E$7:$E$373,A334,'05_상품별배치367'!$H$7:$H$373,"본진")</f>
        <v>0</v>
      </c>
      <c r="P334" s="7">
        <f>SUMIFS('05_상품별배치367'!$K$7:$K$373,'05_상품별배치367'!$E$7:$E$373,A334,'05_상품별배치367'!$H$7:$H$373,"추가 진열")</f>
        <v>0</v>
      </c>
      <c r="Q334" s="7">
        <f>O334+P334</f>
        <v>0</v>
      </c>
      <c r="R334" s="7">
        <v>1</v>
      </c>
      <c r="S334" s="6" t="s">
        <v>1942</v>
      </c>
      <c r="T334" s="6" t="s">
        <v>1637</v>
      </c>
      <c r="U334" s="6"/>
      <c r="V334" s="16"/>
      <c r="W334" s="16"/>
      <c r="X334" s="16"/>
      <c r="Y334" s="6" t="s">
        <v>1627</v>
      </c>
      <c r="Z334" s="15"/>
      <c r="AA334" s="15" t="s">
        <v>1628</v>
      </c>
    </row>
    <row r="335" spans="1:27" ht="33" customHeight="1">
      <c r="A335" s="8" t="s">
        <v>4464</v>
      </c>
      <c r="B335" s="9">
        <v>1222</v>
      </c>
      <c r="C335" s="8" t="s">
        <v>4465</v>
      </c>
      <c r="D335" s="8" t="s">
        <v>2899</v>
      </c>
      <c r="E335" s="8" t="s">
        <v>1695</v>
      </c>
      <c r="F335" s="8" t="s">
        <v>954</v>
      </c>
      <c r="G335" s="8" t="s">
        <v>219</v>
      </c>
      <c r="H335" s="8"/>
      <c r="I335" s="14" t="s">
        <v>1642</v>
      </c>
      <c r="J335" s="15"/>
      <c r="K335" s="8" t="s">
        <v>1696</v>
      </c>
      <c r="L335" s="8"/>
      <c r="M335" s="6" t="s">
        <v>1643</v>
      </c>
      <c r="N335" s="6" t="s">
        <v>1644</v>
      </c>
      <c r="O335" s="7">
        <f>SUMIFS('05_상품별배치367'!$K$7:$K$373,'05_상품별배치367'!$E$7:$E$373,A335,'05_상품별배치367'!$H$7:$H$373,"본진")</f>
        <v>0</v>
      </c>
      <c r="P335" s="7">
        <f>SUMIFS('05_상품별배치367'!$K$7:$K$373,'05_상품별배치367'!$E$7:$E$373,A335,'05_상품별배치367'!$H$7:$H$373,"추가 진열")</f>
        <v>0</v>
      </c>
      <c r="Q335" s="7">
        <f>O335+P335</f>
        <v>0</v>
      </c>
      <c r="R335" s="7">
        <v>1</v>
      </c>
      <c r="S335" s="6" t="s">
        <v>2884</v>
      </c>
      <c r="T335" s="6" t="s">
        <v>1637</v>
      </c>
      <c r="U335" s="6"/>
      <c r="V335" s="16"/>
      <c r="W335" s="16"/>
      <c r="X335" s="16"/>
      <c r="Y335" s="6" t="s">
        <v>1627</v>
      </c>
      <c r="Z335" s="15"/>
      <c r="AA335" s="15" t="s">
        <v>1628</v>
      </c>
    </row>
    <row r="336" spans="1:27" ht="33" customHeight="1">
      <c r="A336" s="6" t="s">
        <v>4444</v>
      </c>
      <c r="B336" s="7">
        <v>1211</v>
      </c>
      <c r="C336" s="6" t="s">
        <v>4445</v>
      </c>
      <c r="D336" s="6" t="s">
        <v>2133</v>
      </c>
      <c r="E336" s="6" t="s">
        <v>2134</v>
      </c>
      <c r="F336" s="6" t="s">
        <v>161</v>
      </c>
      <c r="G336" s="6" t="s">
        <v>395</v>
      </c>
      <c r="H336" s="6"/>
      <c r="I336" s="14" t="s">
        <v>1642</v>
      </c>
      <c r="J336" s="15"/>
      <c r="K336" s="6" t="s">
        <v>1976</v>
      </c>
      <c r="L336" s="6"/>
      <c r="M336" s="6" t="s">
        <v>1643</v>
      </c>
      <c r="N336" s="6" t="s">
        <v>1644</v>
      </c>
      <c r="O336" s="7">
        <f>SUMIFS('05_상품별배치367'!$K$7:$K$373,'05_상품별배치367'!$E$7:$E$373,A336,'05_상품별배치367'!$H$7:$H$373,"본진")</f>
        <v>0</v>
      </c>
      <c r="P336" s="7">
        <f>SUMIFS('05_상품별배치367'!$K$7:$K$373,'05_상품별배치367'!$E$7:$E$373,A336,'05_상품별배치367'!$H$7:$H$373,"추가 진열")</f>
        <v>0</v>
      </c>
      <c r="Q336" s="7">
        <f>O336+P336</f>
        <v>0</v>
      </c>
      <c r="R336" s="7">
        <v>1</v>
      </c>
      <c r="S336" s="6" t="s">
        <v>3070</v>
      </c>
      <c r="T336" s="6" t="s">
        <v>1637</v>
      </c>
      <c r="U336" s="6"/>
      <c r="V336" s="16"/>
      <c r="W336" s="16"/>
      <c r="X336" s="16"/>
      <c r="Y336" s="6" t="s">
        <v>1627</v>
      </c>
      <c r="Z336" s="15"/>
      <c r="AA336" s="15" t="s">
        <v>1628</v>
      </c>
    </row>
    <row r="337" spans="1:27" ht="33" customHeight="1">
      <c r="A337" s="6" t="s">
        <v>942</v>
      </c>
      <c r="B337" s="7">
        <v>1213</v>
      </c>
      <c r="C337" s="6" t="s">
        <v>941</v>
      </c>
      <c r="D337" s="6" t="s">
        <v>2856</v>
      </c>
      <c r="E337" s="6" t="s">
        <v>1986</v>
      </c>
      <c r="F337" s="6" t="s">
        <v>931</v>
      </c>
      <c r="G337" s="6" t="s">
        <v>211</v>
      </c>
      <c r="H337" s="6" t="s">
        <v>940</v>
      </c>
      <c r="I337" s="14" t="s">
        <v>1992</v>
      </c>
      <c r="J337" s="15"/>
      <c r="K337" s="6" t="s">
        <v>1976</v>
      </c>
      <c r="L337" s="6"/>
      <c r="M337" s="6" t="s">
        <v>1993</v>
      </c>
      <c r="N337" s="6" t="s">
        <v>1644</v>
      </c>
      <c r="O337" s="7">
        <f>SUMIFS('05_상품별배치367'!$K$7:$K$373,'05_상품별배치367'!$E$7:$E$373,A337,'05_상품별배치367'!$H$7:$H$373,"본진")</f>
        <v>1</v>
      </c>
      <c r="P337" s="7">
        <f>SUMIFS('05_상품별배치367'!$K$7:$K$373,'05_상품별배치367'!$E$7:$E$373,A337,'05_상품별배치367'!$H$7:$H$373,"추가 진열")</f>
        <v>0</v>
      </c>
      <c r="Q337" s="7">
        <f>O337+P337</f>
        <v>1</v>
      </c>
      <c r="R337" s="7">
        <v>1</v>
      </c>
      <c r="S337" s="6" t="s">
        <v>1994</v>
      </c>
      <c r="T337" s="6" t="s">
        <v>1637</v>
      </c>
      <c r="U337" s="6"/>
      <c r="V337" s="16"/>
      <c r="W337" s="16"/>
      <c r="X337" s="16"/>
      <c r="Y337" s="6" t="s">
        <v>1627</v>
      </c>
      <c r="Z337" s="15"/>
      <c r="AA337" s="15" t="s">
        <v>1628</v>
      </c>
    </row>
    <row r="338" spans="1:27" ht="33" customHeight="1">
      <c r="A338" s="8" t="s">
        <v>4448</v>
      </c>
      <c r="B338" s="9">
        <v>1214</v>
      </c>
      <c r="C338" s="8" t="s">
        <v>4449</v>
      </c>
      <c r="D338" s="8" t="s">
        <v>2856</v>
      </c>
      <c r="E338" s="8" t="s">
        <v>1986</v>
      </c>
      <c r="F338" s="8" t="s">
        <v>931</v>
      </c>
      <c r="G338" s="8" t="s">
        <v>211</v>
      </c>
      <c r="H338" s="8"/>
      <c r="I338" s="14" t="s">
        <v>1642</v>
      </c>
      <c r="J338" s="15"/>
      <c r="K338" s="8" t="s">
        <v>1976</v>
      </c>
      <c r="L338" s="8"/>
      <c r="M338" s="6" t="s">
        <v>1643</v>
      </c>
      <c r="N338" s="6" t="s">
        <v>1644</v>
      </c>
      <c r="O338" s="7">
        <f>SUMIFS('05_상품별배치367'!$K$7:$K$373,'05_상품별배치367'!$E$7:$E$373,A338,'05_상품별배치367'!$H$7:$H$373,"본진")</f>
        <v>0</v>
      </c>
      <c r="P338" s="7">
        <f>SUMIFS('05_상품별배치367'!$K$7:$K$373,'05_상품별배치367'!$E$7:$E$373,A338,'05_상품별배치367'!$H$7:$H$373,"추가 진열")</f>
        <v>0</v>
      </c>
      <c r="Q338" s="7">
        <f>O338+P338</f>
        <v>0</v>
      </c>
      <c r="R338" s="7">
        <v>1</v>
      </c>
      <c r="S338" s="6" t="s">
        <v>3330</v>
      </c>
      <c r="T338" s="6" t="s">
        <v>1637</v>
      </c>
      <c r="U338" s="6"/>
      <c r="V338" s="16"/>
      <c r="W338" s="16"/>
      <c r="X338" s="16"/>
      <c r="Y338" s="6" t="s">
        <v>1627</v>
      </c>
      <c r="Z338" s="15"/>
      <c r="AA338" s="15" t="s">
        <v>1628</v>
      </c>
    </row>
    <row r="339" spans="1:27" ht="33" customHeight="1">
      <c r="A339" s="8" t="s">
        <v>4442</v>
      </c>
      <c r="B339" s="9">
        <v>1210</v>
      </c>
      <c r="C339" s="8" t="s">
        <v>4443</v>
      </c>
      <c r="D339" s="8" t="s">
        <v>3600</v>
      </c>
      <c r="E339" s="8" t="s">
        <v>2134</v>
      </c>
      <c r="F339" s="8" t="s">
        <v>842</v>
      </c>
      <c r="G339" s="8" t="s">
        <v>164</v>
      </c>
      <c r="H339" s="8"/>
      <c r="I339" s="14" t="s">
        <v>1642</v>
      </c>
      <c r="J339" s="15"/>
      <c r="K339" s="8" t="s">
        <v>1976</v>
      </c>
      <c r="L339" s="8"/>
      <c r="M339" s="6" t="s">
        <v>1643</v>
      </c>
      <c r="N339" s="6" t="s">
        <v>1644</v>
      </c>
      <c r="O339" s="7">
        <f>SUMIFS('05_상품별배치367'!$K$7:$K$373,'05_상품별배치367'!$E$7:$E$373,A339,'05_상품별배치367'!$H$7:$H$373,"본진")</f>
        <v>0</v>
      </c>
      <c r="P339" s="7">
        <f>SUMIFS('05_상품별배치367'!$K$7:$K$373,'05_상품별배치367'!$E$7:$E$373,A339,'05_상품별배치367'!$H$7:$H$373,"추가 진열")</f>
        <v>0</v>
      </c>
      <c r="Q339" s="7">
        <f>O339+P339</f>
        <v>0</v>
      </c>
      <c r="R339" s="7">
        <v>1</v>
      </c>
      <c r="S339" s="6" t="s">
        <v>3009</v>
      </c>
      <c r="T339" s="6" t="s">
        <v>1637</v>
      </c>
      <c r="U339" s="6"/>
      <c r="V339" s="16"/>
      <c r="W339" s="16"/>
      <c r="X339" s="16"/>
      <c r="Y339" s="6" t="s">
        <v>1627</v>
      </c>
      <c r="Z339" s="15"/>
      <c r="AA339" s="15" t="s">
        <v>1628</v>
      </c>
    </row>
    <row r="340" spans="1:27" ht="33" customHeight="1">
      <c r="A340" s="8" t="s">
        <v>4456</v>
      </c>
      <c r="B340" s="9">
        <v>1218</v>
      </c>
      <c r="C340" s="8" t="s">
        <v>4457</v>
      </c>
      <c r="D340" s="8" t="s">
        <v>2007</v>
      </c>
      <c r="E340" s="8" t="s">
        <v>2134</v>
      </c>
      <c r="F340" s="8" t="s">
        <v>2933</v>
      </c>
      <c r="G340" s="8" t="s">
        <v>1668</v>
      </c>
      <c r="H340" s="8"/>
      <c r="I340" s="14" t="s">
        <v>1807</v>
      </c>
      <c r="J340" s="15"/>
      <c r="K340" s="8" t="s">
        <v>1976</v>
      </c>
      <c r="L340" s="8" t="s">
        <v>2032</v>
      </c>
      <c r="M340" s="6" t="s">
        <v>1809</v>
      </c>
      <c r="N340" s="6" t="s">
        <v>1624</v>
      </c>
      <c r="O340" s="7">
        <f>SUMIFS('05_상품별배치367'!$K$7:$K$373,'05_상품별배치367'!$E$7:$E$373,A340,'05_상품별배치367'!$H$7:$H$373,"본진")</f>
        <v>0</v>
      </c>
      <c r="P340" s="7">
        <f>SUMIFS('05_상품별배치367'!$K$7:$K$373,'05_상품별배치367'!$E$7:$E$373,A340,'05_상품별배치367'!$H$7:$H$373,"추가 진열")</f>
        <v>0</v>
      </c>
      <c r="Q340" s="7">
        <f>O340+P340</f>
        <v>0</v>
      </c>
      <c r="R340" s="7">
        <v>0</v>
      </c>
      <c r="S340" s="6" t="s">
        <v>1810</v>
      </c>
      <c r="T340" s="6" t="s">
        <v>1637</v>
      </c>
      <c r="U340" s="6"/>
      <c r="V340" s="16"/>
      <c r="W340" s="16"/>
      <c r="X340" s="16"/>
      <c r="Y340" s="6" t="s">
        <v>1627</v>
      </c>
      <c r="Z340" s="15"/>
      <c r="AA340" s="15" t="s">
        <v>1628</v>
      </c>
    </row>
    <row r="341" spans="1:27" ht="33" customHeight="1">
      <c r="A341" s="6" t="s">
        <v>4454</v>
      </c>
      <c r="B341" s="7">
        <v>1217</v>
      </c>
      <c r="C341" s="6" t="s">
        <v>4455</v>
      </c>
      <c r="D341" s="6" t="s">
        <v>2845</v>
      </c>
      <c r="E341" s="6" t="s">
        <v>1986</v>
      </c>
      <c r="F341" s="6" t="s">
        <v>913</v>
      </c>
      <c r="G341" s="6" t="s">
        <v>201</v>
      </c>
      <c r="H341" s="6"/>
      <c r="I341" s="14" t="s">
        <v>1642</v>
      </c>
      <c r="J341" s="15"/>
      <c r="K341" s="6" t="s">
        <v>1976</v>
      </c>
      <c r="L341" s="6"/>
      <c r="M341" s="6" t="s">
        <v>1643</v>
      </c>
      <c r="N341" s="6" t="s">
        <v>1644</v>
      </c>
      <c r="O341" s="7">
        <f>SUMIFS('05_상품별배치367'!$K$7:$K$373,'05_상품별배치367'!$E$7:$E$373,A341,'05_상품별배치367'!$H$7:$H$373,"본진")</f>
        <v>0</v>
      </c>
      <c r="P341" s="7">
        <f>SUMIFS('05_상품별배치367'!$K$7:$K$373,'05_상품별배치367'!$E$7:$E$373,A341,'05_상품별배치367'!$H$7:$H$373,"추가 진열")</f>
        <v>0</v>
      </c>
      <c r="Q341" s="7">
        <f>O341+P341</f>
        <v>0</v>
      </c>
      <c r="R341" s="7">
        <v>1</v>
      </c>
      <c r="S341" s="6" t="s">
        <v>2907</v>
      </c>
      <c r="T341" s="6" t="s">
        <v>1637</v>
      </c>
      <c r="U341" s="6"/>
      <c r="V341" s="16"/>
      <c r="W341" s="16"/>
      <c r="X341" s="16"/>
      <c r="Y341" s="6" t="s">
        <v>1627</v>
      </c>
      <c r="Z341" s="15"/>
      <c r="AA341" s="15" t="s">
        <v>1628</v>
      </c>
    </row>
    <row r="342" spans="1:27" ht="33" customHeight="1">
      <c r="A342" s="8" t="s">
        <v>4446</v>
      </c>
      <c r="B342" s="9">
        <v>1212</v>
      </c>
      <c r="C342" s="8" t="s">
        <v>4447</v>
      </c>
      <c r="D342" s="8" t="s">
        <v>3008</v>
      </c>
      <c r="E342" s="8" t="s">
        <v>2134</v>
      </c>
      <c r="F342" s="8" t="s">
        <v>481</v>
      </c>
      <c r="G342" s="8" t="s">
        <v>193</v>
      </c>
      <c r="H342" s="8"/>
      <c r="I342" s="14" t="s">
        <v>1642</v>
      </c>
      <c r="J342" s="15"/>
      <c r="K342" s="8" t="s">
        <v>1976</v>
      </c>
      <c r="L342" s="8"/>
      <c r="M342" s="6" t="s">
        <v>1643</v>
      </c>
      <c r="N342" s="6" t="s">
        <v>1644</v>
      </c>
      <c r="O342" s="7">
        <f>SUMIFS('05_상품별배치367'!$K$7:$K$373,'05_상품별배치367'!$E$7:$E$373,A342,'05_상품별배치367'!$H$7:$H$373,"본진")</f>
        <v>0</v>
      </c>
      <c r="P342" s="7">
        <f>SUMIFS('05_상품별배치367'!$K$7:$K$373,'05_상품별배치367'!$E$7:$E$373,A342,'05_상품별배치367'!$H$7:$H$373,"추가 진열")</f>
        <v>0</v>
      </c>
      <c r="Q342" s="7">
        <f>O342+P342</f>
        <v>0</v>
      </c>
      <c r="R342" s="7">
        <v>1</v>
      </c>
      <c r="S342" s="6" t="s">
        <v>3000</v>
      </c>
      <c r="T342" s="6" t="s">
        <v>1637</v>
      </c>
      <c r="U342" s="6"/>
      <c r="V342" s="16"/>
      <c r="W342" s="16"/>
      <c r="X342" s="16"/>
      <c r="Y342" s="6" t="s">
        <v>1627</v>
      </c>
      <c r="Z342" s="15"/>
      <c r="AA342" s="15" t="s">
        <v>1628</v>
      </c>
    </row>
    <row r="343" spans="1:27" ht="33" customHeight="1">
      <c r="A343" s="6" t="s">
        <v>1256</v>
      </c>
      <c r="B343" s="7">
        <v>2327</v>
      </c>
      <c r="C343" s="6" t="s">
        <v>1255</v>
      </c>
      <c r="D343" s="6" t="s">
        <v>2371</v>
      </c>
      <c r="E343" s="6" t="s">
        <v>2134</v>
      </c>
      <c r="F343" s="6" t="s">
        <v>156</v>
      </c>
      <c r="G343" s="6" t="s">
        <v>366</v>
      </c>
      <c r="H343" s="6" t="s">
        <v>1254</v>
      </c>
      <c r="I343" s="14" t="s">
        <v>1621</v>
      </c>
      <c r="J343" s="15"/>
      <c r="K343" s="6" t="s">
        <v>1976</v>
      </c>
      <c r="L343" s="6" t="s">
        <v>3828</v>
      </c>
      <c r="M343" s="6" t="s">
        <v>1623</v>
      </c>
      <c r="N343" s="6" t="s">
        <v>1624</v>
      </c>
      <c r="O343" s="7">
        <f>SUMIFS('05_상품별배치367'!$K$7:$K$373,'05_상품별배치367'!$E$7:$E$373,A343,'05_상품별배치367'!$H$7:$H$373,"본진")</f>
        <v>1</v>
      </c>
      <c r="P343" s="7">
        <f>SUMIFS('05_상품별배치367'!$K$7:$K$373,'05_상품별배치367'!$E$7:$E$373,A343,'05_상품별배치367'!$H$7:$H$373,"추가 진열")</f>
        <v>0</v>
      </c>
      <c r="Q343" s="7">
        <f>O343+P343</f>
        <v>1</v>
      </c>
      <c r="R343" s="7">
        <v>1</v>
      </c>
      <c r="S343" s="6" t="s">
        <v>1625</v>
      </c>
      <c r="T343" s="6" t="s">
        <v>6823</v>
      </c>
      <c r="U343" s="6"/>
      <c r="V343" s="16"/>
      <c r="W343" s="16"/>
      <c r="X343" s="16"/>
      <c r="Y343" s="6" t="s">
        <v>1655</v>
      </c>
      <c r="Z343" s="15"/>
      <c r="AA343" s="15" t="s">
        <v>1628</v>
      </c>
    </row>
    <row r="344" spans="1:27" ht="33" customHeight="1">
      <c r="A344" s="8" t="s">
        <v>6821</v>
      </c>
      <c r="B344" s="9">
        <v>2316</v>
      </c>
      <c r="C344" s="8" t="s">
        <v>6822</v>
      </c>
      <c r="D344" s="8" t="s">
        <v>4640</v>
      </c>
      <c r="E344" s="8" t="s">
        <v>1997</v>
      </c>
      <c r="F344" s="8" t="s">
        <v>1998</v>
      </c>
      <c r="G344" s="8" t="s">
        <v>1668</v>
      </c>
      <c r="H344" s="8"/>
      <c r="I344" s="14" t="s">
        <v>1999</v>
      </c>
      <c r="J344" s="15"/>
      <c r="K344" s="8" t="s">
        <v>2000</v>
      </c>
      <c r="L344" s="8" t="s">
        <v>2001</v>
      </c>
      <c r="M344" s="6" t="s">
        <v>1671</v>
      </c>
      <c r="N344" s="6" t="s">
        <v>1644</v>
      </c>
      <c r="O344" s="7">
        <f>SUMIFS('05_상품별배치367'!$K$7:$K$373,'05_상품별배치367'!$E$7:$E$373,A344,'05_상품별배치367'!$H$7:$H$373,"본진")</f>
        <v>0</v>
      </c>
      <c r="P344" s="7">
        <f>SUMIFS('05_상품별배치367'!$K$7:$K$373,'05_상품별배치367'!$E$7:$E$373,A344,'05_상품별배치367'!$H$7:$H$373,"추가 진열")</f>
        <v>0</v>
      </c>
      <c r="Q344" s="7">
        <f>O344+P344</f>
        <v>0</v>
      </c>
      <c r="R344" s="7">
        <v>0</v>
      </c>
      <c r="S344" s="6" t="s">
        <v>2002</v>
      </c>
      <c r="T344" s="6" t="s">
        <v>6823</v>
      </c>
      <c r="U344" s="6"/>
      <c r="V344" s="16"/>
      <c r="W344" s="16"/>
      <c r="X344" s="16"/>
      <c r="Y344" s="6" t="s">
        <v>1627</v>
      </c>
      <c r="Z344" s="15"/>
      <c r="AA344" s="15" t="s">
        <v>1628</v>
      </c>
    </row>
    <row r="345" spans="1:27" ht="33" customHeight="1">
      <c r="A345" s="6" t="s">
        <v>830</v>
      </c>
      <c r="B345" s="7">
        <v>2329</v>
      </c>
      <c r="C345" s="6" t="s">
        <v>829</v>
      </c>
      <c r="D345" s="6" t="s">
        <v>5875</v>
      </c>
      <c r="E345" s="6" t="s">
        <v>2134</v>
      </c>
      <c r="F345" s="6" t="s">
        <v>161</v>
      </c>
      <c r="G345" s="6" t="s">
        <v>366</v>
      </c>
      <c r="H345" s="6" t="s">
        <v>1252</v>
      </c>
      <c r="I345" s="14" t="s">
        <v>1621</v>
      </c>
      <c r="J345" s="15"/>
      <c r="K345" s="6" t="s">
        <v>1976</v>
      </c>
      <c r="L345" s="6" t="s">
        <v>3828</v>
      </c>
      <c r="M345" s="6" t="s">
        <v>1623</v>
      </c>
      <c r="N345" s="6" t="s">
        <v>1624</v>
      </c>
      <c r="O345" s="7">
        <f>SUMIFS('05_상품별배치367'!$K$7:$K$373,'05_상품별배치367'!$E$7:$E$373,A345,'05_상품별배치367'!$H$7:$H$373,"본진")</f>
        <v>2</v>
      </c>
      <c r="P345" s="7">
        <f>SUMIFS('05_상품별배치367'!$K$7:$K$373,'05_상품별배치367'!$E$7:$E$373,A345,'05_상품별배치367'!$H$7:$H$373,"추가 진열")</f>
        <v>1</v>
      </c>
      <c r="Q345" s="7">
        <f>O345+P345</f>
        <v>3</v>
      </c>
      <c r="R345" s="7">
        <v>2</v>
      </c>
      <c r="S345" s="6" t="s">
        <v>1625</v>
      </c>
      <c r="T345" s="6" t="s">
        <v>6823</v>
      </c>
      <c r="U345" s="6"/>
      <c r="V345" s="16"/>
      <c r="W345" s="16"/>
      <c r="X345" s="16"/>
      <c r="Y345" s="6" t="s">
        <v>1627</v>
      </c>
      <c r="Z345" s="15"/>
      <c r="AA345" s="15" t="s">
        <v>1628</v>
      </c>
    </row>
    <row r="346" spans="1:27" ht="33" customHeight="1">
      <c r="A346" s="8" t="s">
        <v>1260</v>
      </c>
      <c r="B346" s="9">
        <v>2338</v>
      </c>
      <c r="C346" s="8" t="s">
        <v>1259</v>
      </c>
      <c r="D346" s="8" t="s">
        <v>2856</v>
      </c>
      <c r="E346" s="8" t="s">
        <v>2134</v>
      </c>
      <c r="F346" s="8" t="s">
        <v>842</v>
      </c>
      <c r="G346" s="8" t="s">
        <v>366</v>
      </c>
      <c r="H346" s="8" t="s">
        <v>1258</v>
      </c>
      <c r="I346" s="14" t="s">
        <v>1992</v>
      </c>
      <c r="J346" s="15"/>
      <c r="K346" s="8" t="s">
        <v>1976</v>
      </c>
      <c r="L346" s="8" t="s">
        <v>3828</v>
      </c>
      <c r="M346" s="6" t="s">
        <v>1993</v>
      </c>
      <c r="N346" s="6" t="s">
        <v>1624</v>
      </c>
      <c r="O346" s="7">
        <f>SUMIFS('05_상품별배치367'!$K$7:$K$373,'05_상품별배치367'!$E$7:$E$373,A346,'05_상품별배치367'!$H$7:$H$373,"본진")</f>
        <v>1</v>
      </c>
      <c r="P346" s="7">
        <f>SUMIFS('05_상품별배치367'!$K$7:$K$373,'05_상품별배치367'!$E$7:$E$373,A346,'05_상품별배치367'!$H$7:$H$373,"추가 진열")</f>
        <v>0</v>
      </c>
      <c r="Q346" s="7">
        <f>O346+P346</f>
        <v>1</v>
      </c>
      <c r="R346" s="7">
        <v>1</v>
      </c>
      <c r="S346" s="6" t="s">
        <v>1994</v>
      </c>
      <c r="T346" s="6" t="s">
        <v>6823</v>
      </c>
      <c r="U346" s="6"/>
      <c r="V346" s="16"/>
      <c r="W346" s="16"/>
      <c r="X346" s="16"/>
      <c r="Y346" s="6" t="s">
        <v>1627</v>
      </c>
      <c r="Z346" s="15"/>
      <c r="AA346" s="15" t="s">
        <v>1628</v>
      </c>
    </row>
    <row r="347" spans="1:27" ht="33" customHeight="1">
      <c r="A347" s="6" t="s">
        <v>4926</v>
      </c>
      <c r="B347" s="7">
        <v>1443</v>
      </c>
      <c r="C347" s="6" t="s">
        <v>4927</v>
      </c>
      <c r="D347" s="6" t="s">
        <v>4640</v>
      </c>
      <c r="E347" s="6" t="s">
        <v>1986</v>
      </c>
      <c r="F347" s="6" t="s">
        <v>3378</v>
      </c>
      <c r="G347" s="6" t="s">
        <v>38</v>
      </c>
      <c r="H347" s="6"/>
      <c r="I347" s="14" t="s">
        <v>1642</v>
      </c>
      <c r="J347" s="15"/>
      <c r="K347" s="6" t="s">
        <v>1976</v>
      </c>
      <c r="L347" s="6"/>
      <c r="M347" s="6" t="s">
        <v>1643</v>
      </c>
      <c r="N347" s="6" t="s">
        <v>1644</v>
      </c>
      <c r="O347" s="7">
        <f>SUMIFS('05_상품별배치367'!$K$7:$K$373,'05_상품별배치367'!$E$7:$E$373,A347,'05_상품별배치367'!$H$7:$H$373,"본진")</f>
        <v>0</v>
      </c>
      <c r="P347" s="7">
        <f>SUMIFS('05_상품별배치367'!$K$7:$K$373,'05_상품별배치367'!$E$7:$E$373,A347,'05_상품별배치367'!$H$7:$H$373,"추가 진열")</f>
        <v>0</v>
      </c>
      <c r="Q347" s="7">
        <f>O347+P347</f>
        <v>0</v>
      </c>
      <c r="R347" s="7">
        <v>1</v>
      </c>
      <c r="S347" s="6" t="s">
        <v>3379</v>
      </c>
      <c r="T347" s="6" t="s">
        <v>1637</v>
      </c>
      <c r="U347" s="6"/>
      <c r="V347" s="16"/>
      <c r="W347" s="16"/>
      <c r="X347" s="16"/>
      <c r="Y347" s="6" t="s">
        <v>1627</v>
      </c>
      <c r="Z347" s="15"/>
      <c r="AA347" s="15" t="s">
        <v>1628</v>
      </c>
    </row>
    <row r="348" spans="1:27" ht="33" customHeight="1">
      <c r="A348" s="8" t="s">
        <v>4922</v>
      </c>
      <c r="B348" s="9">
        <v>1442</v>
      </c>
      <c r="C348" s="8" t="s">
        <v>4923</v>
      </c>
      <c r="D348" s="8" t="s">
        <v>1937</v>
      </c>
      <c r="E348" s="8" t="s">
        <v>1743</v>
      </c>
      <c r="F348" s="8" t="s">
        <v>4924</v>
      </c>
      <c r="G348" s="8" t="s">
        <v>1668</v>
      </c>
      <c r="H348" s="8"/>
      <c r="I348" s="14" t="s">
        <v>1807</v>
      </c>
      <c r="J348" s="15"/>
      <c r="K348" s="8" t="s">
        <v>1976</v>
      </c>
      <c r="L348" s="8" t="s">
        <v>4925</v>
      </c>
      <c r="M348" s="6" t="s">
        <v>1809</v>
      </c>
      <c r="N348" s="6" t="s">
        <v>1624</v>
      </c>
      <c r="O348" s="7">
        <f>SUMIFS('05_상품별배치367'!$K$7:$K$373,'05_상품별배치367'!$E$7:$E$373,A348,'05_상품별배치367'!$H$7:$H$373,"본진")</f>
        <v>0</v>
      </c>
      <c r="P348" s="7">
        <f>SUMIFS('05_상품별배치367'!$K$7:$K$373,'05_상품별배치367'!$E$7:$E$373,A348,'05_상품별배치367'!$H$7:$H$373,"추가 진열")</f>
        <v>0</v>
      </c>
      <c r="Q348" s="7">
        <f>O348+P348</f>
        <v>0</v>
      </c>
      <c r="R348" s="7">
        <v>0</v>
      </c>
      <c r="S348" s="6" t="s">
        <v>1810</v>
      </c>
      <c r="T348" s="6" t="s">
        <v>1637</v>
      </c>
      <c r="U348" s="6"/>
      <c r="V348" s="16"/>
      <c r="W348" s="16"/>
      <c r="X348" s="16"/>
      <c r="Y348" s="6" t="s">
        <v>1627</v>
      </c>
      <c r="Z348" s="15"/>
      <c r="AA348" s="15" t="s">
        <v>1628</v>
      </c>
    </row>
    <row r="349" spans="1:27" ht="33" customHeight="1">
      <c r="A349" s="6" t="s">
        <v>4915</v>
      </c>
      <c r="B349" s="7">
        <v>1439</v>
      </c>
      <c r="C349" s="6" t="s">
        <v>4916</v>
      </c>
      <c r="D349" s="6" t="s">
        <v>2133</v>
      </c>
      <c r="E349" s="6" t="s">
        <v>2134</v>
      </c>
      <c r="F349" s="6" t="s">
        <v>1081</v>
      </c>
      <c r="G349" s="6" t="s">
        <v>290</v>
      </c>
      <c r="H349" s="6"/>
      <c r="I349" s="14" t="s">
        <v>1642</v>
      </c>
      <c r="J349" s="15"/>
      <c r="K349" s="6" t="s">
        <v>1976</v>
      </c>
      <c r="L349" s="6"/>
      <c r="M349" s="6" t="s">
        <v>1643</v>
      </c>
      <c r="N349" s="6" t="s">
        <v>1624</v>
      </c>
      <c r="O349" s="7">
        <f>SUMIFS('05_상품별배치367'!$K$7:$K$373,'05_상품별배치367'!$E$7:$E$373,A349,'05_상품별배치367'!$H$7:$H$373,"본진")</f>
        <v>0</v>
      </c>
      <c r="P349" s="7">
        <f>SUMIFS('05_상품별배치367'!$K$7:$K$373,'05_상품별배치367'!$E$7:$E$373,A349,'05_상품별배치367'!$H$7:$H$373,"추가 진열")</f>
        <v>0</v>
      </c>
      <c r="Q349" s="7">
        <f>O349+P349</f>
        <v>0</v>
      </c>
      <c r="R349" s="7">
        <v>1</v>
      </c>
      <c r="S349" s="6" t="s">
        <v>2135</v>
      </c>
      <c r="T349" s="6" t="s">
        <v>1637</v>
      </c>
      <c r="U349" s="6"/>
      <c r="V349" s="16"/>
      <c r="W349" s="16"/>
      <c r="X349" s="16"/>
      <c r="Y349" s="6" t="s">
        <v>1627</v>
      </c>
      <c r="Z349" s="15"/>
      <c r="AA349" s="15" t="s">
        <v>1628</v>
      </c>
    </row>
    <row r="350" spans="1:27" ht="33" customHeight="1">
      <c r="A350" s="6" t="s">
        <v>4919</v>
      </c>
      <c r="B350" s="7">
        <v>1441</v>
      </c>
      <c r="C350" s="6" t="s">
        <v>4920</v>
      </c>
      <c r="D350" s="6" t="s">
        <v>4921</v>
      </c>
      <c r="E350" s="6" t="s">
        <v>1986</v>
      </c>
      <c r="F350" s="6" t="s">
        <v>1276</v>
      </c>
      <c r="G350" s="6" t="s">
        <v>1987</v>
      </c>
      <c r="H350" s="6"/>
      <c r="I350" s="14" t="s">
        <v>1642</v>
      </c>
      <c r="J350" s="15"/>
      <c r="K350" s="6" t="s">
        <v>1976</v>
      </c>
      <c r="L350" s="6"/>
      <c r="M350" s="6" t="s">
        <v>1643</v>
      </c>
      <c r="N350" s="6" t="s">
        <v>1624</v>
      </c>
      <c r="O350" s="7">
        <f>SUMIFS('05_상품별배치367'!$K$7:$K$373,'05_상품별배치367'!$E$7:$E$373,A350,'05_상품별배치367'!$H$7:$H$373,"본진")</f>
        <v>0</v>
      </c>
      <c r="P350" s="7">
        <f>SUMIFS('05_상품별배치367'!$K$7:$K$373,'05_상품별배치367'!$E$7:$E$373,A350,'05_상품별배치367'!$H$7:$H$373,"추가 진열")</f>
        <v>0</v>
      </c>
      <c r="Q350" s="7">
        <f>O350+P350</f>
        <v>0</v>
      </c>
      <c r="R350" s="7">
        <v>1</v>
      </c>
      <c r="S350" s="6" t="s">
        <v>1988</v>
      </c>
      <c r="T350" s="6" t="s">
        <v>1637</v>
      </c>
      <c r="U350" s="6"/>
      <c r="V350" s="16"/>
      <c r="W350" s="16"/>
      <c r="X350" s="16"/>
      <c r="Y350" s="6" t="s">
        <v>1627</v>
      </c>
      <c r="Z350" s="15"/>
      <c r="AA350" s="15" t="s">
        <v>1628</v>
      </c>
    </row>
    <row r="351" spans="1:27" ht="33" customHeight="1">
      <c r="A351" s="8" t="s">
        <v>4909</v>
      </c>
      <c r="B351" s="9">
        <v>1436</v>
      </c>
      <c r="C351" s="8" t="s">
        <v>4910</v>
      </c>
      <c r="D351" s="8" t="s">
        <v>2856</v>
      </c>
      <c r="E351" s="8" t="s">
        <v>2134</v>
      </c>
      <c r="F351" s="8" t="s">
        <v>2933</v>
      </c>
      <c r="G351" s="8" t="s">
        <v>1668</v>
      </c>
      <c r="H351" s="8"/>
      <c r="I351" s="14" t="s">
        <v>1807</v>
      </c>
      <c r="J351" s="15"/>
      <c r="K351" s="8" t="s">
        <v>1976</v>
      </c>
      <c r="L351" s="8" t="s">
        <v>2032</v>
      </c>
      <c r="M351" s="6" t="s">
        <v>1809</v>
      </c>
      <c r="N351" s="6" t="s">
        <v>1624</v>
      </c>
      <c r="O351" s="7">
        <f>SUMIFS('05_상품별배치367'!$K$7:$K$373,'05_상품별배치367'!$E$7:$E$373,A351,'05_상품별배치367'!$H$7:$H$373,"본진")</f>
        <v>0</v>
      </c>
      <c r="P351" s="7">
        <f>SUMIFS('05_상품별배치367'!$K$7:$K$373,'05_상품별배치367'!$E$7:$E$373,A351,'05_상품별배치367'!$H$7:$H$373,"추가 진열")</f>
        <v>0</v>
      </c>
      <c r="Q351" s="7">
        <f>O351+P351</f>
        <v>0</v>
      </c>
      <c r="R351" s="7">
        <v>0</v>
      </c>
      <c r="S351" s="6" t="s">
        <v>1810</v>
      </c>
      <c r="T351" s="6" t="s">
        <v>1637</v>
      </c>
      <c r="U351" s="6"/>
      <c r="V351" s="16"/>
      <c r="W351" s="16"/>
      <c r="X351" s="16"/>
      <c r="Y351" s="6" t="s">
        <v>1627</v>
      </c>
      <c r="Z351" s="15"/>
      <c r="AA351" s="15" t="s">
        <v>1628</v>
      </c>
    </row>
    <row r="352" spans="1:27" ht="33" customHeight="1">
      <c r="A352" s="8" t="s">
        <v>4917</v>
      </c>
      <c r="B352" s="9">
        <v>1440</v>
      </c>
      <c r="C352" s="8" t="s">
        <v>4918</v>
      </c>
      <c r="D352" s="8" t="s">
        <v>3042</v>
      </c>
      <c r="E352" s="8" t="s">
        <v>1814</v>
      </c>
      <c r="F352" s="8" t="s">
        <v>1376</v>
      </c>
      <c r="G352" s="8" t="s">
        <v>431</v>
      </c>
      <c r="H352" s="8"/>
      <c r="I352" s="14" t="s">
        <v>1642</v>
      </c>
      <c r="J352" s="15"/>
      <c r="K352" s="8" t="s">
        <v>1976</v>
      </c>
      <c r="L352" s="8"/>
      <c r="M352" s="6" t="s">
        <v>1643</v>
      </c>
      <c r="N352" s="6" t="s">
        <v>1624</v>
      </c>
      <c r="O352" s="7">
        <f>SUMIFS('05_상품별배치367'!$K$7:$K$373,'05_상품별배치367'!$E$7:$E$373,A352,'05_상품별배치367'!$H$7:$H$373,"본진")</f>
        <v>0</v>
      </c>
      <c r="P352" s="7">
        <f>SUMIFS('05_상품별배치367'!$K$7:$K$373,'05_상품별배치367'!$E$7:$E$373,A352,'05_상품별배치367'!$H$7:$H$373,"추가 진열")</f>
        <v>0</v>
      </c>
      <c r="Q352" s="7">
        <f>O352+P352</f>
        <v>0</v>
      </c>
      <c r="R352" s="7">
        <v>1</v>
      </c>
      <c r="S352" s="6" t="s">
        <v>1978</v>
      </c>
      <c r="T352" s="6" t="s">
        <v>1637</v>
      </c>
      <c r="U352" s="6"/>
      <c r="V352" s="16"/>
      <c r="W352" s="16"/>
      <c r="X352" s="16"/>
      <c r="Y352" s="6" t="s">
        <v>1627</v>
      </c>
      <c r="Z352" s="15"/>
      <c r="AA352" s="15" t="s">
        <v>1628</v>
      </c>
    </row>
    <row r="353" spans="1:27" ht="33" customHeight="1">
      <c r="A353" s="8" t="s">
        <v>4913</v>
      </c>
      <c r="B353" s="9">
        <v>1438</v>
      </c>
      <c r="C353" s="8" t="s">
        <v>4914</v>
      </c>
      <c r="D353" s="8" t="s">
        <v>2133</v>
      </c>
      <c r="E353" s="8" t="s">
        <v>2134</v>
      </c>
      <c r="F353" s="8" t="s">
        <v>2933</v>
      </c>
      <c r="G353" s="8" t="s">
        <v>1668</v>
      </c>
      <c r="H353" s="8"/>
      <c r="I353" s="14" t="s">
        <v>1807</v>
      </c>
      <c r="J353" s="15"/>
      <c r="K353" s="8" t="s">
        <v>1976</v>
      </c>
      <c r="L353" s="8" t="s">
        <v>2032</v>
      </c>
      <c r="M353" s="6" t="s">
        <v>1809</v>
      </c>
      <c r="N353" s="6" t="s">
        <v>1624</v>
      </c>
      <c r="O353" s="7">
        <f>SUMIFS('05_상품별배치367'!$K$7:$K$373,'05_상품별배치367'!$E$7:$E$373,A353,'05_상품별배치367'!$H$7:$H$373,"본진")</f>
        <v>0</v>
      </c>
      <c r="P353" s="7">
        <f>SUMIFS('05_상품별배치367'!$K$7:$K$373,'05_상품별배치367'!$E$7:$E$373,A353,'05_상품별배치367'!$H$7:$H$373,"추가 진열")</f>
        <v>0</v>
      </c>
      <c r="Q353" s="7">
        <f>O353+P353</f>
        <v>0</v>
      </c>
      <c r="R353" s="7">
        <v>0</v>
      </c>
      <c r="S353" s="6" t="s">
        <v>1810</v>
      </c>
      <c r="T353" s="6" t="s">
        <v>1637</v>
      </c>
      <c r="U353" s="6"/>
      <c r="V353" s="16"/>
      <c r="W353" s="16"/>
      <c r="X353" s="16"/>
      <c r="Y353" s="6" t="s">
        <v>1627</v>
      </c>
      <c r="Z353" s="15"/>
      <c r="AA353" s="15" t="s">
        <v>1628</v>
      </c>
    </row>
    <row r="354" spans="1:27" ht="33" customHeight="1">
      <c r="A354" s="6" t="s">
        <v>4911</v>
      </c>
      <c r="B354" s="7">
        <v>1437</v>
      </c>
      <c r="C354" s="6" t="s">
        <v>4912</v>
      </c>
      <c r="D354" s="6" t="s">
        <v>2856</v>
      </c>
      <c r="E354" s="6" t="s">
        <v>2134</v>
      </c>
      <c r="F354" s="6" t="s">
        <v>2933</v>
      </c>
      <c r="G354" s="6" t="s">
        <v>1668</v>
      </c>
      <c r="H354" s="6"/>
      <c r="I354" s="14" t="s">
        <v>1807</v>
      </c>
      <c r="J354" s="15"/>
      <c r="K354" s="6" t="s">
        <v>1976</v>
      </c>
      <c r="L354" s="6" t="s">
        <v>2032</v>
      </c>
      <c r="M354" s="6" t="s">
        <v>1809</v>
      </c>
      <c r="N354" s="6" t="s">
        <v>1624</v>
      </c>
      <c r="O354" s="7">
        <f>SUMIFS('05_상품별배치367'!$K$7:$K$373,'05_상품별배치367'!$E$7:$E$373,A354,'05_상품별배치367'!$H$7:$H$373,"본진")</f>
        <v>0</v>
      </c>
      <c r="P354" s="7">
        <f>SUMIFS('05_상품별배치367'!$K$7:$K$373,'05_상품별배치367'!$E$7:$E$373,A354,'05_상품별배치367'!$H$7:$H$373,"추가 진열")</f>
        <v>0</v>
      </c>
      <c r="Q354" s="7">
        <f>O354+P354</f>
        <v>0</v>
      </c>
      <c r="R354" s="7">
        <v>0</v>
      </c>
      <c r="S354" s="6" t="s">
        <v>1810</v>
      </c>
      <c r="T354" s="6" t="s">
        <v>1637</v>
      </c>
      <c r="U354" s="6"/>
      <c r="V354" s="16"/>
      <c r="W354" s="16"/>
      <c r="X354" s="16"/>
      <c r="Y354" s="6" t="s">
        <v>1627</v>
      </c>
      <c r="Z354" s="15"/>
      <c r="AA354" s="15" t="s">
        <v>1628</v>
      </c>
    </row>
    <row r="355" spans="1:27" ht="33" customHeight="1">
      <c r="A355" s="6" t="s">
        <v>6621</v>
      </c>
      <c r="B355" s="7">
        <v>2223</v>
      </c>
      <c r="C355" s="6" t="s">
        <v>6622</v>
      </c>
      <c r="D355" s="6" t="s">
        <v>3055</v>
      </c>
      <c r="E355" s="6" t="s">
        <v>2134</v>
      </c>
      <c r="F355" s="6" t="s">
        <v>481</v>
      </c>
      <c r="G355" s="6" t="s">
        <v>193</v>
      </c>
      <c r="H355" s="6"/>
      <c r="I355" s="14" t="s">
        <v>1642</v>
      </c>
      <c r="J355" s="15"/>
      <c r="K355" s="6" t="s">
        <v>1976</v>
      </c>
      <c r="L355" s="6"/>
      <c r="M355" s="6" t="s">
        <v>1643</v>
      </c>
      <c r="N355" s="6" t="s">
        <v>1644</v>
      </c>
      <c r="O355" s="7">
        <f>SUMIFS('05_상품별배치367'!$K$7:$K$373,'05_상품별배치367'!$E$7:$E$373,A355,'05_상품별배치367'!$H$7:$H$373,"본진")</f>
        <v>0</v>
      </c>
      <c r="P355" s="7">
        <f>SUMIFS('05_상품별배치367'!$K$7:$K$373,'05_상품별배치367'!$E$7:$E$373,A355,'05_상품별배치367'!$H$7:$H$373,"추가 진열")</f>
        <v>0</v>
      </c>
      <c r="Q355" s="7">
        <f>O355+P355</f>
        <v>0</v>
      </c>
      <c r="R355" s="7">
        <v>1</v>
      </c>
      <c r="S355" s="6" t="s">
        <v>3000</v>
      </c>
      <c r="T355" s="6" t="s">
        <v>1637</v>
      </c>
      <c r="U355" s="6"/>
      <c r="V355" s="16"/>
      <c r="W355" s="16"/>
      <c r="X355" s="16"/>
      <c r="Y355" s="6" t="s">
        <v>1627</v>
      </c>
      <c r="Z355" s="15"/>
      <c r="AA355" s="15" t="s">
        <v>1628</v>
      </c>
    </row>
    <row r="356" spans="1:27" ht="33" customHeight="1">
      <c r="A356" s="8" t="s">
        <v>6623</v>
      </c>
      <c r="B356" s="9">
        <v>2224</v>
      </c>
      <c r="C356" s="8" t="s">
        <v>6624</v>
      </c>
      <c r="D356" s="8" t="s">
        <v>2845</v>
      </c>
      <c r="E356" s="8" t="s">
        <v>2134</v>
      </c>
      <c r="F356" s="8" t="s">
        <v>481</v>
      </c>
      <c r="G356" s="8" t="s">
        <v>193</v>
      </c>
      <c r="H356" s="8"/>
      <c r="I356" s="14" t="s">
        <v>1642</v>
      </c>
      <c r="J356" s="15"/>
      <c r="K356" s="8" t="s">
        <v>1976</v>
      </c>
      <c r="L356" s="8"/>
      <c r="M356" s="6" t="s">
        <v>1643</v>
      </c>
      <c r="N356" s="6" t="s">
        <v>1644</v>
      </c>
      <c r="O356" s="7">
        <f>SUMIFS('05_상품별배치367'!$K$7:$K$373,'05_상품별배치367'!$E$7:$E$373,A356,'05_상품별배치367'!$H$7:$H$373,"본진")</f>
        <v>0</v>
      </c>
      <c r="P356" s="7">
        <f>SUMIFS('05_상품별배치367'!$K$7:$K$373,'05_상품별배치367'!$E$7:$E$373,A356,'05_상품별배치367'!$H$7:$H$373,"추가 진열")</f>
        <v>0</v>
      </c>
      <c r="Q356" s="7">
        <f>O356+P356</f>
        <v>0</v>
      </c>
      <c r="R356" s="7">
        <v>1</v>
      </c>
      <c r="S356" s="6" t="s">
        <v>3000</v>
      </c>
      <c r="T356" s="6" t="s">
        <v>1637</v>
      </c>
      <c r="U356" s="6"/>
      <c r="V356" s="16"/>
      <c r="W356" s="16"/>
      <c r="X356" s="16"/>
      <c r="Y356" s="6" t="s">
        <v>1627</v>
      </c>
      <c r="Z356" s="15"/>
      <c r="AA356" s="15" t="s">
        <v>1628</v>
      </c>
    </row>
    <row r="357" spans="1:27" ht="33" customHeight="1">
      <c r="A357" s="8" t="s">
        <v>2985</v>
      </c>
      <c r="B357" s="9">
        <v>542</v>
      </c>
      <c r="C357" s="8" t="s">
        <v>2986</v>
      </c>
      <c r="D357" s="8" t="s">
        <v>2987</v>
      </c>
      <c r="E357" s="8" t="s">
        <v>1695</v>
      </c>
      <c r="F357" s="8" t="s">
        <v>1129</v>
      </c>
      <c r="G357" s="8" t="s">
        <v>307</v>
      </c>
      <c r="H357" s="8"/>
      <c r="I357" s="14" t="s">
        <v>1642</v>
      </c>
      <c r="J357" s="15"/>
      <c r="K357" s="8" t="s">
        <v>1696</v>
      </c>
      <c r="L357" s="8"/>
      <c r="M357" s="6" t="s">
        <v>1643</v>
      </c>
      <c r="N357" s="6" t="s">
        <v>1644</v>
      </c>
      <c r="O357" s="7">
        <f>SUMIFS('05_상품별배치367'!$K$7:$K$373,'05_상품별배치367'!$E$7:$E$373,A357,'05_상품별배치367'!$H$7:$H$373,"본진")</f>
        <v>0</v>
      </c>
      <c r="P357" s="7">
        <f>SUMIFS('05_상품별배치367'!$K$7:$K$373,'05_상품별배치367'!$E$7:$E$373,A357,'05_상품별배치367'!$H$7:$H$373,"추가 진열")</f>
        <v>0</v>
      </c>
      <c r="Q357" s="7">
        <f>O357+P357</f>
        <v>0</v>
      </c>
      <c r="R357" s="7">
        <v>1</v>
      </c>
      <c r="S357" s="6" t="s">
        <v>2850</v>
      </c>
      <c r="T357" s="6" t="s">
        <v>1637</v>
      </c>
      <c r="U357" s="6"/>
      <c r="V357" s="16"/>
      <c r="W357" s="16"/>
      <c r="X357" s="16"/>
      <c r="Y357" s="6" t="s">
        <v>1627</v>
      </c>
      <c r="Z357" s="15"/>
      <c r="AA357" s="15" t="s">
        <v>1628</v>
      </c>
    </row>
    <row r="358" spans="1:27" ht="33" customHeight="1">
      <c r="A358" s="6" t="s">
        <v>2988</v>
      </c>
      <c r="B358" s="7">
        <v>543</v>
      </c>
      <c r="C358" s="6" t="s">
        <v>2989</v>
      </c>
      <c r="D358" s="6" t="s">
        <v>2987</v>
      </c>
      <c r="E358" s="6" t="s">
        <v>1695</v>
      </c>
      <c r="F358" s="6" t="s">
        <v>2846</v>
      </c>
      <c r="G358" s="6" t="s">
        <v>1668</v>
      </c>
      <c r="H358" s="6"/>
      <c r="I358" s="14" t="s">
        <v>1669</v>
      </c>
      <c r="J358" s="15"/>
      <c r="K358" s="6" t="s">
        <v>1696</v>
      </c>
      <c r="L358" s="6"/>
      <c r="M358" s="6" t="s">
        <v>1671</v>
      </c>
      <c r="N358" s="6" t="s">
        <v>1644</v>
      </c>
      <c r="O358" s="7">
        <f>SUMIFS('05_상품별배치367'!$K$7:$K$373,'05_상품별배치367'!$E$7:$E$373,A358,'05_상품별배치367'!$H$7:$H$373,"본진")</f>
        <v>0</v>
      </c>
      <c r="P358" s="7">
        <f>SUMIFS('05_상품별배치367'!$K$7:$K$373,'05_상품별배치367'!$E$7:$E$373,A358,'05_상품별배치367'!$H$7:$H$373,"추가 진열")</f>
        <v>0</v>
      </c>
      <c r="Q358" s="7">
        <f>O358+P358</f>
        <v>0</v>
      </c>
      <c r="R358" s="7">
        <v>0</v>
      </c>
      <c r="S358" s="6" t="s">
        <v>1672</v>
      </c>
      <c r="T358" s="6" t="s">
        <v>1637</v>
      </c>
      <c r="U358" s="6"/>
      <c r="V358" s="16"/>
      <c r="W358" s="16"/>
      <c r="X358" s="16"/>
      <c r="Y358" s="6" t="s">
        <v>1627</v>
      </c>
      <c r="Z358" s="15"/>
      <c r="AA358" s="15" t="s">
        <v>1628</v>
      </c>
    </row>
    <row r="359" spans="1:27" ht="33" customHeight="1">
      <c r="A359" s="6" t="s">
        <v>928</v>
      </c>
      <c r="B359" s="7">
        <v>541</v>
      </c>
      <c r="C359" s="6" t="s">
        <v>927</v>
      </c>
      <c r="D359" s="6" t="s">
        <v>2869</v>
      </c>
      <c r="E359" s="6" t="s">
        <v>1986</v>
      </c>
      <c r="F359" s="6" t="s">
        <v>913</v>
      </c>
      <c r="G359" s="6" t="s">
        <v>201</v>
      </c>
      <c r="H359" s="6" t="s">
        <v>926</v>
      </c>
      <c r="I359" s="14" t="s">
        <v>1633</v>
      </c>
      <c r="J359" s="15"/>
      <c r="K359" s="6" t="s">
        <v>1976</v>
      </c>
      <c r="L359" s="6"/>
      <c r="M359" s="6" t="s">
        <v>1635</v>
      </c>
      <c r="N359" s="6" t="s">
        <v>1644</v>
      </c>
      <c r="O359" s="7">
        <f>SUMIFS('05_상품별배치367'!$K$7:$K$373,'05_상품별배치367'!$E$7:$E$373,A359,'05_상품별배치367'!$H$7:$H$373,"본진")</f>
        <v>1</v>
      </c>
      <c r="P359" s="7">
        <f>SUMIFS('05_상품별배치367'!$K$7:$K$373,'05_상품별배치367'!$E$7:$E$373,A359,'05_상품별배치367'!$H$7:$H$373,"추가 진열")</f>
        <v>0</v>
      </c>
      <c r="Q359" s="7">
        <f>O359+P359</f>
        <v>1</v>
      </c>
      <c r="R359" s="7">
        <v>1</v>
      </c>
      <c r="S359" s="6" t="s">
        <v>1636</v>
      </c>
      <c r="T359" s="6" t="s">
        <v>1637</v>
      </c>
      <c r="U359" s="6"/>
      <c r="V359" s="16"/>
      <c r="W359" s="16"/>
      <c r="X359" s="16"/>
      <c r="Y359" s="6" t="s">
        <v>1627</v>
      </c>
      <c r="Z359" s="15"/>
      <c r="AA359" s="15" t="s">
        <v>1628</v>
      </c>
    </row>
    <row r="360" spans="1:27" ht="33" customHeight="1">
      <c r="A360" s="6" t="s">
        <v>4797</v>
      </c>
      <c r="B360" s="7">
        <v>1383</v>
      </c>
      <c r="C360" s="6" t="s">
        <v>4798</v>
      </c>
      <c r="D360" s="6" t="s">
        <v>2856</v>
      </c>
      <c r="E360" s="6" t="s">
        <v>2134</v>
      </c>
      <c r="F360" s="6" t="s">
        <v>1081</v>
      </c>
      <c r="G360" s="6" t="s">
        <v>290</v>
      </c>
      <c r="H360" s="6"/>
      <c r="I360" s="14" t="s">
        <v>1642</v>
      </c>
      <c r="J360" s="15"/>
      <c r="K360" s="6" t="s">
        <v>1976</v>
      </c>
      <c r="L360" s="6"/>
      <c r="M360" s="6" t="s">
        <v>1643</v>
      </c>
      <c r="N360" s="6" t="s">
        <v>1644</v>
      </c>
      <c r="O360" s="7">
        <f>SUMIFS('05_상품별배치367'!$K$7:$K$373,'05_상품별배치367'!$E$7:$E$373,A360,'05_상품별배치367'!$H$7:$H$373,"본진")</f>
        <v>0</v>
      </c>
      <c r="P360" s="7">
        <f>SUMIFS('05_상품별배치367'!$K$7:$K$373,'05_상품별배치367'!$E$7:$E$373,A360,'05_상품별배치367'!$H$7:$H$373,"추가 진열")</f>
        <v>0</v>
      </c>
      <c r="Q360" s="7">
        <f>O360+P360</f>
        <v>0</v>
      </c>
      <c r="R360" s="7">
        <v>1</v>
      </c>
      <c r="S360" s="6" t="s">
        <v>2135</v>
      </c>
      <c r="T360" s="6" t="s">
        <v>1637</v>
      </c>
      <c r="U360" s="6"/>
      <c r="V360" s="16"/>
      <c r="W360" s="16"/>
      <c r="X360" s="16"/>
      <c r="Y360" s="6" t="s">
        <v>1627</v>
      </c>
      <c r="Z360" s="15"/>
      <c r="AA360" s="15" t="s">
        <v>1628</v>
      </c>
    </row>
    <row r="361" spans="1:27" ht="33" customHeight="1">
      <c r="A361" s="8" t="s">
        <v>4795</v>
      </c>
      <c r="B361" s="9">
        <v>1382</v>
      </c>
      <c r="C361" s="8" t="s">
        <v>4796</v>
      </c>
      <c r="D361" s="8" t="s">
        <v>2856</v>
      </c>
      <c r="E361" s="8" t="s">
        <v>2134</v>
      </c>
      <c r="F361" s="8" t="s">
        <v>161</v>
      </c>
      <c r="G361" s="8" t="s">
        <v>395</v>
      </c>
      <c r="H361" s="8"/>
      <c r="I361" s="14" t="s">
        <v>1642</v>
      </c>
      <c r="J361" s="15"/>
      <c r="K361" s="8" t="s">
        <v>1976</v>
      </c>
      <c r="L361" s="8"/>
      <c r="M361" s="6" t="s">
        <v>1643</v>
      </c>
      <c r="N361" s="6" t="s">
        <v>1644</v>
      </c>
      <c r="O361" s="7">
        <f>SUMIFS('05_상품별배치367'!$K$7:$K$373,'05_상품별배치367'!$E$7:$E$373,A361,'05_상품별배치367'!$H$7:$H$373,"본진")</f>
        <v>0</v>
      </c>
      <c r="P361" s="7">
        <f>SUMIFS('05_상품별배치367'!$K$7:$K$373,'05_상품별배치367'!$E$7:$E$373,A361,'05_상품별배치367'!$H$7:$H$373,"추가 진열")</f>
        <v>0</v>
      </c>
      <c r="Q361" s="7">
        <f>O361+P361</f>
        <v>0</v>
      </c>
      <c r="R361" s="7">
        <v>1</v>
      </c>
      <c r="S361" s="6" t="s">
        <v>3070</v>
      </c>
      <c r="T361" s="6" t="s">
        <v>1637</v>
      </c>
      <c r="U361" s="6"/>
      <c r="V361" s="16"/>
      <c r="W361" s="16"/>
      <c r="X361" s="16"/>
      <c r="Y361" s="6" t="s">
        <v>1627</v>
      </c>
      <c r="Z361" s="15"/>
      <c r="AA361" s="15" t="s">
        <v>1628</v>
      </c>
    </row>
    <row r="362" spans="1:27" ht="33" customHeight="1">
      <c r="A362" s="8" t="s">
        <v>4799</v>
      </c>
      <c r="B362" s="9">
        <v>1384</v>
      </c>
      <c r="C362" s="8" t="s">
        <v>4800</v>
      </c>
      <c r="D362" s="8" t="s">
        <v>4801</v>
      </c>
      <c r="E362" s="8" t="s">
        <v>2134</v>
      </c>
      <c r="F362" s="8" t="s">
        <v>163</v>
      </c>
      <c r="G362" s="8" t="s">
        <v>414</v>
      </c>
      <c r="H362" s="8"/>
      <c r="I362" s="14" t="s">
        <v>1642</v>
      </c>
      <c r="J362" s="15"/>
      <c r="K362" s="8" t="s">
        <v>1976</v>
      </c>
      <c r="L362" s="8"/>
      <c r="M362" s="6" t="s">
        <v>1643</v>
      </c>
      <c r="N362" s="6" t="s">
        <v>1644</v>
      </c>
      <c r="O362" s="7">
        <f>SUMIFS('05_상품별배치367'!$K$7:$K$373,'05_상품별배치367'!$E$7:$E$373,A362,'05_상품별배치367'!$H$7:$H$373,"본진")</f>
        <v>0</v>
      </c>
      <c r="P362" s="7">
        <f>SUMIFS('05_상품별배치367'!$K$7:$K$373,'05_상품별배치367'!$E$7:$E$373,A362,'05_상품별배치367'!$H$7:$H$373,"추가 진열")</f>
        <v>0</v>
      </c>
      <c r="Q362" s="7">
        <f>O362+P362</f>
        <v>0</v>
      </c>
      <c r="R362" s="7">
        <v>1</v>
      </c>
      <c r="S362" s="6" t="s">
        <v>3048</v>
      </c>
      <c r="T362" s="6" t="s">
        <v>1637</v>
      </c>
      <c r="U362" s="6"/>
      <c r="V362" s="16"/>
      <c r="W362" s="16"/>
      <c r="X362" s="16"/>
      <c r="Y362" s="6" t="s">
        <v>1627</v>
      </c>
      <c r="Z362" s="15"/>
      <c r="AA362" s="15" t="s">
        <v>1628</v>
      </c>
    </row>
    <row r="363" spans="1:27" ht="33" customHeight="1">
      <c r="A363" s="6" t="s">
        <v>4802</v>
      </c>
      <c r="B363" s="7">
        <v>1385</v>
      </c>
      <c r="C363" s="6" t="s">
        <v>4803</v>
      </c>
      <c r="D363" s="6" t="s">
        <v>4804</v>
      </c>
      <c r="E363" s="6" t="s">
        <v>2746</v>
      </c>
      <c r="F363" s="6" t="s">
        <v>3653</v>
      </c>
      <c r="G363" s="6" t="s">
        <v>1668</v>
      </c>
      <c r="H363" s="6"/>
      <c r="I363" s="14" t="s">
        <v>1669</v>
      </c>
      <c r="J363" s="15"/>
      <c r="K363" s="6" t="s">
        <v>2748</v>
      </c>
      <c r="L363" s="6"/>
      <c r="M363" s="6" t="s">
        <v>1671</v>
      </c>
      <c r="N363" s="6" t="s">
        <v>1644</v>
      </c>
      <c r="O363" s="7">
        <f>SUMIFS('05_상품별배치367'!$K$7:$K$373,'05_상품별배치367'!$E$7:$E$373,A363,'05_상품별배치367'!$H$7:$H$373,"본진")</f>
        <v>0</v>
      </c>
      <c r="P363" s="7">
        <f>SUMIFS('05_상품별배치367'!$K$7:$K$373,'05_상품별배치367'!$E$7:$E$373,A363,'05_상품별배치367'!$H$7:$H$373,"추가 진열")</f>
        <v>0</v>
      </c>
      <c r="Q363" s="7">
        <f>O363+P363</f>
        <v>0</v>
      </c>
      <c r="R363" s="7">
        <v>0</v>
      </c>
      <c r="S363" s="6" t="s">
        <v>1672</v>
      </c>
      <c r="T363" s="6" t="s">
        <v>1637</v>
      </c>
      <c r="U363" s="6"/>
      <c r="V363" s="16"/>
      <c r="W363" s="16"/>
      <c r="X363" s="16"/>
      <c r="Y363" s="6" t="s">
        <v>1627</v>
      </c>
      <c r="Z363" s="15"/>
      <c r="AA363" s="15" t="s">
        <v>1628</v>
      </c>
    </row>
    <row r="364" spans="1:27" ht="33" customHeight="1">
      <c r="A364" s="8" t="s">
        <v>4809</v>
      </c>
      <c r="B364" s="9">
        <v>1388</v>
      </c>
      <c r="C364" s="8" t="s">
        <v>4810</v>
      </c>
      <c r="D364" s="8" t="s">
        <v>2007</v>
      </c>
      <c r="E364" s="8" t="s">
        <v>1986</v>
      </c>
      <c r="F364" s="8" t="s">
        <v>913</v>
      </c>
      <c r="G364" s="8" t="s">
        <v>201</v>
      </c>
      <c r="H364" s="8"/>
      <c r="I364" s="14" t="s">
        <v>1642</v>
      </c>
      <c r="J364" s="15"/>
      <c r="K364" s="8" t="s">
        <v>1976</v>
      </c>
      <c r="L364" s="8"/>
      <c r="M364" s="6" t="s">
        <v>1643</v>
      </c>
      <c r="N364" s="6" t="s">
        <v>1644</v>
      </c>
      <c r="O364" s="7">
        <f>SUMIFS('05_상품별배치367'!$K$7:$K$373,'05_상품별배치367'!$E$7:$E$373,A364,'05_상품별배치367'!$H$7:$H$373,"본진")</f>
        <v>0</v>
      </c>
      <c r="P364" s="7">
        <f>SUMIFS('05_상품별배치367'!$K$7:$K$373,'05_상품별배치367'!$E$7:$E$373,A364,'05_상품별배치367'!$H$7:$H$373,"추가 진열")</f>
        <v>0</v>
      </c>
      <c r="Q364" s="7">
        <f>O364+P364</f>
        <v>0</v>
      </c>
      <c r="R364" s="7">
        <v>1</v>
      </c>
      <c r="S364" s="6" t="s">
        <v>2907</v>
      </c>
      <c r="T364" s="6" t="s">
        <v>1637</v>
      </c>
      <c r="U364" s="6"/>
      <c r="V364" s="16"/>
      <c r="W364" s="16"/>
      <c r="X364" s="16"/>
      <c r="Y364" s="6" t="s">
        <v>1627</v>
      </c>
      <c r="Z364" s="15"/>
      <c r="AA364" s="15" t="s">
        <v>1628</v>
      </c>
    </row>
    <row r="365" spans="1:27" ht="33" customHeight="1">
      <c r="A365" s="8" t="s">
        <v>4805</v>
      </c>
      <c r="B365" s="9">
        <v>1386</v>
      </c>
      <c r="C365" s="8" t="s">
        <v>4806</v>
      </c>
      <c r="D365" s="8" t="s">
        <v>2899</v>
      </c>
      <c r="E365" s="8" t="s">
        <v>1986</v>
      </c>
      <c r="F365" s="8" t="s">
        <v>913</v>
      </c>
      <c r="G365" s="8" t="s">
        <v>201</v>
      </c>
      <c r="H365" s="8"/>
      <c r="I365" s="14" t="s">
        <v>1642</v>
      </c>
      <c r="J365" s="15"/>
      <c r="K365" s="8" t="s">
        <v>1976</v>
      </c>
      <c r="L365" s="8"/>
      <c r="M365" s="6" t="s">
        <v>1643</v>
      </c>
      <c r="N365" s="6" t="s">
        <v>1644</v>
      </c>
      <c r="O365" s="7">
        <f>SUMIFS('05_상품별배치367'!$K$7:$K$373,'05_상품별배치367'!$E$7:$E$373,A365,'05_상품별배치367'!$H$7:$H$373,"본진")</f>
        <v>0</v>
      </c>
      <c r="P365" s="7">
        <f>SUMIFS('05_상품별배치367'!$K$7:$K$373,'05_상품별배치367'!$E$7:$E$373,A365,'05_상품별배치367'!$H$7:$H$373,"추가 진열")</f>
        <v>0</v>
      </c>
      <c r="Q365" s="7">
        <f>O365+P365</f>
        <v>0</v>
      </c>
      <c r="R365" s="7">
        <v>1</v>
      </c>
      <c r="S365" s="6" t="s">
        <v>2907</v>
      </c>
      <c r="T365" s="6" t="s">
        <v>1637</v>
      </c>
      <c r="U365" s="6"/>
      <c r="V365" s="16"/>
      <c r="W365" s="16"/>
      <c r="X365" s="16"/>
      <c r="Y365" s="6" t="s">
        <v>1627</v>
      </c>
      <c r="Z365" s="15"/>
      <c r="AA365" s="15" t="s">
        <v>1628</v>
      </c>
    </row>
    <row r="366" spans="1:27" ht="33" customHeight="1">
      <c r="A366" s="8" t="s">
        <v>4813</v>
      </c>
      <c r="B366" s="9">
        <v>1390</v>
      </c>
      <c r="C366" s="8" t="s">
        <v>4814</v>
      </c>
      <c r="D366" s="8" t="s">
        <v>2913</v>
      </c>
      <c r="E366" s="8" t="s">
        <v>2134</v>
      </c>
      <c r="F366" s="8" t="s">
        <v>1263</v>
      </c>
      <c r="G366" s="8" t="s">
        <v>376</v>
      </c>
      <c r="H366" s="8"/>
      <c r="I366" s="14" t="s">
        <v>1642</v>
      </c>
      <c r="J366" s="15"/>
      <c r="K366" s="8" t="s">
        <v>1976</v>
      </c>
      <c r="L366" s="8"/>
      <c r="M366" s="6" t="s">
        <v>1643</v>
      </c>
      <c r="N366" s="6" t="s">
        <v>1644</v>
      </c>
      <c r="O366" s="7">
        <f>SUMIFS('05_상품별배치367'!$K$7:$K$373,'05_상품별배치367'!$E$7:$E$373,A366,'05_상품별배치367'!$H$7:$H$373,"본진")</f>
        <v>0</v>
      </c>
      <c r="P366" s="7">
        <f>SUMIFS('05_상품별배치367'!$K$7:$K$373,'05_상품별배치367'!$E$7:$E$373,A366,'05_상품별배치367'!$H$7:$H$373,"추가 진열")</f>
        <v>0</v>
      </c>
      <c r="Q366" s="7">
        <f>O366+P366</f>
        <v>0</v>
      </c>
      <c r="R366" s="7">
        <v>1</v>
      </c>
      <c r="S366" s="6" t="s">
        <v>3016</v>
      </c>
      <c r="T366" s="6" t="s">
        <v>1637</v>
      </c>
      <c r="U366" s="6"/>
      <c r="V366" s="16"/>
      <c r="W366" s="16"/>
      <c r="X366" s="16"/>
      <c r="Y366" s="6" t="s">
        <v>1627</v>
      </c>
      <c r="Z366" s="15"/>
      <c r="AA366" s="15" t="s">
        <v>1628</v>
      </c>
    </row>
    <row r="367" spans="1:27" ht="33" customHeight="1">
      <c r="A367" s="6" t="s">
        <v>4811</v>
      </c>
      <c r="B367" s="7">
        <v>1389</v>
      </c>
      <c r="C367" s="6" t="s">
        <v>4812</v>
      </c>
      <c r="D367" s="6" t="s">
        <v>3374</v>
      </c>
      <c r="E367" s="6" t="s">
        <v>2134</v>
      </c>
      <c r="F367" s="6" t="s">
        <v>1081</v>
      </c>
      <c r="G367" s="6" t="s">
        <v>290</v>
      </c>
      <c r="H367" s="6"/>
      <c r="I367" s="14" t="s">
        <v>1642</v>
      </c>
      <c r="J367" s="15"/>
      <c r="K367" s="6" t="s">
        <v>1976</v>
      </c>
      <c r="L367" s="6"/>
      <c r="M367" s="6" t="s">
        <v>1643</v>
      </c>
      <c r="N367" s="6" t="s">
        <v>1644</v>
      </c>
      <c r="O367" s="7">
        <f>SUMIFS('05_상품별배치367'!$K$7:$K$373,'05_상품별배치367'!$E$7:$E$373,A367,'05_상품별배치367'!$H$7:$H$373,"본진")</f>
        <v>0</v>
      </c>
      <c r="P367" s="7">
        <f>SUMIFS('05_상품별배치367'!$K$7:$K$373,'05_상품별배치367'!$E$7:$E$373,A367,'05_상품별배치367'!$H$7:$H$373,"추가 진열")</f>
        <v>0</v>
      </c>
      <c r="Q367" s="7">
        <f>O367+P367</f>
        <v>0</v>
      </c>
      <c r="R367" s="7">
        <v>1</v>
      </c>
      <c r="S367" s="6" t="s">
        <v>2135</v>
      </c>
      <c r="T367" s="6" t="s">
        <v>1637</v>
      </c>
      <c r="U367" s="6"/>
      <c r="V367" s="16"/>
      <c r="W367" s="16"/>
      <c r="X367" s="16"/>
      <c r="Y367" s="6" t="s">
        <v>1627</v>
      </c>
      <c r="Z367" s="15"/>
      <c r="AA367" s="15" t="s">
        <v>1628</v>
      </c>
    </row>
    <row r="368" spans="1:27" ht="33" customHeight="1">
      <c r="A368" s="6" t="s">
        <v>4807</v>
      </c>
      <c r="B368" s="7">
        <v>1387</v>
      </c>
      <c r="C368" s="6" t="s">
        <v>4808</v>
      </c>
      <c r="D368" s="6" t="s">
        <v>1876</v>
      </c>
      <c r="E368" s="6" t="s">
        <v>1986</v>
      </c>
      <c r="F368" s="6" t="s">
        <v>913</v>
      </c>
      <c r="G368" s="6" t="s">
        <v>201</v>
      </c>
      <c r="H368" s="6"/>
      <c r="I368" s="14" t="s">
        <v>1642</v>
      </c>
      <c r="J368" s="15"/>
      <c r="K368" s="6" t="s">
        <v>1976</v>
      </c>
      <c r="L368" s="6"/>
      <c r="M368" s="6" t="s">
        <v>1643</v>
      </c>
      <c r="N368" s="6" t="s">
        <v>1644</v>
      </c>
      <c r="O368" s="7">
        <f>SUMIFS('05_상품별배치367'!$K$7:$K$373,'05_상품별배치367'!$E$7:$E$373,A368,'05_상품별배치367'!$H$7:$H$373,"본진")</f>
        <v>0</v>
      </c>
      <c r="P368" s="7">
        <f>SUMIFS('05_상품별배치367'!$K$7:$K$373,'05_상품별배치367'!$E$7:$E$373,A368,'05_상품별배치367'!$H$7:$H$373,"추가 진열")</f>
        <v>0</v>
      </c>
      <c r="Q368" s="7">
        <f>O368+P368</f>
        <v>0</v>
      </c>
      <c r="R368" s="7">
        <v>1</v>
      </c>
      <c r="S368" s="6" t="s">
        <v>2907</v>
      </c>
      <c r="T368" s="6" t="s">
        <v>1637</v>
      </c>
      <c r="U368" s="6"/>
      <c r="V368" s="16"/>
      <c r="W368" s="16"/>
      <c r="X368" s="16"/>
      <c r="Y368" s="6" t="s">
        <v>1627</v>
      </c>
      <c r="Z368" s="15"/>
      <c r="AA368" s="15" t="s">
        <v>1628</v>
      </c>
    </row>
    <row r="369" spans="1:27" ht="33" customHeight="1">
      <c r="A369" s="6" t="s">
        <v>4793</v>
      </c>
      <c r="B369" s="7">
        <v>1381</v>
      </c>
      <c r="C369" s="6" t="s">
        <v>4794</v>
      </c>
      <c r="D369" s="6" t="s">
        <v>2133</v>
      </c>
      <c r="E369" s="6" t="s">
        <v>2134</v>
      </c>
      <c r="F369" s="6" t="s">
        <v>481</v>
      </c>
      <c r="G369" s="6" t="s">
        <v>193</v>
      </c>
      <c r="H369" s="6"/>
      <c r="I369" s="14" t="s">
        <v>1642</v>
      </c>
      <c r="J369" s="15"/>
      <c r="K369" s="6" t="s">
        <v>1976</v>
      </c>
      <c r="L369" s="6"/>
      <c r="M369" s="6" t="s">
        <v>1643</v>
      </c>
      <c r="N369" s="6" t="s">
        <v>1644</v>
      </c>
      <c r="O369" s="7">
        <f>SUMIFS('05_상품별배치367'!$K$7:$K$373,'05_상품별배치367'!$E$7:$E$373,A369,'05_상품별배치367'!$H$7:$H$373,"본진")</f>
        <v>0</v>
      </c>
      <c r="P369" s="7">
        <f>SUMIFS('05_상품별배치367'!$K$7:$K$373,'05_상품별배치367'!$E$7:$E$373,A369,'05_상품별배치367'!$H$7:$H$373,"추가 진열")</f>
        <v>0</v>
      </c>
      <c r="Q369" s="7">
        <f>O369+P369</f>
        <v>0</v>
      </c>
      <c r="R369" s="7">
        <v>1</v>
      </c>
      <c r="S369" s="6" t="s">
        <v>3000</v>
      </c>
      <c r="T369" s="6" t="s">
        <v>1637</v>
      </c>
      <c r="U369" s="6"/>
      <c r="V369" s="16"/>
      <c r="W369" s="16"/>
      <c r="X369" s="16"/>
      <c r="Y369" s="6" t="s">
        <v>1627</v>
      </c>
      <c r="Z369" s="15"/>
      <c r="AA369" s="15" t="s">
        <v>1628</v>
      </c>
    </row>
    <row r="370" spans="1:27" ht="33" customHeight="1">
      <c r="A370" s="8" t="s">
        <v>4070</v>
      </c>
      <c r="B370" s="9">
        <v>1038</v>
      </c>
      <c r="C370" s="8" t="s">
        <v>4071</v>
      </c>
      <c r="D370" s="8" t="s">
        <v>4072</v>
      </c>
      <c r="E370" s="8" t="s">
        <v>2134</v>
      </c>
      <c r="F370" s="8" t="s">
        <v>481</v>
      </c>
      <c r="G370" s="8" t="s">
        <v>193</v>
      </c>
      <c r="H370" s="8"/>
      <c r="I370" s="14" t="s">
        <v>1642</v>
      </c>
      <c r="J370" s="15"/>
      <c r="K370" s="8" t="s">
        <v>1976</v>
      </c>
      <c r="L370" s="8"/>
      <c r="M370" s="6" t="s">
        <v>1643</v>
      </c>
      <c r="N370" s="6" t="s">
        <v>1644</v>
      </c>
      <c r="O370" s="7">
        <f>SUMIFS('05_상품별배치367'!$K$7:$K$373,'05_상품별배치367'!$E$7:$E$373,A370,'05_상품별배치367'!$H$7:$H$373,"본진")</f>
        <v>0</v>
      </c>
      <c r="P370" s="7">
        <f>SUMIFS('05_상품별배치367'!$K$7:$K$373,'05_상품별배치367'!$E$7:$E$373,A370,'05_상품별배치367'!$H$7:$H$373,"추가 진열")</f>
        <v>0</v>
      </c>
      <c r="Q370" s="7">
        <f>O370+P370</f>
        <v>0</v>
      </c>
      <c r="R370" s="7">
        <v>1</v>
      </c>
      <c r="S370" s="6" t="s">
        <v>3000</v>
      </c>
      <c r="T370" s="6" t="s">
        <v>1637</v>
      </c>
      <c r="U370" s="6"/>
      <c r="V370" s="16"/>
      <c r="W370" s="16"/>
      <c r="X370" s="16"/>
      <c r="Y370" s="6" t="s">
        <v>1627</v>
      </c>
      <c r="Z370" s="15"/>
      <c r="AA370" s="15" t="s">
        <v>1628</v>
      </c>
    </row>
    <row r="371" spans="1:27" ht="33" customHeight="1">
      <c r="A371" s="8" t="s">
        <v>4066</v>
      </c>
      <c r="B371" s="9">
        <v>1036</v>
      </c>
      <c r="C371" s="8" t="s">
        <v>4067</v>
      </c>
      <c r="D371" s="8" t="s">
        <v>2133</v>
      </c>
      <c r="E371" s="8" t="s">
        <v>2134</v>
      </c>
      <c r="F371" s="8" t="s">
        <v>2933</v>
      </c>
      <c r="G371" s="8" t="s">
        <v>1668</v>
      </c>
      <c r="H371" s="8"/>
      <c r="I371" s="14" t="s">
        <v>1807</v>
      </c>
      <c r="J371" s="15"/>
      <c r="K371" s="8" t="s">
        <v>1976</v>
      </c>
      <c r="L371" s="8" t="s">
        <v>2032</v>
      </c>
      <c r="M371" s="6" t="s">
        <v>1809</v>
      </c>
      <c r="N371" s="6" t="s">
        <v>1644</v>
      </c>
      <c r="O371" s="7">
        <f>SUMIFS('05_상품별배치367'!$K$7:$K$373,'05_상품별배치367'!$E$7:$E$373,A371,'05_상품별배치367'!$H$7:$H$373,"본진")</f>
        <v>0</v>
      </c>
      <c r="P371" s="7">
        <f>SUMIFS('05_상품별배치367'!$K$7:$K$373,'05_상품별배치367'!$E$7:$E$373,A371,'05_상품별배치367'!$H$7:$H$373,"추가 진열")</f>
        <v>0</v>
      </c>
      <c r="Q371" s="7">
        <f>O371+P371</f>
        <v>0</v>
      </c>
      <c r="R371" s="7">
        <v>0</v>
      </c>
      <c r="S371" s="6" t="s">
        <v>1810</v>
      </c>
      <c r="T371" s="6" t="s">
        <v>1637</v>
      </c>
      <c r="U371" s="6"/>
      <c r="V371" s="16"/>
      <c r="W371" s="16"/>
      <c r="X371" s="16"/>
      <c r="Y371" s="6" t="s">
        <v>1627</v>
      </c>
      <c r="Z371" s="15"/>
      <c r="AA371" s="15" t="s">
        <v>1628</v>
      </c>
    </row>
    <row r="372" spans="1:27" ht="33" customHeight="1">
      <c r="A372" s="6" t="s">
        <v>4064</v>
      </c>
      <c r="B372" s="7">
        <v>1035</v>
      </c>
      <c r="C372" s="6" t="s">
        <v>4065</v>
      </c>
      <c r="D372" s="6" t="s">
        <v>2133</v>
      </c>
      <c r="E372" s="6" t="s">
        <v>2134</v>
      </c>
      <c r="F372" s="6" t="s">
        <v>2933</v>
      </c>
      <c r="G372" s="6" t="s">
        <v>1668</v>
      </c>
      <c r="H372" s="6"/>
      <c r="I372" s="14" t="s">
        <v>1807</v>
      </c>
      <c r="J372" s="15"/>
      <c r="K372" s="6" t="s">
        <v>1976</v>
      </c>
      <c r="L372" s="6" t="s">
        <v>2032</v>
      </c>
      <c r="M372" s="6" t="s">
        <v>1809</v>
      </c>
      <c r="N372" s="6" t="s">
        <v>1644</v>
      </c>
      <c r="O372" s="7">
        <f>SUMIFS('05_상품별배치367'!$K$7:$K$373,'05_상품별배치367'!$E$7:$E$373,A372,'05_상품별배치367'!$H$7:$H$373,"본진")</f>
        <v>0</v>
      </c>
      <c r="P372" s="7">
        <f>SUMIFS('05_상품별배치367'!$K$7:$K$373,'05_상품별배치367'!$E$7:$E$373,A372,'05_상품별배치367'!$H$7:$H$373,"추가 진열")</f>
        <v>0</v>
      </c>
      <c r="Q372" s="7">
        <f>O372+P372</f>
        <v>0</v>
      </c>
      <c r="R372" s="7">
        <v>0</v>
      </c>
      <c r="S372" s="6" t="s">
        <v>1810</v>
      </c>
      <c r="T372" s="6" t="s">
        <v>1637</v>
      </c>
      <c r="U372" s="6"/>
      <c r="V372" s="16"/>
      <c r="W372" s="16"/>
      <c r="X372" s="16"/>
      <c r="Y372" s="6" t="s">
        <v>1627</v>
      </c>
      <c r="Z372" s="15"/>
      <c r="AA372" s="15" t="s">
        <v>1628</v>
      </c>
    </row>
    <row r="373" spans="1:27" ht="33" customHeight="1">
      <c r="A373" s="6" t="s">
        <v>4068</v>
      </c>
      <c r="B373" s="7">
        <v>1037</v>
      </c>
      <c r="C373" s="6" t="s">
        <v>4069</v>
      </c>
      <c r="D373" s="6" t="s">
        <v>2133</v>
      </c>
      <c r="E373" s="6" t="s">
        <v>2134</v>
      </c>
      <c r="F373" s="6" t="s">
        <v>2933</v>
      </c>
      <c r="G373" s="6" t="s">
        <v>1668</v>
      </c>
      <c r="H373" s="6"/>
      <c r="I373" s="14" t="s">
        <v>1807</v>
      </c>
      <c r="J373" s="15"/>
      <c r="K373" s="6" t="s">
        <v>1976</v>
      </c>
      <c r="L373" s="6" t="s">
        <v>2032</v>
      </c>
      <c r="M373" s="6" t="s">
        <v>1809</v>
      </c>
      <c r="N373" s="6" t="s">
        <v>1644</v>
      </c>
      <c r="O373" s="7">
        <f>SUMIFS('05_상품별배치367'!$K$7:$K$373,'05_상품별배치367'!$E$7:$E$373,A373,'05_상품별배치367'!$H$7:$H$373,"본진")</f>
        <v>0</v>
      </c>
      <c r="P373" s="7">
        <f>SUMIFS('05_상품별배치367'!$K$7:$K$373,'05_상품별배치367'!$E$7:$E$373,A373,'05_상품별배치367'!$H$7:$H$373,"추가 진열")</f>
        <v>0</v>
      </c>
      <c r="Q373" s="7">
        <f>O373+P373</f>
        <v>0</v>
      </c>
      <c r="R373" s="7">
        <v>0</v>
      </c>
      <c r="S373" s="6" t="s">
        <v>1810</v>
      </c>
      <c r="T373" s="6" t="s">
        <v>1637</v>
      </c>
      <c r="U373" s="6"/>
      <c r="V373" s="16"/>
      <c r="W373" s="16"/>
      <c r="X373" s="16"/>
      <c r="Y373" s="6" t="s">
        <v>1627</v>
      </c>
      <c r="Z373" s="15"/>
      <c r="AA373" s="15" t="s">
        <v>1628</v>
      </c>
    </row>
    <row r="374" spans="1:27" ht="33" customHeight="1">
      <c r="A374" s="8" t="s">
        <v>4076</v>
      </c>
      <c r="B374" s="9">
        <v>1040</v>
      </c>
      <c r="C374" s="8" t="s">
        <v>4077</v>
      </c>
      <c r="D374" s="8" t="s">
        <v>2714</v>
      </c>
      <c r="E374" s="8" t="s">
        <v>2134</v>
      </c>
      <c r="F374" s="8" t="s">
        <v>2933</v>
      </c>
      <c r="G374" s="8" t="s">
        <v>1668</v>
      </c>
      <c r="H374" s="8"/>
      <c r="I374" s="14" t="s">
        <v>1807</v>
      </c>
      <c r="J374" s="15"/>
      <c r="K374" s="8" t="s">
        <v>1976</v>
      </c>
      <c r="L374" s="8" t="s">
        <v>2032</v>
      </c>
      <c r="M374" s="6" t="s">
        <v>1809</v>
      </c>
      <c r="N374" s="6" t="s">
        <v>1644</v>
      </c>
      <c r="O374" s="7">
        <f>SUMIFS('05_상품별배치367'!$K$7:$K$373,'05_상품별배치367'!$E$7:$E$373,A374,'05_상품별배치367'!$H$7:$H$373,"본진")</f>
        <v>0</v>
      </c>
      <c r="P374" s="7">
        <f>SUMIFS('05_상품별배치367'!$K$7:$K$373,'05_상품별배치367'!$E$7:$E$373,A374,'05_상품별배치367'!$H$7:$H$373,"추가 진열")</f>
        <v>0</v>
      </c>
      <c r="Q374" s="7">
        <f>O374+P374</f>
        <v>0</v>
      </c>
      <c r="R374" s="7">
        <v>0</v>
      </c>
      <c r="S374" s="6" t="s">
        <v>1810</v>
      </c>
      <c r="T374" s="6" t="s">
        <v>1637</v>
      </c>
      <c r="U374" s="6"/>
      <c r="V374" s="16"/>
      <c r="W374" s="16"/>
      <c r="X374" s="16"/>
      <c r="Y374" s="6" t="s">
        <v>1627</v>
      </c>
      <c r="Z374" s="15"/>
      <c r="AA374" s="15" t="s">
        <v>1628</v>
      </c>
    </row>
    <row r="375" spans="1:27" ht="33" customHeight="1">
      <c r="A375" s="6" t="s">
        <v>4078</v>
      </c>
      <c r="B375" s="7">
        <v>1041</v>
      </c>
      <c r="C375" s="6" t="s">
        <v>4079</v>
      </c>
      <c r="D375" s="6" t="s">
        <v>2133</v>
      </c>
      <c r="E375" s="6" t="s">
        <v>2134</v>
      </c>
      <c r="F375" s="6" t="s">
        <v>2933</v>
      </c>
      <c r="G375" s="6" t="s">
        <v>1668</v>
      </c>
      <c r="H375" s="6"/>
      <c r="I375" s="14" t="s">
        <v>1807</v>
      </c>
      <c r="J375" s="15"/>
      <c r="K375" s="6" t="s">
        <v>1976</v>
      </c>
      <c r="L375" s="6" t="s">
        <v>2032</v>
      </c>
      <c r="M375" s="6" t="s">
        <v>1809</v>
      </c>
      <c r="N375" s="6" t="s">
        <v>1644</v>
      </c>
      <c r="O375" s="7">
        <f>SUMIFS('05_상품별배치367'!$K$7:$K$373,'05_상품별배치367'!$E$7:$E$373,A375,'05_상품별배치367'!$H$7:$H$373,"본진")</f>
        <v>0</v>
      </c>
      <c r="P375" s="7">
        <f>SUMIFS('05_상품별배치367'!$K$7:$K$373,'05_상품별배치367'!$E$7:$E$373,A375,'05_상품별배치367'!$H$7:$H$373,"추가 진열")</f>
        <v>0</v>
      </c>
      <c r="Q375" s="7">
        <f>O375+P375</f>
        <v>0</v>
      </c>
      <c r="R375" s="7">
        <v>0</v>
      </c>
      <c r="S375" s="6" t="s">
        <v>1810</v>
      </c>
      <c r="T375" s="6" t="s">
        <v>1637</v>
      </c>
      <c r="U375" s="6"/>
      <c r="V375" s="16"/>
      <c r="W375" s="16"/>
      <c r="X375" s="16"/>
      <c r="Y375" s="6" t="s">
        <v>1627</v>
      </c>
      <c r="Z375" s="15"/>
      <c r="AA375" s="15" t="s">
        <v>1628</v>
      </c>
    </row>
    <row r="376" spans="1:27" ht="33" customHeight="1">
      <c r="A376" s="6" t="s">
        <v>4073</v>
      </c>
      <c r="B376" s="7">
        <v>1039</v>
      </c>
      <c r="C376" s="6" t="s">
        <v>4074</v>
      </c>
      <c r="D376" s="6" t="s">
        <v>4075</v>
      </c>
      <c r="E376" s="6" t="s">
        <v>2134</v>
      </c>
      <c r="F376" s="6" t="s">
        <v>162</v>
      </c>
      <c r="G376" s="6" t="s">
        <v>404</v>
      </c>
      <c r="H376" s="6"/>
      <c r="I376" s="14" t="s">
        <v>1642</v>
      </c>
      <c r="J376" s="15"/>
      <c r="K376" s="6" t="s">
        <v>1976</v>
      </c>
      <c r="L376" s="6"/>
      <c r="M376" s="6" t="s">
        <v>1643</v>
      </c>
      <c r="N376" s="6" t="s">
        <v>1644</v>
      </c>
      <c r="O376" s="7">
        <f>SUMIFS('05_상품별배치367'!$K$7:$K$373,'05_상품별배치367'!$E$7:$E$373,A376,'05_상품별배치367'!$H$7:$H$373,"본진")</f>
        <v>0</v>
      </c>
      <c r="P376" s="7">
        <f>SUMIFS('05_상품별배치367'!$K$7:$K$373,'05_상품별배치367'!$E$7:$E$373,A376,'05_상품별배치367'!$H$7:$H$373,"추가 진열")</f>
        <v>0</v>
      </c>
      <c r="Q376" s="7">
        <f>O376+P376</f>
        <v>0</v>
      </c>
      <c r="R376" s="7">
        <v>1</v>
      </c>
      <c r="S376" s="6" t="s">
        <v>2996</v>
      </c>
      <c r="T376" s="6" t="s">
        <v>1637</v>
      </c>
      <c r="U376" s="6"/>
      <c r="V376" s="16"/>
      <c r="W376" s="16"/>
      <c r="X376" s="16"/>
      <c r="Y376" s="6" t="s">
        <v>1627</v>
      </c>
      <c r="Z376" s="15"/>
      <c r="AA376" s="15" t="s">
        <v>1628</v>
      </c>
    </row>
    <row r="377" spans="1:27" ht="33" customHeight="1">
      <c r="A377" s="8" t="s">
        <v>4080</v>
      </c>
      <c r="B377" s="9">
        <v>1042</v>
      </c>
      <c r="C377" s="8" t="s">
        <v>4081</v>
      </c>
      <c r="D377" s="8" t="s">
        <v>2845</v>
      </c>
      <c r="E377" s="8" t="s">
        <v>2134</v>
      </c>
      <c r="F377" s="8" t="s">
        <v>2933</v>
      </c>
      <c r="G377" s="8" t="s">
        <v>1668</v>
      </c>
      <c r="H377" s="8"/>
      <c r="I377" s="14" t="s">
        <v>1807</v>
      </c>
      <c r="J377" s="15"/>
      <c r="K377" s="8" t="s">
        <v>1976</v>
      </c>
      <c r="L377" s="8" t="s">
        <v>2032</v>
      </c>
      <c r="M377" s="6" t="s">
        <v>1809</v>
      </c>
      <c r="N377" s="6" t="s">
        <v>1644</v>
      </c>
      <c r="O377" s="7">
        <f>SUMIFS('05_상품별배치367'!$K$7:$K$373,'05_상품별배치367'!$E$7:$E$373,A377,'05_상품별배치367'!$H$7:$H$373,"본진")</f>
        <v>0</v>
      </c>
      <c r="P377" s="7">
        <f>SUMIFS('05_상품별배치367'!$K$7:$K$373,'05_상품별배치367'!$E$7:$E$373,A377,'05_상품별배치367'!$H$7:$H$373,"추가 진열")</f>
        <v>0</v>
      </c>
      <c r="Q377" s="7">
        <f>O377+P377</f>
        <v>0</v>
      </c>
      <c r="R377" s="7">
        <v>0</v>
      </c>
      <c r="S377" s="6" t="s">
        <v>1810</v>
      </c>
      <c r="T377" s="6" t="s">
        <v>1637</v>
      </c>
      <c r="U377" s="6"/>
      <c r="V377" s="16"/>
      <c r="W377" s="16"/>
      <c r="X377" s="16"/>
      <c r="Y377" s="6" t="s">
        <v>1627</v>
      </c>
      <c r="Z377" s="15"/>
      <c r="AA377" s="15" t="s">
        <v>1628</v>
      </c>
    </row>
    <row r="378" spans="1:27" ht="33" customHeight="1">
      <c r="A378" s="6" t="s">
        <v>4082</v>
      </c>
      <c r="B378" s="7">
        <v>1043</v>
      </c>
      <c r="C378" s="6" t="s">
        <v>4083</v>
      </c>
      <c r="D378" s="6" t="s">
        <v>1665</v>
      </c>
      <c r="E378" s="6" t="s">
        <v>2134</v>
      </c>
      <c r="F378" s="6" t="s">
        <v>2933</v>
      </c>
      <c r="G378" s="6" t="s">
        <v>1668</v>
      </c>
      <c r="H378" s="6"/>
      <c r="I378" s="14" t="s">
        <v>1807</v>
      </c>
      <c r="J378" s="15"/>
      <c r="K378" s="6" t="s">
        <v>1976</v>
      </c>
      <c r="L378" s="6" t="s">
        <v>2032</v>
      </c>
      <c r="M378" s="6" t="s">
        <v>1809</v>
      </c>
      <c r="N378" s="6" t="s">
        <v>1644</v>
      </c>
      <c r="O378" s="7">
        <f>SUMIFS('05_상품별배치367'!$K$7:$K$373,'05_상품별배치367'!$E$7:$E$373,A378,'05_상품별배치367'!$H$7:$H$373,"본진")</f>
        <v>0</v>
      </c>
      <c r="P378" s="7">
        <f>SUMIFS('05_상품별배치367'!$K$7:$K$373,'05_상품별배치367'!$E$7:$E$373,A378,'05_상품별배치367'!$H$7:$H$373,"추가 진열")</f>
        <v>0</v>
      </c>
      <c r="Q378" s="7">
        <f>O378+P378</f>
        <v>0</v>
      </c>
      <c r="R378" s="7">
        <v>0</v>
      </c>
      <c r="S378" s="6" t="s">
        <v>1810</v>
      </c>
      <c r="T378" s="6" t="s">
        <v>1637</v>
      </c>
      <c r="U378" s="6"/>
      <c r="V378" s="16"/>
      <c r="W378" s="16"/>
      <c r="X378" s="16"/>
      <c r="Y378" s="6" t="s">
        <v>1627</v>
      </c>
      <c r="Z378" s="15"/>
      <c r="AA378" s="15" t="s">
        <v>1628</v>
      </c>
    </row>
    <row r="379" spans="1:27" ht="33" customHeight="1">
      <c r="A379" s="8" t="s">
        <v>4173</v>
      </c>
      <c r="B379" s="9">
        <v>1084</v>
      </c>
      <c r="C379" s="8" t="s">
        <v>4174</v>
      </c>
      <c r="D379" s="8" t="s">
        <v>2133</v>
      </c>
      <c r="E379" s="8" t="s">
        <v>2134</v>
      </c>
      <c r="F379" s="8" t="s">
        <v>2933</v>
      </c>
      <c r="G379" s="8" t="s">
        <v>1668</v>
      </c>
      <c r="H379" s="8"/>
      <c r="I379" s="14" t="s">
        <v>1807</v>
      </c>
      <c r="J379" s="15"/>
      <c r="K379" s="8" t="s">
        <v>1976</v>
      </c>
      <c r="L379" s="8" t="s">
        <v>2032</v>
      </c>
      <c r="M379" s="6" t="s">
        <v>1809</v>
      </c>
      <c r="N379" s="6" t="s">
        <v>1644</v>
      </c>
      <c r="O379" s="7">
        <f>SUMIFS('05_상품별배치367'!$K$7:$K$373,'05_상품별배치367'!$E$7:$E$373,A379,'05_상품별배치367'!$H$7:$H$373,"본진")</f>
        <v>0</v>
      </c>
      <c r="P379" s="7">
        <f>SUMIFS('05_상품별배치367'!$K$7:$K$373,'05_상품별배치367'!$E$7:$E$373,A379,'05_상품별배치367'!$H$7:$H$373,"추가 진열")</f>
        <v>0</v>
      </c>
      <c r="Q379" s="7">
        <f>O379+P379</f>
        <v>0</v>
      </c>
      <c r="R379" s="7">
        <v>0</v>
      </c>
      <c r="S379" s="6" t="s">
        <v>1810</v>
      </c>
      <c r="T379" s="6" t="s">
        <v>4166</v>
      </c>
      <c r="U379" s="6"/>
      <c r="V379" s="16"/>
      <c r="W379" s="16"/>
      <c r="X379" s="16"/>
      <c r="Y379" s="6" t="s">
        <v>1627</v>
      </c>
      <c r="Z379" s="15"/>
      <c r="AA379" s="15" t="s">
        <v>1628</v>
      </c>
    </row>
    <row r="380" spans="1:27" ht="33" customHeight="1">
      <c r="A380" s="8" t="s">
        <v>4177</v>
      </c>
      <c r="B380" s="9">
        <v>1086</v>
      </c>
      <c r="C380" s="8" t="s">
        <v>4178</v>
      </c>
      <c r="D380" s="8" t="s">
        <v>4179</v>
      </c>
      <c r="E380" s="8" t="s">
        <v>2134</v>
      </c>
      <c r="F380" s="8" t="s">
        <v>481</v>
      </c>
      <c r="G380" s="8" t="s">
        <v>193</v>
      </c>
      <c r="H380" s="8"/>
      <c r="I380" s="14" t="s">
        <v>1642</v>
      </c>
      <c r="J380" s="15"/>
      <c r="K380" s="8" t="s">
        <v>1976</v>
      </c>
      <c r="L380" s="8"/>
      <c r="M380" s="6" t="s">
        <v>1643</v>
      </c>
      <c r="N380" s="6" t="s">
        <v>1644</v>
      </c>
      <c r="O380" s="7">
        <f>SUMIFS('05_상품별배치367'!$K$7:$K$373,'05_상품별배치367'!$E$7:$E$373,A380,'05_상품별배치367'!$H$7:$H$373,"본진")</f>
        <v>0</v>
      </c>
      <c r="P380" s="7">
        <f>SUMIFS('05_상품별배치367'!$K$7:$K$373,'05_상품별배치367'!$E$7:$E$373,A380,'05_상품별배치367'!$H$7:$H$373,"추가 진열")</f>
        <v>0</v>
      </c>
      <c r="Q380" s="7">
        <f>O380+P380</f>
        <v>0</v>
      </c>
      <c r="R380" s="7">
        <v>1</v>
      </c>
      <c r="S380" s="6" t="s">
        <v>3000</v>
      </c>
      <c r="T380" s="6" t="s">
        <v>4166</v>
      </c>
      <c r="U380" s="6"/>
      <c r="V380" s="16"/>
      <c r="W380" s="16"/>
      <c r="X380" s="16"/>
      <c r="Y380" s="6" t="s">
        <v>1627</v>
      </c>
      <c r="Z380" s="15"/>
      <c r="AA380" s="15" t="s">
        <v>1628</v>
      </c>
    </row>
    <row r="381" spans="1:27" ht="33" customHeight="1">
      <c r="A381" s="6" t="s">
        <v>4175</v>
      </c>
      <c r="B381" s="7">
        <v>1085</v>
      </c>
      <c r="C381" s="6" t="s">
        <v>4176</v>
      </c>
      <c r="D381" s="6" t="s">
        <v>1876</v>
      </c>
      <c r="E381" s="6" t="s">
        <v>1986</v>
      </c>
      <c r="F381" s="6" t="s">
        <v>913</v>
      </c>
      <c r="G381" s="6" t="s">
        <v>201</v>
      </c>
      <c r="H381" s="6"/>
      <c r="I381" s="14" t="s">
        <v>1642</v>
      </c>
      <c r="J381" s="15"/>
      <c r="K381" s="6" t="s">
        <v>1976</v>
      </c>
      <c r="L381" s="6"/>
      <c r="M381" s="6" t="s">
        <v>1643</v>
      </c>
      <c r="N381" s="6" t="s">
        <v>1644</v>
      </c>
      <c r="O381" s="7">
        <f>SUMIFS('05_상품별배치367'!$K$7:$K$373,'05_상품별배치367'!$E$7:$E$373,A381,'05_상품별배치367'!$H$7:$H$373,"본진")</f>
        <v>0</v>
      </c>
      <c r="P381" s="7">
        <f>SUMIFS('05_상품별배치367'!$K$7:$K$373,'05_상품별배치367'!$E$7:$E$373,A381,'05_상품별배치367'!$H$7:$H$373,"추가 진열")</f>
        <v>0</v>
      </c>
      <c r="Q381" s="7">
        <f>O381+P381</f>
        <v>0</v>
      </c>
      <c r="R381" s="7">
        <v>1</v>
      </c>
      <c r="S381" s="6" t="s">
        <v>2907</v>
      </c>
      <c r="T381" s="6" t="s">
        <v>4166</v>
      </c>
      <c r="U381" s="6"/>
      <c r="V381" s="16"/>
      <c r="W381" s="16"/>
      <c r="X381" s="16"/>
      <c r="Y381" s="6" t="s">
        <v>1627</v>
      </c>
      <c r="Z381" s="15"/>
      <c r="AA381" s="15" t="s">
        <v>1628</v>
      </c>
    </row>
    <row r="382" spans="1:27" ht="33" customHeight="1">
      <c r="A382" s="6" t="s">
        <v>4171</v>
      </c>
      <c r="B382" s="7">
        <v>1083</v>
      </c>
      <c r="C382" s="6" t="s">
        <v>4172</v>
      </c>
      <c r="D382" s="6" t="s">
        <v>2133</v>
      </c>
      <c r="E382" s="6" t="s">
        <v>1986</v>
      </c>
      <c r="F382" s="6" t="s">
        <v>493</v>
      </c>
      <c r="G382" s="6" t="s">
        <v>299</v>
      </c>
      <c r="H382" s="6"/>
      <c r="I382" s="14" t="s">
        <v>1642</v>
      </c>
      <c r="J382" s="15"/>
      <c r="K382" s="6" t="s">
        <v>1976</v>
      </c>
      <c r="L382" s="6"/>
      <c r="M382" s="6" t="s">
        <v>1643</v>
      </c>
      <c r="N382" s="6" t="s">
        <v>1644</v>
      </c>
      <c r="O382" s="7">
        <f>SUMIFS('05_상품별배치367'!$K$7:$K$373,'05_상품별배치367'!$E$7:$E$373,A382,'05_상품별배치367'!$H$7:$H$373,"본진")</f>
        <v>0</v>
      </c>
      <c r="P382" s="7">
        <f>SUMIFS('05_상품별배치367'!$K$7:$K$373,'05_상품별배치367'!$E$7:$E$373,A382,'05_상품별배치367'!$H$7:$H$373,"추가 진열")</f>
        <v>0</v>
      </c>
      <c r="Q382" s="7">
        <f>O382+P382</f>
        <v>0</v>
      </c>
      <c r="R382" s="7">
        <v>1</v>
      </c>
      <c r="S382" s="6" t="s">
        <v>3084</v>
      </c>
      <c r="T382" s="6" t="s">
        <v>4166</v>
      </c>
      <c r="U382" s="6"/>
      <c r="V382" s="16"/>
      <c r="W382" s="16"/>
      <c r="X382" s="16"/>
      <c r="Y382" s="6" t="s">
        <v>1627</v>
      </c>
      <c r="Z382" s="15"/>
      <c r="AA382" s="15" t="s">
        <v>1628</v>
      </c>
    </row>
    <row r="383" spans="1:27" ht="33" customHeight="1">
      <c r="A383" s="8" t="s">
        <v>4169</v>
      </c>
      <c r="B383" s="9">
        <v>1082</v>
      </c>
      <c r="C383" s="8" t="s">
        <v>4170</v>
      </c>
      <c r="D383" s="8" t="s">
        <v>2845</v>
      </c>
      <c r="E383" s="8" t="s">
        <v>1986</v>
      </c>
      <c r="F383" s="8" t="s">
        <v>913</v>
      </c>
      <c r="G383" s="8" t="s">
        <v>201</v>
      </c>
      <c r="H383" s="8"/>
      <c r="I383" s="14" t="s">
        <v>1642</v>
      </c>
      <c r="J383" s="15"/>
      <c r="K383" s="8" t="s">
        <v>1976</v>
      </c>
      <c r="L383" s="8"/>
      <c r="M383" s="6" t="s">
        <v>1643</v>
      </c>
      <c r="N383" s="6" t="s">
        <v>1644</v>
      </c>
      <c r="O383" s="7">
        <f>SUMIFS('05_상품별배치367'!$K$7:$K$373,'05_상품별배치367'!$E$7:$E$373,A383,'05_상품별배치367'!$H$7:$H$373,"본진")</f>
        <v>0</v>
      </c>
      <c r="P383" s="7">
        <f>SUMIFS('05_상품별배치367'!$K$7:$K$373,'05_상품별배치367'!$E$7:$E$373,A383,'05_상품별배치367'!$H$7:$H$373,"추가 진열")</f>
        <v>0</v>
      </c>
      <c r="Q383" s="7">
        <f>O383+P383</f>
        <v>0</v>
      </c>
      <c r="R383" s="7">
        <v>1</v>
      </c>
      <c r="S383" s="6" t="s">
        <v>2907</v>
      </c>
      <c r="T383" s="6" t="s">
        <v>4166</v>
      </c>
      <c r="U383" s="6"/>
      <c r="V383" s="16"/>
      <c r="W383" s="16"/>
      <c r="X383" s="16"/>
      <c r="Y383" s="6" t="s">
        <v>1627</v>
      </c>
      <c r="Z383" s="15"/>
      <c r="AA383" s="15" t="s">
        <v>1628</v>
      </c>
    </row>
    <row r="384" spans="1:27" ht="33" customHeight="1">
      <c r="A384" s="6" t="s">
        <v>4167</v>
      </c>
      <c r="B384" s="7">
        <v>1081</v>
      </c>
      <c r="C384" s="6" t="s">
        <v>4168</v>
      </c>
      <c r="D384" s="6" t="s">
        <v>3106</v>
      </c>
      <c r="E384" s="6" t="s">
        <v>2134</v>
      </c>
      <c r="F384" s="6" t="s">
        <v>161</v>
      </c>
      <c r="G384" s="6" t="s">
        <v>395</v>
      </c>
      <c r="H384" s="6"/>
      <c r="I384" s="14" t="s">
        <v>1642</v>
      </c>
      <c r="J384" s="15"/>
      <c r="K384" s="6" t="s">
        <v>1976</v>
      </c>
      <c r="L384" s="6"/>
      <c r="M384" s="6" t="s">
        <v>1643</v>
      </c>
      <c r="N384" s="6" t="s">
        <v>1644</v>
      </c>
      <c r="O384" s="7">
        <f>SUMIFS('05_상품별배치367'!$K$7:$K$373,'05_상품별배치367'!$E$7:$E$373,A384,'05_상품별배치367'!$H$7:$H$373,"본진")</f>
        <v>0</v>
      </c>
      <c r="P384" s="7">
        <f>SUMIFS('05_상품별배치367'!$K$7:$K$373,'05_상품별배치367'!$E$7:$E$373,A384,'05_상품별배치367'!$H$7:$H$373,"추가 진열")</f>
        <v>0</v>
      </c>
      <c r="Q384" s="7">
        <f>O384+P384</f>
        <v>0</v>
      </c>
      <c r="R384" s="7">
        <v>1</v>
      </c>
      <c r="S384" s="6" t="s">
        <v>3070</v>
      </c>
      <c r="T384" s="6" t="s">
        <v>4166</v>
      </c>
      <c r="U384" s="6"/>
      <c r="V384" s="16"/>
      <c r="W384" s="16"/>
      <c r="X384" s="16"/>
      <c r="Y384" s="6" t="s">
        <v>1627</v>
      </c>
      <c r="Z384" s="15"/>
      <c r="AA384" s="15" t="s">
        <v>1628</v>
      </c>
    </row>
    <row r="385" spans="1:27" ht="33" customHeight="1">
      <c r="A385" s="8" t="s">
        <v>4163</v>
      </c>
      <c r="B385" s="9">
        <v>1080</v>
      </c>
      <c r="C385" s="8" t="s">
        <v>4164</v>
      </c>
      <c r="D385" s="8" t="s">
        <v>3055</v>
      </c>
      <c r="E385" s="8" t="s">
        <v>2134</v>
      </c>
      <c r="F385" s="8" t="s">
        <v>161</v>
      </c>
      <c r="G385" s="8" t="s">
        <v>395</v>
      </c>
      <c r="H385" s="8"/>
      <c r="I385" s="14" t="s">
        <v>1642</v>
      </c>
      <c r="J385" s="15"/>
      <c r="K385" s="8" t="s">
        <v>1976</v>
      </c>
      <c r="L385" s="8"/>
      <c r="M385" s="6" t="s">
        <v>1643</v>
      </c>
      <c r="N385" s="6" t="s">
        <v>1644</v>
      </c>
      <c r="O385" s="7">
        <f>SUMIFS('05_상품별배치367'!$K$7:$K$373,'05_상품별배치367'!$E$7:$E$373,A385,'05_상품별배치367'!$H$7:$H$373,"본진")</f>
        <v>0</v>
      </c>
      <c r="P385" s="7">
        <f>SUMIFS('05_상품별배치367'!$K$7:$K$373,'05_상품별배치367'!$E$7:$E$373,A385,'05_상품별배치367'!$H$7:$H$373,"추가 진열")</f>
        <v>0</v>
      </c>
      <c r="Q385" s="7">
        <f>O385+P385</f>
        <v>0</v>
      </c>
      <c r="R385" s="7">
        <v>1</v>
      </c>
      <c r="S385" s="6" t="s">
        <v>4165</v>
      </c>
      <c r="T385" s="6" t="s">
        <v>4166</v>
      </c>
      <c r="U385" s="6" t="s">
        <v>1551</v>
      </c>
      <c r="V385" s="16"/>
      <c r="W385" s="16"/>
      <c r="X385" s="16"/>
      <c r="Y385" s="6" t="s">
        <v>1627</v>
      </c>
      <c r="Z385" s="15"/>
      <c r="AA385" s="15" t="s">
        <v>1628</v>
      </c>
    </row>
    <row r="386" spans="1:27" ht="33" customHeight="1">
      <c r="A386" s="6" t="s">
        <v>1551</v>
      </c>
      <c r="B386" s="7">
        <v>2449</v>
      </c>
      <c r="C386" s="6" t="s">
        <v>1550</v>
      </c>
      <c r="D386" s="6" t="s">
        <v>7089</v>
      </c>
      <c r="E386" s="6" t="s">
        <v>2134</v>
      </c>
      <c r="F386" s="6" t="s">
        <v>161</v>
      </c>
      <c r="G386" s="6" t="s">
        <v>395</v>
      </c>
      <c r="H386" s="6" t="s">
        <v>1302</v>
      </c>
      <c r="I386" s="14" t="s">
        <v>1621</v>
      </c>
      <c r="J386" s="15"/>
      <c r="K386" s="6" t="s">
        <v>1976</v>
      </c>
      <c r="L386" s="6" t="s">
        <v>3828</v>
      </c>
      <c r="M386" s="6" t="s">
        <v>1623</v>
      </c>
      <c r="N386" s="6" t="s">
        <v>1644</v>
      </c>
      <c r="O386" s="7">
        <f>SUMIFS('05_상품별배치367'!$K$7:$K$373,'05_상품별배치367'!$E$7:$E$373,A386,'05_상품별배치367'!$H$7:$H$373,"본진")</f>
        <v>1</v>
      </c>
      <c r="P386" s="7">
        <f>SUMIFS('05_상품별배치367'!$K$7:$K$373,'05_상품별배치367'!$E$7:$E$373,A386,'05_상품별배치367'!$H$7:$H$373,"추가 진열")</f>
        <v>1</v>
      </c>
      <c r="Q386" s="7">
        <f>O386+P386</f>
        <v>2</v>
      </c>
      <c r="R386" s="7">
        <v>1</v>
      </c>
      <c r="S386" s="6" t="s">
        <v>1625</v>
      </c>
      <c r="T386" s="6" t="s">
        <v>4166</v>
      </c>
      <c r="U386" s="6"/>
      <c r="V386" s="16"/>
      <c r="W386" s="16"/>
      <c r="X386" s="16"/>
      <c r="Y386" s="6" t="s">
        <v>1627</v>
      </c>
      <c r="Z386" s="15"/>
      <c r="AA386" s="15" t="s">
        <v>1628</v>
      </c>
    </row>
    <row r="387" spans="1:27" ht="33" customHeight="1">
      <c r="A387" s="8" t="s">
        <v>3331</v>
      </c>
      <c r="B387" s="9">
        <v>698</v>
      </c>
      <c r="C387" s="8" t="s">
        <v>3332</v>
      </c>
      <c r="D387" s="8" t="s">
        <v>3333</v>
      </c>
      <c r="E387" s="8" t="s">
        <v>1743</v>
      </c>
      <c r="F387" s="8" t="s">
        <v>2129</v>
      </c>
      <c r="G387" s="8" t="s">
        <v>1668</v>
      </c>
      <c r="H387" s="8"/>
      <c r="I387" s="14" t="s">
        <v>1642</v>
      </c>
      <c r="J387" s="15"/>
      <c r="K387" s="8" t="s">
        <v>1696</v>
      </c>
      <c r="L387" s="8"/>
      <c r="M387" s="6" t="s">
        <v>1643</v>
      </c>
      <c r="N387" s="6" t="s">
        <v>1644</v>
      </c>
      <c r="O387" s="7">
        <f>SUMIFS('05_상품별배치367'!$K$7:$K$373,'05_상품별배치367'!$E$7:$E$373,A387,'05_상품별배치367'!$H$7:$H$373,"본진")</f>
        <v>0</v>
      </c>
      <c r="P387" s="7">
        <f>SUMIFS('05_상품별배치367'!$K$7:$K$373,'05_상품별배치367'!$E$7:$E$373,A387,'05_상품별배치367'!$H$7:$H$373,"추가 진열")</f>
        <v>0</v>
      </c>
      <c r="Q387" s="7">
        <f>O387+P387</f>
        <v>0</v>
      </c>
      <c r="R387" s="7">
        <v>1</v>
      </c>
      <c r="S387" s="6" t="s">
        <v>2130</v>
      </c>
      <c r="T387" s="6" t="s">
        <v>1637</v>
      </c>
      <c r="U387" s="6"/>
      <c r="V387" s="16"/>
      <c r="W387" s="16"/>
      <c r="X387" s="16"/>
      <c r="Y387" s="6" t="s">
        <v>1655</v>
      </c>
      <c r="Z387" s="15"/>
      <c r="AA387" s="15" t="s">
        <v>1628</v>
      </c>
    </row>
    <row r="388" spans="1:27" ht="33" customHeight="1">
      <c r="A388" s="6" t="s">
        <v>3315</v>
      </c>
      <c r="B388" s="7">
        <v>691</v>
      </c>
      <c r="C388" s="6" t="s">
        <v>3316</v>
      </c>
      <c r="D388" s="6" t="s">
        <v>3317</v>
      </c>
      <c r="E388" s="6" t="s">
        <v>2134</v>
      </c>
      <c r="F388" s="6" t="s">
        <v>162</v>
      </c>
      <c r="G388" s="6" t="s">
        <v>404</v>
      </c>
      <c r="H388" s="6"/>
      <c r="I388" s="14" t="s">
        <v>1642</v>
      </c>
      <c r="J388" s="15"/>
      <c r="K388" s="6" t="s">
        <v>1976</v>
      </c>
      <c r="L388" s="6"/>
      <c r="M388" s="6" t="s">
        <v>1643</v>
      </c>
      <c r="N388" s="6" t="s">
        <v>1644</v>
      </c>
      <c r="O388" s="7">
        <f>SUMIFS('05_상품별배치367'!$K$7:$K$373,'05_상품별배치367'!$E$7:$E$373,A388,'05_상품별배치367'!$H$7:$H$373,"본진")</f>
        <v>0</v>
      </c>
      <c r="P388" s="7">
        <f>SUMIFS('05_상품별배치367'!$K$7:$K$373,'05_상품별배치367'!$E$7:$E$373,A388,'05_상품별배치367'!$H$7:$H$373,"추가 진열")</f>
        <v>0</v>
      </c>
      <c r="Q388" s="7">
        <f>O388+P388</f>
        <v>0</v>
      </c>
      <c r="R388" s="7">
        <v>1</v>
      </c>
      <c r="S388" s="6" t="s">
        <v>2996</v>
      </c>
      <c r="T388" s="6" t="s">
        <v>1637</v>
      </c>
      <c r="U388" s="6"/>
      <c r="V388" s="16"/>
      <c r="W388" s="16"/>
      <c r="X388" s="16"/>
      <c r="Y388" s="6" t="s">
        <v>1655</v>
      </c>
      <c r="Z388" s="15"/>
      <c r="AA388" s="15" t="s">
        <v>1628</v>
      </c>
    </row>
    <row r="389" spans="1:27" ht="33" customHeight="1">
      <c r="A389" s="8" t="s">
        <v>3318</v>
      </c>
      <c r="B389" s="9">
        <v>692</v>
      </c>
      <c r="C389" s="8" t="s">
        <v>3316</v>
      </c>
      <c r="D389" s="8" t="s">
        <v>3319</v>
      </c>
      <c r="E389" s="8" t="s">
        <v>2134</v>
      </c>
      <c r="F389" s="8" t="s">
        <v>162</v>
      </c>
      <c r="G389" s="8" t="s">
        <v>404</v>
      </c>
      <c r="H389" s="8"/>
      <c r="I389" s="14" t="s">
        <v>1642</v>
      </c>
      <c r="J389" s="15"/>
      <c r="K389" s="8" t="s">
        <v>1976</v>
      </c>
      <c r="L389" s="8"/>
      <c r="M389" s="6" t="s">
        <v>1643</v>
      </c>
      <c r="N389" s="6" t="s">
        <v>1644</v>
      </c>
      <c r="O389" s="7">
        <f>SUMIFS('05_상품별배치367'!$K$7:$K$373,'05_상품별배치367'!$E$7:$E$373,A389,'05_상품별배치367'!$H$7:$H$373,"본진")</f>
        <v>0</v>
      </c>
      <c r="P389" s="7">
        <f>SUMIFS('05_상품별배치367'!$K$7:$K$373,'05_상품별배치367'!$E$7:$E$373,A389,'05_상품별배치367'!$H$7:$H$373,"추가 진열")</f>
        <v>0</v>
      </c>
      <c r="Q389" s="7">
        <f>O389+P389</f>
        <v>0</v>
      </c>
      <c r="R389" s="7">
        <v>1</v>
      </c>
      <c r="S389" s="6" t="s">
        <v>2996</v>
      </c>
      <c r="T389" s="6" t="s">
        <v>1637</v>
      </c>
      <c r="U389" s="6"/>
      <c r="V389" s="16"/>
      <c r="W389" s="16"/>
      <c r="X389" s="16"/>
      <c r="Y389" s="6" t="s">
        <v>1627</v>
      </c>
      <c r="Z389" s="15"/>
      <c r="AA389" s="15" t="s">
        <v>1628</v>
      </c>
    </row>
    <row r="390" spans="1:27" ht="33" customHeight="1">
      <c r="A390" s="6" t="s">
        <v>3320</v>
      </c>
      <c r="B390" s="7">
        <v>693</v>
      </c>
      <c r="C390" s="6" t="s">
        <v>3316</v>
      </c>
      <c r="D390" s="6" t="s">
        <v>3169</v>
      </c>
      <c r="E390" s="6" t="s">
        <v>2134</v>
      </c>
      <c r="F390" s="6" t="s">
        <v>162</v>
      </c>
      <c r="G390" s="6" t="s">
        <v>404</v>
      </c>
      <c r="H390" s="6"/>
      <c r="I390" s="14" t="s">
        <v>1642</v>
      </c>
      <c r="J390" s="15"/>
      <c r="K390" s="6" t="s">
        <v>1976</v>
      </c>
      <c r="L390" s="6"/>
      <c r="M390" s="6" t="s">
        <v>1643</v>
      </c>
      <c r="N390" s="6" t="s">
        <v>1644</v>
      </c>
      <c r="O390" s="7">
        <f>SUMIFS('05_상품별배치367'!$K$7:$K$373,'05_상품별배치367'!$E$7:$E$373,A390,'05_상품별배치367'!$H$7:$H$373,"본진")</f>
        <v>0</v>
      </c>
      <c r="P390" s="7">
        <f>SUMIFS('05_상품별배치367'!$K$7:$K$373,'05_상품별배치367'!$E$7:$E$373,A390,'05_상품별배치367'!$H$7:$H$373,"추가 진열")</f>
        <v>0</v>
      </c>
      <c r="Q390" s="7">
        <f>O390+P390</f>
        <v>0</v>
      </c>
      <c r="R390" s="7">
        <v>1</v>
      </c>
      <c r="S390" s="6" t="s">
        <v>2996</v>
      </c>
      <c r="T390" s="6" t="s">
        <v>1637</v>
      </c>
      <c r="U390" s="6"/>
      <c r="V390" s="16"/>
      <c r="W390" s="16"/>
      <c r="X390" s="16"/>
      <c r="Y390" s="6" t="s">
        <v>1627</v>
      </c>
      <c r="Z390" s="15"/>
      <c r="AA390" s="15" t="s">
        <v>1628</v>
      </c>
    </row>
    <row r="391" spans="1:27" ht="33" customHeight="1">
      <c r="A391" s="8" t="s">
        <v>3325</v>
      </c>
      <c r="B391" s="9">
        <v>696</v>
      </c>
      <c r="C391" s="8" t="s">
        <v>3326</v>
      </c>
      <c r="D391" s="8" t="s">
        <v>3327</v>
      </c>
      <c r="E391" s="8" t="s">
        <v>2134</v>
      </c>
      <c r="F391" s="8" t="s">
        <v>162</v>
      </c>
      <c r="G391" s="8" t="s">
        <v>404</v>
      </c>
      <c r="H391" s="8"/>
      <c r="I391" s="14" t="s">
        <v>1642</v>
      </c>
      <c r="J391" s="15"/>
      <c r="K391" s="8" t="s">
        <v>1976</v>
      </c>
      <c r="L391" s="8"/>
      <c r="M391" s="6" t="s">
        <v>1643</v>
      </c>
      <c r="N391" s="6" t="s">
        <v>1644</v>
      </c>
      <c r="O391" s="7">
        <f>SUMIFS('05_상품별배치367'!$K$7:$K$373,'05_상품별배치367'!$E$7:$E$373,A391,'05_상품별배치367'!$H$7:$H$373,"본진")</f>
        <v>0</v>
      </c>
      <c r="P391" s="7">
        <f>SUMIFS('05_상품별배치367'!$K$7:$K$373,'05_상품별배치367'!$E$7:$E$373,A391,'05_상품별배치367'!$H$7:$H$373,"추가 진열")</f>
        <v>0</v>
      </c>
      <c r="Q391" s="7">
        <f>O391+P391</f>
        <v>0</v>
      </c>
      <c r="R391" s="7">
        <v>1</v>
      </c>
      <c r="S391" s="6" t="s">
        <v>2996</v>
      </c>
      <c r="T391" s="6" t="s">
        <v>1637</v>
      </c>
      <c r="U391" s="6"/>
      <c r="V391" s="16"/>
      <c r="W391" s="16"/>
      <c r="X391" s="16"/>
      <c r="Y391" s="6" t="s">
        <v>1655</v>
      </c>
      <c r="Z391" s="15"/>
      <c r="AA391" s="15" t="s">
        <v>1628</v>
      </c>
    </row>
    <row r="392" spans="1:27" ht="33" customHeight="1">
      <c r="A392" s="8" t="s">
        <v>3321</v>
      </c>
      <c r="B392" s="9">
        <v>694</v>
      </c>
      <c r="C392" s="8" t="s">
        <v>3322</v>
      </c>
      <c r="D392" s="8" t="s">
        <v>3323</v>
      </c>
      <c r="E392" s="8" t="s">
        <v>2134</v>
      </c>
      <c r="F392" s="8" t="s">
        <v>162</v>
      </c>
      <c r="G392" s="8" t="s">
        <v>404</v>
      </c>
      <c r="H392" s="8"/>
      <c r="I392" s="14" t="s">
        <v>1642</v>
      </c>
      <c r="J392" s="15"/>
      <c r="K392" s="8" t="s">
        <v>1976</v>
      </c>
      <c r="L392" s="8"/>
      <c r="M392" s="6" t="s">
        <v>1643</v>
      </c>
      <c r="N392" s="6" t="s">
        <v>1644</v>
      </c>
      <c r="O392" s="7">
        <f>SUMIFS('05_상품별배치367'!$K$7:$K$373,'05_상품별배치367'!$E$7:$E$373,A392,'05_상품별배치367'!$H$7:$H$373,"본진")</f>
        <v>0</v>
      </c>
      <c r="P392" s="7">
        <f>SUMIFS('05_상품별배치367'!$K$7:$K$373,'05_상품별배치367'!$E$7:$E$373,A392,'05_상품별배치367'!$H$7:$H$373,"추가 진열")</f>
        <v>0</v>
      </c>
      <c r="Q392" s="7">
        <f>O392+P392</f>
        <v>0</v>
      </c>
      <c r="R392" s="7">
        <v>1</v>
      </c>
      <c r="S392" s="6" t="s">
        <v>2996</v>
      </c>
      <c r="T392" s="6" t="s">
        <v>1637</v>
      </c>
      <c r="U392" s="6"/>
      <c r="V392" s="16"/>
      <c r="W392" s="16"/>
      <c r="X392" s="16"/>
      <c r="Y392" s="6" t="s">
        <v>1655</v>
      </c>
      <c r="Z392" s="15"/>
      <c r="AA392" s="15" t="s">
        <v>1628</v>
      </c>
    </row>
    <row r="393" spans="1:27" ht="33" customHeight="1">
      <c r="A393" s="6" t="s">
        <v>3324</v>
      </c>
      <c r="B393" s="7">
        <v>695</v>
      </c>
      <c r="C393" s="6" t="s">
        <v>3322</v>
      </c>
      <c r="D393" s="6" t="s">
        <v>3164</v>
      </c>
      <c r="E393" s="6" t="s">
        <v>2134</v>
      </c>
      <c r="F393" s="6" t="s">
        <v>162</v>
      </c>
      <c r="G393" s="6" t="s">
        <v>404</v>
      </c>
      <c r="H393" s="6"/>
      <c r="I393" s="14" t="s">
        <v>1642</v>
      </c>
      <c r="J393" s="15"/>
      <c r="K393" s="6" t="s">
        <v>1976</v>
      </c>
      <c r="L393" s="6"/>
      <c r="M393" s="6" t="s">
        <v>1643</v>
      </c>
      <c r="N393" s="6" t="s">
        <v>1644</v>
      </c>
      <c r="O393" s="7">
        <f>SUMIFS('05_상품별배치367'!$K$7:$K$373,'05_상품별배치367'!$E$7:$E$373,A393,'05_상품별배치367'!$H$7:$H$373,"본진")</f>
        <v>0</v>
      </c>
      <c r="P393" s="7">
        <f>SUMIFS('05_상품별배치367'!$K$7:$K$373,'05_상품별배치367'!$E$7:$E$373,A393,'05_상품별배치367'!$H$7:$H$373,"추가 진열")</f>
        <v>0</v>
      </c>
      <c r="Q393" s="7">
        <f>O393+P393</f>
        <v>0</v>
      </c>
      <c r="R393" s="7">
        <v>1</v>
      </c>
      <c r="S393" s="6" t="s">
        <v>2996</v>
      </c>
      <c r="T393" s="6" t="s">
        <v>1637</v>
      </c>
      <c r="U393" s="6"/>
      <c r="V393" s="16"/>
      <c r="W393" s="16"/>
      <c r="X393" s="16"/>
      <c r="Y393" s="6" t="s">
        <v>1627</v>
      </c>
      <c r="Z393" s="15"/>
      <c r="AA393" s="15" t="s">
        <v>1628</v>
      </c>
    </row>
    <row r="394" spans="1:27" ht="33" customHeight="1">
      <c r="A394" s="6" t="s">
        <v>3334</v>
      </c>
      <c r="B394" s="7">
        <v>699</v>
      </c>
      <c r="C394" s="6" t="s">
        <v>3335</v>
      </c>
      <c r="D394" s="6" t="s">
        <v>2007</v>
      </c>
      <c r="E394" s="6" t="s">
        <v>2134</v>
      </c>
      <c r="F394" s="6" t="s">
        <v>162</v>
      </c>
      <c r="G394" s="6" t="s">
        <v>404</v>
      </c>
      <c r="H394" s="6"/>
      <c r="I394" s="14" t="s">
        <v>1642</v>
      </c>
      <c r="J394" s="15"/>
      <c r="K394" s="6" t="s">
        <v>1976</v>
      </c>
      <c r="L394" s="6"/>
      <c r="M394" s="6" t="s">
        <v>1643</v>
      </c>
      <c r="N394" s="6" t="s">
        <v>1644</v>
      </c>
      <c r="O394" s="7">
        <f>SUMIFS('05_상품별배치367'!$K$7:$K$373,'05_상품별배치367'!$E$7:$E$373,A394,'05_상품별배치367'!$H$7:$H$373,"본진")</f>
        <v>0</v>
      </c>
      <c r="P394" s="7">
        <f>SUMIFS('05_상품별배치367'!$K$7:$K$373,'05_상품별배치367'!$E$7:$E$373,A394,'05_상품별배치367'!$H$7:$H$373,"추가 진열")</f>
        <v>0</v>
      </c>
      <c r="Q394" s="7">
        <f>O394+P394</f>
        <v>0</v>
      </c>
      <c r="R394" s="7">
        <v>1</v>
      </c>
      <c r="S394" s="6" t="s">
        <v>2996</v>
      </c>
      <c r="T394" s="6" t="s">
        <v>1637</v>
      </c>
      <c r="U394" s="6"/>
      <c r="V394" s="16"/>
      <c r="W394" s="16"/>
      <c r="X394" s="16"/>
      <c r="Y394" s="6" t="s">
        <v>1627</v>
      </c>
      <c r="Z394" s="15"/>
      <c r="AA394" s="15" t="s">
        <v>1628</v>
      </c>
    </row>
    <row r="395" spans="1:27" ht="33" customHeight="1">
      <c r="A395" s="6" t="s">
        <v>3328</v>
      </c>
      <c r="B395" s="7">
        <v>697</v>
      </c>
      <c r="C395" s="6" t="s">
        <v>3329</v>
      </c>
      <c r="D395" s="6" t="s">
        <v>3319</v>
      </c>
      <c r="E395" s="6" t="s">
        <v>1986</v>
      </c>
      <c r="F395" s="6" t="s">
        <v>931</v>
      </c>
      <c r="G395" s="6" t="s">
        <v>211</v>
      </c>
      <c r="H395" s="6"/>
      <c r="I395" s="14" t="s">
        <v>1642</v>
      </c>
      <c r="J395" s="15"/>
      <c r="K395" s="6" t="s">
        <v>1976</v>
      </c>
      <c r="L395" s="6"/>
      <c r="M395" s="6" t="s">
        <v>1643</v>
      </c>
      <c r="N395" s="6" t="s">
        <v>1644</v>
      </c>
      <c r="O395" s="7">
        <f>SUMIFS('05_상품별배치367'!$K$7:$K$373,'05_상품별배치367'!$E$7:$E$373,A395,'05_상품별배치367'!$H$7:$H$373,"본진")</f>
        <v>0</v>
      </c>
      <c r="P395" s="7">
        <f>SUMIFS('05_상품별배치367'!$K$7:$K$373,'05_상품별배치367'!$E$7:$E$373,A395,'05_상품별배치367'!$H$7:$H$373,"추가 진열")</f>
        <v>0</v>
      </c>
      <c r="Q395" s="7">
        <f>O395+P395</f>
        <v>0</v>
      </c>
      <c r="R395" s="7">
        <v>1</v>
      </c>
      <c r="S395" s="6" t="s">
        <v>3330</v>
      </c>
      <c r="T395" s="6" t="s">
        <v>1637</v>
      </c>
      <c r="U395" s="6"/>
      <c r="V395" s="16"/>
      <c r="W395" s="16"/>
      <c r="X395" s="16"/>
      <c r="Y395" s="6" t="s">
        <v>1627</v>
      </c>
      <c r="Z395" s="15"/>
      <c r="AA395" s="15" t="s">
        <v>1628</v>
      </c>
    </row>
    <row r="396" spans="1:27" ht="33" customHeight="1">
      <c r="A396" s="6" t="s">
        <v>3093</v>
      </c>
      <c r="B396" s="7">
        <v>589</v>
      </c>
      <c r="C396" s="6" t="s">
        <v>3094</v>
      </c>
      <c r="D396" s="6" t="s">
        <v>2133</v>
      </c>
      <c r="E396" s="6" t="s">
        <v>2134</v>
      </c>
      <c r="F396" s="6" t="s">
        <v>2933</v>
      </c>
      <c r="G396" s="6" t="s">
        <v>1668</v>
      </c>
      <c r="H396" s="6"/>
      <c r="I396" s="14" t="s">
        <v>1807</v>
      </c>
      <c r="J396" s="15"/>
      <c r="K396" s="6" t="s">
        <v>1976</v>
      </c>
      <c r="L396" s="6" t="s">
        <v>2032</v>
      </c>
      <c r="M396" s="6" t="s">
        <v>1809</v>
      </c>
      <c r="N396" s="6" t="s">
        <v>1644</v>
      </c>
      <c r="O396" s="7">
        <f>SUMIFS('05_상품별배치367'!$K$7:$K$373,'05_상품별배치367'!$E$7:$E$373,A396,'05_상품별배치367'!$H$7:$H$373,"본진")</f>
        <v>0</v>
      </c>
      <c r="P396" s="7">
        <f>SUMIFS('05_상품별배치367'!$K$7:$K$373,'05_상품별배치367'!$E$7:$E$373,A396,'05_상품별배치367'!$H$7:$H$373,"추가 진열")</f>
        <v>0</v>
      </c>
      <c r="Q396" s="7">
        <f>O396+P396</f>
        <v>0</v>
      </c>
      <c r="R396" s="7">
        <v>0</v>
      </c>
      <c r="S396" s="6" t="s">
        <v>1810</v>
      </c>
      <c r="T396" s="6" t="s">
        <v>3079</v>
      </c>
      <c r="U396" s="6"/>
      <c r="V396" s="16"/>
      <c r="W396" s="16"/>
      <c r="X396" s="16"/>
      <c r="Y396" s="6" t="s">
        <v>1627</v>
      </c>
      <c r="Z396" s="15"/>
      <c r="AA396" s="15" t="s">
        <v>1628</v>
      </c>
    </row>
    <row r="397" spans="1:27" ht="33" customHeight="1">
      <c r="A397" s="8" t="s">
        <v>3087</v>
      </c>
      <c r="B397" s="9">
        <v>586</v>
      </c>
      <c r="C397" s="8" t="s">
        <v>3088</v>
      </c>
      <c r="D397" s="8" t="s">
        <v>1851</v>
      </c>
      <c r="E397" s="8" t="s">
        <v>1986</v>
      </c>
      <c r="F397" s="8" t="s">
        <v>913</v>
      </c>
      <c r="G397" s="8" t="s">
        <v>201</v>
      </c>
      <c r="H397" s="8"/>
      <c r="I397" s="14" t="s">
        <v>1642</v>
      </c>
      <c r="J397" s="15"/>
      <c r="K397" s="8" t="s">
        <v>1976</v>
      </c>
      <c r="L397" s="8"/>
      <c r="M397" s="6" t="s">
        <v>1643</v>
      </c>
      <c r="N397" s="6" t="s">
        <v>1644</v>
      </c>
      <c r="O397" s="7">
        <f>SUMIFS('05_상품별배치367'!$K$7:$K$373,'05_상품별배치367'!$E$7:$E$373,A397,'05_상품별배치367'!$H$7:$H$373,"본진")</f>
        <v>0</v>
      </c>
      <c r="P397" s="7">
        <f>SUMIFS('05_상품별배치367'!$K$7:$K$373,'05_상품별배치367'!$E$7:$E$373,A397,'05_상품별배치367'!$H$7:$H$373,"추가 진열")</f>
        <v>0</v>
      </c>
      <c r="Q397" s="7">
        <f>O397+P397</f>
        <v>0</v>
      </c>
      <c r="R397" s="7">
        <v>1</v>
      </c>
      <c r="S397" s="6" t="s">
        <v>2907</v>
      </c>
      <c r="T397" s="6" t="s">
        <v>3079</v>
      </c>
      <c r="U397" s="6"/>
      <c r="V397" s="16"/>
      <c r="W397" s="16"/>
      <c r="X397" s="16"/>
      <c r="Y397" s="6" t="s">
        <v>1627</v>
      </c>
      <c r="Z397" s="15"/>
      <c r="AA397" s="15" t="s">
        <v>1628</v>
      </c>
    </row>
    <row r="398" spans="1:27" ht="33" customHeight="1">
      <c r="A398" s="6" t="s">
        <v>3089</v>
      </c>
      <c r="B398" s="7">
        <v>587</v>
      </c>
      <c r="C398" s="6" t="s">
        <v>3090</v>
      </c>
      <c r="D398" s="6" t="s">
        <v>1876</v>
      </c>
      <c r="E398" s="6" t="s">
        <v>2134</v>
      </c>
      <c r="F398" s="6" t="s">
        <v>2933</v>
      </c>
      <c r="G398" s="6" t="s">
        <v>1668</v>
      </c>
      <c r="H398" s="6"/>
      <c r="I398" s="14" t="s">
        <v>1807</v>
      </c>
      <c r="J398" s="15"/>
      <c r="K398" s="6" t="s">
        <v>1976</v>
      </c>
      <c r="L398" s="6" t="s">
        <v>2032</v>
      </c>
      <c r="M398" s="6" t="s">
        <v>1809</v>
      </c>
      <c r="N398" s="6" t="s">
        <v>1644</v>
      </c>
      <c r="O398" s="7">
        <f>SUMIFS('05_상품별배치367'!$K$7:$K$373,'05_상품별배치367'!$E$7:$E$373,A398,'05_상품별배치367'!$H$7:$H$373,"본진")</f>
        <v>0</v>
      </c>
      <c r="P398" s="7">
        <f>SUMIFS('05_상품별배치367'!$K$7:$K$373,'05_상품별배치367'!$E$7:$E$373,A398,'05_상품별배치367'!$H$7:$H$373,"추가 진열")</f>
        <v>0</v>
      </c>
      <c r="Q398" s="7">
        <f>O398+P398</f>
        <v>0</v>
      </c>
      <c r="R398" s="7">
        <v>0</v>
      </c>
      <c r="S398" s="6" t="s">
        <v>1810</v>
      </c>
      <c r="T398" s="6" t="s">
        <v>3079</v>
      </c>
      <c r="U398" s="6"/>
      <c r="V398" s="16"/>
      <c r="W398" s="16"/>
      <c r="X398" s="16"/>
      <c r="Y398" s="6" t="s">
        <v>1627</v>
      </c>
      <c r="Z398" s="15"/>
      <c r="AA398" s="15" t="s">
        <v>1628</v>
      </c>
    </row>
    <row r="399" spans="1:27" ht="33" customHeight="1">
      <c r="A399" s="8" t="s">
        <v>934</v>
      </c>
      <c r="B399" s="9">
        <v>590</v>
      </c>
      <c r="C399" s="8" t="s">
        <v>933</v>
      </c>
      <c r="D399" s="8" t="s">
        <v>2631</v>
      </c>
      <c r="E399" s="8" t="s">
        <v>1986</v>
      </c>
      <c r="F399" s="8" t="s">
        <v>931</v>
      </c>
      <c r="G399" s="8" t="s">
        <v>211</v>
      </c>
      <c r="H399" s="8" t="s">
        <v>932</v>
      </c>
      <c r="I399" s="14" t="s">
        <v>1621</v>
      </c>
      <c r="J399" s="15"/>
      <c r="K399" s="8" t="s">
        <v>1976</v>
      </c>
      <c r="L399" s="8"/>
      <c r="M399" s="6" t="s">
        <v>1623</v>
      </c>
      <c r="N399" s="6" t="s">
        <v>1624</v>
      </c>
      <c r="O399" s="7">
        <f>SUMIFS('05_상품별배치367'!$K$7:$K$373,'05_상품별배치367'!$E$7:$E$373,A399,'05_상품별배치367'!$H$7:$H$373,"본진")</f>
        <v>1</v>
      </c>
      <c r="P399" s="7">
        <f>SUMIFS('05_상품별배치367'!$K$7:$K$373,'05_상품별배치367'!$E$7:$E$373,A399,'05_상품별배치367'!$H$7:$H$373,"추가 진열")</f>
        <v>0</v>
      </c>
      <c r="Q399" s="7">
        <f>O399+P399</f>
        <v>1</v>
      </c>
      <c r="R399" s="7">
        <v>1</v>
      </c>
      <c r="S399" s="6" t="s">
        <v>1625</v>
      </c>
      <c r="T399" s="6" t="s">
        <v>3079</v>
      </c>
      <c r="U399" s="6"/>
      <c r="V399" s="16"/>
      <c r="W399" s="16"/>
      <c r="X399" s="16"/>
      <c r="Y399" s="6" t="s">
        <v>1655</v>
      </c>
      <c r="Z399" s="15"/>
      <c r="AA399" s="15" t="s">
        <v>1628</v>
      </c>
    </row>
    <row r="400" spans="1:27" ht="33" customHeight="1">
      <c r="A400" s="8" t="s">
        <v>3091</v>
      </c>
      <c r="B400" s="9">
        <v>588</v>
      </c>
      <c r="C400" s="8" t="s">
        <v>3092</v>
      </c>
      <c r="D400" s="8" t="s">
        <v>2856</v>
      </c>
      <c r="E400" s="8" t="s">
        <v>2134</v>
      </c>
      <c r="F400" s="8" t="s">
        <v>2933</v>
      </c>
      <c r="G400" s="8" t="s">
        <v>1668</v>
      </c>
      <c r="H400" s="8"/>
      <c r="I400" s="14" t="s">
        <v>1807</v>
      </c>
      <c r="J400" s="15"/>
      <c r="K400" s="8" t="s">
        <v>1976</v>
      </c>
      <c r="L400" s="8" t="s">
        <v>2032</v>
      </c>
      <c r="M400" s="6" t="s">
        <v>1809</v>
      </c>
      <c r="N400" s="6" t="s">
        <v>1644</v>
      </c>
      <c r="O400" s="7">
        <f>SUMIFS('05_상품별배치367'!$K$7:$K$373,'05_상품별배치367'!$E$7:$E$373,A400,'05_상품별배치367'!$H$7:$H$373,"본진")</f>
        <v>0</v>
      </c>
      <c r="P400" s="7">
        <f>SUMIFS('05_상품별배치367'!$K$7:$K$373,'05_상품별배치367'!$E$7:$E$373,A400,'05_상품별배치367'!$H$7:$H$373,"추가 진열")</f>
        <v>0</v>
      </c>
      <c r="Q400" s="7">
        <f>O400+P400</f>
        <v>0</v>
      </c>
      <c r="R400" s="7">
        <v>0</v>
      </c>
      <c r="S400" s="6" t="s">
        <v>1810</v>
      </c>
      <c r="T400" s="6" t="s">
        <v>3079</v>
      </c>
      <c r="U400" s="6"/>
      <c r="V400" s="16"/>
      <c r="W400" s="16"/>
      <c r="X400" s="16"/>
      <c r="Y400" s="6" t="s">
        <v>1627</v>
      </c>
      <c r="Z400" s="15"/>
      <c r="AA400" s="15" t="s">
        <v>1628</v>
      </c>
    </row>
    <row r="401" spans="1:27" ht="33" customHeight="1">
      <c r="A401" s="8" t="s">
        <v>3082</v>
      </c>
      <c r="B401" s="9">
        <v>584</v>
      </c>
      <c r="C401" s="8" t="s">
        <v>3083</v>
      </c>
      <c r="D401" s="8" t="s">
        <v>2133</v>
      </c>
      <c r="E401" s="8" t="s">
        <v>1986</v>
      </c>
      <c r="F401" s="8" t="s">
        <v>493</v>
      </c>
      <c r="G401" s="8" t="s">
        <v>299</v>
      </c>
      <c r="H401" s="8"/>
      <c r="I401" s="14" t="s">
        <v>1642</v>
      </c>
      <c r="J401" s="15"/>
      <c r="K401" s="8" t="s">
        <v>1976</v>
      </c>
      <c r="L401" s="8"/>
      <c r="M401" s="6" t="s">
        <v>1643</v>
      </c>
      <c r="N401" s="6" t="s">
        <v>1644</v>
      </c>
      <c r="O401" s="7">
        <f>SUMIFS('05_상품별배치367'!$K$7:$K$373,'05_상품별배치367'!$E$7:$E$373,A401,'05_상품별배치367'!$H$7:$H$373,"본진")</f>
        <v>0</v>
      </c>
      <c r="P401" s="7">
        <f>SUMIFS('05_상품별배치367'!$K$7:$K$373,'05_상품별배치367'!$E$7:$E$373,A401,'05_상품별배치367'!$H$7:$H$373,"추가 진열")</f>
        <v>0</v>
      </c>
      <c r="Q401" s="7">
        <f>O401+P401</f>
        <v>0</v>
      </c>
      <c r="R401" s="7">
        <v>1</v>
      </c>
      <c r="S401" s="6" t="s">
        <v>3084</v>
      </c>
      <c r="T401" s="6" t="s">
        <v>3079</v>
      </c>
      <c r="U401" s="6"/>
      <c r="V401" s="16"/>
      <c r="W401" s="16"/>
      <c r="X401" s="16"/>
      <c r="Y401" s="6" t="s">
        <v>1627</v>
      </c>
      <c r="Z401" s="15"/>
      <c r="AA401" s="15" t="s">
        <v>1628</v>
      </c>
    </row>
    <row r="402" spans="1:27" ht="33" customHeight="1">
      <c r="A402" s="8" t="s">
        <v>3077</v>
      </c>
      <c r="B402" s="9">
        <v>582</v>
      </c>
      <c r="C402" s="8" t="s">
        <v>3078</v>
      </c>
      <c r="D402" s="8" t="s">
        <v>2856</v>
      </c>
      <c r="E402" s="8" t="s">
        <v>2134</v>
      </c>
      <c r="F402" s="8" t="s">
        <v>2933</v>
      </c>
      <c r="G402" s="8" t="s">
        <v>1668</v>
      </c>
      <c r="H402" s="8"/>
      <c r="I402" s="14" t="s">
        <v>1807</v>
      </c>
      <c r="J402" s="15"/>
      <c r="K402" s="8" t="s">
        <v>1976</v>
      </c>
      <c r="L402" s="8" t="s">
        <v>2032</v>
      </c>
      <c r="M402" s="6" t="s">
        <v>1809</v>
      </c>
      <c r="N402" s="6" t="s">
        <v>1644</v>
      </c>
      <c r="O402" s="7">
        <f>SUMIFS('05_상품별배치367'!$K$7:$K$373,'05_상품별배치367'!$E$7:$E$373,A402,'05_상품별배치367'!$H$7:$H$373,"본진")</f>
        <v>0</v>
      </c>
      <c r="P402" s="7">
        <f>SUMIFS('05_상품별배치367'!$K$7:$K$373,'05_상품별배치367'!$E$7:$E$373,A402,'05_상품별배치367'!$H$7:$H$373,"추가 진열")</f>
        <v>0</v>
      </c>
      <c r="Q402" s="7">
        <f>O402+P402</f>
        <v>0</v>
      </c>
      <c r="R402" s="7">
        <v>0</v>
      </c>
      <c r="S402" s="6" t="s">
        <v>1810</v>
      </c>
      <c r="T402" s="6" t="s">
        <v>3079</v>
      </c>
      <c r="U402" s="6"/>
      <c r="V402" s="16"/>
      <c r="W402" s="16"/>
      <c r="X402" s="16"/>
      <c r="Y402" s="6" t="s">
        <v>1627</v>
      </c>
      <c r="Z402" s="15"/>
      <c r="AA402" s="15" t="s">
        <v>1628</v>
      </c>
    </row>
    <row r="403" spans="1:27" ht="33" customHeight="1">
      <c r="A403" s="6" t="s">
        <v>3080</v>
      </c>
      <c r="B403" s="7">
        <v>583</v>
      </c>
      <c r="C403" s="6" t="s">
        <v>3081</v>
      </c>
      <c r="D403" s="6" t="s">
        <v>2913</v>
      </c>
      <c r="E403" s="6" t="s">
        <v>2134</v>
      </c>
      <c r="F403" s="6" t="s">
        <v>2933</v>
      </c>
      <c r="G403" s="6" t="s">
        <v>1668</v>
      </c>
      <c r="H403" s="6"/>
      <c r="I403" s="14" t="s">
        <v>1807</v>
      </c>
      <c r="J403" s="15"/>
      <c r="K403" s="6" t="s">
        <v>1976</v>
      </c>
      <c r="L403" s="6" t="s">
        <v>2032</v>
      </c>
      <c r="M403" s="6" t="s">
        <v>1809</v>
      </c>
      <c r="N403" s="6" t="s">
        <v>1644</v>
      </c>
      <c r="O403" s="7">
        <f>SUMIFS('05_상품별배치367'!$K$7:$K$373,'05_상품별배치367'!$E$7:$E$373,A403,'05_상품별배치367'!$H$7:$H$373,"본진")</f>
        <v>0</v>
      </c>
      <c r="P403" s="7">
        <f>SUMIFS('05_상품별배치367'!$K$7:$K$373,'05_상품별배치367'!$E$7:$E$373,A403,'05_상품별배치367'!$H$7:$H$373,"추가 진열")</f>
        <v>0</v>
      </c>
      <c r="Q403" s="7">
        <f>O403+P403</f>
        <v>0</v>
      </c>
      <c r="R403" s="7">
        <v>0</v>
      </c>
      <c r="S403" s="6" t="s">
        <v>1810</v>
      </c>
      <c r="T403" s="6" t="s">
        <v>3079</v>
      </c>
      <c r="U403" s="6"/>
      <c r="V403" s="16"/>
      <c r="W403" s="16"/>
      <c r="X403" s="16"/>
      <c r="Y403" s="6" t="s">
        <v>1627</v>
      </c>
      <c r="Z403" s="15"/>
      <c r="AA403" s="15" t="s">
        <v>1628</v>
      </c>
    </row>
    <row r="404" spans="1:27" ht="33" customHeight="1">
      <c r="A404" s="6" t="s">
        <v>3085</v>
      </c>
      <c r="B404" s="7">
        <v>585</v>
      </c>
      <c r="C404" s="6" t="s">
        <v>3086</v>
      </c>
      <c r="D404" s="6" t="s">
        <v>2588</v>
      </c>
      <c r="E404" s="6" t="s">
        <v>2134</v>
      </c>
      <c r="F404" s="6" t="s">
        <v>161</v>
      </c>
      <c r="G404" s="6" t="s">
        <v>395</v>
      </c>
      <c r="H404" s="6" t="s">
        <v>1302</v>
      </c>
      <c r="I404" s="14" t="s">
        <v>1633</v>
      </c>
      <c r="J404" s="15"/>
      <c r="K404" s="6" t="s">
        <v>1976</v>
      </c>
      <c r="L404" s="6"/>
      <c r="M404" s="6" t="s">
        <v>1635</v>
      </c>
      <c r="N404" s="6" t="s">
        <v>1644</v>
      </c>
      <c r="O404" s="7">
        <f>SUMIFS('05_상품별배치367'!$K$7:$K$373,'05_상품별배치367'!$E$7:$E$373,A404,'05_상품별배치367'!$H$7:$H$373,"본진")</f>
        <v>1</v>
      </c>
      <c r="P404" s="7">
        <f>SUMIFS('05_상품별배치367'!$K$7:$K$373,'05_상품별배치367'!$E$7:$E$373,A404,'05_상품별배치367'!$H$7:$H$373,"추가 진열")</f>
        <v>0</v>
      </c>
      <c r="Q404" s="7">
        <f>O404+P404</f>
        <v>1</v>
      </c>
      <c r="R404" s="7">
        <v>1</v>
      </c>
      <c r="S404" s="6" t="s">
        <v>1636</v>
      </c>
      <c r="T404" s="6" t="s">
        <v>3079</v>
      </c>
      <c r="U404" s="6"/>
      <c r="V404" s="16"/>
      <c r="W404" s="16"/>
      <c r="X404" s="16"/>
      <c r="Y404" s="6" t="s">
        <v>1627</v>
      </c>
      <c r="Z404" s="15"/>
      <c r="AA404" s="15" t="s">
        <v>1628</v>
      </c>
    </row>
    <row r="405" spans="1:27" ht="33" customHeight="1">
      <c r="A405" s="6" t="s">
        <v>6321</v>
      </c>
      <c r="B405" s="7">
        <v>2085</v>
      </c>
      <c r="C405" s="6" t="s">
        <v>6322</v>
      </c>
      <c r="D405" s="6" t="s">
        <v>6323</v>
      </c>
      <c r="E405" s="6" t="s">
        <v>1695</v>
      </c>
      <c r="F405" s="6" t="s">
        <v>519</v>
      </c>
      <c r="G405" s="6" t="s">
        <v>455</v>
      </c>
      <c r="H405" s="6" t="s">
        <v>1425</v>
      </c>
      <c r="I405" s="14" t="s">
        <v>1633</v>
      </c>
      <c r="J405" s="15"/>
      <c r="K405" s="6" t="s">
        <v>1696</v>
      </c>
      <c r="L405" s="6"/>
      <c r="M405" s="6" t="s">
        <v>1635</v>
      </c>
      <c r="N405" s="6" t="s">
        <v>1624</v>
      </c>
      <c r="O405" s="7">
        <f>SUMIFS('05_상품별배치367'!$K$7:$K$373,'05_상품별배치367'!$E$7:$E$373,A405,'05_상품별배치367'!$H$7:$H$373,"본진")</f>
        <v>1</v>
      </c>
      <c r="P405" s="7">
        <f>SUMIFS('05_상품별배치367'!$K$7:$K$373,'05_상품별배치367'!$E$7:$E$373,A405,'05_상품별배치367'!$H$7:$H$373,"추가 진열")</f>
        <v>0</v>
      </c>
      <c r="Q405" s="7">
        <f>O405+P405</f>
        <v>1</v>
      </c>
      <c r="R405" s="7">
        <v>1</v>
      </c>
      <c r="S405" s="6" t="s">
        <v>1636</v>
      </c>
      <c r="T405" s="6" t="s">
        <v>1637</v>
      </c>
      <c r="U405" s="6"/>
      <c r="V405" s="16"/>
      <c r="W405" s="16"/>
      <c r="X405" s="16"/>
      <c r="Y405" s="6" t="s">
        <v>1627</v>
      </c>
      <c r="Z405" s="15"/>
      <c r="AA405" s="15" t="s">
        <v>1628</v>
      </c>
    </row>
    <row r="406" spans="1:27" ht="33" customHeight="1">
      <c r="A406" s="8" t="s">
        <v>6324</v>
      </c>
      <c r="B406" s="9">
        <v>2086</v>
      </c>
      <c r="C406" s="8" t="s">
        <v>6325</v>
      </c>
      <c r="D406" s="8" t="s">
        <v>3232</v>
      </c>
      <c r="E406" s="8" t="s">
        <v>1695</v>
      </c>
      <c r="F406" s="8" t="s">
        <v>519</v>
      </c>
      <c r="G406" s="8" t="s">
        <v>455</v>
      </c>
      <c r="H406" s="8"/>
      <c r="I406" s="14" t="s">
        <v>1642</v>
      </c>
      <c r="J406" s="15"/>
      <c r="K406" s="8" t="s">
        <v>1696</v>
      </c>
      <c r="L406" s="8"/>
      <c r="M406" s="6" t="s">
        <v>1643</v>
      </c>
      <c r="N406" s="6" t="s">
        <v>1624</v>
      </c>
      <c r="O406" s="7">
        <f>SUMIFS('05_상품별배치367'!$K$7:$K$373,'05_상품별배치367'!$E$7:$E$373,A406,'05_상품별배치367'!$H$7:$H$373,"본진")</f>
        <v>0</v>
      </c>
      <c r="P406" s="7">
        <f>SUMIFS('05_상품별배치367'!$K$7:$K$373,'05_상품별배치367'!$E$7:$E$373,A406,'05_상품별배치367'!$H$7:$H$373,"추가 진열")</f>
        <v>0</v>
      </c>
      <c r="Q406" s="7">
        <f>O406+P406</f>
        <v>0</v>
      </c>
      <c r="R406" s="7">
        <v>1</v>
      </c>
      <c r="S406" s="6" t="s">
        <v>1938</v>
      </c>
      <c r="T406" s="6" t="s">
        <v>1637</v>
      </c>
      <c r="U406" s="6"/>
      <c r="V406" s="16"/>
      <c r="W406" s="16"/>
      <c r="X406" s="16"/>
      <c r="Y406" s="6" t="s">
        <v>1627</v>
      </c>
      <c r="Z406" s="15"/>
      <c r="AA406" s="15" t="s">
        <v>1628</v>
      </c>
    </row>
    <row r="407" spans="1:27" ht="33" customHeight="1">
      <c r="A407" s="6" t="s">
        <v>6326</v>
      </c>
      <c r="B407" s="7">
        <v>2087</v>
      </c>
      <c r="C407" s="6" t="s">
        <v>6327</v>
      </c>
      <c r="D407" s="6" t="s">
        <v>6328</v>
      </c>
      <c r="E407" s="6" t="s">
        <v>1981</v>
      </c>
      <c r="F407" s="6" t="s">
        <v>122</v>
      </c>
      <c r="G407" s="6" t="s">
        <v>185</v>
      </c>
      <c r="H407" s="6" t="s">
        <v>891</v>
      </c>
      <c r="I407" s="14" t="s">
        <v>1633</v>
      </c>
      <c r="J407" s="15"/>
      <c r="K407" s="6" t="s">
        <v>1982</v>
      </c>
      <c r="L407" s="6"/>
      <c r="M407" s="6" t="s">
        <v>1635</v>
      </c>
      <c r="N407" s="6" t="s">
        <v>1624</v>
      </c>
      <c r="O407" s="7">
        <f>SUMIFS('05_상품별배치367'!$K$7:$K$373,'05_상품별배치367'!$E$7:$E$373,A407,'05_상품별배치367'!$H$7:$H$373,"본진")</f>
        <v>1</v>
      </c>
      <c r="P407" s="7">
        <f>SUMIFS('05_상품별배치367'!$K$7:$K$373,'05_상품별배치367'!$E$7:$E$373,A407,'05_상품별배치367'!$H$7:$H$373,"추가 진열")</f>
        <v>0</v>
      </c>
      <c r="Q407" s="7">
        <f>O407+P407</f>
        <v>1</v>
      </c>
      <c r="R407" s="7">
        <v>1</v>
      </c>
      <c r="S407" s="6" t="s">
        <v>1636</v>
      </c>
      <c r="T407" s="6" t="s">
        <v>1637</v>
      </c>
      <c r="U407" s="6"/>
      <c r="V407" s="16"/>
      <c r="W407" s="16"/>
      <c r="X407" s="16"/>
      <c r="Y407" s="6" t="s">
        <v>1655</v>
      </c>
      <c r="Z407" s="15"/>
      <c r="AA407" s="15" t="s">
        <v>1628</v>
      </c>
    </row>
    <row r="408" spans="1:27" ht="33" customHeight="1">
      <c r="A408" s="8" t="s">
        <v>6329</v>
      </c>
      <c r="B408" s="9">
        <v>2088</v>
      </c>
      <c r="C408" s="8" t="s">
        <v>6330</v>
      </c>
      <c r="D408" s="8" t="s">
        <v>4222</v>
      </c>
      <c r="E408" s="8" t="s">
        <v>1981</v>
      </c>
      <c r="F408" s="8" t="s">
        <v>122</v>
      </c>
      <c r="G408" s="8" t="s">
        <v>185</v>
      </c>
      <c r="H408" s="8" t="s">
        <v>879</v>
      </c>
      <c r="I408" s="14" t="s">
        <v>1633</v>
      </c>
      <c r="J408" s="15"/>
      <c r="K408" s="8" t="s">
        <v>1982</v>
      </c>
      <c r="L408" s="8"/>
      <c r="M408" s="6" t="s">
        <v>1635</v>
      </c>
      <c r="N408" s="6" t="s">
        <v>1624</v>
      </c>
      <c r="O408" s="7">
        <f>SUMIFS('05_상품별배치367'!$K$7:$K$373,'05_상품별배치367'!$E$7:$E$373,A408,'05_상품별배치367'!$H$7:$H$373,"본진")</f>
        <v>1</v>
      </c>
      <c r="P408" s="7">
        <f>SUMIFS('05_상품별배치367'!$K$7:$K$373,'05_상품별배치367'!$E$7:$E$373,A408,'05_상품별배치367'!$H$7:$H$373,"추가 진열")</f>
        <v>0</v>
      </c>
      <c r="Q408" s="7">
        <f>O408+P408</f>
        <v>1</v>
      </c>
      <c r="R408" s="7">
        <v>1</v>
      </c>
      <c r="S408" s="6" t="s">
        <v>1636</v>
      </c>
      <c r="T408" s="6" t="s">
        <v>1637</v>
      </c>
      <c r="U408" s="6"/>
      <c r="V408" s="16"/>
      <c r="W408" s="16"/>
      <c r="X408" s="16"/>
      <c r="Y408" s="6" t="s">
        <v>1655</v>
      </c>
      <c r="Z408" s="15"/>
      <c r="AA408" s="15" t="s">
        <v>1628</v>
      </c>
    </row>
    <row r="409" spans="1:27" ht="33" customHeight="1">
      <c r="A409" s="6" t="s">
        <v>6331</v>
      </c>
      <c r="B409" s="7">
        <v>2089</v>
      </c>
      <c r="C409" s="6" t="s">
        <v>6332</v>
      </c>
      <c r="D409" s="6" t="s">
        <v>6333</v>
      </c>
      <c r="E409" s="6" t="s">
        <v>1743</v>
      </c>
      <c r="F409" s="6" t="s">
        <v>2129</v>
      </c>
      <c r="G409" s="6" t="s">
        <v>1668</v>
      </c>
      <c r="H409" s="6"/>
      <c r="I409" s="14" t="s">
        <v>1642</v>
      </c>
      <c r="J409" s="15"/>
      <c r="K409" s="6" t="s">
        <v>1696</v>
      </c>
      <c r="L409" s="6"/>
      <c r="M409" s="6" t="s">
        <v>1643</v>
      </c>
      <c r="N409" s="6" t="s">
        <v>1644</v>
      </c>
      <c r="O409" s="7">
        <f>SUMIFS('05_상품별배치367'!$K$7:$K$373,'05_상품별배치367'!$E$7:$E$373,A409,'05_상품별배치367'!$H$7:$H$373,"본진")</f>
        <v>0</v>
      </c>
      <c r="P409" s="7">
        <f>SUMIFS('05_상품별배치367'!$K$7:$K$373,'05_상품별배치367'!$E$7:$E$373,A409,'05_상품별배치367'!$H$7:$H$373,"추가 진열")</f>
        <v>0</v>
      </c>
      <c r="Q409" s="7">
        <f>O409+P409</f>
        <v>0</v>
      </c>
      <c r="R409" s="7">
        <v>1</v>
      </c>
      <c r="S409" s="6" t="s">
        <v>2130</v>
      </c>
      <c r="T409" s="6" t="s">
        <v>1637</v>
      </c>
      <c r="U409" s="6"/>
      <c r="V409" s="16"/>
      <c r="W409" s="16"/>
      <c r="X409" s="16"/>
      <c r="Y409" s="6" t="s">
        <v>1655</v>
      </c>
      <c r="Z409" s="15"/>
      <c r="AA409" s="15" t="s">
        <v>1628</v>
      </c>
    </row>
    <row r="410" spans="1:27" ht="33" customHeight="1">
      <c r="A410" s="8" t="s">
        <v>6334</v>
      </c>
      <c r="B410" s="9">
        <v>2090</v>
      </c>
      <c r="C410" s="8" t="s">
        <v>6335</v>
      </c>
      <c r="D410" s="8" t="s">
        <v>6333</v>
      </c>
      <c r="E410" s="8" t="s">
        <v>1743</v>
      </c>
      <c r="F410" s="8" t="s">
        <v>2129</v>
      </c>
      <c r="G410" s="8" t="s">
        <v>1668</v>
      </c>
      <c r="H410" s="8"/>
      <c r="I410" s="14" t="s">
        <v>1642</v>
      </c>
      <c r="J410" s="15"/>
      <c r="K410" s="8" t="s">
        <v>1696</v>
      </c>
      <c r="L410" s="8"/>
      <c r="M410" s="6" t="s">
        <v>1643</v>
      </c>
      <c r="N410" s="6" t="s">
        <v>1644</v>
      </c>
      <c r="O410" s="7">
        <f>SUMIFS('05_상품별배치367'!$K$7:$K$373,'05_상품별배치367'!$E$7:$E$373,A410,'05_상품별배치367'!$H$7:$H$373,"본진")</f>
        <v>0</v>
      </c>
      <c r="P410" s="7">
        <f>SUMIFS('05_상품별배치367'!$K$7:$K$373,'05_상품별배치367'!$E$7:$E$373,A410,'05_상품별배치367'!$H$7:$H$373,"추가 진열")</f>
        <v>0</v>
      </c>
      <c r="Q410" s="7">
        <f>O410+P410</f>
        <v>0</v>
      </c>
      <c r="R410" s="7">
        <v>1</v>
      </c>
      <c r="S410" s="6" t="s">
        <v>2130</v>
      </c>
      <c r="T410" s="6" t="s">
        <v>1637</v>
      </c>
      <c r="U410" s="6"/>
      <c r="V410" s="16"/>
      <c r="W410" s="16"/>
      <c r="X410" s="16"/>
      <c r="Y410" s="6" t="s">
        <v>1655</v>
      </c>
      <c r="Z410" s="15"/>
      <c r="AA410" s="15" t="s">
        <v>1628</v>
      </c>
    </row>
    <row r="411" spans="1:27" ht="33" customHeight="1">
      <c r="A411" s="6" t="s">
        <v>2101</v>
      </c>
      <c r="B411" s="7">
        <v>171</v>
      </c>
      <c r="C411" s="6" t="s">
        <v>2102</v>
      </c>
      <c r="D411" s="6" t="s">
        <v>2103</v>
      </c>
      <c r="E411" s="6" t="s">
        <v>1620</v>
      </c>
      <c r="F411" s="6" t="s">
        <v>1220</v>
      </c>
      <c r="G411" s="6" t="s">
        <v>349</v>
      </c>
      <c r="H411" s="6"/>
      <c r="I411" s="14" t="s">
        <v>1642</v>
      </c>
      <c r="J411" s="15"/>
      <c r="K411" s="6" t="s">
        <v>1622</v>
      </c>
      <c r="L411" s="6"/>
      <c r="M411" s="6" t="s">
        <v>1643</v>
      </c>
      <c r="N411" s="6" t="s">
        <v>1644</v>
      </c>
      <c r="O411" s="7">
        <f>SUMIFS('05_상품별배치367'!$K$7:$K$373,'05_상품별배치367'!$E$7:$E$373,A411,'05_상품별배치367'!$H$7:$H$373,"본진")</f>
        <v>0</v>
      </c>
      <c r="P411" s="7">
        <f>SUMIFS('05_상품별배치367'!$K$7:$K$373,'05_상품별배치367'!$E$7:$E$373,A411,'05_상품별배치367'!$H$7:$H$373,"추가 진열")</f>
        <v>0</v>
      </c>
      <c r="Q411" s="7">
        <f>O411+P411</f>
        <v>0</v>
      </c>
      <c r="R411" s="7">
        <v>1</v>
      </c>
      <c r="S411" s="6" t="s">
        <v>2080</v>
      </c>
      <c r="T411" s="6" t="s">
        <v>1637</v>
      </c>
      <c r="U411" s="6"/>
      <c r="V411" s="16"/>
      <c r="W411" s="16"/>
      <c r="X411" s="16"/>
      <c r="Y411" s="6" t="s">
        <v>1655</v>
      </c>
      <c r="Z411" s="15"/>
      <c r="AA411" s="15" t="s">
        <v>1628</v>
      </c>
    </row>
    <row r="412" spans="1:27" ht="33" customHeight="1">
      <c r="A412" s="8" t="s">
        <v>2104</v>
      </c>
      <c r="B412" s="9">
        <v>172</v>
      </c>
      <c r="C412" s="8" t="s">
        <v>2105</v>
      </c>
      <c r="D412" s="8" t="s">
        <v>1619</v>
      </c>
      <c r="E412" s="8" t="s">
        <v>1620</v>
      </c>
      <c r="F412" s="8" t="s">
        <v>505</v>
      </c>
      <c r="G412" s="8" t="s">
        <v>358</v>
      </c>
      <c r="H412" s="8"/>
      <c r="I412" s="14" t="s">
        <v>1642</v>
      </c>
      <c r="J412" s="15"/>
      <c r="K412" s="8" t="s">
        <v>1622</v>
      </c>
      <c r="L412" s="8"/>
      <c r="M412" s="6" t="s">
        <v>1643</v>
      </c>
      <c r="N412" s="6" t="s">
        <v>1644</v>
      </c>
      <c r="O412" s="7">
        <f>SUMIFS('05_상품별배치367'!$K$7:$K$373,'05_상품별배치367'!$E$7:$E$373,A412,'05_상품별배치367'!$H$7:$H$373,"본진")</f>
        <v>0</v>
      </c>
      <c r="P412" s="7">
        <f>SUMIFS('05_상품별배치367'!$K$7:$K$373,'05_상품별배치367'!$E$7:$E$373,A412,'05_상품별배치367'!$H$7:$H$373,"추가 진열")</f>
        <v>0</v>
      </c>
      <c r="Q412" s="7">
        <f>O412+P412</f>
        <v>0</v>
      </c>
      <c r="R412" s="7">
        <v>1</v>
      </c>
      <c r="S412" s="6" t="s">
        <v>1793</v>
      </c>
      <c r="T412" s="6" t="s">
        <v>1637</v>
      </c>
      <c r="U412" s="6"/>
      <c r="V412" s="16"/>
      <c r="W412" s="16"/>
      <c r="X412" s="16"/>
      <c r="Y412" s="6" t="s">
        <v>1627</v>
      </c>
      <c r="Z412" s="15"/>
      <c r="AA412" s="15" t="s">
        <v>1628</v>
      </c>
    </row>
    <row r="413" spans="1:27" ht="33" customHeight="1">
      <c r="A413" s="6" t="s">
        <v>2106</v>
      </c>
      <c r="B413" s="7">
        <v>173</v>
      </c>
      <c r="C413" s="6" t="s">
        <v>2107</v>
      </c>
      <c r="D413" s="6" t="s">
        <v>2108</v>
      </c>
      <c r="E413" s="6" t="s">
        <v>1666</v>
      </c>
      <c r="F413" s="6" t="s">
        <v>1852</v>
      </c>
      <c r="G413" s="6" t="s">
        <v>1853</v>
      </c>
      <c r="H413" s="6"/>
      <c r="I413" s="14" t="s">
        <v>1669</v>
      </c>
      <c r="J413" s="15"/>
      <c r="K413" s="6" t="s">
        <v>1670</v>
      </c>
      <c r="L413" s="6"/>
      <c r="M413" s="6" t="s">
        <v>1671</v>
      </c>
      <c r="N413" s="6" t="s">
        <v>1644</v>
      </c>
      <c r="O413" s="7">
        <f>SUMIFS('05_상품별배치367'!$K$7:$K$373,'05_상품별배치367'!$E$7:$E$373,A413,'05_상품별배치367'!$H$7:$H$373,"본진")</f>
        <v>0</v>
      </c>
      <c r="P413" s="7">
        <f>SUMIFS('05_상품별배치367'!$K$7:$K$373,'05_상품별배치367'!$E$7:$E$373,A413,'05_상품별배치367'!$H$7:$H$373,"추가 진열")</f>
        <v>0</v>
      </c>
      <c r="Q413" s="7">
        <f>O413+P413</f>
        <v>0</v>
      </c>
      <c r="R413" s="7">
        <v>0</v>
      </c>
      <c r="S413" s="6" t="s">
        <v>1672</v>
      </c>
      <c r="T413" s="6" t="s">
        <v>1637</v>
      </c>
      <c r="U413" s="6"/>
      <c r="V413" s="16"/>
      <c r="W413" s="16"/>
      <c r="X413" s="16"/>
      <c r="Y413" s="6" t="s">
        <v>1655</v>
      </c>
      <c r="Z413" s="15"/>
      <c r="AA413" s="15" t="s">
        <v>1628</v>
      </c>
    </row>
    <row r="414" spans="1:27" ht="33" customHeight="1">
      <c r="A414" s="8" t="s">
        <v>1924</v>
      </c>
      <c r="B414" s="9">
        <v>108</v>
      </c>
      <c r="C414" s="8" t="s">
        <v>1925</v>
      </c>
      <c r="D414" s="8" t="s">
        <v>1926</v>
      </c>
      <c r="E414" s="8" t="s">
        <v>1695</v>
      </c>
      <c r="F414" s="8" t="s">
        <v>770</v>
      </c>
      <c r="G414" s="8" t="s">
        <v>131</v>
      </c>
      <c r="H414" s="8" t="s">
        <v>771</v>
      </c>
      <c r="I414" s="14" t="s">
        <v>1621</v>
      </c>
      <c r="J414" s="15"/>
      <c r="K414" s="8" t="s">
        <v>1696</v>
      </c>
      <c r="L414" s="8"/>
      <c r="M414" s="6" t="s">
        <v>1623</v>
      </c>
      <c r="N414" s="6" t="s">
        <v>1624</v>
      </c>
      <c r="O414" s="7">
        <f>SUMIFS('05_상품별배치367'!$K$7:$K$373,'05_상품별배치367'!$E$7:$E$373,A414,'05_상품별배치367'!$H$7:$H$373,"본진")</f>
        <v>1</v>
      </c>
      <c r="P414" s="7">
        <f>SUMIFS('05_상품별배치367'!$K$7:$K$373,'05_상품별배치367'!$E$7:$E$373,A414,'05_상품별배치367'!$H$7:$H$373,"추가 진열")</f>
        <v>0</v>
      </c>
      <c r="Q414" s="7">
        <f>O414+P414</f>
        <v>1</v>
      </c>
      <c r="R414" s="7">
        <v>1</v>
      </c>
      <c r="S414" s="6" t="s">
        <v>1625</v>
      </c>
      <c r="T414" s="6" t="s">
        <v>1637</v>
      </c>
      <c r="U414" s="6"/>
      <c r="V414" s="16"/>
      <c r="W414" s="16"/>
      <c r="X414" s="16"/>
      <c r="Y414" s="6" t="s">
        <v>1627</v>
      </c>
      <c r="Z414" s="15"/>
      <c r="AA414" s="15" t="s">
        <v>1628</v>
      </c>
    </row>
    <row r="415" spans="1:27" ht="33" customHeight="1">
      <c r="A415" s="6" t="s">
        <v>1927</v>
      </c>
      <c r="B415" s="7">
        <v>109</v>
      </c>
      <c r="C415" s="6" t="s">
        <v>1928</v>
      </c>
      <c r="D415" s="6" t="s">
        <v>1926</v>
      </c>
      <c r="E415" s="6" t="s">
        <v>1695</v>
      </c>
      <c r="F415" s="6" t="s">
        <v>770</v>
      </c>
      <c r="G415" s="6" t="s">
        <v>131</v>
      </c>
      <c r="H415" s="6"/>
      <c r="I415" s="14" t="s">
        <v>1642</v>
      </c>
      <c r="J415" s="15"/>
      <c r="K415" s="6" t="s">
        <v>1696</v>
      </c>
      <c r="L415" s="6"/>
      <c r="M415" s="6" t="s">
        <v>1643</v>
      </c>
      <c r="N415" s="6" t="s">
        <v>1624</v>
      </c>
      <c r="O415" s="7">
        <f>SUMIFS('05_상품별배치367'!$K$7:$K$373,'05_상품별배치367'!$E$7:$E$373,A415,'05_상품별배치367'!$H$7:$H$373,"본진")</f>
        <v>0</v>
      </c>
      <c r="P415" s="7">
        <f>SUMIFS('05_상품별배치367'!$K$7:$K$373,'05_상품별배치367'!$E$7:$E$373,A415,'05_상품별배치367'!$H$7:$H$373,"추가 진열")</f>
        <v>0</v>
      </c>
      <c r="Q415" s="7">
        <f>O415+P415</f>
        <v>0</v>
      </c>
      <c r="R415" s="7">
        <v>1</v>
      </c>
      <c r="S415" s="6" t="s">
        <v>1891</v>
      </c>
      <c r="T415" s="6" t="s">
        <v>1637</v>
      </c>
      <c r="U415" s="6"/>
      <c r="V415" s="16"/>
      <c r="W415" s="16"/>
      <c r="X415" s="16"/>
      <c r="Y415" s="6" t="s">
        <v>1627</v>
      </c>
      <c r="Z415" s="15"/>
      <c r="AA415" s="15" t="s">
        <v>1628</v>
      </c>
    </row>
    <row r="416" spans="1:27" ht="33" customHeight="1">
      <c r="A416" s="8" t="s">
        <v>1929</v>
      </c>
      <c r="B416" s="9">
        <v>110</v>
      </c>
      <c r="C416" s="8" t="s">
        <v>1930</v>
      </c>
      <c r="D416" s="8" t="s">
        <v>1931</v>
      </c>
      <c r="E416" s="8" t="s">
        <v>1695</v>
      </c>
      <c r="F416" s="8" t="s">
        <v>1143</v>
      </c>
      <c r="G416" s="8" t="s">
        <v>315</v>
      </c>
      <c r="H416" s="8" t="s">
        <v>1142</v>
      </c>
      <c r="I416" s="14" t="s">
        <v>1633</v>
      </c>
      <c r="J416" s="15"/>
      <c r="K416" s="8" t="s">
        <v>1696</v>
      </c>
      <c r="L416" s="8"/>
      <c r="M416" s="6" t="s">
        <v>1635</v>
      </c>
      <c r="N416" s="6" t="s">
        <v>1624</v>
      </c>
      <c r="O416" s="7">
        <f>SUMIFS('05_상품별배치367'!$K$7:$K$373,'05_상품별배치367'!$E$7:$E$373,A416,'05_상품별배치367'!$H$7:$H$373,"본진")</f>
        <v>1</v>
      </c>
      <c r="P416" s="7">
        <f>SUMIFS('05_상품별배치367'!$K$7:$K$373,'05_상품별배치367'!$E$7:$E$373,A416,'05_상품별배치367'!$H$7:$H$373,"추가 진열")</f>
        <v>0</v>
      </c>
      <c r="Q416" s="7">
        <f>O416+P416</f>
        <v>1</v>
      </c>
      <c r="R416" s="7">
        <v>1</v>
      </c>
      <c r="S416" s="6" t="s">
        <v>1636</v>
      </c>
      <c r="T416" s="6" t="s">
        <v>1637</v>
      </c>
      <c r="U416" s="6"/>
      <c r="V416" s="16"/>
      <c r="W416" s="16"/>
      <c r="X416" s="16"/>
      <c r="Y416" s="6" t="s">
        <v>1627</v>
      </c>
      <c r="Z416" s="15"/>
      <c r="AA416" s="15" t="s">
        <v>1628</v>
      </c>
    </row>
    <row r="417" spans="1:27" ht="33" customHeight="1">
      <c r="A417" s="6" t="s">
        <v>5949</v>
      </c>
      <c r="B417" s="7">
        <v>1927</v>
      </c>
      <c r="C417" s="6" t="s">
        <v>5950</v>
      </c>
      <c r="D417" s="6"/>
      <c r="E417" s="6" t="s">
        <v>1620</v>
      </c>
      <c r="F417" s="6" t="s">
        <v>1220</v>
      </c>
      <c r="G417" s="6" t="s">
        <v>349</v>
      </c>
      <c r="H417" s="6"/>
      <c r="I417" s="14" t="s">
        <v>1807</v>
      </c>
      <c r="J417" s="15"/>
      <c r="K417" s="6" t="s">
        <v>1622</v>
      </c>
      <c r="L417" s="6" t="s">
        <v>2079</v>
      </c>
      <c r="M417" s="6" t="s">
        <v>1809</v>
      </c>
      <c r="N417" s="6" t="s">
        <v>1644</v>
      </c>
      <c r="O417" s="7">
        <f>SUMIFS('05_상품별배치367'!$K$7:$K$373,'05_상품별배치367'!$E$7:$E$373,A417,'05_상품별배치367'!$H$7:$H$373,"본진")</f>
        <v>0</v>
      </c>
      <c r="P417" s="7">
        <f>SUMIFS('05_상품별배치367'!$K$7:$K$373,'05_상품별배치367'!$E$7:$E$373,A417,'05_상품별배치367'!$H$7:$H$373,"추가 진열")</f>
        <v>0</v>
      </c>
      <c r="Q417" s="7">
        <f>O417+P417</f>
        <v>0</v>
      </c>
      <c r="R417" s="7">
        <v>0</v>
      </c>
      <c r="S417" s="6" t="s">
        <v>1810</v>
      </c>
      <c r="T417" s="6" t="s">
        <v>1637</v>
      </c>
      <c r="U417" s="6"/>
      <c r="V417" s="16"/>
      <c r="W417" s="16"/>
      <c r="X417" s="16"/>
      <c r="Y417" s="6" t="s">
        <v>5772</v>
      </c>
      <c r="Z417" s="15"/>
      <c r="AA417" s="15" t="s">
        <v>1628</v>
      </c>
    </row>
    <row r="418" spans="1:27" ht="33" customHeight="1">
      <c r="A418" s="8" t="s">
        <v>5938</v>
      </c>
      <c r="B418" s="9">
        <v>1922</v>
      </c>
      <c r="C418" s="8" t="s">
        <v>5939</v>
      </c>
      <c r="D418" s="8"/>
      <c r="E418" s="8" t="s">
        <v>1620</v>
      </c>
      <c r="F418" s="8" t="s">
        <v>1220</v>
      </c>
      <c r="G418" s="8" t="s">
        <v>349</v>
      </c>
      <c r="H418" s="8"/>
      <c r="I418" s="14" t="s">
        <v>1807</v>
      </c>
      <c r="J418" s="15"/>
      <c r="K418" s="8" t="s">
        <v>1622</v>
      </c>
      <c r="L418" s="8" t="s">
        <v>2079</v>
      </c>
      <c r="M418" s="6" t="s">
        <v>1809</v>
      </c>
      <c r="N418" s="6" t="s">
        <v>1644</v>
      </c>
      <c r="O418" s="7">
        <f>SUMIFS('05_상품별배치367'!$K$7:$K$373,'05_상품별배치367'!$E$7:$E$373,A418,'05_상품별배치367'!$H$7:$H$373,"본진")</f>
        <v>0</v>
      </c>
      <c r="P418" s="7">
        <f>SUMIFS('05_상품별배치367'!$K$7:$K$373,'05_상품별배치367'!$E$7:$E$373,A418,'05_상품별배치367'!$H$7:$H$373,"추가 진열")</f>
        <v>0</v>
      </c>
      <c r="Q418" s="7">
        <f>O418+P418</f>
        <v>0</v>
      </c>
      <c r="R418" s="7">
        <v>0</v>
      </c>
      <c r="S418" s="6" t="s">
        <v>1810</v>
      </c>
      <c r="T418" s="6" t="s">
        <v>1637</v>
      </c>
      <c r="U418" s="6"/>
      <c r="V418" s="16"/>
      <c r="W418" s="16"/>
      <c r="X418" s="16"/>
      <c r="Y418" s="6" t="s">
        <v>5772</v>
      </c>
      <c r="Z418" s="15"/>
      <c r="AA418" s="15" t="s">
        <v>1628</v>
      </c>
    </row>
    <row r="419" spans="1:27" ht="33" customHeight="1">
      <c r="A419" s="8" t="s">
        <v>5943</v>
      </c>
      <c r="B419" s="9">
        <v>1924</v>
      </c>
      <c r="C419" s="8" t="s">
        <v>5944</v>
      </c>
      <c r="D419" s="8"/>
      <c r="E419" s="8" t="s">
        <v>1620</v>
      </c>
      <c r="F419" s="8" t="s">
        <v>1220</v>
      </c>
      <c r="G419" s="8" t="s">
        <v>349</v>
      </c>
      <c r="H419" s="8"/>
      <c r="I419" s="14" t="s">
        <v>1807</v>
      </c>
      <c r="J419" s="15"/>
      <c r="K419" s="8" t="s">
        <v>1622</v>
      </c>
      <c r="L419" s="8" t="s">
        <v>2079</v>
      </c>
      <c r="M419" s="6" t="s">
        <v>1809</v>
      </c>
      <c r="N419" s="6" t="s">
        <v>1644</v>
      </c>
      <c r="O419" s="7">
        <f>SUMIFS('05_상품별배치367'!$K$7:$K$373,'05_상품별배치367'!$E$7:$E$373,A419,'05_상품별배치367'!$H$7:$H$373,"본진")</f>
        <v>0</v>
      </c>
      <c r="P419" s="7">
        <f>SUMIFS('05_상품별배치367'!$K$7:$K$373,'05_상품별배치367'!$E$7:$E$373,A419,'05_상품별배치367'!$H$7:$H$373,"추가 진열")</f>
        <v>0</v>
      </c>
      <c r="Q419" s="7">
        <f>O419+P419</f>
        <v>0</v>
      </c>
      <c r="R419" s="7">
        <v>0</v>
      </c>
      <c r="S419" s="6" t="s">
        <v>1810</v>
      </c>
      <c r="T419" s="6" t="s">
        <v>1637</v>
      </c>
      <c r="U419" s="6"/>
      <c r="V419" s="16"/>
      <c r="W419" s="16"/>
      <c r="X419" s="16"/>
      <c r="Y419" s="6" t="s">
        <v>5772</v>
      </c>
      <c r="Z419" s="15"/>
      <c r="AA419" s="15" t="s">
        <v>1628</v>
      </c>
    </row>
    <row r="420" spans="1:27" ht="33" customHeight="1">
      <c r="A420" s="6" t="s">
        <v>6519</v>
      </c>
      <c r="B420" s="7">
        <v>2175</v>
      </c>
      <c r="C420" s="6" t="s">
        <v>6520</v>
      </c>
      <c r="D420" s="6" t="s">
        <v>1851</v>
      </c>
      <c r="E420" s="6" t="s">
        <v>1666</v>
      </c>
      <c r="F420" s="6" t="s">
        <v>1852</v>
      </c>
      <c r="G420" s="6" t="s">
        <v>1853</v>
      </c>
      <c r="H420" s="6"/>
      <c r="I420" s="14" t="s">
        <v>1669</v>
      </c>
      <c r="J420" s="15"/>
      <c r="K420" s="6" t="s">
        <v>1670</v>
      </c>
      <c r="L420" s="6"/>
      <c r="M420" s="6" t="s">
        <v>1671</v>
      </c>
      <c r="N420" s="6" t="s">
        <v>1644</v>
      </c>
      <c r="O420" s="7">
        <f>SUMIFS('05_상품별배치367'!$K$7:$K$373,'05_상품별배치367'!$E$7:$E$373,A420,'05_상품별배치367'!$H$7:$H$373,"본진")</f>
        <v>0</v>
      </c>
      <c r="P420" s="7">
        <f>SUMIFS('05_상품별배치367'!$K$7:$K$373,'05_상품별배치367'!$E$7:$E$373,A420,'05_상품별배치367'!$H$7:$H$373,"추가 진열")</f>
        <v>0</v>
      </c>
      <c r="Q420" s="7">
        <f>O420+P420</f>
        <v>0</v>
      </c>
      <c r="R420" s="7">
        <v>0</v>
      </c>
      <c r="S420" s="6" t="s">
        <v>1672</v>
      </c>
      <c r="T420" s="6" t="s">
        <v>1637</v>
      </c>
      <c r="U420" s="6"/>
      <c r="V420" s="16"/>
      <c r="W420" s="16"/>
      <c r="X420" s="16"/>
      <c r="Y420" s="6" t="s">
        <v>1627</v>
      </c>
      <c r="Z420" s="15"/>
      <c r="AA420" s="15" t="s">
        <v>1628</v>
      </c>
    </row>
    <row r="421" spans="1:27" ht="33" customHeight="1">
      <c r="A421" s="8" t="s">
        <v>6521</v>
      </c>
      <c r="B421" s="9">
        <v>2176</v>
      </c>
      <c r="C421" s="8" t="s">
        <v>6522</v>
      </c>
      <c r="D421" s="8" t="s">
        <v>1851</v>
      </c>
      <c r="E421" s="8" t="s">
        <v>1666</v>
      </c>
      <c r="F421" s="8" t="s">
        <v>1852</v>
      </c>
      <c r="G421" s="8" t="s">
        <v>1853</v>
      </c>
      <c r="H421" s="8"/>
      <c r="I421" s="14" t="s">
        <v>1669</v>
      </c>
      <c r="J421" s="15"/>
      <c r="K421" s="8" t="s">
        <v>1670</v>
      </c>
      <c r="L421" s="8"/>
      <c r="M421" s="6" t="s">
        <v>1671</v>
      </c>
      <c r="N421" s="6" t="s">
        <v>1644</v>
      </c>
      <c r="O421" s="7">
        <f>SUMIFS('05_상품별배치367'!$K$7:$K$373,'05_상품별배치367'!$E$7:$E$373,A421,'05_상품별배치367'!$H$7:$H$373,"본진")</f>
        <v>0</v>
      </c>
      <c r="P421" s="7">
        <f>SUMIFS('05_상품별배치367'!$K$7:$K$373,'05_상품별배치367'!$E$7:$E$373,A421,'05_상품별배치367'!$H$7:$H$373,"추가 진열")</f>
        <v>0</v>
      </c>
      <c r="Q421" s="7">
        <f>O421+P421</f>
        <v>0</v>
      </c>
      <c r="R421" s="7">
        <v>0</v>
      </c>
      <c r="S421" s="6" t="s">
        <v>1672</v>
      </c>
      <c r="T421" s="6" t="s">
        <v>1637</v>
      </c>
      <c r="U421" s="6"/>
      <c r="V421" s="16"/>
      <c r="W421" s="16"/>
      <c r="X421" s="16"/>
      <c r="Y421" s="6" t="s">
        <v>1627</v>
      </c>
      <c r="Z421" s="15"/>
      <c r="AA421" s="15" t="s">
        <v>1628</v>
      </c>
    </row>
    <row r="422" spans="1:27" ht="33" customHeight="1">
      <c r="A422" s="6" t="s">
        <v>6523</v>
      </c>
      <c r="B422" s="7">
        <v>2177</v>
      </c>
      <c r="C422" s="6" t="s">
        <v>6524</v>
      </c>
      <c r="D422" s="6" t="s">
        <v>6525</v>
      </c>
      <c r="E422" s="6" t="s">
        <v>1666</v>
      </c>
      <c r="F422" s="6" t="s">
        <v>1852</v>
      </c>
      <c r="G422" s="6" t="s">
        <v>1853</v>
      </c>
      <c r="H422" s="6"/>
      <c r="I422" s="14" t="s">
        <v>1669</v>
      </c>
      <c r="J422" s="15"/>
      <c r="K422" s="6" t="s">
        <v>1670</v>
      </c>
      <c r="L422" s="6"/>
      <c r="M422" s="6" t="s">
        <v>1671</v>
      </c>
      <c r="N422" s="6" t="s">
        <v>1644</v>
      </c>
      <c r="O422" s="7">
        <f>SUMIFS('05_상품별배치367'!$K$7:$K$373,'05_상품별배치367'!$E$7:$E$373,A422,'05_상품별배치367'!$H$7:$H$373,"본진")</f>
        <v>0</v>
      </c>
      <c r="P422" s="7">
        <f>SUMIFS('05_상품별배치367'!$K$7:$K$373,'05_상품별배치367'!$E$7:$E$373,A422,'05_상품별배치367'!$H$7:$H$373,"추가 진열")</f>
        <v>0</v>
      </c>
      <c r="Q422" s="7">
        <f>O422+P422</f>
        <v>0</v>
      </c>
      <c r="R422" s="7">
        <v>0</v>
      </c>
      <c r="S422" s="6" t="s">
        <v>1672</v>
      </c>
      <c r="T422" s="6" t="s">
        <v>1637</v>
      </c>
      <c r="U422" s="6"/>
      <c r="V422" s="16"/>
      <c r="W422" s="16"/>
      <c r="X422" s="16"/>
      <c r="Y422" s="6" t="s">
        <v>1655</v>
      </c>
      <c r="Z422" s="15"/>
      <c r="AA422" s="15" t="s">
        <v>1628</v>
      </c>
    </row>
    <row r="423" spans="1:27" ht="33" customHeight="1">
      <c r="A423" s="8" t="s">
        <v>6526</v>
      </c>
      <c r="B423" s="9">
        <v>2178</v>
      </c>
      <c r="C423" s="8" t="s">
        <v>6527</v>
      </c>
      <c r="D423" s="8" t="s">
        <v>1851</v>
      </c>
      <c r="E423" s="8" t="s">
        <v>1666</v>
      </c>
      <c r="F423" s="8" t="s">
        <v>1852</v>
      </c>
      <c r="G423" s="8" t="s">
        <v>1853</v>
      </c>
      <c r="H423" s="8"/>
      <c r="I423" s="14" t="s">
        <v>1669</v>
      </c>
      <c r="J423" s="15"/>
      <c r="K423" s="8" t="s">
        <v>1670</v>
      </c>
      <c r="L423" s="8"/>
      <c r="M423" s="6" t="s">
        <v>1671</v>
      </c>
      <c r="N423" s="6" t="s">
        <v>1644</v>
      </c>
      <c r="O423" s="7">
        <f>SUMIFS('05_상품별배치367'!$K$7:$K$373,'05_상품별배치367'!$E$7:$E$373,A423,'05_상품별배치367'!$H$7:$H$373,"본진")</f>
        <v>0</v>
      </c>
      <c r="P423" s="7">
        <f>SUMIFS('05_상품별배치367'!$K$7:$K$373,'05_상품별배치367'!$E$7:$E$373,A423,'05_상품별배치367'!$H$7:$H$373,"추가 진열")</f>
        <v>0</v>
      </c>
      <c r="Q423" s="7">
        <f>O423+P423</f>
        <v>0</v>
      </c>
      <c r="R423" s="7">
        <v>0</v>
      </c>
      <c r="S423" s="6" t="s">
        <v>1672</v>
      </c>
      <c r="T423" s="6" t="s">
        <v>1637</v>
      </c>
      <c r="U423" s="6"/>
      <c r="V423" s="16"/>
      <c r="W423" s="16"/>
      <c r="X423" s="16"/>
      <c r="Y423" s="6" t="s">
        <v>1627</v>
      </c>
      <c r="Z423" s="15"/>
      <c r="AA423" s="15" t="s">
        <v>1628</v>
      </c>
    </row>
    <row r="424" spans="1:27" ht="33" customHeight="1">
      <c r="A424" s="6" t="s">
        <v>6528</v>
      </c>
      <c r="B424" s="7">
        <v>2179</v>
      </c>
      <c r="C424" s="6" t="s">
        <v>6529</v>
      </c>
      <c r="D424" s="6" t="s">
        <v>1851</v>
      </c>
      <c r="E424" s="6" t="s">
        <v>1666</v>
      </c>
      <c r="F424" s="6" t="s">
        <v>1852</v>
      </c>
      <c r="G424" s="6" t="s">
        <v>1853</v>
      </c>
      <c r="H424" s="6"/>
      <c r="I424" s="14" t="s">
        <v>1669</v>
      </c>
      <c r="J424" s="15"/>
      <c r="K424" s="6" t="s">
        <v>1670</v>
      </c>
      <c r="L424" s="6"/>
      <c r="M424" s="6" t="s">
        <v>1671</v>
      </c>
      <c r="N424" s="6" t="s">
        <v>1644</v>
      </c>
      <c r="O424" s="7">
        <f>SUMIFS('05_상품별배치367'!$K$7:$K$373,'05_상품별배치367'!$E$7:$E$373,A424,'05_상품별배치367'!$H$7:$H$373,"본진")</f>
        <v>0</v>
      </c>
      <c r="P424" s="7">
        <f>SUMIFS('05_상품별배치367'!$K$7:$K$373,'05_상품별배치367'!$E$7:$E$373,A424,'05_상품별배치367'!$H$7:$H$373,"추가 진열")</f>
        <v>0</v>
      </c>
      <c r="Q424" s="7">
        <f>O424+P424</f>
        <v>0</v>
      </c>
      <c r="R424" s="7">
        <v>0</v>
      </c>
      <c r="S424" s="6" t="s">
        <v>1672</v>
      </c>
      <c r="T424" s="6" t="s">
        <v>1637</v>
      </c>
      <c r="U424" s="6"/>
      <c r="V424" s="16"/>
      <c r="W424" s="16"/>
      <c r="X424" s="16"/>
      <c r="Y424" s="6" t="s">
        <v>1627</v>
      </c>
      <c r="Z424" s="15"/>
      <c r="AA424" s="15" t="s">
        <v>1628</v>
      </c>
    </row>
    <row r="425" spans="1:27" ht="33" customHeight="1">
      <c r="A425" s="8" t="s">
        <v>6530</v>
      </c>
      <c r="B425" s="9">
        <v>2180</v>
      </c>
      <c r="C425" s="8" t="s">
        <v>6531</v>
      </c>
      <c r="D425" s="8" t="s">
        <v>1851</v>
      </c>
      <c r="E425" s="8" t="s">
        <v>1666</v>
      </c>
      <c r="F425" s="8" t="s">
        <v>1852</v>
      </c>
      <c r="G425" s="8" t="s">
        <v>1853</v>
      </c>
      <c r="H425" s="8"/>
      <c r="I425" s="14" t="s">
        <v>1669</v>
      </c>
      <c r="J425" s="15"/>
      <c r="K425" s="8" t="s">
        <v>1670</v>
      </c>
      <c r="L425" s="8"/>
      <c r="M425" s="6" t="s">
        <v>1671</v>
      </c>
      <c r="N425" s="6" t="s">
        <v>1644</v>
      </c>
      <c r="O425" s="7">
        <f>SUMIFS('05_상품별배치367'!$K$7:$K$373,'05_상품별배치367'!$E$7:$E$373,A425,'05_상품별배치367'!$H$7:$H$373,"본진")</f>
        <v>0</v>
      </c>
      <c r="P425" s="7">
        <f>SUMIFS('05_상품별배치367'!$K$7:$K$373,'05_상품별배치367'!$E$7:$E$373,A425,'05_상품별배치367'!$H$7:$H$373,"추가 진열")</f>
        <v>0</v>
      </c>
      <c r="Q425" s="7">
        <f>O425+P425</f>
        <v>0</v>
      </c>
      <c r="R425" s="7">
        <v>0</v>
      </c>
      <c r="S425" s="6" t="s">
        <v>1672</v>
      </c>
      <c r="T425" s="6" t="s">
        <v>1637</v>
      </c>
      <c r="U425" s="6"/>
      <c r="V425" s="16"/>
      <c r="W425" s="16"/>
      <c r="X425" s="16"/>
      <c r="Y425" s="6" t="s">
        <v>1627</v>
      </c>
      <c r="Z425" s="15"/>
      <c r="AA425" s="15" t="s">
        <v>1628</v>
      </c>
    </row>
    <row r="426" spans="1:27" ht="33" customHeight="1">
      <c r="A426" s="6" t="s">
        <v>6532</v>
      </c>
      <c r="B426" s="7">
        <v>2181</v>
      </c>
      <c r="C426" s="6" t="s">
        <v>6533</v>
      </c>
      <c r="D426" s="6" t="s">
        <v>1851</v>
      </c>
      <c r="E426" s="6" t="s">
        <v>1666</v>
      </c>
      <c r="F426" s="6" t="s">
        <v>347</v>
      </c>
      <c r="G426" s="6" t="s">
        <v>341</v>
      </c>
      <c r="H426" s="6"/>
      <c r="I426" s="14" t="s">
        <v>1642</v>
      </c>
      <c r="J426" s="15"/>
      <c r="K426" s="6" t="s">
        <v>1670</v>
      </c>
      <c r="L426" s="6"/>
      <c r="M426" s="6" t="s">
        <v>1643</v>
      </c>
      <c r="N426" s="6" t="s">
        <v>1644</v>
      </c>
      <c r="O426" s="7">
        <f>SUMIFS('05_상품별배치367'!$K$7:$K$373,'05_상품별배치367'!$E$7:$E$373,A426,'05_상품별배치367'!$H$7:$H$373,"본진")</f>
        <v>0</v>
      </c>
      <c r="P426" s="7">
        <f>SUMIFS('05_상품별배치367'!$K$7:$K$373,'05_상품별배치367'!$E$7:$E$373,A426,'05_상품별배치367'!$H$7:$H$373,"추가 진열")</f>
        <v>0</v>
      </c>
      <c r="Q426" s="7">
        <f>O426+P426</f>
        <v>0</v>
      </c>
      <c r="R426" s="7">
        <v>1</v>
      </c>
      <c r="S426" s="6" t="s">
        <v>2018</v>
      </c>
      <c r="T426" s="6" t="s">
        <v>1637</v>
      </c>
      <c r="U426" s="6"/>
      <c r="V426" s="16"/>
      <c r="W426" s="16"/>
      <c r="X426" s="16"/>
      <c r="Y426" s="6" t="s">
        <v>1627</v>
      </c>
      <c r="Z426" s="15"/>
      <c r="AA426" s="15" t="s">
        <v>1628</v>
      </c>
    </row>
    <row r="427" spans="1:27" ht="33" customHeight="1">
      <c r="A427" s="8" t="s">
        <v>6534</v>
      </c>
      <c r="B427" s="9">
        <v>2182</v>
      </c>
      <c r="C427" s="8" t="s">
        <v>6535</v>
      </c>
      <c r="D427" s="8" t="s">
        <v>1851</v>
      </c>
      <c r="E427" s="8" t="s">
        <v>1666</v>
      </c>
      <c r="F427" s="8" t="s">
        <v>1852</v>
      </c>
      <c r="G427" s="8" t="s">
        <v>1853</v>
      </c>
      <c r="H427" s="8"/>
      <c r="I427" s="14" t="s">
        <v>1669</v>
      </c>
      <c r="J427" s="15"/>
      <c r="K427" s="8" t="s">
        <v>1670</v>
      </c>
      <c r="L427" s="8"/>
      <c r="M427" s="6" t="s">
        <v>1671</v>
      </c>
      <c r="N427" s="6" t="s">
        <v>1644</v>
      </c>
      <c r="O427" s="7">
        <f>SUMIFS('05_상품별배치367'!$K$7:$K$373,'05_상품별배치367'!$E$7:$E$373,A427,'05_상품별배치367'!$H$7:$H$373,"본진")</f>
        <v>0</v>
      </c>
      <c r="P427" s="7">
        <f>SUMIFS('05_상품별배치367'!$K$7:$K$373,'05_상품별배치367'!$E$7:$E$373,A427,'05_상품별배치367'!$H$7:$H$373,"추가 진열")</f>
        <v>0</v>
      </c>
      <c r="Q427" s="7">
        <f>O427+P427</f>
        <v>0</v>
      </c>
      <c r="R427" s="7">
        <v>0</v>
      </c>
      <c r="S427" s="6" t="s">
        <v>1672</v>
      </c>
      <c r="T427" s="6" t="s">
        <v>1637</v>
      </c>
      <c r="U427" s="6"/>
      <c r="V427" s="16"/>
      <c r="W427" s="16"/>
      <c r="X427" s="16"/>
      <c r="Y427" s="6" t="s">
        <v>1627</v>
      </c>
      <c r="Z427" s="15"/>
      <c r="AA427" s="15" t="s">
        <v>1628</v>
      </c>
    </row>
    <row r="428" spans="1:27" ht="33" customHeight="1">
      <c r="A428" s="6" t="s">
        <v>6536</v>
      </c>
      <c r="B428" s="7">
        <v>2183</v>
      </c>
      <c r="C428" s="6" t="s">
        <v>6537</v>
      </c>
      <c r="D428" s="6" t="s">
        <v>6538</v>
      </c>
      <c r="E428" s="6" t="s">
        <v>1666</v>
      </c>
      <c r="F428" s="6" t="s">
        <v>1852</v>
      </c>
      <c r="G428" s="6" t="s">
        <v>1853</v>
      </c>
      <c r="H428" s="6"/>
      <c r="I428" s="14" t="s">
        <v>1669</v>
      </c>
      <c r="J428" s="15"/>
      <c r="K428" s="6" t="s">
        <v>1670</v>
      </c>
      <c r="L428" s="6"/>
      <c r="M428" s="6" t="s">
        <v>1671</v>
      </c>
      <c r="N428" s="6" t="s">
        <v>1644</v>
      </c>
      <c r="O428" s="7">
        <f>SUMIFS('05_상품별배치367'!$K$7:$K$373,'05_상품별배치367'!$E$7:$E$373,A428,'05_상품별배치367'!$H$7:$H$373,"본진")</f>
        <v>0</v>
      </c>
      <c r="P428" s="7">
        <f>SUMIFS('05_상품별배치367'!$K$7:$K$373,'05_상품별배치367'!$E$7:$E$373,A428,'05_상품별배치367'!$H$7:$H$373,"추가 진열")</f>
        <v>0</v>
      </c>
      <c r="Q428" s="7">
        <f>O428+P428</f>
        <v>0</v>
      </c>
      <c r="R428" s="7">
        <v>0</v>
      </c>
      <c r="S428" s="6" t="s">
        <v>1672</v>
      </c>
      <c r="T428" s="6" t="s">
        <v>1637</v>
      </c>
      <c r="U428" s="6"/>
      <c r="V428" s="16"/>
      <c r="W428" s="16"/>
      <c r="X428" s="16"/>
      <c r="Y428" s="6" t="s">
        <v>1655</v>
      </c>
      <c r="Z428" s="15"/>
      <c r="AA428" s="15" t="s">
        <v>1628</v>
      </c>
    </row>
    <row r="429" spans="1:27" ht="33" customHeight="1">
      <c r="A429" s="8" t="s">
        <v>6539</v>
      </c>
      <c r="B429" s="9">
        <v>2184</v>
      </c>
      <c r="C429" s="8" t="s">
        <v>6540</v>
      </c>
      <c r="D429" s="8" t="s">
        <v>6541</v>
      </c>
      <c r="E429" s="8" t="s">
        <v>1666</v>
      </c>
      <c r="F429" s="8" t="s">
        <v>348</v>
      </c>
      <c r="G429" s="8" t="s">
        <v>341</v>
      </c>
      <c r="H429" s="8" t="s">
        <v>1206</v>
      </c>
      <c r="I429" s="14" t="s">
        <v>1633</v>
      </c>
      <c r="J429" s="15"/>
      <c r="K429" s="8" t="s">
        <v>1670</v>
      </c>
      <c r="L429" s="8"/>
      <c r="M429" s="6" t="s">
        <v>1635</v>
      </c>
      <c r="N429" s="6" t="s">
        <v>1644</v>
      </c>
      <c r="O429" s="7">
        <f>SUMIFS('05_상품별배치367'!$K$7:$K$373,'05_상품별배치367'!$E$7:$E$373,A429,'05_상품별배치367'!$H$7:$H$373,"본진")</f>
        <v>1</v>
      </c>
      <c r="P429" s="7">
        <f>SUMIFS('05_상품별배치367'!$K$7:$K$373,'05_상품별배치367'!$E$7:$E$373,A429,'05_상품별배치367'!$H$7:$H$373,"추가 진열")</f>
        <v>0</v>
      </c>
      <c r="Q429" s="7">
        <f>O429+P429</f>
        <v>1</v>
      </c>
      <c r="R429" s="7">
        <v>1</v>
      </c>
      <c r="S429" s="6" t="s">
        <v>1636</v>
      </c>
      <c r="T429" s="6" t="s">
        <v>1637</v>
      </c>
      <c r="U429" s="6"/>
      <c r="V429" s="16"/>
      <c r="W429" s="16"/>
      <c r="X429" s="16"/>
      <c r="Y429" s="6" t="s">
        <v>1655</v>
      </c>
      <c r="Z429" s="15"/>
      <c r="AA429" s="15" t="s">
        <v>1628</v>
      </c>
    </row>
    <row r="430" spans="1:27" ht="33" customHeight="1">
      <c r="A430" s="6" t="s">
        <v>6542</v>
      </c>
      <c r="B430" s="7">
        <v>2185</v>
      </c>
      <c r="C430" s="6" t="s">
        <v>6543</v>
      </c>
      <c r="D430" s="6" t="s">
        <v>6541</v>
      </c>
      <c r="E430" s="6" t="s">
        <v>1666</v>
      </c>
      <c r="F430" s="6" t="s">
        <v>1852</v>
      </c>
      <c r="G430" s="6" t="s">
        <v>1853</v>
      </c>
      <c r="H430" s="6"/>
      <c r="I430" s="14" t="s">
        <v>1669</v>
      </c>
      <c r="J430" s="15"/>
      <c r="K430" s="6" t="s">
        <v>1670</v>
      </c>
      <c r="L430" s="6"/>
      <c r="M430" s="6" t="s">
        <v>1671</v>
      </c>
      <c r="N430" s="6" t="s">
        <v>1644</v>
      </c>
      <c r="O430" s="7">
        <f>SUMIFS('05_상품별배치367'!$K$7:$K$373,'05_상품별배치367'!$E$7:$E$373,A430,'05_상품별배치367'!$H$7:$H$373,"본진")</f>
        <v>0</v>
      </c>
      <c r="P430" s="7">
        <f>SUMIFS('05_상품별배치367'!$K$7:$K$373,'05_상품별배치367'!$E$7:$E$373,A430,'05_상품별배치367'!$H$7:$H$373,"추가 진열")</f>
        <v>0</v>
      </c>
      <c r="Q430" s="7">
        <f>O430+P430</f>
        <v>0</v>
      </c>
      <c r="R430" s="7">
        <v>0</v>
      </c>
      <c r="S430" s="6" t="s">
        <v>1672</v>
      </c>
      <c r="T430" s="6" t="s">
        <v>1637</v>
      </c>
      <c r="U430" s="6"/>
      <c r="V430" s="16"/>
      <c r="W430" s="16"/>
      <c r="X430" s="16"/>
      <c r="Y430" s="6" t="s">
        <v>1655</v>
      </c>
      <c r="Z430" s="15"/>
      <c r="AA430" s="15" t="s">
        <v>1628</v>
      </c>
    </row>
    <row r="431" spans="1:27" ht="33" customHeight="1">
      <c r="A431" s="8" t="s">
        <v>2726</v>
      </c>
      <c r="B431" s="9">
        <v>428</v>
      </c>
      <c r="C431" s="8" t="s">
        <v>2727</v>
      </c>
      <c r="D431" s="8" t="s">
        <v>2719</v>
      </c>
      <c r="E431" s="8" t="s">
        <v>1666</v>
      </c>
      <c r="F431" s="8" t="s">
        <v>1852</v>
      </c>
      <c r="G431" s="8" t="s">
        <v>1853</v>
      </c>
      <c r="H431" s="8"/>
      <c r="I431" s="14" t="s">
        <v>1669</v>
      </c>
      <c r="J431" s="15"/>
      <c r="K431" s="8" t="s">
        <v>1670</v>
      </c>
      <c r="L431" s="8"/>
      <c r="M431" s="6" t="s">
        <v>1671</v>
      </c>
      <c r="N431" s="6" t="s">
        <v>1644</v>
      </c>
      <c r="O431" s="7">
        <f>SUMIFS('05_상품별배치367'!$K$7:$K$373,'05_상품별배치367'!$E$7:$E$373,A431,'05_상품별배치367'!$H$7:$H$373,"본진")</f>
        <v>0</v>
      </c>
      <c r="P431" s="7">
        <f>SUMIFS('05_상품별배치367'!$K$7:$K$373,'05_상품별배치367'!$E$7:$E$373,A431,'05_상품별배치367'!$H$7:$H$373,"추가 진열")</f>
        <v>0</v>
      </c>
      <c r="Q431" s="7">
        <f>O431+P431</f>
        <v>0</v>
      </c>
      <c r="R431" s="7">
        <v>0</v>
      </c>
      <c r="S431" s="6" t="s">
        <v>1672</v>
      </c>
      <c r="T431" s="6" t="s">
        <v>1637</v>
      </c>
      <c r="U431" s="6"/>
      <c r="V431" s="16"/>
      <c r="W431" s="16"/>
      <c r="X431" s="16"/>
      <c r="Y431" s="6" t="s">
        <v>1655</v>
      </c>
      <c r="Z431" s="15"/>
      <c r="AA431" s="15" t="s">
        <v>1628</v>
      </c>
    </row>
    <row r="432" spans="1:27" ht="33" customHeight="1">
      <c r="A432" s="8" t="s">
        <v>2717</v>
      </c>
      <c r="B432" s="9">
        <v>424</v>
      </c>
      <c r="C432" s="8" t="s">
        <v>2718</v>
      </c>
      <c r="D432" s="8" t="s">
        <v>2719</v>
      </c>
      <c r="E432" s="8" t="s">
        <v>1666</v>
      </c>
      <c r="F432" s="8" t="s">
        <v>1852</v>
      </c>
      <c r="G432" s="8" t="s">
        <v>1853</v>
      </c>
      <c r="H432" s="8"/>
      <c r="I432" s="14" t="s">
        <v>1669</v>
      </c>
      <c r="J432" s="15"/>
      <c r="K432" s="8" t="s">
        <v>1670</v>
      </c>
      <c r="L432" s="8"/>
      <c r="M432" s="6" t="s">
        <v>1671</v>
      </c>
      <c r="N432" s="6" t="s">
        <v>1644</v>
      </c>
      <c r="O432" s="7">
        <f>SUMIFS('05_상품별배치367'!$K$7:$K$373,'05_상품별배치367'!$E$7:$E$373,A432,'05_상품별배치367'!$H$7:$H$373,"본진")</f>
        <v>0</v>
      </c>
      <c r="P432" s="7">
        <f>SUMIFS('05_상품별배치367'!$K$7:$K$373,'05_상품별배치367'!$E$7:$E$373,A432,'05_상품별배치367'!$H$7:$H$373,"추가 진열")</f>
        <v>0</v>
      </c>
      <c r="Q432" s="7">
        <f>O432+P432</f>
        <v>0</v>
      </c>
      <c r="R432" s="7">
        <v>0</v>
      </c>
      <c r="S432" s="6" t="s">
        <v>1672</v>
      </c>
      <c r="T432" s="6" t="s">
        <v>1637</v>
      </c>
      <c r="U432" s="6"/>
      <c r="V432" s="16"/>
      <c r="W432" s="16"/>
      <c r="X432" s="16"/>
      <c r="Y432" s="6" t="s">
        <v>1655</v>
      </c>
      <c r="Z432" s="15"/>
      <c r="AA432" s="15" t="s">
        <v>1628</v>
      </c>
    </row>
    <row r="433" spans="1:27" ht="33" customHeight="1">
      <c r="A433" s="8" t="s">
        <v>2722</v>
      </c>
      <c r="B433" s="9">
        <v>426</v>
      </c>
      <c r="C433" s="8" t="s">
        <v>2723</v>
      </c>
      <c r="D433" s="8" t="s">
        <v>2719</v>
      </c>
      <c r="E433" s="8" t="s">
        <v>1666</v>
      </c>
      <c r="F433" s="8" t="s">
        <v>1852</v>
      </c>
      <c r="G433" s="8" t="s">
        <v>1853</v>
      </c>
      <c r="H433" s="8"/>
      <c r="I433" s="14" t="s">
        <v>1669</v>
      </c>
      <c r="J433" s="15"/>
      <c r="K433" s="8" t="s">
        <v>1670</v>
      </c>
      <c r="L433" s="8"/>
      <c r="M433" s="6" t="s">
        <v>1671</v>
      </c>
      <c r="N433" s="6" t="s">
        <v>1644</v>
      </c>
      <c r="O433" s="7">
        <f>SUMIFS('05_상품별배치367'!$K$7:$K$373,'05_상품별배치367'!$E$7:$E$373,A433,'05_상품별배치367'!$H$7:$H$373,"본진")</f>
        <v>0</v>
      </c>
      <c r="P433" s="7">
        <f>SUMIFS('05_상품별배치367'!$K$7:$K$373,'05_상품별배치367'!$E$7:$E$373,A433,'05_상품별배치367'!$H$7:$H$373,"추가 진열")</f>
        <v>0</v>
      </c>
      <c r="Q433" s="7">
        <f>O433+P433</f>
        <v>0</v>
      </c>
      <c r="R433" s="7">
        <v>0</v>
      </c>
      <c r="S433" s="6" t="s">
        <v>1672</v>
      </c>
      <c r="T433" s="6" t="s">
        <v>1637</v>
      </c>
      <c r="U433" s="6"/>
      <c r="V433" s="16"/>
      <c r="W433" s="16"/>
      <c r="X433" s="16"/>
      <c r="Y433" s="6" t="s">
        <v>1655</v>
      </c>
      <c r="Z433" s="15"/>
      <c r="AA433" s="15" t="s">
        <v>1628</v>
      </c>
    </row>
    <row r="434" spans="1:27" ht="33" customHeight="1">
      <c r="A434" s="6" t="s">
        <v>2724</v>
      </c>
      <c r="B434" s="7">
        <v>427</v>
      </c>
      <c r="C434" s="6" t="s">
        <v>2725</v>
      </c>
      <c r="D434" s="6" t="s">
        <v>2719</v>
      </c>
      <c r="E434" s="6" t="s">
        <v>1666</v>
      </c>
      <c r="F434" s="6" t="s">
        <v>1852</v>
      </c>
      <c r="G434" s="6" t="s">
        <v>1853</v>
      </c>
      <c r="H434" s="6"/>
      <c r="I434" s="14" t="s">
        <v>1669</v>
      </c>
      <c r="J434" s="15"/>
      <c r="K434" s="6" t="s">
        <v>1670</v>
      </c>
      <c r="L434" s="6"/>
      <c r="M434" s="6" t="s">
        <v>1671</v>
      </c>
      <c r="N434" s="6" t="s">
        <v>1644</v>
      </c>
      <c r="O434" s="7">
        <f>SUMIFS('05_상품별배치367'!$K$7:$K$373,'05_상품별배치367'!$E$7:$E$373,A434,'05_상품별배치367'!$H$7:$H$373,"본진")</f>
        <v>0</v>
      </c>
      <c r="P434" s="7">
        <f>SUMIFS('05_상품별배치367'!$K$7:$K$373,'05_상품별배치367'!$E$7:$E$373,A434,'05_상품별배치367'!$H$7:$H$373,"추가 진열")</f>
        <v>0</v>
      </c>
      <c r="Q434" s="7">
        <f>O434+P434</f>
        <v>0</v>
      </c>
      <c r="R434" s="7">
        <v>0</v>
      </c>
      <c r="S434" s="6" t="s">
        <v>1672</v>
      </c>
      <c r="T434" s="6" t="s">
        <v>1637</v>
      </c>
      <c r="U434" s="6"/>
      <c r="V434" s="16"/>
      <c r="W434" s="16"/>
      <c r="X434" s="16"/>
      <c r="Y434" s="6" t="s">
        <v>1655</v>
      </c>
      <c r="Z434" s="15"/>
      <c r="AA434" s="15" t="s">
        <v>1628</v>
      </c>
    </row>
    <row r="435" spans="1:27" ht="33" customHeight="1">
      <c r="A435" s="6" t="s">
        <v>2720</v>
      </c>
      <c r="B435" s="7">
        <v>425</v>
      </c>
      <c r="C435" s="6" t="s">
        <v>2721</v>
      </c>
      <c r="D435" s="6" t="s">
        <v>2719</v>
      </c>
      <c r="E435" s="6" t="s">
        <v>1666</v>
      </c>
      <c r="F435" s="6" t="s">
        <v>1852</v>
      </c>
      <c r="G435" s="6" t="s">
        <v>1853</v>
      </c>
      <c r="H435" s="6"/>
      <c r="I435" s="14" t="s">
        <v>1669</v>
      </c>
      <c r="J435" s="15"/>
      <c r="K435" s="6" t="s">
        <v>1670</v>
      </c>
      <c r="L435" s="6"/>
      <c r="M435" s="6" t="s">
        <v>1671</v>
      </c>
      <c r="N435" s="6" t="s">
        <v>1644</v>
      </c>
      <c r="O435" s="7">
        <f>SUMIFS('05_상품별배치367'!$K$7:$K$373,'05_상품별배치367'!$E$7:$E$373,A435,'05_상품별배치367'!$H$7:$H$373,"본진")</f>
        <v>0</v>
      </c>
      <c r="P435" s="7">
        <f>SUMIFS('05_상품별배치367'!$K$7:$K$373,'05_상품별배치367'!$E$7:$E$373,A435,'05_상품별배치367'!$H$7:$H$373,"추가 진열")</f>
        <v>0</v>
      </c>
      <c r="Q435" s="7">
        <f>O435+P435</f>
        <v>0</v>
      </c>
      <c r="R435" s="7">
        <v>0</v>
      </c>
      <c r="S435" s="6" t="s">
        <v>1672</v>
      </c>
      <c r="T435" s="6" t="s">
        <v>1637</v>
      </c>
      <c r="U435" s="6"/>
      <c r="V435" s="16"/>
      <c r="W435" s="16"/>
      <c r="X435" s="16"/>
      <c r="Y435" s="6" t="s">
        <v>1655</v>
      </c>
      <c r="Z435" s="15"/>
      <c r="AA435" s="15" t="s">
        <v>1628</v>
      </c>
    </row>
    <row r="436" spans="1:27" ht="33" customHeight="1">
      <c r="A436" s="6" t="s">
        <v>2728</v>
      </c>
      <c r="B436" s="7">
        <v>429</v>
      </c>
      <c r="C436" s="6" t="s">
        <v>2729</v>
      </c>
      <c r="D436" s="6" t="s">
        <v>2719</v>
      </c>
      <c r="E436" s="6" t="s">
        <v>1666</v>
      </c>
      <c r="F436" s="6" t="s">
        <v>1852</v>
      </c>
      <c r="G436" s="6" t="s">
        <v>1853</v>
      </c>
      <c r="H436" s="6"/>
      <c r="I436" s="14" t="s">
        <v>1669</v>
      </c>
      <c r="J436" s="15"/>
      <c r="K436" s="6" t="s">
        <v>1670</v>
      </c>
      <c r="L436" s="6"/>
      <c r="M436" s="6" t="s">
        <v>1671</v>
      </c>
      <c r="N436" s="6" t="s">
        <v>1644</v>
      </c>
      <c r="O436" s="7">
        <f>SUMIFS('05_상품별배치367'!$K$7:$K$373,'05_상품별배치367'!$E$7:$E$373,A436,'05_상품별배치367'!$H$7:$H$373,"본진")</f>
        <v>0</v>
      </c>
      <c r="P436" s="7">
        <f>SUMIFS('05_상품별배치367'!$K$7:$K$373,'05_상품별배치367'!$E$7:$E$373,A436,'05_상품별배치367'!$H$7:$H$373,"추가 진열")</f>
        <v>0</v>
      </c>
      <c r="Q436" s="7">
        <f>O436+P436</f>
        <v>0</v>
      </c>
      <c r="R436" s="7">
        <v>0</v>
      </c>
      <c r="S436" s="6" t="s">
        <v>1672</v>
      </c>
      <c r="T436" s="6" t="s">
        <v>1637</v>
      </c>
      <c r="U436" s="6"/>
      <c r="V436" s="16"/>
      <c r="W436" s="16"/>
      <c r="X436" s="16"/>
      <c r="Y436" s="6" t="s">
        <v>1655</v>
      </c>
      <c r="Z436" s="15"/>
      <c r="AA436" s="15" t="s">
        <v>1628</v>
      </c>
    </row>
    <row r="437" spans="1:27" ht="33" customHeight="1">
      <c r="A437" s="8" t="s">
        <v>2704</v>
      </c>
      <c r="B437" s="9">
        <v>418</v>
      </c>
      <c r="C437" s="8" t="s">
        <v>2705</v>
      </c>
      <c r="D437" s="8" t="s">
        <v>2701</v>
      </c>
      <c r="E437" s="8" t="s">
        <v>1666</v>
      </c>
      <c r="F437" s="8" t="s">
        <v>1852</v>
      </c>
      <c r="G437" s="8" t="s">
        <v>1853</v>
      </c>
      <c r="H437" s="8"/>
      <c r="I437" s="14" t="s">
        <v>1669</v>
      </c>
      <c r="J437" s="15"/>
      <c r="K437" s="8" t="s">
        <v>1670</v>
      </c>
      <c r="L437" s="8"/>
      <c r="M437" s="6" t="s">
        <v>1671</v>
      </c>
      <c r="N437" s="6" t="s">
        <v>1644</v>
      </c>
      <c r="O437" s="7">
        <f>SUMIFS('05_상품별배치367'!$K$7:$K$373,'05_상품별배치367'!$E$7:$E$373,A437,'05_상품별배치367'!$H$7:$H$373,"본진")</f>
        <v>0</v>
      </c>
      <c r="P437" s="7">
        <f>SUMIFS('05_상품별배치367'!$K$7:$K$373,'05_상품별배치367'!$E$7:$E$373,A437,'05_상품별배치367'!$H$7:$H$373,"추가 진열")</f>
        <v>0</v>
      </c>
      <c r="Q437" s="7">
        <f>O437+P437</f>
        <v>0</v>
      </c>
      <c r="R437" s="7">
        <v>0</v>
      </c>
      <c r="S437" s="6" t="s">
        <v>1672</v>
      </c>
      <c r="T437" s="6" t="s">
        <v>1637</v>
      </c>
      <c r="U437" s="6"/>
      <c r="V437" s="16"/>
      <c r="W437" s="16"/>
      <c r="X437" s="16"/>
      <c r="Y437" s="6" t="s">
        <v>1627</v>
      </c>
      <c r="Z437" s="15"/>
      <c r="AA437" s="15" t="s">
        <v>1628</v>
      </c>
    </row>
    <row r="438" spans="1:27" ht="33" customHeight="1">
      <c r="A438" s="6" t="s">
        <v>2702</v>
      </c>
      <c r="B438" s="7">
        <v>417</v>
      </c>
      <c r="C438" s="6" t="s">
        <v>2703</v>
      </c>
      <c r="D438" s="6" t="s">
        <v>2701</v>
      </c>
      <c r="E438" s="6" t="s">
        <v>1666</v>
      </c>
      <c r="F438" s="6" t="s">
        <v>1852</v>
      </c>
      <c r="G438" s="6" t="s">
        <v>1853</v>
      </c>
      <c r="H438" s="6"/>
      <c r="I438" s="14" t="s">
        <v>1669</v>
      </c>
      <c r="J438" s="15"/>
      <c r="K438" s="6" t="s">
        <v>1670</v>
      </c>
      <c r="L438" s="6"/>
      <c r="M438" s="6" t="s">
        <v>1671</v>
      </c>
      <c r="N438" s="6" t="s">
        <v>1644</v>
      </c>
      <c r="O438" s="7">
        <f>SUMIFS('05_상품별배치367'!$K$7:$K$373,'05_상품별배치367'!$E$7:$E$373,A438,'05_상품별배치367'!$H$7:$H$373,"본진")</f>
        <v>0</v>
      </c>
      <c r="P438" s="7">
        <f>SUMIFS('05_상품별배치367'!$K$7:$K$373,'05_상품별배치367'!$E$7:$E$373,A438,'05_상품별배치367'!$H$7:$H$373,"추가 진열")</f>
        <v>0</v>
      </c>
      <c r="Q438" s="7">
        <f>O438+P438</f>
        <v>0</v>
      </c>
      <c r="R438" s="7">
        <v>0</v>
      </c>
      <c r="S438" s="6" t="s">
        <v>1672</v>
      </c>
      <c r="T438" s="6" t="s">
        <v>1637</v>
      </c>
      <c r="U438" s="6"/>
      <c r="V438" s="16"/>
      <c r="W438" s="16"/>
      <c r="X438" s="16"/>
      <c r="Y438" s="6" t="s">
        <v>1627</v>
      </c>
      <c r="Z438" s="15"/>
      <c r="AA438" s="15" t="s">
        <v>1628</v>
      </c>
    </row>
    <row r="439" spans="1:27" ht="33" customHeight="1">
      <c r="A439" s="6" t="s">
        <v>2706</v>
      </c>
      <c r="B439" s="7">
        <v>419</v>
      </c>
      <c r="C439" s="6" t="s">
        <v>2707</v>
      </c>
      <c r="D439" s="6" t="s">
        <v>2701</v>
      </c>
      <c r="E439" s="6" t="s">
        <v>1666</v>
      </c>
      <c r="F439" s="6" t="s">
        <v>1852</v>
      </c>
      <c r="G439" s="6" t="s">
        <v>1853</v>
      </c>
      <c r="H439" s="6"/>
      <c r="I439" s="14" t="s">
        <v>1669</v>
      </c>
      <c r="J439" s="15"/>
      <c r="K439" s="6" t="s">
        <v>1670</v>
      </c>
      <c r="L439" s="6"/>
      <c r="M439" s="6" t="s">
        <v>1671</v>
      </c>
      <c r="N439" s="6" t="s">
        <v>1644</v>
      </c>
      <c r="O439" s="7">
        <f>SUMIFS('05_상품별배치367'!$K$7:$K$373,'05_상품별배치367'!$E$7:$E$373,A439,'05_상품별배치367'!$H$7:$H$373,"본진")</f>
        <v>0</v>
      </c>
      <c r="P439" s="7">
        <f>SUMIFS('05_상품별배치367'!$K$7:$K$373,'05_상품별배치367'!$E$7:$E$373,A439,'05_상품별배치367'!$H$7:$H$373,"추가 진열")</f>
        <v>0</v>
      </c>
      <c r="Q439" s="7">
        <f>O439+P439</f>
        <v>0</v>
      </c>
      <c r="R439" s="7">
        <v>0</v>
      </c>
      <c r="S439" s="6" t="s">
        <v>1672</v>
      </c>
      <c r="T439" s="6" t="s">
        <v>1637</v>
      </c>
      <c r="U439" s="6"/>
      <c r="V439" s="16"/>
      <c r="W439" s="16"/>
      <c r="X439" s="16"/>
      <c r="Y439" s="6" t="s">
        <v>1627</v>
      </c>
      <c r="Z439" s="15"/>
      <c r="AA439" s="15" t="s">
        <v>1628</v>
      </c>
    </row>
    <row r="440" spans="1:27" ht="33" customHeight="1">
      <c r="A440" s="6" t="s">
        <v>2710</v>
      </c>
      <c r="B440" s="7">
        <v>421</v>
      </c>
      <c r="C440" s="6" t="s">
        <v>2711</v>
      </c>
      <c r="D440" s="6" t="s">
        <v>2701</v>
      </c>
      <c r="E440" s="6" t="s">
        <v>1666</v>
      </c>
      <c r="F440" s="6" t="s">
        <v>1852</v>
      </c>
      <c r="G440" s="6" t="s">
        <v>1853</v>
      </c>
      <c r="H440" s="6"/>
      <c r="I440" s="14" t="s">
        <v>1669</v>
      </c>
      <c r="J440" s="15"/>
      <c r="K440" s="6" t="s">
        <v>1670</v>
      </c>
      <c r="L440" s="6"/>
      <c r="M440" s="6" t="s">
        <v>1671</v>
      </c>
      <c r="N440" s="6" t="s">
        <v>1644</v>
      </c>
      <c r="O440" s="7">
        <f>SUMIFS('05_상품별배치367'!$K$7:$K$373,'05_상품별배치367'!$E$7:$E$373,A440,'05_상품별배치367'!$H$7:$H$373,"본진")</f>
        <v>0</v>
      </c>
      <c r="P440" s="7">
        <f>SUMIFS('05_상품별배치367'!$K$7:$K$373,'05_상품별배치367'!$E$7:$E$373,A440,'05_상품별배치367'!$H$7:$H$373,"추가 진열")</f>
        <v>0</v>
      </c>
      <c r="Q440" s="7">
        <f>O440+P440</f>
        <v>0</v>
      </c>
      <c r="R440" s="7">
        <v>0</v>
      </c>
      <c r="S440" s="6" t="s">
        <v>1672</v>
      </c>
      <c r="T440" s="6" t="s">
        <v>1637</v>
      </c>
      <c r="U440" s="6"/>
      <c r="V440" s="16"/>
      <c r="W440" s="16"/>
      <c r="X440" s="16"/>
      <c r="Y440" s="6" t="s">
        <v>1627</v>
      </c>
      <c r="Z440" s="15"/>
      <c r="AA440" s="15" t="s">
        <v>1628</v>
      </c>
    </row>
    <row r="441" spans="1:27" ht="33" customHeight="1">
      <c r="A441" s="8" t="s">
        <v>2708</v>
      </c>
      <c r="B441" s="9">
        <v>420</v>
      </c>
      <c r="C441" s="8" t="s">
        <v>2709</v>
      </c>
      <c r="D441" s="8" t="s">
        <v>2701</v>
      </c>
      <c r="E441" s="8" t="s">
        <v>1666</v>
      </c>
      <c r="F441" s="8" t="s">
        <v>1852</v>
      </c>
      <c r="G441" s="8" t="s">
        <v>1853</v>
      </c>
      <c r="H441" s="8"/>
      <c r="I441" s="14" t="s">
        <v>1669</v>
      </c>
      <c r="J441" s="15"/>
      <c r="K441" s="8" t="s">
        <v>1670</v>
      </c>
      <c r="L441" s="8"/>
      <c r="M441" s="6" t="s">
        <v>1671</v>
      </c>
      <c r="N441" s="6" t="s">
        <v>1644</v>
      </c>
      <c r="O441" s="7">
        <f>SUMIFS('05_상품별배치367'!$K$7:$K$373,'05_상품별배치367'!$E$7:$E$373,A441,'05_상품별배치367'!$H$7:$H$373,"본진")</f>
        <v>0</v>
      </c>
      <c r="P441" s="7">
        <f>SUMIFS('05_상품별배치367'!$K$7:$K$373,'05_상품별배치367'!$E$7:$E$373,A441,'05_상품별배치367'!$H$7:$H$373,"추가 진열")</f>
        <v>0</v>
      </c>
      <c r="Q441" s="7">
        <f>O441+P441</f>
        <v>0</v>
      </c>
      <c r="R441" s="7">
        <v>0</v>
      </c>
      <c r="S441" s="6" t="s">
        <v>1672</v>
      </c>
      <c r="T441" s="6" t="s">
        <v>1637</v>
      </c>
      <c r="U441" s="6"/>
      <c r="V441" s="16"/>
      <c r="W441" s="16"/>
      <c r="X441" s="16"/>
      <c r="Y441" s="6" t="s">
        <v>1627</v>
      </c>
      <c r="Z441" s="15"/>
      <c r="AA441" s="15" t="s">
        <v>1628</v>
      </c>
    </row>
    <row r="442" spans="1:27" ht="33" customHeight="1">
      <c r="A442" s="8" t="s">
        <v>2699</v>
      </c>
      <c r="B442" s="9">
        <v>416</v>
      </c>
      <c r="C442" s="8" t="s">
        <v>2700</v>
      </c>
      <c r="D442" s="8" t="s">
        <v>2701</v>
      </c>
      <c r="E442" s="8" t="s">
        <v>1666</v>
      </c>
      <c r="F442" s="8" t="s">
        <v>1852</v>
      </c>
      <c r="G442" s="8" t="s">
        <v>1853</v>
      </c>
      <c r="H442" s="8"/>
      <c r="I442" s="14" t="s">
        <v>1669</v>
      </c>
      <c r="J442" s="15"/>
      <c r="K442" s="8" t="s">
        <v>1670</v>
      </c>
      <c r="L442" s="8"/>
      <c r="M442" s="6" t="s">
        <v>1671</v>
      </c>
      <c r="N442" s="6" t="s">
        <v>1644</v>
      </c>
      <c r="O442" s="7">
        <f>SUMIFS('05_상품별배치367'!$K$7:$K$373,'05_상품별배치367'!$E$7:$E$373,A442,'05_상품별배치367'!$H$7:$H$373,"본진")</f>
        <v>0</v>
      </c>
      <c r="P442" s="7">
        <f>SUMIFS('05_상품별배치367'!$K$7:$K$373,'05_상품별배치367'!$E$7:$E$373,A442,'05_상품별배치367'!$H$7:$H$373,"추가 진열")</f>
        <v>0</v>
      </c>
      <c r="Q442" s="7">
        <f>O442+P442</f>
        <v>0</v>
      </c>
      <c r="R442" s="7">
        <v>0</v>
      </c>
      <c r="S442" s="6" t="s">
        <v>1672</v>
      </c>
      <c r="T442" s="6" t="s">
        <v>1637</v>
      </c>
      <c r="U442" s="6"/>
      <c r="V442" s="16"/>
      <c r="W442" s="16"/>
      <c r="X442" s="16"/>
      <c r="Y442" s="6" t="s">
        <v>1627</v>
      </c>
      <c r="Z442" s="15"/>
      <c r="AA442" s="15" t="s">
        <v>1628</v>
      </c>
    </row>
    <row r="443" spans="1:27" ht="33" customHeight="1">
      <c r="A443" s="6" t="s">
        <v>2715</v>
      </c>
      <c r="B443" s="7">
        <v>423</v>
      </c>
      <c r="C443" s="6" t="s">
        <v>2716</v>
      </c>
      <c r="D443" s="6" t="s">
        <v>2714</v>
      </c>
      <c r="E443" s="6" t="s">
        <v>1620</v>
      </c>
      <c r="F443" s="6" t="s">
        <v>2048</v>
      </c>
      <c r="G443" s="6" t="s">
        <v>1668</v>
      </c>
      <c r="H443" s="6"/>
      <c r="I443" s="14" t="s">
        <v>1669</v>
      </c>
      <c r="J443" s="15"/>
      <c r="K443" s="6" t="s">
        <v>1622</v>
      </c>
      <c r="L443" s="6"/>
      <c r="M443" s="6" t="s">
        <v>1671</v>
      </c>
      <c r="N443" s="6" t="s">
        <v>1644</v>
      </c>
      <c r="O443" s="7">
        <f>SUMIFS('05_상품별배치367'!$K$7:$K$373,'05_상품별배치367'!$E$7:$E$373,A443,'05_상품별배치367'!$H$7:$H$373,"본진")</f>
        <v>0</v>
      </c>
      <c r="P443" s="7">
        <f>SUMIFS('05_상품별배치367'!$K$7:$K$373,'05_상품별배치367'!$E$7:$E$373,A443,'05_상품별배치367'!$H$7:$H$373,"추가 진열")</f>
        <v>0</v>
      </c>
      <c r="Q443" s="7">
        <f>O443+P443</f>
        <v>0</v>
      </c>
      <c r="R443" s="7">
        <v>0</v>
      </c>
      <c r="S443" s="6" t="s">
        <v>1672</v>
      </c>
      <c r="T443" s="6" t="s">
        <v>1637</v>
      </c>
      <c r="U443" s="6"/>
      <c r="V443" s="16"/>
      <c r="W443" s="16"/>
      <c r="X443" s="16"/>
      <c r="Y443" s="6" t="s">
        <v>1627</v>
      </c>
      <c r="Z443" s="15"/>
      <c r="AA443" s="15" t="s">
        <v>1628</v>
      </c>
    </row>
    <row r="444" spans="1:27" ht="33" customHeight="1">
      <c r="A444" s="8" t="s">
        <v>2712</v>
      </c>
      <c r="B444" s="9">
        <v>422</v>
      </c>
      <c r="C444" s="8" t="s">
        <v>2713</v>
      </c>
      <c r="D444" s="8" t="s">
        <v>2714</v>
      </c>
      <c r="E444" s="8" t="s">
        <v>1620</v>
      </c>
      <c r="F444" s="8" t="s">
        <v>2048</v>
      </c>
      <c r="G444" s="8" t="s">
        <v>1668</v>
      </c>
      <c r="H444" s="8"/>
      <c r="I444" s="14" t="s">
        <v>1669</v>
      </c>
      <c r="J444" s="15"/>
      <c r="K444" s="8" t="s">
        <v>1622</v>
      </c>
      <c r="L444" s="8"/>
      <c r="M444" s="6" t="s">
        <v>1671</v>
      </c>
      <c r="N444" s="6" t="s">
        <v>1644</v>
      </c>
      <c r="O444" s="7">
        <f>SUMIFS('05_상품별배치367'!$K$7:$K$373,'05_상품별배치367'!$E$7:$E$373,A444,'05_상품별배치367'!$H$7:$H$373,"본진")</f>
        <v>0</v>
      </c>
      <c r="P444" s="7">
        <f>SUMIFS('05_상품별배치367'!$K$7:$K$373,'05_상품별배치367'!$E$7:$E$373,A444,'05_상품별배치367'!$H$7:$H$373,"추가 진열")</f>
        <v>0</v>
      </c>
      <c r="Q444" s="7">
        <f>O444+P444</f>
        <v>0</v>
      </c>
      <c r="R444" s="7">
        <v>0</v>
      </c>
      <c r="S444" s="6" t="s">
        <v>1672</v>
      </c>
      <c r="T444" s="6" t="s">
        <v>1637</v>
      </c>
      <c r="U444" s="6"/>
      <c r="V444" s="16"/>
      <c r="W444" s="16"/>
      <c r="X444" s="16"/>
      <c r="Y444" s="6" t="s">
        <v>1627</v>
      </c>
      <c r="Z444" s="15"/>
      <c r="AA444" s="15" t="s">
        <v>1628</v>
      </c>
    </row>
    <row r="445" spans="1:27" ht="33" customHeight="1">
      <c r="A445" s="6" t="s">
        <v>1849</v>
      </c>
      <c r="B445" s="7">
        <v>79</v>
      </c>
      <c r="C445" s="6" t="s">
        <v>1850</v>
      </c>
      <c r="D445" s="6" t="s">
        <v>1851</v>
      </c>
      <c r="E445" s="6" t="s">
        <v>1666</v>
      </c>
      <c r="F445" s="6" t="s">
        <v>1852</v>
      </c>
      <c r="G445" s="6" t="s">
        <v>1853</v>
      </c>
      <c r="H445" s="6"/>
      <c r="I445" s="14" t="s">
        <v>1669</v>
      </c>
      <c r="J445" s="15"/>
      <c r="K445" s="6" t="s">
        <v>1670</v>
      </c>
      <c r="L445" s="6"/>
      <c r="M445" s="6" t="s">
        <v>1671</v>
      </c>
      <c r="N445" s="6" t="s">
        <v>1644</v>
      </c>
      <c r="O445" s="7">
        <f>SUMIFS('05_상품별배치367'!$K$7:$K$373,'05_상품별배치367'!$E$7:$E$373,A445,'05_상품별배치367'!$H$7:$H$373,"본진")</f>
        <v>0</v>
      </c>
      <c r="P445" s="7">
        <f>SUMIFS('05_상품별배치367'!$K$7:$K$373,'05_상품별배치367'!$E$7:$E$373,A445,'05_상품별배치367'!$H$7:$H$373,"추가 진열")</f>
        <v>0</v>
      </c>
      <c r="Q445" s="7">
        <f>O445+P445</f>
        <v>0</v>
      </c>
      <c r="R445" s="7">
        <v>0</v>
      </c>
      <c r="S445" s="6" t="s">
        <v>1672</v>
      </c>
      <c r="T445" s="6" t="s">
        <v>1637</v>
      </c>
      <c r="U445" s="6"/>
      <c r="V445" s="16"/>
      <c r="W445" s="16"/>
      <c r="X445" s="16"/>
      <c r="Y445" s="6" t="s">
        <v>1627</v>
      </c>
      <c r="Z445" s="15"/>
      <c r="AA445" s="15" t="s">
        <v>1628</v>
      </c>
    </row>
    <row r="446" spans="1:27" ht="33" customHeight="1">
      <c r="A446" s="8" t="s">
        <v>1854</v>
      </c>
      <c r="B446" s="9">
        <v>80</v>
      </c>
      <c r="C446" s="8" t="s">
        <v>1855</v>
      </c>
      <c r="D446" s="8" t="s">
        <v>1851</v>
      </c>
      <c r="E446" s="8" t="s">
        <v>1666</v>
      </c>
      <c r="F446" s="8" t="s">
        <v>1852</v>
      </c>
      <c r="G446" s="8" t="s">
        <v>1853</v>
      </c>
      <c r="H446" s="8"/>
      <c r="I446" s="14" t="s">
        <v>1669</v>
      </c>
      <c r="J446" s="15"/>
      <c r="K446" s="8" t="s">
        <v>1670</v>
      </c>
      <c r="L446" s="8"/>
      <c r="M446" s="6" t="s">
        <v>1671</v>
      </c>
      <c r="N446" s="6" t="s">
        <v>1644</v>
      </c>
      <c r="O446" s="7">
        <f>SUMIFS('05_상품별배치367'!$K$7:$K$373,'05_상품별배치367'!$E$7:$E$373,A446,'05_상품별배치367'!$H$7:$H$373,"본진")</f>
        <v>0</v>
      </c>
      <c r="P446" s="7">
        <f>SUMIFS('05_상품별배치367'!$K$7:$K$373,'05_상품별배치367'!$E$7:$E$373,A446,'05_상품별배치367'!$H$7:$H$373,"추가 진열")</f>
        <v>0</v>
      </c>
      <c r="Q446" s="7">
        <f>O446+P446</f>
        <v>0</v>
      </c>
      <c r="R446" s="7">
        <v>0</v>
      </c>
      <c r="S446" s="6" t="s">
        <v>1672</v>
      </c>
      <c r="T446" s="6" t="s">
        <v>1637</v>
      </c>
      <c r="U446" s="6"/>
      <c r="V446" s="16"/>
      <c r="W446" s="16"/>
      <c r="X446" s="16"/>
      <c r="Y446" s="6" t="s">
        <v>1627</v>
      </c>
      <c r="Z446" s="15"/>
      <c r="AA446" s="15" t="s">
        <v>1628</v>
      </c>
    </row>
    <row r="447" spans="1:27" ht="33" customHeight="1">
      <c r="A447" s="6" t="s">
        <v>2948</v>
      </c>
      <c r="B447" s="7">
        <v>525</v>
      </c>
      <c r="C447" s="6" t="s">
        <v>2949</v>
      </c>
      <c r="D447" s="6" t="s">
        <v>2950</v>
      </c>
      <c r="E447" s="6" t="s">
        <v>1695</v>
      </c>
      <c r="F447" s="6" t="s">
        <v>1129</v>
      </c>
      <c r="G447" s="6" t="s">
        <v>307</v>
      </c>
      <c r="H447" s="6"/>
      <c r="I447" s="14" t="s">
        <v>1642</v>
      </c>
      <c r="J447" s="15"/>
      <c r="K447" s="6" t="s">
        <v>1696</v>
      </c>
      <c r="L447" s="6"/>
      <c r="M447" s="6" t="s">
        <v>1643</v>
      </c>
      <c r="N447" s="6" t="s">
        <v>1644</v>
      </c>
      <c r="O447" s="7">
        <f>SUMIFS('05_상품별배치367'!$K$7:$K$373,'05_상품별배치367'!$E$7:$E$373,A447,'05_상품별배치367'!$H$7:$H$373,"본진")</f>
        <v>0</v>
      </c>
      <c r="P447" s="7">
        <f>SUMIFS('05_상품별배치367'!$K$7:$K$373,'05_상품별배치367'!$E$7:$E$373,A447,'05_상품별배치367'!$H$7:$H$373,"추가 진열")</f>
        <v>0</v>
      </c>
      <c r="Q447" s="7">
        <f>O447+P447</f>
        <v>0</v>
      </c>
      <c r="R447" s="7">
        <v>1</v>
      </c>
      <c r="S447" s="6" t="s">
        <v>2850</v>
      </c>
      <c r="T447" s="6" t="s">
        <v>1637</v>
      </c>
      <c r="U447" s="6"/>
      <c r="V447" s="16"/>
      <c r="W447" s="16"/>
      <c r="X447" s="16"/>
      <c r="Y447" s="6" t="s">
        <v>1627</v>
      </c>
      <c r="Z447" s="15"/>
      <c r="AA447" s="15" t="s">
        <v>1628</v>
      </c>
    </row>
    <row r="448" spans="1:27" ht="33" customHeight="1">
      <c r="A448" s="8" t="s">
        <v>2951</v>
      </c>
      <c r="B448" s="9">
        <v>526</v>
      </c>
      <c r="C448" s="8" t="s">
        <v>2952</v>
      </c>
      <c r="D448" s="8" t="s">
        <v>2950</v>
      </c>
      <c r="E448" s="8" t="s">
        <v>1695</v>
      </c>
      <c r="F448" s="8" t="s">
        <v>2846</v>
      </c>
      <c r="G448" s="8" t="s">
        <v>1668</v>
      </c>
      <c r="H448" s="8"/>
      <c r="I448" s="14" t="s">
        <v>1669</v>
      </c>
      <c r="J448" s="15"/>
      <c r="K448" s="8" t="s">
        <v>1696</v>
      </c>
      <c r="L448" s="8"/>
      <c r="M448" s="6" t="s">
        <v>1671</v>
      </c>
      <c r="N448" s="6" t="s">
        <v>1644</v>
      </c>
      <c r="O448" s="7">
        <f>SUMIFS('05_상품별배치367'!$K$7:$K$373,'05_상품별배치367'!$E$7:$E$373,A448,'05_상품별배치367'!$H$7:$H$373,"본진")</f>
        <v>0</v>
      </c>
      <c r="P448" s="7">
        <f>SUMIFS('05_상품별배치367'!$K$7:$K$373,'05_상품별배치367'!$E$7:$E$373,A448,'05_상품별배치367'!$H$7:$H$373,"추가 진열")</f>
        <v>0</v>
      </c>
      <c r="Q448" s="7">
        <f>O448+P448</f>
        <v>0</v>
      </c>
      <c r="R448" s="7">
        <v>0</v>
      </c>
      <c r="S448" s="6" t="s">
        <v>1672</v>
      </c>
      <c r="T448" s="6" t="s">
        <v>1637</v>
      </c>
      <c r="U448" s="6"/>
      <c r="V448" s="16"/>
      <c r="W448" s="16"/>
      <c r="X448" s="16"/>
      <c r="Y448" s="6" t="s">
        <v>1627</v>
      </c>
      <c r="Z448" s="15"/>
      <c r="AA448" s="15" t="s">
        <v>1628</v>
      </c>
    </row>
    <row r="449" spans="1:27" ht="33" customHeight="1">
      <c r="A449" s="6" t="s">
        <v>2953</v>
      </c>
      <c r="B449" s="7">
        <v>527</v>
      </c>
      <c r="C449" s="6" t="s">
        <v>2954</v>
      </c>
      <c r="D449" s="6" t="s">
        <v>2701</v>
      </c>
      <c r="E449" s="6" t="s">
        <v>1695</v>
      </c>
      <c r="F449" s="6" t="s">
        <v>1129</v>
      </c>
      <c r="G449" s="6" t="s">
        <v>307</v>
      </c>
      <c r="H449" s="6"/>
      <c r="I449" s="14" t="s">
        <v>1642</v>
      </c>
      <c r="J449" s="15"/>
      <c r="K449" s="6" t="s">
        <v>1696</v>
      </c>
      <c r="L449" s="6"/>
      <c r="M449" s="6" t="s">
        <v>1643</v>
      </c>
      <c r="N449" s="6" t="s">
        <v>1644</v>
      </c>
      <c r="O449" s="7">
        <f>SUMIFS('05_상품별배치367'!$K$7:$K$373,'05_상품별배치367'!$E$7:$E$373,A449,'05_상품별배치367'!$H$7:$H$373,"본진")</f>
        <v>0</v>
      </c>
      <c r="P449" s="7">
        <f>SUMIFS('05_상품별배치367'!$K$7:$K$373,'05_상품별배치367'!$E$7:$E$373,A449,'05_상품별배치367'!$H$7:$H$373,"추가 진열")</f>
        <v>0</v>
      </c>
      <c r="Q449" s="7">
        <f>O449+P449</f>
        <v>0</v>
      </c>
      <c r="R449" s="7">
        <v>1</v>
      </c>
      <c r="S449" s="6" t="s">
        <v>2850</v>
      </c>
      <c r="T449" s="6" t="s">
        <v>1637</v>
      </c>
      <c r="U449" s="6"/>
      <c r="V449" s="16"/>
      <c r="W449" s="16"/>
      <c r="X449" s="16"/>
      <c r="Y449" s="6" t="s">
        <v>1627</v>
      </c>
      <c r="Z449" s="15"/>
      <c r="AA449" s="15" t="s">
        <v>1628</v>
      </c>
    </row>
    <row r="450" spans="1:27" ht="33" customHeight="1">
      <c r="A450" s="8" t="s">
        <v>2955</v>
      </c>
      <c r="B450" s="9">
        <v>528</v>
      </c>
      <c r="C450" s="8" t="s">
        <v>2956</v>
      </c>
      <c r="D450" s="8" t="s">
        <v>2701</v>
      </c>
      <c r="E450" s="8" t="s">
        <v>1695</v>
      </c>
      <c r="F450" s="8" t="s">
        <v>1129</v>
      </c>
      <c r="G450" s="8" t="s">
        <v>307</v>
      </c>
      <c r="H450" s="8"/>
      <c r="I450" s="14" t="s">
        <v>1642</v>
      </c>
      <c r="J450" s="15"/>
      <c r="K450" s="8" t="s">
        <v>1696</v>
      </c>
      <c r="L450" s="8"/>
      <c r="M450" s="6" t="s">
        <v>1643</v>
      </c>
      <c r="N450" s="6" t="s">
        <v>1644</v>
      </c>
      <c r="O450" s="7">
        <f>SUMIFS('05_상품별배치367'!$K$7:$K$373,'05_상품별배치367'!$E$7:$E$373,A450,'05_상품별배치367'!$H$7:$H$373,"본진")</f>
        <v>0</v>
      </c>
      <c r="P450" s="7">
        <f>SUMIFS('05_상품별배치367'!$K$7:$K$373,'05_상품별배치367'!$E$7:$E$373,A450,'05_상품별배치367'!$H$7:$H$373,"추가 진열")</f>
        <v>0</v>
      </c>
      <c r="Q450" s="7">
        <f>O450+P450</f>
        <v>0</v>
      </c>
      <c r="R450" s="7">
        <v>1</v>
      </c>
      <c r="S450" s="6" t="s">
        <v>2850</v>
      </c>
      <c r="T450" s="6" t="s">
        <v>1637</v>
      </c>
      <c r="U450" s="6"/>
      <c r="V450" s="16"/>
      <c r="W450" s="16"/>
      <c r="X450" s="16"/>
      <c r="Y450" s="6" t="s">
        <v>1627</v>
      </c>
      <c r="Z450" s="15"/>
      <c r="AA450" s="15" t="s">
        <v>1628</v>
      </c>
    </row>
    <row r="451" spans="1:27" ht="33" customHeight="1">
      <c r="A451" s="6" t="s">
        <v>2957</v>
      </c>
      <c r="B451" s="7">
        <v>529</v>
      </c>
      <c r="C451" s="6" t="s">
        <v>2958</v>
      </c>
      <c r="D451" s="6" t="s">
        <v>2701</v>
      </c>
      <c r="E451" s="6" t="s">
        <v>1695</v>
      </c>
      <c r="F451" s="6" t="s">
        <v>2846</v>
      </c>
      <c r="G451" s="6" t="s">
        <v>1668</v>
      </c>
      <c r="H451" s="6"/>
      <c r="I451" s="14" t="s">
        <v>1669</v>
      </c>
      <c r="J451" s="15"/>
      <c r="K451" s="6" t="s">
        <v>1696</v>
      </c>
      <c r="L451" s="6"/>
      <c r="M451" s="6" t="s">
        <v>1671</v>
      </c>
      <c r="N451" s="6" t="s">
        <v>1644</v>
      </c>
      <c r="O451" s="7">
        <f>SUMIFS('05_상품별배치367'!$K$7:$K$373,'05_상품별배치367'!$E$7:$E$373,A451,'05_상품별배치367'!$H$7:$H$373,"본진")</f>
        <v>0</v>
      </c>
      <c r="P451" s="7">
        <f>SUMIFS('05_상품별배치367'!$K$7:$K$373,'05_상품별배치367'!$E$7:$E$373,A451,'05_상품별배치367'!$H$7:$H$373,"추가 진열")</f>
        <v>0</v>
      </c>
      <c r="Q451" s="7">
        <f>O451+P451</f>
        <v>0</v>
      </c>
      <c r="R451" s="7">
        <v>0</v>
      </c>
      <c r="S451" s="6" t="s">
        <v>1672</v>
      </c>
      <c r="T451" s="6" t="s">
        <v>1637</v>
      </c>
      <c r="U451" s="6"/>
      <c r="V451" s="16"/>
      <c r="W451" s="16"/>
      <c r="X451" s="16"/>
      <c r="Y451" s="6" t="s">
        <v>1627</v>
      </c>
      <c r="Z451" s="15"/>
      <c r="AA451" s="15" t="s">
        <v>1628</v>
      </c>
    </row>
    <row r="452" spans="1:27" ht="33" customHeight="1">
      <c r="A452" s="8" t="s">
        <v>2959</v>
      </c>
      <c r="B452" s="9">
        <v>530</v>
      </c>
      <c r="C452" s="8" t="s">
        <v>2960</v>
      </c>
      <c r="D452" s="8" t="s">
        <v>2961</v>
      </c>
      <c r="E452" s="8" t="s">
        <v>1695</v>
      </c>
      <c r="F452" s="8" t="s">
        <v>497</v>
      </c>
      <c r="G452" s="8" t="s">
        <v>307</v>
      </c>
      <c r="H452" s="8"/>
      <c r="I452" s="14" t="s">
        <v>1642</v>
      </c>
      <c r="J452" s="15"/>
      <c r="K452" s="8" t="s">
        <v>1696</v>
      </c>
      <c r="L452" s="8"/>
      <c r="M452" s="6" t="s">
        <v>1643</v>
      </c>
      <c r="N452" s="6" t="s">
        <v>1644</v>
      </c>
      <c r="O452" s="7">
        <f>SUMIFS('05_상품별배치367'!$K$7:$K$373,'05_상품별배치367'!$E$7:$E$373,A452,'05_상품별배치367'!$H$7:$H$373,"본진")</f>
        <v>0</v>
      </c>
      <c r="P452" s="7">
        <f>SUMIFS('05_상품별배치367'!$K$7:$K$373,'05_상품별배치367'!$E$7:$E$373,A452,'05_상품별배치367'!$H$7:$H$373,"추가 진열")</f>
        <v>0</v>
      </c>
      <c r="Q452" s="7">
        <f>O452+P452</f>
        <v>0</v>
      </c>
      <c r="R452" s="7">
        <v>1</v>
      </c>
      <c r="S452" s="6" t="s">
        <v>2857</v>
      </c>
      <c r="T452" s="6" t="s">
        <v>1637</v>
      </c>
      <c r="U452" s="6"/>
      <c r="V452" s="16"/>
      <c r="W452" s="16"/>
      <c r="X452" s="16"/>
      <c r="Y452" s="6" t="s">
        <v>1627</v>
      </c>
      <c r="Z452" s="15"/>
      <c r="AA452" s="15" t="s">
        <v>1628</v>
      </c>
    </row>
    <row r="453" spans="1:27" ht="33" customHeight="1">
      <c r="A453" s="8" t="s">
        <v>7108</v>
      </c>
      <c r="B453" s="9">
        <v>2460</v>
      </c>
      <c r="C453" s="8" t="s">
        <v>7109</v>
      </c>
      <c r="D453" s="8" t="s">
        <v>2672</v>
      </c>
      <c r="E453" s="8" t="s">
        <v>1666</v>
      </c>
      <c r="F453" s="8" t="s">
        <v>1852</v>
      </c>
      <c r="G453" s="8" t="s">
        <v>1853</v>
      </c>
      <c r="H453" s="8"/>
      <c r="I453" s="14" t="s">
        <v>1669</v>
      </c>
      <c r="J453" s="15"/>
      <c r="K453" s="8" t="s">
        <v>1670</v>
      </c>
      <c r="L453" s="8" t="s">
        <v>3828</v>
      </c>
      <c r="M453" s="6" t="s">
        <v>1671</v>
      </c>
      <c r="N453" s="6" t="s">
        <v>1624</v>
      </c>
      <c r="O453" s="7">
        <f>SUMIFS('05_상품별배치367'!$K$7:$K$373,'05_상품별배치367'!$E$7:$E$373,A453,'05_상품별배치367'!$H$7:$H$373,"본진")</f>
        <v>0</v>
      </c>
      <c r="P453" s="7">
        <f>SUMIFS('05_상품별배치367'!$K$7:$K$373,'05_상품별배치367'!$E$7:$E$373,A453,'05_상품별배치367'!$H$7:$H$373,"추가 진열")</f>
        <v>0</v>
      </c>
      <c r="Q453" s="7">
        <f>O453+P453</f>
        <v>0</v>
      </c>
      <c r="R453" s="7">
        <v>0</v>
      </c>
      <c r="S453" s="6" t="s">
        <v>1672</v>
      </c>
      <c r="T453" s="6" t="s">
        <v>1637</v>
      </c>
      <c r="U453" s="6"/>
      <c r="V453" s="16"/>
      <c r="W453" s="16"/>
      <c r="X453" s="16"/>
      <c r="Y453" s="6" t="s">
        <v>1627</v>
      </c>
      <c r="Z453" s="15"/>
      <c r="AA453" s="15" t="s">
        <v>1628</v>
      </c>
    </row>
    <row r="454" spans="1:27" ht="33" customHeight="1">
      <c r="A454" s="8" t="s">
        <v>3380</v>
      </c>
      <c r="B454" s="9">
        <v>718</v>
      </c>
      <c r="C454" s="8" t="s">
        <v>3381</v>
      </c>
      <c r="D454" s="8" t="s">
        <v>2845</v>
      </c>
      <c r="E454" s="8" t="s">
        <v>2134</v>
      </c>
      <c r="F454" s="8" t="s">
        <v>163</v>
      </c>
      <c r="G454" s="8" t="s">
        <v>414</v>
      </c>
      <c r="H454" s="8"/>
      <c r="I454" s="14" t="s">
        <v>1642</v>
      </c>
      <c r="J454" s="15"/>
      <c r="K454" s="8" t="s">
        <v>1976</v>
      </c>
      <c r="L454" s="8"/>
      <c r="M454" s="6" t="s">
        <v>1643</v>
      </c>
      <c r="N454" s="6" t="s">
        <v>1644</v>
      </c>
      <c r="O454" s="7">
        <f>SUMIFS('05_상품별배치367'!$K$7:$K$373,'05_상품별배치367'!$E$7:$E$373,A454,'05_상품별배치367'!$H$7:$H$373,"본진")</f>
        <v>0</v>
      </c>
      <c r="P454" s="7">
        <f>SUMIFS('05_상품별배치367'!$K$7:$K$373,'05_상품별배치367'!$E$7:$E$373,A454,'05_상품별배치367'!$H$7:$H$373,"추가 진열")</f>
        <v>0</v>
      </c>
      <c r="Q454" s="7">
        <f>O454+P454</f>
        <v>0</v>
      </c>
      <c r="R454" s="7">
        <v>1</v>
      </c>
      <c r="S454" s="6" t="s">
        <v>3048</v>
      </c>
      <c r="T454" s="6" t="s">
        <v>1637</v>
      </c>
      <c r="U454" s="6"/>
      <c r="V454" s="16"/>
      <c r="W454" s="16"/>
      <c r="X454" s="16"/>
      <c r="Y454" s="6" t="s">
        <v>1627</v>
      </c>
      <c r="Z454" s="15"/>
      <c r="AA454" s="15" t="s">
        <v>1628</v>
      </c>
    </row>
    <row r="455" spans="1:27" ht="33" customHeight="1">
      <c r="A455" s="8" t="s">
        <v>3372</v>
      </c>
      <c r="B455" s="9">
        <v>716</v>
      </c>
      <c r="C455" s="8" t="s">
        <v>3373</v>
      </c>
      <c r="D455" s="8" t="s">
        <v>3374</v>
      </c>
      <c r="E455" s="8" t="s">
        <v>2134</v>
      </c>
      <c r="F455" s="8" t="s">
        <v>2933</v>
      </c>
      <c r="G455" s="8" t="s">
        <v>1668</v>
      </c>
      <c r="H455" s="8"/>
      <c r="I455" s="14" t="s">
        <v>1807</v>
      </c>
      <c r="J455" s="15"/>
      <c r="K455" s="8" t="s">
        <v>1976</v>
      </c>
      <c r="L455" s="8" t="s">
        <v>2032</v>
      </c>
      <c r="M455" s="6" t="s">
        <v>1809</v>
      </c>
      <c r="N455" s="6" t="s">
        <v>1644</v>
      </c>
      <c r="O455" s="7">
        <f>SUMIFS('05_상품별배치367'!$K$7:$K$373,'05_상품별배치367'!$E$7:$E$373,A455,'05_상품별배치367'!$H$7:$H$373,"본진")</f>
        <v>0</v>
      </c>
      <c r="P455" s="7">
        <f>SUMIFS('05_상품별배치367'!$K$7:$K$373,'05_상품별배치367'!$E$7:$E$373,A455,'05_상품별배치367'!$H$7:$H$373,"추가 진열")</f>
        <v>0</v>
      </c>
      <c r="Q455" s="7">
        <f>O455+P455</f>
        <v>0</v>
      </c>
      <c r="R455" s="7">
        <v>0</v>
      </c>
      <c r="S455" s="6" t="s">
        <v>1810</v>
      </c>
      <c r="T455" s="6" t="s">
        <v>1637</v>
      </c>
      <c r="U455" s="6"/>
      <c r="V455" s="16"/>
      <c r="W455" s="16"/>
      <c r="X455" s="16"/>
      <c r="Y455" s="6" t="s">
        <v>1627</v>
      </c>
      <c r="Z455" s="15"/>
      <c r="AA455" s="15" t="s">
        <v>1628</v>
      </c>
    </row>
    <row r="456" spans="1:27" ht="33" customHeight="1">
      <c r="A456" s="6" t="s">
        <v>3375</v>
      </c>
      <c r="B456" s="7">
        <v>717</v>
      </c>
      <c r="C456" s="6" t="s">
        <v>3376</v>
      </c>
      <c r="D456" s="6" t="s">
        <v>3377</v>
      </c>
      <c r="E456" s="6" t="s">
        <v>1986</v>
      </c>
      <c r="F456" s="6" t="s">
        <v>3378</v>
      </c>
      <c r="G456" s="6" t="s">
        <v>38</v>
      </c>
      <c r="H456" s="6"/>
      <c r="I456" s="14" t="s">
        <v>1642</v>
      </c>
      <c r="J456" s="15"/>
      <c r="K456" s="6" t="s">
        <v>1976</v>
      </c>
      <c r="L456" s="6"/>
      <c r="M456" s="6" t="s">
        <v>1643</v>
      </c>
      <c r="N456" s="6" t="s">
        <v>1644</v>
      </c>
      <c r="O456" s="7">
        <f>SUMIFS('05_상품별배치367'!$K$7:$K$373,'05_상품별배치367'!$E$7:$E$373,A456,'05_상품별배치367'!$H$7:$H$373,"본진")</f>
        <v>0</v>
      </c>
      <c r="P456" s="7">
        <f>SUMIFS('05_상품별배치367'!$K$7:$K$373,'05_상품별배치367'!$E$7:$E$373,A456,'05_상품별배치367'!$H$7:$H$373,"추가 진열")</f>
        <v>0</v>
      </c>
      <c r="Q456" s="7">
        <f>O456+P456</f>
        <v>0</v>
      </c>
      <c r="R456" s="7">
        <v>1</v>
      </c>
      <c r="S456" s="6" t="s">
        <v>3379</v>
      </c>
      <c r="T456" s="6" t="s">
        <v>1637</v>
      </c>
      <c r="U456" s="6"/>
      <c r="V456" s="16"/>
      <c r="W456" s="16"/>
      <c r="X456" s="16"/>
      <c r="Y456" s="6" t="s">
        <v>1655</v>
      </c>
      <c r="Z456" s="15"/>
      <c r="AA456" s="15" t="s">
        <v>1628</v>
      </c>
    </row>
    <row r="457" spans="1:27" ht="33" customHeight="1">
      <c r="A457" s="6" t="s">
        <v>3370</v>
      </c>
      <c r="B457" s="7">
        <v>715</v>
      </c>
      <c r="C457" s="6" t="s">
        <v>3371</v>
      </c>
      <c r="D457" s="6" t="s">
        <v>2133</v>
      </c>
      <c r="E457" s="6" t="s">
        <v>1986</v>
      </c>
      <c r="F457" s="6" t="s">
        <v>493</v>
      </c>
      <c r="G457" s="6" t="s">
        <v>299</v>
      </c>
      <c r="H457" s="6"/>
      <c r="I457" s="14" t="s">
        <v>1642</v>
      </c>
      <c r="J457" s="15"/>
      <c r="K457" s="6" t="s">
        <v>1976</v>
      </c>
      <c r="L457" s="6"/>
      <c r="M457" s="6" t="s">
        <v>1643</v>
      </c>
      <c r="N457" s="6" t="s">
        <v>1644</v>
      </c>
      <c r="O457" s="7">
        <f>SUMIFS('05_상품별배치367'!$K$7:$K$373,'05_상품별배치367'!$E$7:$E$373,A457,'05_상품별배치367'!$H$7:$H$373,"본진")</f>
        <v>0</v>
      </c>
      <c r="P457" s="7">
        <f>SUMIFS('05_상품별배치367'!$K$7:$K$373,'05_상품별배치367'!$E$7:$E$373,A457,'05_상품별배치367'!$H$7:$H$373,"추가 진열")</f>
        <v>0</v>
      </c>
      <c r="Q457" s="7">
        <f>O457+P457</f>
        <v>0</v>
      </c>
      <c r="R457" s="7">
        <v>1</v>
      </c>
      <c r="S457" s="6" t="s">
        <v>3084</v>
      </c>
      <c r="T457" s="6" t="s">
        <v>1637</v>
      </c>
      <c r="U457" s="6"/>
      <c r="V457" s="16"/>
      <c r="W457" s="16"/>
      <c r="X457" s="16"/>
      <c r="Y457" s="6" t="s">
        <v>1627</v>
      </c>
      <c r="Z457" s="15"/>
      <c r="AA457" s="15" t="s">
        <v>1628</v>
      </c>
    </row>
    <row r="458" spans="1:27" ht="33" customHeight="1">
      <c r="A458" s="6" t="s">
        <v>5769</v>
      </c>
      <c r="B458" s="7">
        <v>1839</v>
      </c>
      <c r="C458" s="6" t="s">
        <v>5770</v>
      </c>
      <c r="D458" s="6"/>
      <c r="E458" s="6" t="s">
        <v>1986</v>
      </c>
      <c r="F458" s="6" t="s">
        <v>3378</v>
      </c>
      <c r="G458" s="6" t="s">
        <v>38</v>
      </c>
      <c r="H458" s="6"/>
      <c r="I458" s="14" t="s">
        <v>1807</v>
      </c>
      <c r="J458" s="15"/>
      <c r="K458" s="6" t="s">
        <v>1976</v>
      </c>
      <c r="L458" s="6" t="s">
        <v>5771</v>
      </c>
      <c r="M458" s="6" t="s">
        <v>1809</v>
      </c>
      <c r="N458" s="6" t="s">
        <v>1624</v>
      </c>
      <c r="O458" s="7">
        <f>SUMIFS('05_상품별배치367'!$K$7:$K$373,'05_상품별배치367'!$E$7:$E$373,A458,'05_상품별배치367'!$H$7:$H$373,"본진")</f>
        <v>0</v>
      </c>
      <c r="P458" s="7">
        <f>SUMIFS('05_상품별배치367'!$K$7:$K$373,'05_상품별배치367'!$E$7:$E$373,A458,'05_상품별배치367'!$H$7:$H$373,"추가 진열")</f>
        <v>0</v>
      </c>
      <c r="Q458" s="7">
        <f>O458+P458</f>
        <v>0</v>
      </c>
      <c r="R458" s="7">
        <v>0</v>
      </c>
      <c r="S458" s="6" t="s">
        <v>1810</v>
      </c>
      <c r="T458" s="6" t="s">
        <v>1637</v>
      </c>
      <c r="U458" s="6"/>
      <c r="V458" s="16"/>
      <c r="W458" s="16"/>
      <c r="X458" s="16"/>
      <c r="Y458" s="6" t="s">
        <v>5772</v>
      </c>
      <c r="Z458" s="15"/>
      <c r="AA458" s="15" t="s">
        <v>1628</v>
      </c>
    </row>
    <row r="459" spans="1:27" ht="33" customHeight="1">
      <c r="A459" s="6" t="s">
        <v>762</v>
      </c>
      <c r="B459" s="7">
        <v>1841</v>
      </c>
      <c r="C459" s="6" t="s">
        <v>761</v>
      </c>
      <c r="D459" s="6" t="s">
        <v>1686</v>
      </c>
      <c r="E459" s="6" t="s">
        <v>1981</v>
      </c>
      <c r="F459" s="6" t="s">
        <v>129</v>
      </c>
      <c r="G459" s="6" t="s">
        <v>228</v>
      </c>
      <c r="H459" s="6" t="s">
        <v>973</v>
      </c>
      <c r="I459" s="14" t="s">
        <v>1621</v>
      </c>
      <c r="J459" s="15"/>
      <c r="K459" s="6" t="s">
        <v>1982</v>
      </c>
      <c r="L459" s="6" t="s">
        <v>3828</v>
      </c>
      <c r="M459" s="6" t="s">
        <v>1623</v>
      </c>
      <c r="N459" s="6" t="s">
        <v>1624</v>
      </c>
      <c r="O459" s="7">
        <f>SUMIFS('05_상품별배치367'!$K$7:$K$373,'05_상품별배치367'!$E$7:$E$373,A459,'05_상품별배치367'!$H$7:$H$373,"본진")</f>
        <v>1</v>
      </c>
      <c r="P459" s="7">
        <f>SUMIFS('05_상품별배치367'!$K$7:$K$373,'05_상품별배치367'!$E$7:$E$373,A459,'05_상품별배치367'!$H$7:$H$373,"추가 진열")</f>
        <v>1</v>
      </c>
      <c r="Q459" s="7">
        <f>O459+P459</f>
        <v>2</v>
      </c>
      <c r="R459" s="7">
        <v>1</v>
      </c>
      <c r="S459" s="6" t="s">
        <v>1625</v>
      </c>
      <c r="T459" s="6" t="s">
        <v>1637</v>
      </c>
      <c r="U459" s="6"/>
      <c r="V459" s="16"/>
      <c r="W459" s="16"/>
      <c r="X459" s="16"/>
      <c r="Y459" s="6" t="s">
        <v>1627</v>
      </c>
      <c r="Z459" s="15"/>
      <c r="AA459" s="15" t="s">
        <v>1628</v>
      </c>
    </row>
    <row r="460" spans="1:27" ht="33" customHeight="1">
      <c r="A460" s="8" t="s">
        <v>5098</v>
      </c>
      <c r="B460" s="9">
        <v>1524</v>
      </c>
      <c r="C460" s="8" t="s">
        <v>5099</v>
      </c>
      <c r="D460" s="8" t="s">
        <v>2133</v>
      </c>
      <c r="E460" s="8" t="s">
        <v>2134</v>
      </c>
      <c r="F460" s="8" t="s">
        <v>1263</v>
      </c>
      <c r="G460" s="8" t="s">
        <v>376</v>
      </c>
      <c r="H460" s="8"/>
      <c r="I460" s="14" t="s">
        <v>1642</v>
      </c>
      <c r="J460" s="15"/>
      <c r="K460" s="8" t="s">
        <v>1976</v>
      </c>
      <c r="L460" s="8"/>
      <c r="M460" s="6" t="s">
        <v>1643</v>
      </c>
      <c r="N460" s="6" t="s">
        <v>1644</v>
      </c>
      <c r="O460" s="7">
        <f>SUMIFS('05_상품별배치367'!$K$7:$K$373,'05_상품별배치367'!$E$7:$E$373,A460,'05_상품별배치367'!$H$7:$H$373,"본진")</f>
        <v>0</v>
      </c>
      <c r="P460" s="7">
        <f>SUMIFS('05_상품별배치367'!$K$7:$K$373,'05_상품별배치367'!$E$7:$E$373,A460,'05_상품별배치367'!$H$7:$H$373,"추가 진열")</f>
        <v>0</v>
      </c>
      <c r="Q460" s="7">
        <f>O460+P460</f>
        <v>0</v>
      </c>
      <c r="R460" s="7">
        <v>1</v>
      </c>
      <c r="S460" s="6" t="s">
        <v>3016</v>
      </c>
      <c r="T460" s="6" t="s">
        <v>1637</v>
      </c>
      <c r="U460" s="6"/>
      <c r="V460" s="16"/>
      <c r="W460" s="16"/>
      <c r="X460" s="16"/>
      <c r="Y460" s="6" t="s">
        <v>1627</v>
      </c>
      <c r="Z460" s="15"/>
      <c r="AA460" s="15" t="s">
        <v>1628</v>
      </c>
    </row>
    <row r="461" spans="1:27" ht="33" customHeight="1">
      <c r="A461" s="8" t="s">
        <v>5089</v>
      </c>
      <c r="B461" s="9">
        <v>1520</v>
      </c>
      <c r="C461" s="8" t="s">
        <v>5090</v>
      </c>
      <c r="D461" s="8" t="s">
        <v>5091</v>
      </c>
      <c r="E461" s="8" t="s">
        <v>2134</v>
      </c>
      <c r="F461" s="8" t="s">
        <v>156</v>
      </c>
      <c r="G461" s="8" t="s">
        <v>3239</v>
      </c>
      <c r="H461" s="8"/>
      <c r="I461" s="14" t="s">
        <v>1642</v>
      </c>
      <c r="J461" s="15"/>
      <c r="K461" s="8" t="s">
        <v>1976</v>
      </c>
      <c r="L461" s="8"/>
      <c r="M461" s="6" t="s">
        <v>1643</v>
      </c>
      <c r="N461" s="6" t="s">
        <v>1644</v>
      </c>
      <c r="O461" s="7">
        <f>SUMIFS('05_상품별배치367'!$K$7:$K$373,'05_상품별배치367'!$E$7:$E$373,A461,'05_상품별배치367'!$H$7:$H$373,"본진")</f>
        <v>0</v>
      </c>
      <c r="P461" s="7">
        <f>SUMIFS('05_상품별배치367'!$K$7:$K$373,'05_상품별배치367'!$E$7:$E$373,A461,'05_상품별배치367'!$H$7:$H$373,"추가 진열")</f>
        <v>0</v>
      </c>
      <c r="Q461" s="7">
        <f>O461+P461</f>
        <v>0</v>
      </c>
      <c r="R461" s="7">
        <v>1</v>
      </c>
      <c r="S461" s="6" t="s">
        <v>3240</v>
      </c>
      <c r="T461" s="6" t="s">
        <v>1637</v>
      </c>
      <c r="U461" s="6"/>
      <c r="V461" s="16"/>
      <c r="W461" s="16"/>
      <c r="X461" s="16"/>
      <c r="Y461" s="6" t="s">
        <v>1655</v>
      </c>
      <c r="Z461" s="15"/>
      <c r="AA461" s="15" t="s">
        <v>1628</v>
      </c>
    </row>
    <row r="462" spans="1:27" ht="33" customHeight="1">
      <c r="A462" s="6" t="s">
        <v>5092</v>
      </c>
      <c r="B462" s="7">
        <v>1521</v>
      </c>
      <c r="C462" s="6" t="s">
        <v>5093</v>
      </c>
      <c r="D462" s="6" t="s">
        <v>2133</v>
      </c>
      <c r="E462" s="6" t="s">
        <v>2134</v>
      </c>
      <c r="F462" s="6" t="s">
        <v>1081</v>
      </c>
      <c r="G462" s="6" t="s">
        <v>290</v>
      </c>
      <c r="H462" s="6"/>
      <c r="I462" s="14" t="s">
        <v>1642</v>
      </c>
      <c r="J462" s="15"/>
      <c r="K462" s="6" t="s">
        <v>1976</v>
      </c>
      <c r="L462" s="6"/>
      <c r="M462" s="6" t="s">
        <v>1643</v>
      </c>
      <c r="N462" s="6" t="s">
        <v>1644</v>
      </c>
      <c r="O462" s="7">
        <f>SUMIFS('05_상품별배치367'!$K$7:$K$373,'05_상품별배치367'!$E$7:$E$373,A462,'05_상품별배치367'!$H$7:$H$373,"본진")</f>
        <v>0</v>
      </c>
      <c r="P462" s="7">
        <f>SUMIFS('05_상품별배치367'!$K$7:$K$373,'05_상품별배치367'!$E$7:$E$373,A462,'05_상품별배치367'!$H$7:$H$373,"추가 진열")</f>
        <v>0</v>
      </c>
      <c r="Q462" s="7">
        <f>O462+P462</f>
        <v>0</v>
      </c>
      <c r="R462" s="7">
        <v>1</v>
      </c>
      <c r="S462" s="6" t="s">
        <v>2135</v>
      </c>
      <c r="T462" s="6" t="s">
        <v>1637</v>
      </c>
      <c r="U462" s="6"/>
      <c r="V462" s="16"/>
      <c r="W462" s="16"/>
      <c r="X462" s="16"/>
      <c r="Y462" s="6" t="s">
        <v>1627</v>
      </c>
      <c r="Z462" s="15"/>
      <c r="AA462" s="15" t="s">
        <v>1628</v>
      </c>
    </row>
    <row r="463" spans="1:27" ht="33" customHeight="1">
      <c r="A463" s="8" t="s">
        <v>5094</v>
      </c>
      <c r="B463" s="9">
        <v>1522</v>
      </c>
      <c r="C463" s="8" t="s">
        <v>5095</v>
      </c>
      <c r="D463" s="8" t="s">
        <v>2133</v>
      </c>
      <c r="E463" s="8" t="s">
        <v>2134</v>
      </c>
      <c r="F463" s="8" t="s">
        <v>161</v>
      </c>
      <c r="G463" s="8" t="s">
        <v>395</v>
      </c>
      <c r="H463" s="8"/>
      <c r="I463" s="14" t="s">
        <v>1642</v>
      </c>
      <c r="J463" s="15"/>
      <c r="K463" s="8" t="s">
        <v>1976</v>
      </c>
      <c r="L463" s="8"/>
      <c r="M463" s="6" t="s">
        <v>1643</v>
      </c>
      <c r="N463" s="6" t="s">
        <v>1644</v>
      </c>
      <c r="O463" s="7">
        <f>SUMIFS('05_상품별배치367'!$K$7:$K$373,'05_상품별배치367'!$E$7:$E$373,A463,'05_상품별배치367'!$H$7:$H$373,"본진")</f>
        <v>0</v>
      </c>
      <c r="P463" s="7">
        <f>SUMIFS('05_상품별배치367'!$K$7:$K$373,'05_상품별배치367'!$E$7:$E$373,A463,'05_상품별배치367'!$H$7:$H$373,"추가 진열")</f>
        <v>0</v>
      </c>
      <c r="Q463" s="7">
        <f>O463+P463</f>
        <v>0</v>
      </c>
      <c r="R463" s="7">
        <v>1</v>
      </c>
      <c r="S463" s="6" t="s">
        <v>3070</v>
      </c>
      <c r="T463" s="6" t="s">
        <v>1637</v>
      </c>
      <c r="U463" s="6"/>
      <c r="V463" s="16"/>
      <c r="W463" s="16"/>
      <c r="X463" s="16"/>
      <c r="Y463" s="6" t="s">
        <v>1627</v>
      </c>
      <c r="Z463" s="15"/>
      <c r="AA463" s="15" t="s">
        <v>1628</v>
      </c>
    </row>
    <row r="464" spans="1:27" ht="33" customHeight="1">
      <c r="A464" s="6" t="s">
        <v>5096</v>
      </c>
      <c r="B464" s="7">
        <v>1523</v>
      </c>
      <c r="C464" s="6" t="s">
        <v>5097</v>
      </c>
      <c r="D464" s="6" t="s">
        <v>2133</v>
      </c>
      <c r="E464" s="6" t="s">
        <v>2134</v>
      </c>
      <c r="F464" s="6" t="s">
        <v>1263</v>
      </c>
      <c r="G464" s="6" t="s">
        <v>376</v>
      </c>
      <c r="H464" s="6"/>
      <c r="I464" s="14" t="s">
        <v>1642</v>
      </c>
      <c r="J464" s="15"/>
      <c r="K464" s="6" t="s">
        <v>1976</v>
      </c>
      <c r="L464" s="6"/>
      <c r="M464" s="6" t="s">
        <v>1643</v>
      </c>
      <c r="N464" s="6" t="s">
        <v>1644</v>
      </c>
      <c r="O464" s="7">
        <f>SUMIFS('05_상품별배치367'!$K$7:$K$373,'05_상품별배치367'!$E$7:$E$373,A464,'05_상품별배치367'!$H$7:$H$373,"본진")</f>
        <v>0</v>
      </c>
      <c r="P464" s="7">
        <f>SUMIFS('05_상품별배치367'!$K$7:$K$373,'05_상품별배치367'!$E$7:$E$373,A464,'05_상품별배치367'!$H$7:$H$373,"추가 진열")</f>
        <v>0</v>
      </c>
      <c r="Q464" s="7">
        <f>O464+P464</f>
        <v>0</v>
      </c>
      <c r="R464" s="7">
        <v>1</v>
      </c>
      <c r="S464" s="6" t="s">
        <v>3016</v>
      </c>
      <c r="T464" s="6" t="s">
        <v>1637</v>
      </c>
      <c r="U464" s="6"/>
      <c r="V464" s="16"/>
      <c r="W464" s="16"/>
      <c r="X464" s="16"/>
      <c r="Y464" s="6" t="s">
        <v>1627</v>
      </c>
      <c r="Z464" s="15"/>
      <c r="AA464" s="15" t="s">
        <v>1628</v>
      </c>
    </row>
    <row r="465" spans="1:27" ht="33" customHeight="1">
      <c r="A465" s="6" t="s">
        <v>5087</v>
      </c>
      <c r="B465" s="7">
        <v>1519</v>
      </c>
      <c r="C465" s="6" t="s">
        <v>5088</v>
      </c>
      <c r="D465" s="6" t="s">
        <v>1686</v>
      </c>
      <c r="E465" s="6" t="s">
        <v>2134</v>
      </c>
      <c r="F465" s="6" t="s">
        <v>2933</v>
      </c>
      <c r="G465" s="6" t="s">
        <v>1668</v>
      </c>
      <c r="H465" s="6"/>
      <c r="I465" s="14" t="s">
        <v>1807</v>
      </c>
      <c r="J465" s="15"/>
      <c r="K465" s="6" t="s">
        <v>1976</v>
      </c>
      <c r="L465" s="6" t="s">
        <v>2032</v>
      </c>
      <c r="M465" s="6" t="s">
        <v>1809</v>
      </c>
      <c r="N465" s="6" t="s">
        <v>1644</v>
      </c>
      <c r="O465" s="7">
        <f>SUMIFS('05_상품별배치367'!$K$7:$K$373,'05_상품별배치367'!$E$7:$E$373,A465,'05_상품별배치367'!$H$7:$H$373,"본진")</f>
        <v>0</v>
      </c>
      <c r="P465" s="7">
        <f>SUMIFS('05_상품별배치367'!$K$7:$K$373,'05_상품별배치367'!$E$7:$E$373,A465,'05_상품별배치367'!$H$7:$H$373,"추가 진열")</f>
        <v>0</v>
      </c>
      <c r="Q465" s="7">
        <f>O465+P465</f>
        <v>0</v>
      </c>
      <c r="R465" s="7">
        <v>0</v>
      </c>
      <c r="S465" s="6" t="s">
        <v>1810</v>
      </c>
      <c r="T465" s="6" t="s">
        <v>1637</v>
      </c>
      <c r="U465" s="6"/>
      <c r="V465" s="16"/>
      <c r="W465" s="16"/>
      <c r="X465" s="16"/>
      <c r="Y465" s="6" t="s">
        <v>1627</v>
      </c>
      <c r="Z465" s="15"/>
      <c r="AA465" s="15" t="s">
        <v>1628</v>
      </c>
    </row>
    <row r="466" spans="1:27" ht="33" customHeight="1">
      <c r="A466" s="8" t="s">
        <v>4954</v>
      </c>
      <c r="B466" s="9">
        <v>1458</v>
      </c>
      <c r="C466" s="8" t="s">
        <v>4955</v>
      </c>
      <c r="D466" s="8" t="s">
        <v>2845</v>
      </c>
      <c r="E466" s="8" t="s">
        <v>2134</v>
      </c>
      <c r="F466" s="8" t="s">
        <v>1263</v>
      </c>
      <c r="G466" s="8" t="s">
        <v>376</v>
      </c>
      <c r="H466" s="8"/>
      <c r="I466" s="14" t="s">
        <v>1642</v>
      </c>
      <c r="J466" s="15"/>
      <c r="K466" s="8" t="s">
        <v>1976</v>
      </c>
      <c r="L466" s="8"/>
      <c r="M466" s="6" t="s">
        <v>1643</v>
      </c>
      <c r="N466" s="6" t="s">
        <v>1644</v>
      </c>
      <c r="O466" s="7">
        <f>SUMIFS('05_상품별배치367'!$K$7:$K$373,'05_상품별배치367'!$E$7:$E$373,A466,'05_상품별배치367'!$H$7:$H$373,"본진")</f>
        <v>0</v>
      </c>
      <c r="P466" s="7">
        <f>SUMIFS('05_상품별배치367'!$K$7:$K$373,'05_상품별배치367'!$E$7:$E$373,A466,'05_상품별배치367'!$H$7:$H$373,"추가 진열")</f>
        <v>0</v>
      </c>
      <c r="Q466" s="7">
        <f>O466+P466</f>
        <v>0</v>
      </c>
      <c r="R466" s="7">
        <v>1</v>
      </c>
      <c r="S466" s="6" t="s">
        <v>3016</v>
      </c>
      <c r="T466" s="6" t="s">
        <v>1637</v>
      </c>
      <c r="U466" s="6"/>
      <c r="V466" s="16"/>
      <c r="W466" s="16"/>
      <c r="X466" s="16"/>
      <c r="Y466" s="6" t="s">
        <v>1627</v>
      </c>
      <c r="Z466" s="15"/>
      <c r="AA466" s="15" t="s">
        <v>1628</v>
      </c>
    </row>
    <row r="467" spans="1:27" ht="33" customHeight="1">
      <c r="A467" s="6" t="s">
        <v>4956</v>
      </c>
      <c r="B467" s="7">
        <v>1459</v>
      </c>
      <c r="C467" s="6" t="s">
        <v>4957</v>
      </c>
      <c r="D467" s="6" t="s">
        <v>2133</v>
      </c>
      <c r="E467" s="6" t="s">
        <v>2134</v>
      </c>
      <c r="F467" s="6" t="s">
        <v>1263</v>
      </c>
      <c r="G467" s="6" t="s">
        <v>376</v>
      </c>
      <c r="H467" s="6"/>
      <c r="I467" s="14" t="s">
        <v>1642</v>
      </c>
      <c r="J467" s="15"/>
      <c r="K467" s="6" t="s">
        <v>1976</v>
      </c>
      <c r="L467" s="6"/>
      <c r="M467" s="6" t="s">
        <v>1643</v>
      </c>
      <c r="N467" s="6" t="s">
        <v>1644</v>
      </c>
      <c r="O467" s="7">
        <f>SUMIFS('05_상품별배치367'!$K$7:$K$373,'05_상품별배치367'!$E$7:$E$373,A467,'05_상품별배치367'!$H$7:$H$373,"본진")</f>
        <v>0</v>
      </c>
      <c r="P467" s="7">
        <f>SUMIFS('05_상품별배치367'!$K$7:$K$373,'05_상품별배치367'!$E$7:$E$373,A467,'05_상품별배치367'!$H$7:$H$373,"추가 진열")</f>
        <v>0</v>
      </c>
      <c r="Q467" s="7">
        <f>O467+P467</f>
        <v>0</v>
      </c>
      <c r="R467" s="7">
        <v>1</v>
      </c>
      <c r="S467" s="6" t="s">
        <v>3016</v>
      </c>
      <c r="T467" s="6" t="s">
        <v>1637</v>
      </c>
      <c r="U467" s="6"/>
      <c r="V467" s="16"/>
      <c r="W467" s="16"/>
      <c r="X467" s="16"/>
      <c r="Y467" s="6" t="s">
        <v>1627</v>
      </c>
      <c r="Z467" s="15"/>
      <c r="AA467" s="15" t="s">
        <v>1628</v>
      </c>
    </row>
    <row r="468" spans="1:27" ht="33" customHeight="1">
      <c r="A468" s="8" t="s">
        <v>4958</v>
      </c>
      <c r="B468" s="9">
        <v>1460</v>
      </c>
      <c r="C468" s="8" t="s">
        <v>4959</v>
      </c>
      <c r="D468" s="8" t="s">
        <v>2572</v>
      </c>
      <c r="E468" s="8" t="s">
        <v>2134</v>
      </c>
      <c r="F468" s="8" t="s">
        <v>1263</v>
      </c>
      <c r="G468" s="8" t="s">
        <v>376</v>
      </c>
      <c r="H468" s="8"/>
      <c r="I468" s="14" t="s">
        <v>1642</v>
      </c>
      <c r="J468" s="15"/>
      <c r="K468" s="8" t="s">
        <v>1976</v>
      </c>
      <c r="L468" s="8"/>
      <c r="M468" s="6" t="s">
        <v>1643</v>
      </c>
      <c r="N468" s="6" t="s">
        <v>1644</v>
      </c>
      <c r="O468" s="7">
        <f>SUMIFS('05_상품별배치367'!$K$7:$K$373,'05_상품별배치367'!$E$7:$E$373,A468,'05_상품별배치367'!$H$7:$H$373,"본진")</f>
        <v>0</v>
      </c>
      <c r="P468" s="7">
        <f>SUMIFS('05_상품별배치367'!$K$7:$K$373,'05_상품별배치367'!$E$7:$E$373,A468,'05_상품별배치367'!$H$7:$H$373,"추가 진열")</f>
        <v>0</v>
      </c>
      <c r="Q468" s="7">
        <f>O468+P468</f>
        <v>0</v>
      </c>
      <c r="R468" s="7">
        <v>1</v>
      </c>
      <c r="S468" s="6" t="s">
        <v>3016</v>
      </c>
      <c r="T468" s="6" t="s">
        <v>1637</v>
      </c>
      <c r="U468" s="6"/>
      <c r="V468" s="16"/>
      <c r="W468" s="16"/>
      <c r="X468" s="16"/>
      <c r="Y468" s="6" t="s">
        <v>1627</v>
      </c>
      <c r="Z468" s="15"/>
      <c r="AA468" s="15" t="s">
        <v>1628</v>
      </c>
    </row>
    <row r="469" spans="1:27" ht="33" customHeight="1">
      <c r="A469" s="6" t="s">
        <v>4940</v>
      </c>
      <c r="B469" s="7">
        <v>1451</v>
      </c>
      <c r="C469" s="6" t="s">
        <v>4941</v>
      </c>
      <c r="D469" s="6" t="s">
        <v>1894</v>
      </c>
      <c r="E469" s="6" t="s">
        <v>2134</v>
      </c>
      <c r="F469" s="6" t="s">
        <v>1263</v>
      </c>
      <c r="G469" s="6" t="s">
        <v>376</v>
      </c>
      <c r="H469" s="6"/>
      <c r="I469" s="14" t="s">
        <v>1642</v>
      </c>
      <c r="J469" s="15"/>
      <c r="K469" s="6" t="s">
        <v>1976</v>
      </c>
      <c r="L469" s="6"/>
      <c r="M469" s="6" t="s">
        <v>1643</v>
      </c>
      <c r="N469" s="6" t="s">
        <v>1644</v>
      </c>
      <c r="O469" s="7">
        <f>SUMIFS('05_상품별배치367'!$K$7:$K$373,'05_상품별배치367'!$E$7:$E$373,A469,'05_상품별배치367'!$H$7:$H$373,"본진")</f>
        <v>0</v>
      </c>
      <c r="P469" s="7">
        <f>SUMIFS('05_상품별배치367'!$K$7:$K$373,'05_상품별배치367'!$E$7:$E$373,A469,'05_상품별배치367'!$H$7:$H$373,"추가 진열")</f>
        <v>0</v>
      </c>
      <c r="Q469" s="7">
        <f>O469+P469</f>
        <v>0</v>
      </c>
      <c r="R469" s="7">
        <v>1</v>
      </c>
      <c r="S469" s="6" t="s">
        <v>3016</v>
      </c>
      <c r="T469" s="6" t="s">
        <v>1637</v>
      </c>
      <c r="U469" s="6"/>
      <c r="V469" s="16"/>
      <c r="W469" s="16"/>
      <c r="X469" s="16"/>
      <c r="Y469" s="6" t="s">
        <v>1627</v>
      </c>
      <c r="Z469" s="15"/>
      <c r="AA469" s="15" t="s">
        <v>1628</v>
      </c>
    </row>
    <row r="470" spans="1:27" ht="33" customHeight="1">
      <c r="A470" s="8" t="s">
        <v>4942</v>
      </c>
      <c r="B470" s="9">
        <v>1452</v>
      </c>
      <c r="C470" s="8" t="s">
        <v>4943</v>
      </c>
      <c r="D470" s="8" t="s">
        <v>1894</v>
      </c>
      <c r="E470" s="8" t="s">
        <v>2134</v>
      </c>
      <c r="F470" s="8" t="s">
        <v>1263</v>
      </c>
      <c r="G470" s="8" t="s">
        <v>376</v>
      </c>
      <c r="H470" s="8"/>
      <c r="I470" s="14" t="s">
        <v>1642</v>
      </c>
      <c r="J470" s="15"/>
      <c r="K470" s="8" t="s">
        <v>1976</v>
      </c>
      <c r="L470" s="8"/>
      <c r="M470" s="6" t="s">
        <v>1643</v>
      </c>
      <c r="N470" s="6" t="s">
        <v>1644</v>
      </c>
      <c r="O470" s="7">
        <f>SUMIFS('05_상품별배치367'!$K$7:$K$373,'05_상품별배치367'!$E$7:$E$373,A470,'05_상품별배치367'!$H$7:$H$373,"본진")</f>
        <v>0</v>
      </c>
      <c r="P470" s="7">
        <f>SUMIFS('05_상품별배치367'!$K$7:$K$373,'05_상품별배치367'!$E$7:$E$373,A470,'05_상품별배치367'!$H$7:$H$373,"추가 진열")</f>
        <v>0</v>
      </c>
      <c r="Q470" s="7">
        <f>O470+P470</f>
        <v>0</v>
      </c>
      <c r="R470" s="7">
        <v>1</v>
      </c>
      <c r="S470" s="6" t="s">
        <v>3016</v>
      </c>
      <c r="T470" s="6" t="s">
        <v>1637</v>
      </c>
      <c r="U470" s="6"/>
      <c r="V470" s="16"/>
      <c r="W470" s="16"/>
      <c r="X470" s="16"/>
      <c r="Y470" s="6" t="s">
        <v>1627</v>
      </c>
      <c r="Z470" s="15"/>
      <c r="AA470" s="15" t="s">
        <v>1628</v>
      </c>
    </row>
    <row r="471" spans="1:27" ht="33" customHeight="1">
      <c r="A471" s="6" t="s">
        <v>4944</v>
      </c>
      <c r="B471" s="7">
        <v>1453</v>
      </c>
      <c r="C471" s="6" t="s">
        <v>4945</v>
      </c>
      <c r="D471" s="6" t="s">
        <v>1894</v>
      </c>
      <c r="E471" s="6" t="s">
        <v>2134</v>
      </c>
      <c r="F471" s="6" t="s">
        <v>162</v>
      </c>
      <c r="G471" s="6" t="s">
        <v>404</v>
      </c>
      <c r="H471" s="6"/>
      <c r="I471" s="14" t="s">
        <v>1642</v>
      </c>
      <c r="J471" s="15"/>
      <c r="K471" s="6" t="s">
        <v>1976</v>
      </c>
      <c r="L471" s="6"/>
      <c r="M471" s="6" t="s">
        <v>1643</v>
      </c>
      <c r="N471" s="6" t="s">
        <v>1644</v>
      </c>
      <c r="O471" s="7">
        <f>SUMIFS('05_상품별배치367'!$K$7:$K$373,'05_상품별배치367'!$E$7:$E$373,A471,'05_상품별배치367'!$H$7:$H$373,"본진")</f>
        <v>0</v>
      </c>
      <c r="P471" s="7">
        <f>SUMIFS('05_상품별배치367'!$K$7:$K$373,'05_상품별배치367'!$E$7:$E$373,A471,'05_상품별배치367'!$H$7:$H$373,"추가 진열")</f>
        <v>0</v>
      </c>
      <c r="Q471" s="7">
        <f>O471+P471</f>
        <v>0</v>
      </c>
      <c r="R471" s="7">
        <v>1</v>
      </c>
      <c r="S471" s="6" t="s">
        <v>2996</v>
      </c>
      <c r="T471" s="6" t="s">
        <v>1637</v>
      </c>
      <c r="U471" s="6"/>
      <c r="V471" s="16"/>
      <c r="W471" s="16"/>
      <c r="X471" s="16"/>
      <c r="Y471" s="6" t="s">
        <v>1627</v>
      </c>
      <c r="Z471" s="15"/>
      <c r="AA471" s="15" t="s">
        <v>1628</v>
      </c>
    </row>
    <row r="472" spans="1:27" ht="33" customHeight="1">
      <c r="A472" s="8" t="s">
        <v>4946</v>
      </c>
      <c r="B472" s="9">
        <v>1454</v>
      </c>
      <c r="C472" s="8" t="s">
        <v>4947</v>
      </c>
      <c r="D472" s="8" t="s">
        <v>1894</v>
      </c>
      <c r="E472" s="8" t="s">
        <v>2134</v>
      </c>
      <c r="F472" s="8" t="s">
        <v>1263</v>
      </c>
      <c r="G472" s="8" t="s">
        <v>376</v>
      </c>
      <c r="H472" s="8"/>
      <c r="I472" s="14" t="s">
        <v>1642</v>
      </c>
      <c r="J472" s="15"/>
      <c r="K472" s="8" t="s">
        <v>1976</v>
      </c>
      <c r="L472" s="8"/>
      <c r="M472" s="6" t="s">
        <v>1643</v>
      </c>
      <c r="N472" s="6" t="s">
        <v>1644</v>
      </c>
      <c r="O472" s="7">
        <f>SUMIFS('05_상품별배치367'!$K$7:$K$373,'05_상품별배치367'!$E$7:$E$373,A472,'05_상품별배치367'!$H$7:$H$373,"본진")</f>
        <v>0</v>
      </c>
      <c r="P472" s="7">
        <f>SUMIFS('05_상품별배치367'!$K$7:$K$373,'05_상품별배치367'!$E$7:$E$373,A472,'05_상품별배치367'!$H$7:$H$373,"추가 진열")</f>
        <v>0</v>
      </c>
      <c r="Q472" s="7">
        <f>O472+P472</f>
        <v>0</v>
      </c>
      <c r="R472" s="7">
        <v>1</v>
      </c>
      <c r="S472" s="6" t="s">
        <v>3016</v>
      </c>
      <c r="T472" s="6" t="s">
        <v>1637</v>
      </c>
      <c r="U472" s="6"/>
      <c r="V472" s="16"/>
      <c r="W472" s="16"/>
      <c r="X472" s="16"/>
      <c r="Y472" s="6" t="s">
        <v>1627</v>
      </c>
      <c r="Z472" s="15"/>
      <c r="AA472" s="15" t="s">
        <v>1628</v>
      </c>
    </row>
    <row r="473" spans="1:27" ht="33" customHeight="1">
      <c r="A473" s="6" t="s">
        <v>4934</v>
      </c>
      <c r="B473" s="7">
        <v>1447</v>
      </c>
      <c r="C473" s="6" t="s">
        <v>4935</v>
      </c>
      <c r="D473" s="6" t="s">
        <v>2856</v>
      </c>
      <c r="E473" s="6" t="s">
        <v>2134</v>
      </c>
      <c r="F473" s="6" t="s">
        <v>2933</v>
      </c>
      <c r="G473" s="6" t="s">
        <v>1668</v>
      </c>
      <c r="H473" s="6"/>
      <c r="I473" s="14" t="s">
        <v>1807</v>
      </c>
      <c r="J473" s="15"/>
      <c r="K473" s="6" t="s">
        <v>1976</v>
      </c>
      <c r="L473" s="6" t="s">
        <v>2032</v>
      </c>
      <c r="M473" s="6" t="s">
        <v>1809</v>
      </c>
      <c r="N473" s="6" t="s">
        <v>1644</v>
      </c>
      <c r="O473" s="7">
        <f>SUMIFS('05_상품별배치367'!$K$7:$K$373,'05_상품별배치367'!$E$7:$E$373,A473,'05_상품별배치367'!$H$7:$H$373,"본진")</f>
        <v>0</v>
      </c>
      <c r="P473" s="7">
        <f>SUMIFS('05_상품별배치367'!$K$7:$K$373,'05_상품별배치367'!$E$7:$E$373,A473,'05_상품별배치367'!$H$7:$H$373,"추가 진열")</f>
        <v>0</v>
      </c>
      <c r="Q473" s="7">
        <f>O473+P473</f>
        <v>0</v>
      </c>
      <c r="R473" s="7">
        <v>0</v>
      </c>
      <c r="S473" s="6" t="s">
        <v>1810</v>
      </c>
      <c r="T473" s="6" t="s">
        <v>1637</v>
      </c>
      <c r="U473" s="6"/>
      <c r="V473" s="16"/>
      <c r="W473" s="16"/>
      <c r="X473" s="16"/>
      <c r="Y473" s="6" t="s">
        <v>1627</v>
      </c>
      <c r="Z473" s="15"/>
      <c r="AA473" s="15" t="s">
        <v>1628</v>
      </c>
    </row>
    <row r="474" spans="1:27" ht="33" customHeight="1">
      <c r="A474" s="8" t="s">
        <v>4936</v>
      </c>
      <c r="B474" s="9">
        <v>1448</v>
      </c>
      <c r="C474" s="8" t="s">
        <v>4937</v>
      </c>
      <c r="D474" s="8" t="s">
        <v>2856</v>
      </c>
      <c r="E474" s="8" t="s">
        <v>2134</v>
      </c>
      <c r="F474" s="8" t="s">
        <v>2933</v>
      </c>
      <c r="G474" s="8" t="s">
        <v>1668</v>
      </c>
      <c r="H474" s="8"/>
      <c r="I474" s="14" t="s">
        <v>1807</v>
      </c>
      <c r="J474" s="15"/>
      <c r="K474" s="8" t="s">
        <v>1976</v>
      </c>
      <c r="L474" s="8" t="s">
        <v>2032</v>
      </c>
      <c r="M474" s="6" t="s">
        <v>1809</v>
      </c>
      <c r="N474" s="6" t="s">
        <v>1644</v>
      </c>
      <c r="O474" s="7">
        <f>SUMIFS('05_상품별배치367'!$K$7:$K$373,'05_상품별배치367'!$E$7:$E$373,A474,'05_상품별배치367'!$H$7:$H$373,"본진")</f>
        <v>0</v>
      </c>
      <c r="P474" s="7">
        <f>SUMIFS('05_상품별배치367'!$K$7:$K$373,'05_상품별배치367'!$E$7:$E$373,A474,'05_상품별배치367'!$H$7:$H$373,"추가 진열")</f>
        <v>0</v>
      </c>
      <c r="Q474" s="7">
        <f>O474+P474</f>
        <v>0</v>
      </c>
      <c r="R474" s="7">
        <v>0</v>
      </c>
      <c r="S474" s="6" t="s">
        <v>1810</v>
      </c>
      <c r="T474" s="6" t="s">
        <v>1637</v>
      </c>
      <c r="U474" s="6"/>
      <c r="V474" s="16"/>
      <c r="W474" s="16"/>
      <c r="X474" s="16"/>
      <c r="Y474" s="6" t="s">
        <v>1627</v>
      </c>
      <c r="Z474" s="15"/>
      <c r="AA474" s="15" t="s">
        <v>1628</v>
      </c>
    </row>
    <row r="475" spans="1:27" ht="33" customHeight="1">
      <c r="A475" s="6" t="s">
        <v>1278</v>
      </c>
      <c r="B475" s="7">
        <v>1449</v>
      </c>
      <c r="C475" s="6" t="s">
        <v>1277</v>
      </c>
      <c r="D475" s="6" t="s">
        <v>3150</v>
      </c>
      <c r="E475" s="6" t="s">
        <v>1986</v>
      </c>
      <c r="F475" s="6" t="s">
        <v>1276</v>
      </c>
      <c r="G475" s="6" t="s">
        <v>376</v>
      </c>
      <c r="H475" s="6" t="s">
        <v>1275</v>
      </c>
      <c r="I475" s="14" t="s">
        <v>1992</v>
      </c>
      <c r="J475" s="15"/>
      <c r="K475" s="6" t="s">
        <v>1976</v>
      </c>
      <c r="L475" s="6"/>
      <c r="M475" s="6" t="s">
        <v>1993</v>
      </c>
      <c r="N475" s="6" t="s">
        <v>1644</v>
      </c>
      <c r="O475" s="7">
        <f>SUMIFS('05_상품별배치367'!$K$7:$K$373,'05_상품별배치367'!$E$7:$E$373,A475,'05_상품별배치367'!$H$7:$H$373,"본진")</f>
        <v>1</v>
      </c>
      <c r="P475" s="7">
        <f>SUMIFS('05_상품별배치367'!$K$7:$K$373,'05_상품별배치367'!$E$7:$E$373,A475,'05_상품별배치367'!$H$7:$H$373,"추가 진열")</f>
        <v>0</v>
      </c>
      <c r="Q475" s="7">
        <f>O475+P475</f>
        <v>1</v>
      </c>
      <c r="R475" s="7">
        <v>1</v>
      </c>
      <c r="S475" s="6" t="s">
        <v>1994</v>
      </c>
      <c r="T475" s="6" t="s">
        <v>1637</v>
      </c>
      <c r="U475" s="6"/>
      <c r="V475" s="16"/>
      <c r="W475" s="16"/>
      <c r="X475" s="16"/>
      <c r="Y475" s="6" t="s">
        <v>1627</v>
      </c>
      <c r="Z475" s="15"/>
      <c r="AA475" s="15" t="s">
        <v>1628</v>
      </c>
    </row>
    <row r="476" spans="1:27" ht="33" customHeight="1">
      <c r="A476" s="8" t="s">
        <v>4963</v>
      </c>
      <c r="B476" s="9">
        <v>1462</v>
      </c>
      <c r="C476" s="8" t="s">
        <v>4964</v>
      </c>
      <c r="D476" s="8" t="s">
        <v>2133</v>
      </c>
      <c r="E476" s="8" t="s">
        <v>2134</v>
      </c>
      <c r="F476" s="8" t="s">
        <v>1081</v>
      </c>
      <c r="G476" s="8" t="s">
        <v>290</v>
      </c>
      <c r="H476" s="8"/>
      <c r="I476" s="14" t="s">
        <v>1642</v>
      </c>
      <c r="J476" s="15"/>
      <c r="K476" s="8" t="s">
        <v>1976</v>
      </c>
      <c r="L476" s="8"/>
      <c r="M476" s="6" t="s">
        <v>1643</v>
      </c>
      <c r="N476" s="6" t="s">
        <v>1644</v>
      </c>
      <c r="O476" s="7">
        <f>SUMIFS('05_상품별배치367'!$K$7:$K$373,'05_상품별배치367'!$E$7:$E$373,A476,'05_상품별배치367'!$H$7:$H$373,"본진")</f>
        <v>0</v>
      </c>
      <c r="P476" s="7">
        <f>SUMIFS('05_상품별배치367'!$K$7:$K$373,'05_상품별배치367'!$E$7:$E$373,A476,'05_상품별배치367'!$H$7:$H$373,"추가 진열")</f>
        <v>0</v>
      </c>
      <c r="Q476" s="7">
        <f>O476+P476</f>
        <v>0</v>
      </c>
      <c r="R476" s="7">
        <v>1</v>
      </c>
      <c r="S476" s="6" t="s">
        <v>2135</v>
      </c>
      <c r="T476" s="6" t="s">
        <v>1637</v>
      </c>
      <c r="U476" s="6"/>
      <c r="V476" s="16"/>
      <c r="W476" s="16"/>
      <c r="X476" s="16"/>
      <c r="Y476" s="6" t="s">
        <v>1627</v>
      </c>
      <c r="Z476" s="15"/>
      <c r="AA476" s="15" t="s">
        <v>1628</v>
      </c>
    </row>
    <row r="477" spans="1:27" ht="33" customHeight="1">
      <c r="A477" s="6" t="s">
        <v>4965</v>
      </c>
      <c r="B477" s="7">
        <v>1463</v>
      </c>
      <c r="C477" s="6" t="s">
        <v>4966</v>
      </c>
      <c r="D477" s="6" t="s">
        <v>2133</v>
      </c>
      <c r="E477" s="6" t="s">
        <v>2134</v>
      </c>
      <c r="F477" s="6" t="s">
        <v>1081</v>
      </c>
      <c r="G477" s="6" t="s">
        <v>290</v>
      </c>
      <c r="H477" s="6"/>
      <c r="I477" s="14" t="s">
        <v>1642</v>
      </c>
      <c r="J477" s="15"/>
      <c r="K477" s="6" t="s">
        <v>1976</v>
      </c>
      <c r="L477" s="6"/>
      <c r="M477" s="6" t="s">
        <v>1643</v>
      </c>
      <c r="N477" s="6" t="s">
        <v>1644</v>
      </c>
      <c r="O477" s="7">
        <f>SUMIFS('05_상품별배치367'!$K$7:$K$373,'05_상품별배치367'!$E$7:$E$373,A477,'05_상품별배치367'!$H$7:$H$373,"본진")</f>
        <v>0</v>
      </c>
      <c r="P477" s="7">
        <f>SUMIFS('05_상품별배치367'!$K$7:$K$373,'05_상품별배치367'!$E$7:$E$373,A477,'05_상품별배치367'!$H$7:$H$373,"추가 진열")</f>
        <v>0</v>
      </c>
      <c r="Q477" s="7">
        <f>O477+P477</f>
        <v>0</v>
      </c>
      <c r="R477" s="7">
        <v>1</v>
      </c>
      <c r="S477" s="6" t="s">
        <v>2135</v>
      </c>
      <c r="T477" s="6" t="s">
        <v>1637</v>
      </c>
      <c r="U477" s="6"/>
      <c r="V477" s="16"/>
      <c r="W477" s="16"/>
      <c r="X477" s="16"/>
      <c r="Y477" s="6" t="s">
        <v>1627</v>
      </c>
      <c r="Z477" s="15"/>
      <c r="AA477" s="15" t="s">
        <v>1628</v>
      </c>
    </row>
    <row r="478" spans="1:27" ht="33" customHeight="1">
      <c r="A478" s="6" t="s">
        <v>4960</v>
      </c>
      <c r="B478" s="7">
        <v>1461</v>
      </c>
      <c r="C478" s="6" t="s">
        <v>4961</v>
      </c>
      <c r="D478" s="6" t="s">
        <v>4962</v>
      </c>
      <c r="E478" s="6" t="s">
        <v>2134</v>
      </c>
      <c r="F478" s="6" t="s">
        <v>1081</v>
      </c>
      <c r="G478" s="6" t="s">
        <v>290</v>
      </c>
      <c r="H478" s="6"/>
      <c r="I478" s="14" t="s">
        <v>1642</v>
      </c>
      <c r="J478" s="15"/>
      <c r="K478" s="6" t="s">
        <v>1976</v>
      </c>
      <c r="L478" s="6"/>
      <c r="M478" s="6" t="s">
        <v>1643</v>
      </c>
      <c r="N478" s="6" t="s">
        <v>1644</v>
      </c>
      <c r="O478" s="7">
        <f>SUMIFS('05_상품별배치367'!$K$7:$K$373,'05_상품별배치367'!$E$7:$E$373,A478,'05_상품별배치367'!$H$7:$H$373,"본진")</f>
        <v>0</v>
      </c>
      <c r="P478" s="7">
        <f>SUMIFS('05_상품별배치367'!$K$7:$K$373,'05_상품별배치367'!$E$7:$E$373,A478,'05_상품별배치367'!$H$7:$H$373,"추가 진열")</f>
        <v>0</v>
      </c>
      <c r="Q478" s="7">
        <f>O478+P478</f>
        <v>0</v>
      </c>
      <c r="R478" s="7">
        <v>1</v>
      </c>
      <c r="S478" s="6" t="s">
        <v>2135</v>
      </c>
      <c r="T478" s="6" t="s">
        <v>1637</v>
      </c>
      <c r="U478" s="6"/>
      <c r="V478" s="16"/>
      <c r="W478" s="16"/>
      <c r="X478" s="16"/>
      <c r="Y478" s="6" t="s">
        <v>1627</v>
      </c>
      <c r="Z478" s="15"/>
      <c r="AA478" s="15" t="s">
        <v>1628</v>
      </c>
    </row>
    <row r="479" spans="1:27" ht="33" customHeight="1">
      <c r="A479" s="8" t="s">
        <v>4971</v>
      </c>
      <c r="B479" s="9">
        <v>1466</v>
      </c>
      <c r="C479" s="8" t="s">
        <v>4972</v>
      </c>
      <c r="D479" s="8" t="s">
        <v>2133</v>
      </c>
      <c r="E479" s="8" t="s">
        <v>2134</v>
      </c>
      <c r="F479" s="8" t="s">
        <v>162</v>
      </c>
      <c r="G479" s="8" t="s">
        <v>404</v>
      </c>
      <c r="H479" s="8"/>
      <c r="I479" s="14" t="s">
        <v>1642</v>
      </c>
      <c r="J479" s="15"/>
      <c r="K479" s="8" t="s">
        <v>1976</v>
      </c>
      <c r="L479" s="8"/>
      <c r="M479" s="6" t="s">
        <v>1643</v>
      </c>
      <c r="N479" s="6" t="s">
        <v>1644</v>
      </c>
      <c r="O479" s="7">
        <f>SUMIFS('05_상품별배치367'!$K$7:$K$373,'05_상품별배치367'!$E$7:$E$373,A479,'05_상품별배치367'!$H$7:$H$373,"본진")</f>
        <v>0</v>
      </c>
      <c r="P479" s="7">
        <f>SUMIFS('05_상품별배치367'!$K$7:$K$373,'05_상품별배치367'!$E$7:$E$373,A479,'05_상품별배치367'!$H$7:$H$373,"추가 진열")</f>
        <v>0</v>
      </c>
      <c r="Q479" s="7">
        <f>O479+P479</f>
        <v>0</v>
      </c>
      <c r="R479" s="7">
        <v>1</v>
      </c>
      <c r="S479" s="6" t="s">
        <v>2996</v>
      </c>
      <c r="T479" s="6" t="s">
        <v>1637</v>
      </c>
      <c r="U479" s="6"/>
      <c r="V479" s="16"/>
      <c r="W479" s="16"/>
      <c r="X479" s="16"/>
      <c r="Y479" s="6" t="s">
        <v>1627</v>
      </c>
      <c r="Z479" s="15"/>
      <c r="AA479" s="15" t="s">
        <v>1628</v>
      </c>
    </row>
    <row r="480" spans="1:27" ht="33" customHeight="1">
      <c r="A480" s="8" t="s">
        <v>4967</v>
      </c>
      <c r="B480" s="9">
        <v>1464</v>
      </c>
      <c r="C480" s="8" t="s">
        <v>4968</v>
      </c>
      <c r="D480" s="8" t="s">
        <v>2845</v>
      </c>
      <c r="E480" s="8" t="s">
        <v>2134</v>
      </c>
      <c r="F480" s="8" t="s">
        <v>162</v>
      </c>
      <c r="G480" s="8" t="s">
        <v>404</v>
      </c>
      <c r="H480" s="8"/>
      <c r="I480" s="14" t="s">
        <v>1642</v>
      </c>
      <c r="J480" s="15"/>
      <c r="K480" s="8" t="s">
        <v>1976</v>
      </c>
      <c r="L480" s="8"/>
      <c r="M480" s="6" t="s">
        <v>1643</v>
      </c>
      <c r="N480" s="6" t="s">
        <v>1644</v>
      </c>
      <c r="O480" s="7">
        <f>SUMIFS('05_상품별배치367'!$K$7:$K$373,'05_상품별배치367'!$E$7:$E$373,A480,'05_상품별배치367'!$H$7:$H$373,"본진")</f>
        <v>0</v>
      </c>
      <c r="P480" s="7">
        <f>SUMIFS('05_상품별배치367'!$K$7:$K$373,'05_상품별배치367'!$E$7:$E$373,A480,'05_상품별배치367'!$H$7:$H$373,"추가 진열")</f>
        <v>0</v>
      </c>
      <c r="Q480" s="7">
        <f>O480+P480</f>
        <v>0</v>
      </c>
      <c r="R480" s="7">
        <v>1</v>
      </c>
      <c r="S480" s="6" t="s">
        <v>2996</v>
      </c>
      <c r="T480" s="6" t="s">
        <v>1637</v>
      </c>
      <c r="U480" s="6"/>
      <c r="V480" s="16"/>
      <c r="W480" s="16"/>
      <c r="X480" s="16"/>
      <c r="Y480" s="6" t="s">
        <v>1627</v>
      </c>
      <c r="Z480" s="15"/>
      <c r="AA480" s="15" t="s">
        <v>1628</v>
      </c>
    </row>
    <row r="481" spans="1:27" ht="33" customHeight="1">
      <c r="A481" s="6" t="s">
        <v>4969</v>
      </c>
      <c r="B481" s="7">
        <v>1465</v>
      </c>
      <c r="C481" s="6" t="s">
        <v>4970</v>
      </c>
      <c r="D481" s="6" t="s">
        <v>2133</v>
      </c>
      <c r="E481" s="6" t="s">
        <v>2134</v>
      </c>
      <c r="F481" s="6" t="s">
        <v>162</v>
      </c>
      <c r="G481" s="6" t="s">
        <v>404</v>
      </c>
      <c r="H481" s="6"/>
      <c r="I481" s="14" t="s">
        <v>1642</v>
      </c>
      <c r="J481" s="15"/>
      <c r="K481" s="6" t="s">
        <v>1976</v>
      </c>
      <c r="L481" s="6"/>
      <c r="M481" s="6" t="s">
        <v>1643</v>
      </c>
      <c r="N481" s="6" t="s">
        <v>1644</v>
      </c>
      <c r="O481" s="7">
        <f>SUMIFS('05_상품별배치367'!$K$7:$K$373,'05_상품별배치367'!$E$7:$E$373,A481,'05_상품별배치367'!$H$7:$H$373,"본진")</f>
        <v>0</v>
      </c>
      <c r="P481" s="7">
        <f>SUMIFS('05_상품별배치367'!$K$7:$K$373,'05_상품별배치367'!$E$7:$E$373,A481,'05_상품별배치367'!$H$7:$H$373,"추가 진열")</f>
        <v>0</v>
      </c>
      <c r="Q481" s="7">
        <f>O481+P481</f>
        <v>0</v>
      </c>
      <c r="R481" s="7">
        <v>1</v>
      </c>
      <c r="S481" s="6" t="s">
        <v>2996</v>
      </c>
      <c r="T481" s="6" t="s">
        <v>1637</v>
      </c>
      <c r="U481" s="6"/>
      <c r="V481" s="16"/>
      <c r="W481" s="16"/>
      <c r="X481" s="16"/>
      <c r="Y481" s="6" t="s">
        <v>1627</v>
      </c>
      <c r="Z481" s="15"/>
      <c r="AA481" s="15" t="s">
        <v>1628</v>
      </c>
    </row>
    <row r="482" spans="1:27" ht="33" customHeight="1">
      <c r="A482" s="8" t="s">
        <v>4938</v>
      </c>
      <c r="B482" s="9">
        <v>1450</v>
      </c>
      <c r="C482" s="8" t="s">
        <v>4939</v>
      </c>
      <c r="D482" s="8" t="s">
        <v>2078</v>
      </c>
      <c r="E482" s="8" t="s">
        <v>1743</v>
      </c>
      <c r="F482" s="8" t="s">
        <v>2772</v>
      </c>
      <c r="G482" s="8" t="s">
        <v>1668</v>
      </c>
      <c r="H482" s="8"/>
      <c r="I482" s="14" t="s">
        <v>1669</v>
      </c>
      <c r="J482" s="15"/>
      <c r="K482" s="8" t="s">
        <v>1696</v>
      </c>
      <c r="L482" s="8" t="s">
        <v>2079</v>
      </c>
      <c r="M482" s="6" t="s">
        <v>1671</v>
      </c>
      <c r="N482" s="6" t="s">
        <v>1644</v>
      </c>
      <c r="O482" s="7">
        <f>SUMIFS('05_상품별배치367'!$K$7:$K$373,'05_상품별배치367'!$E$7:$E$373,A482,'05_상품별배치367'!$H$7:$H$373,"본진")</f>
        <v>0</v>
      </c>
      <c r="P482" s="7">
        <f>SUMIFS('05_상품별배치367'!$K$7:$K$373,'05_상품별배치367'!$E$7:$E$373,A482,'05_상품별배치367'!$H$7:$H$373,"추가 진열")</f>
        <v>0</v>
      </c>
      <c r="Q482" s="7">
        <f>O482+P482</f>
        <v>0</v>
      </c>
      <c r="R482" s="7">
        <v>0</v>
      </c>
      <c r="S482" s="6" t="s">
        <v>1672</v>
      </c>
      <c r="T482" s="6" t="s">
        <v>1637</v>
      </c>
      <c r="U482" s="6"/>
      <c r="V482" s="16"/>
      <c r="W482" s="16"/>
      <c r="X482" s="16"/>
      <c r="Y482" s="6" t="s">
        <v>1655</v>
      </c>
      <c r="Z482" s="15"/>
      <c r="AA482" s="15" t="s">
        <v>1628</v>
      </c>
    </row>
    <row r="483" spans="1:27" ht="33" customHeight="1">
      <c r="A483" s="6" t="s">
        <v>4948</v>
      </c>
      <c r="B483" s="7">
        <v>1455</v>
      </c>
      <c r="C483" s="6" t="s">
        <v>4949</v>
      </c>
      <c r="D483" s="6" t="s">
        <v>1658</v>
      </c>
      <c r="E483" s="6" t="s">
        <v>2134</v>
      </c>
      <c r="F483" s="6" t="s">
        <v>1263</v>
      </c>
      <c r="G483" s="6" t="s">
        <v>376</v>
      </c>
      <c r="H483" s="6"/>
      <c r="I483" s="14" t="s">
        <v>1642</v>
      </c>
      <c r="J483" s="15"/>
      <c r="K483" s="6" t="s">
        <v>1976</v>
      </c>
      <c r="L483" s="6"/>
      <c r="M483" s="6" t="s">
        <v>1643</v>
      </c>
      <c r="N483" s="6" t="s">
        <v>1644</v>
      </c>
      <c r="O483" s="7">
        <f>SUMIFS('05_상품별배치367'!$K$7:$K$373,'05_상품별배치367'!$E$7:$E$373,A483,'05_상품별배치367'!$H$7:$H$373,"본진")</f>
        <v>0</v>
      </c>
      <c r="P483" s="7">
        <f>SUMIFS('05_상품별배치367'!$K$7:$K$373,'05_상품별배치367'!$E$7:$E$373,A483,'05_상품별배치367'!$H$7:$H$373,"추가 진열")</f>
        <v>0</v>
      </c>
      <c r="Q483" s="7">
        <f>O483+P483</f>
        <v>0</v>
      </c>
      <c r="R483" s="7">
        <v>1</v>
      </c>
      <c r="S483" s="6" t="s">
        <v>3016</v>
      </c>
      <c r="T483" s="6" t="s">
        <v>1637</v>
      </c>
      <c r="U483" s="6"/>
      <c r="V483" s="16"/>
      <c r="W483" s="16"/>
      <c r="X483" s="16"/>
      <c r="Y483" s="6" t="s">
        <v>1627</v>
      </c>
      <c r="Z483" s="15"/>
      <c r="AA483" s="15" t="s">
        <v>1628</v>
      </c>
    </row>
    <row r="484" spans="1:27" ht="33" customHeight="1">
      <c r="A484" s="8" t="s">
        <v>4950</v>
      </c>
      <c r="B484" s="9">
        <v>1456</v>
      </c>
      <c r="C484" s="8" t="s">
        <v>4951</v>
      </c>
      <c r="D484" s="8" t="s">
        <v>1658</v>
      </c>
      <c r="E484" s="8" t="s">
        <v>2134</v>
      </c>
      <c r="F484" s="8" t="s">
        <v>1263</v>
      </c>
      <c r="G484" s="8" t="s">
        <v>376</v>
      </c>
      <c r="H484" s="8"/>
      <c r="I484" s="14" t="s">
        <v>1642</v>
      </c>
      <c r="J484" s="15"/>
      <c r="K484" s="8" t="s">
        <v>1976</v>
      </c>
      <c r="L484" s="8"/>
      <c r="M484" s="6" t="s">
        <v>1643</v>
      </c>
      <c r="N484" s="6" t="s">
        <v>1644</v>
      </c>
      <c r="O484" s="7">
        <f>SUMIFS('05_상품별배치367'!$K$7:$K$373,'05_상품별배치367'!$E$7:$E$373,A484,'05_상품별배치367'!$H$7:$H$373,"본진")</f>
        <v>0</v>
      </c>
      <c r="P484" s="7">
        <f>SUMIFS('05_상품별배치367'!$K$7:$K$373,'05_상품별배치367'!$E$7:$E$373,A484,'05_상품별배치367'!$H$7:$H$373,"추가 진열")</f>
        <v>0</v>
      </c>
      <c r="Q484" s="7">
        <f>O484+P484</f>
        <v>0</v>
      </c>
      <c r="R484" s="7">
        <v>1</v>
      </c>
      <c r="S484" s="6" t="s">
        <v>3016</v>
      </c>
      <c r="T484" s="6" t="s">
        <v>1637</v>
      </c>
      <c r="U484" s="6"/>
      <c r="V484" s="16"/>
      <c r="W484" s="16"/>
      <c r="X484" s="16"/>
      <c r="Y484" s="6" t="s">
        <v>1627</v>
      </c>
      <c r="Z484" s="15"/>
      <c r="AA484" s="15" t="s">
        <v>1628</v>
      </c>
    </row>
    <row r="485" spans="1:27" ht="33" customHeight="1">
      <c r="A485" s="6" t="s">
        <v>4952</v>
      </c>
      <c r="B485" s="7">
        <v>1457</v>
      </c>
      <c r="C485" s="6" t="s">
        <v>4953</v>
      </c>
      <c r="D485" s="6" t="s">
        <v>1658</v>
      </c>
      <c r="E485" s="6" t="s">
        <v>2134</v>
      </c>
      <c r="F485" s="6" t="s">
        <v>162</v>
      </c>
      <c r="G485" s="6" t="s">
        <v>404</v>
      </c>
      <c r="H485" s="6"/>
      <c r="I485" s="14" t="s">
        <v>1642</v>
      </c>
      <c r="J485" s="15"/>
      <c r="K485" s="6" t="s">
        <v>1976</v>
      </c>
      <c r="L485" s="6"/>
      <c r="M485" s="6" t="s">
        <v>1643</v>
      </c>
      <c r="N485" s="6" t="s">
        <v>1644</v>
      </c>
      <c r="O485" s="7">
        <f>SUMIFS('05_상품별배치367'!$K$7:$K$373,'05_상품별배치367'!$E$7:$E$373,A485,'05_상품별배치367'!$H$7:$H$373,"본진")</f>
        <v>0</v>
      </c>
      <c r="P485" s="7">
        <f>SUMIFS('05_상품별배치367'!$K$7:$K$373,'05_상품별배치367'!$E$7:$E$373,A485,'05_상품별배치367'!$H$7:$H$373,"추가 진열")</f>
        <v>0</v>
      </c>
      <c r="Q485" s="7">
        <f>O485+P485</f>
        <v>0</v>
      </c>
      <c r="R485" s="7">
        <v>1</v>
      </c>
      <c r="S485" s="6" t="s">
        <v>2996</v>
      </c>
      <c r="T485" s="6" t="s">
        <v>1637</v>
      </c>
      <c r="U485" s="6"/>
      <c r="V485" s="16"/>
      <c r="W485" s="16"/>
      <c r="X485" s="16"/>
      <c r="Y485" s="6" t="s">
        <v>1627</v>
      </c>
      <c r="Z485" s="15"/>
      <c r="AA485" s="15" t="s">
        <v>1628</v>
      </c>
    </row>
    <row r="486" spans="1:27" ht="33" customHeight="1">
      <c r="A486" s="8" t="s">
        <v>3160</v>
      </c>
      <c r="B486" s="9">
        <v>620</v>
      </c>
      <c r="C486" s="8" t="s">
        <v>3161</v>
      </c>
      <c r="D486" s="8" t="s">
        <v>1662</v>
      </c>
      <c r="E486" s="8" t="s">
        <v>1986</v>
      </c>
      <c r="F486" s="8" t="s">
        <v>1276</v>
      </c>
      <c r="G486" s="8" t="s">
        <v>1987</v>
      </c>
      <c r="H486" s="8"/>
      <c r="I486" s="14" t="s">
        <v>1642</v>
      </c>
      <c r="J486" s="15"/>
      <c r="K486" s="8" t="s">
        <v>1976</v>
      </c>
      <c r="L486" s="8"/>
      <c r="M486" s="6" t="s">
        <v>1643</v>
      </c>
      <c r="N486" s="6" t="s">
        <v>1644</v>
      </c>
      <c r="O486" s="7">
        <f>SUMIFS('05_상품별배치367'!$K$7:$K$373,'05_상품별배치367'!$E$7:$E$373,A486,'05_상품별배치367'!$H$7:$H$373,"본진")</f>
        <v>0</v>
      </c>
      <c r="P486" s="7">
        <f>SUMIFS('05_상품별배치367'!$K$7:$K$373,'05_상품별배치367'!$E$7:$E$373,A486,'05_상품별배치367'!$H$7:$H$373,"추가 진열")</f>
        <v>0</v>
      </c>
      <c r="Q486" s="7">
        <f>O486+P486</f>
        <v>0</v>
      </c>
      <c r="R486" s="7">
        <v>1</v>
      </c>
      <c r="S486" s="6" t="s">
        <v>1988</v>
      </c>
      <c r="T486" s="6" t="s">
        <v>1637</v>
      </c>
      <c r="U486" s="6"/>
      <c r="V486" s="16"/>
      <c r="W486" s="16"/>
      <c r="X486" s="16"/>
      <c r="Y486" s="6" t="s">
        <v>1627</v>
      </c>
      <c r="Z486" s="15"/>
      <c r="AA486" s="15" t="s">
        <v>1628</v>
      </c>
    </row>
    <row r="487" spans="1:27" ht="33" customHeight="1">
      <c r="A487" s="8" t="s">
        <v>3156</v>
      </c>
      <c r="B487" s="9">
        <v>618</v>
      </c>
      <c r="C487" s="8" t="s">
        <v>3157</v>
      </c>
      <c r="D487" s="8" t="s">
        <v>2984</v>
      </c>
      <c r="E487" s="8" t="s">
        <v>2134</v>
      </c>
      <c r="F487" s="8" t="s">
        <v>2933</v>
      </c>
      <c r="G487" s="8" t="s">
        <v>1668</v>
      </c>
      <c r="H487" s="8"/>
      <c r="I487" s="14" t="s">
        <v>1807</v>
      </c>
      <c r="J487" s="15"/>
      <c r="K487" s="8" t="s">
        <v>1976</v>
      </c>
      <c r="L487" s="8" t="s">
        <v>2032</v>
      </c>
      <c r="M487" s="6" t="s">
        <v>1809</v>
      </c>
      <c r="N487" s="6" t="s">
        <v>1644</v>
      </c>
      <c r="O487" s="7">
        <f>SUMIFS('05_상품별배치367'!$K$7:$K$373,'05_상품별배치367'!$E$7:$E$373,A487,'05_상품별배치367'!$H$7:$H$373,"본진")</f>
        <v>0</v>
      </c>
      <c r="P487" s="7">
        <f>SUMIFS('05_상품별배치367'!$K$7:$K$373,'05_상품별배치367'!$E$7:$E$373,A487,'05_상품별배치367'!$H$7:$H$373,"추가 진열")</f>
        <v>0</v>
      </c>
      <c r="Q487" s="7">
        <f>O487+P487</f>
        <v>0</v>
      </c>
      <c r="R487" s="7">
        <v>0</v>
      </c>
      <c r="S487" s="6" t="s">
        <v>1810</v>
      </c>
      <c r="T487" s="6" t="s">
        <v>1637</v>
      </c>
      <c r="U487" s="6"/>
      <c r="V487" s="16"/>
      <c r="W487" s="16"/>
      <c r="X487" s="16"/>
      <c r="Y487" s="6" t="s">
        <v>1627</v>
      </c>
      <c r="Z487" s="15"/>
      <c r="AA487" s="15" t="s">
        <v>1628</v>
      </c>
    </row>
    <row r="488" spans="1:27" ht="33" customHeight="1">
      <c r="A488" s="6" t="s">
        <v>3154</v>
      </c>
      <c r="B488" s="7">
        <v>617</v>
      </c>
      <c r="C488" s="6" t="s">
        <v>3155</v>
      </c>
      <c r="D488" s="6" t="s">
        <v>3150</v>
      </c>
      <c r="E488" s="6" t="s">
        <v>1986</v>
      </c>
      <c r="F488" s="6" t="s">
        <v>1276</v>
      </c>
      <c r="G488" s="6" t="s">
        <v>1987</v>
      </c>
      <c r="H488" s="6"/>
      <c r="I488" s="14" t="s">
        <v>1642</v>
      </c>
      <c r="J488" s="15"/>
      <c r="K488" s="6" t="s">
        <v>1976</v>
      </c>
      <c r="L488" s="6"/>
      <c r="M488" s="6" t="s">
        <v>1643</v>
      </c>
      <c r="N488" s="6" t="s">
        <v>1644</v>
      </c>
      <c r="O488" s="7">
        <f>SUMIFS('05_상품별배치367'!$K$7:$K$373,'05_상품별배치367'!$E$7:$E$373,A488,'05_상품별배치367'!$H$7:$H$373,"본진")</f>
        <v>0</v>
      </c>
      <c r="P488" s="7">
        <f>SUMIFS('05_상품별배치367'!$K$7:$K$373,'05_상품별배치367'!$E$7:$E$373,A488,'05_상품별배치367'!$H$7:$H$373,"추가 진열")</f>
        <v>0</v>
      </c>
      <c r="Q488" s="7">
        <f>O488+P488</f>
        <v>0</v>
      </c>
      <c r="R488" s="7">
        <v>1</v>
      </c>
      <c r="S488" s="6" t="s">
        <v>1988</v>
      </c>
      <c r="T488" s="6" t="s">
        <v>1637</v>
      </c>
      <c r="U488" s="6"/>
      <c r="V488" s="16"/>
      <c r="W488" s="16"/>
      <c r="X488" s="16"/>
      <c r="Y488" s="6" t="s">
        <v>1627</v>
      </c>
      <c r="Z488" s="15"/>
      <c r="AA488" s="15" t="s">
        <v>1628</v>
      </c>
    </row>
    <row r="489" spans="1:27" ht="33" customHeight="1">
      <c r="A489" s="6" t="s">
        <v>3158</v>
      </c>
      <c r="B489" s="7">
        <v>619</v>
      </c>
      <c r="C489" s="6" t="s">
        <v>3159</v>
      </c>
      <c r="D489" s="6" t="s">
        <v>1662</v>
      </c>
      <c r="E489" s="6" t="s">
        <v>1986</v>
      </c>
      <c r="F489" s="6" t="s">
        <v>1276</v>
      </c>
      <c r="G489" s="6" t="s">
        <v>1987</v>
      </c>
      <c r="H489" s="6"/>
      <c r="I489" s="14" t="s">
        <v>1642</v>
      </c>
      <c r="J489" s="15"/>
      <c r="K489" s="6" t="s">
        <v>1976</v>
      </c>
      <c r="L489" s="6"/>
      <c r="M489" s="6" t="s">
        <v>1643</v>
      </c>
      <c r="N489" s="6" t="s">
        <v>1644</v>
      </c>
      <c r="O489" s="7">
        <f>SUMIFS('05_상품별배치367'!$K$7:$K$373,'05_상품별배치367'!$E$7:$E$373,A489,'05_상품별배치367'!$H$7:$H$373,"본진")</f>
        <v>0</v>
      </c>
      <c r="P489" s="7">
        <f>SUMIFS('05_상품별배치367'!$K$7:$K$373,'05_상품별배치367'!$E$7:$E$373,A489,'05_상품별배치367'!$H$7:$H$373,"추가 진열")</f>
        <v>0</v>
      </c>
      <c r="Q489" s="7">
        <f>O489+P489</f>
        <v>0</v>
      </c>
      <c r="R489" s="7">
        <v>1</v>
      </c>
      <c r="S489" s="6" t="s">
        <v>1988</v>
      </c>
      <c r="T489" s="6" t="s">
        <v>1637</v>
      </c>
      <c r="U489" s="6"/>
      <c r="V489" s="16"/>
      <c r="W489" s="16"/>
      <c r="X489" s="16"/>
      <c r="Y489" s="6" t="s">
        <v>1627</v>
      </c>
      <c r="Z489" s="15"/>
      <c r="AA489" s="15" t="s">
        <v>1628</v>
      </c>
    </row>
    <row r="490" spans="1:27" ht="33" customHeight="1">
      <c r="A490" s="6" t="s">
        <v>3151</v>
      </c>
      <c r="B490" s="7">
        <v>615</v>
      </c>
      <c r="C490" s="6" t="s">
        <v>3149</v>
      </c>
      <c r="D490" s="6" t="s">
        <v>1662</v>
      </c>
      <c r="E490" s="6" t="s">
        <v>1986</v>
      </c>
      <c r="F490" s="6" t="s">
        <v>1276</v>
      </c>
      <c r="G490" s="6" t="s">
        <v>1987</v>
      </c>
      <c r="H490" s="6"/>
      <c r="I490" s="14" t="s">
        <v>1642</v>
      </c>
      <c r="J490" s="15"/>
      <c r="K490" s="6" t="s">
        <v>1976</v>
      </c>
      <c r="L490" s="6"/>
      <c r="M490" s="6" t="s">
        <v>1643</v>
      </c>
      <c r="N490" s="6" t="s">
        <v>1644</v>
      </c>
      <c r="O490" s="7">
        <f>SUMIFS('05_상품별배치367'!$K$7:$K$373,'05_상품별배치367'!$E$7:$E$373,A490,'05_상품별배치367'!$H$7:$H$373,"본진")</f>
        <v>0</v>
      </c>
      <c r="P490" s="7">
        <f>SUMIFS('05_상품별배치367'!$K$7:$K$373,'05_상품별배치367'!$E$7:$E$373,A490,'05_상품별배치367'!$H$7:$H$373,"추가 진열")</f>
        <v>0</v>
      </c>
      <c r="Q490" s="7">
        <f>O490+P490</f>
        <v>0</v>
      </c>
      <c r="R490" s="7">
        <v>1</v>
      </c>
      <c r="S490" s="6" t="s">
        <v>1988</v>
      </c>
      <c r="T490" s="6" t="s">
        <v>1637</v>
      </c>
      <c r="U490" s="6"/>
      <c r="V490" s="16"/>
      <c r="W490" s="16"/>
      <c r="X490" s="16"/>
      <c r="Y490" s="6" t="s">
        <v>1627</v>
      </c>
      <c r="Z490" s="15"/>
      <c r="AA490" s="15" t="s">
        <v>1628</v>
      </c>
    </row>
    <row r="491" spans="1:27" ht="33" customHeight="1">
      <c r="A491" s="8" t="s">
        <v>3148</v>
      </c>
      <c r="B491" s="9">
        <v>614</v>
      </c>
      <c r="C491" s="8" t="s">
        <v>3149</v>
      </c>
      <c r="D491" s="8" t="s">
        <v>3150</v>
      </c>
      <c r="E491" s="8" t="s">
        <v>1986</v>
      </c>
      <c r="F491" s="8" t="s">
        <v>1276</v>
      </c>
      <c r="G491" s="8" t="s">
        <v>1987</v>
      </c>
      <c r="H491" s="8"/>
      <c r="I491" s="14" t="s">
        <v>1642</v>
      </c>
      <c r="J491" s="15"/>
      <c r="K491" s="8" t="s">
        <v>1976</v>
      </c>
      <c r="L491" s="8"/>
      <c r="M491" s="6" t="s">
        <v>1643</v>
      </c>
      <c r="N491" s="6" t="s">
        <v>1644</v>
      </c>
      <c r="O491" s="7">
        <f>SUMIFS('05_상품별배치367'!$K$7:$K$373,'05_상품별배치367'!$E$7:$E$373,A491,'05_상품별배치367'!$H$7:$H$373,"본진")</f>
        <v>0</v>
      </c>
      <c r="P491" s="7">
        <f>SUMIFS('05_상품별배치367'!$K$7:$K$373,'05_상품별배치367'!$E$7:$E$373,A491,'05_상품별배치367'!$H$7:$H$373,"추가 진열")</f>
        <v>0</v>
      </c>
      <c r="Q491" s="7">
        <f>O491+P491</f>
        <v>0</v>
      </c>
      <c r="R491" s="7">
        <v>1</v>
      </c>
      <c r="S491" s="6" t="s">
        <v>1988</v>
      </c>
      <c r="T491" s="6" t="s">
        <v>1637</v>
      </c>
      <c r="U491" s="6"/>
      <c r="V491" s="16"/>
      <c r="W491" s="16"/>
      <c r="X491" s="16"/>
      <c r="Y491" s="6" t="s">
        <v>1627</v>
      </c>
      <c r="Z491" s="15"/>
      <c r="AA491" s="15" t="s">
        <v>1628</v>
      </c>
    </row>
    <row r="492" spans="1:27" ht="33" customHeight="1">
      <c r="A492" s="8" t="s">
        <v>3152</v>
      </c>
      <c r="B492" s="9">
        <v>616</v>
      </c>
      <c r="C492" s="8" t="s">
        <v>3153</v>
      </c>
      <c r="D492" s="8" t="s">
        <v>1658</v>
      </c>
      <c r="E492" s="8" t="s">
        <v>1986</v>
      </c>
      <c r="F492" s="8" t="s">
        <v>1276</v>
      </c>
      <c r="G492" s="8" t="s">
        <v>1987</v>
      </c>
      <c r="H492" s="8"/>
      <c r="I492" s="14" t="s">
        <v>1642</v>
      </c>
      <c r="J492" s="15"/>
      <c r="K492" s="8" t="s">
        <v>1976</v>
      </c>
      <c r="L492" s="8"/>
      <c r="M492" s="6" t="s">
        <v>1643</v>
      </c>
      <c r="N492" s="6" t="s">
        <v>1644</v>
      </c>
      <c r="O492" s="7">
        <f>SUMIFS('05_상품별배치367'!$K$7:$K$373,'05_상품별배치367'!$E$7:$E$373,A492,'05_상품별배치367'!$H$7:$H$373,"본진")</f>
        <v>0</v>
      </c>
      <c r="P492" s="7">
        <f>SUMIFS('05_상품별배치367'!$K$7:$K$373,'05_상품별배치367'!$E$7:$E$373,A492,'05_상품별배치367'!$H$7:$H$373,"추가 진열")</f>
        <v>0</v>
      </c>
      <c r="Q492" s="7">
        <f>O492+P492</f>
        <v>0</v>
      </c>
      <c r="R492" s="7">
        <v>1</v>
      </c>
      <c r="S492" s="6" t="s">
        <v>1988</v>
      </c>
      <c r="T492" s="6" t="s">
        <v>1637</v>
      </c>
      <c r="U492" s="6"/>
      <c r="V492" s="16"/>
      <c r="W492" s="16"/>
      <c r="X492" s="16"/>
      <c r="Y492" s="6" t="s">
        <v>1627</v>
      </c>
      <c r="Z492" s="15"/>
      <c r="AA492" s="15" t="s">
        <v>1628</v>
      </c>
    </row>
    <row r="493" spans="1:27" ht="33" customHeight="1">
      <c r="A493" s="6" t="s">
        <v>1716</v>
      </c>
      <c r="B493" s="7">
        <v>25</v>
      </c>
      <c r="C493" s="6" t="s">
        <v>1717</v>
      </c>
      <c r="D493" s="6" t="s">
        <v>1640</v>
      </c>
      <c r="E493" s="6" t="s">
        <v>1641</v>
      </c>
      <c r="F493" s="6" t="s">
        <v>670</v>
      </c>
      <c r="G493" s="6" t="s">
        <v>91</v>
      </c>
      <c r="H493" s="6"/>
      <c r="I493" s="14" t="s">
        <v>1642</v>
      </c>
      <c r="J493" s="15"/>
      <c r="K493" s="6" t="s">
        <v>1634</v>
      </c>
      <c r="L493" s="6"/>
      <c r="M493" s="6" t="s">
        <v>1643</v>
      </c>
      <c r="N493" s="6" t="s">
        <v>1624</v>
      </c>
      <c r="O493" s="7">
        <f>SUMIFS('05_상품별배치367'!$K$7:$K$373,'05_상품별배치367'!$E$7:$E$373,A493,'05_상품별배치367'!$H$7:$H$373,"본진")</f>
        <v>0</v>
      </c>
      <c r="P493" s="7">
        <f>SUMIFS('05_상품별배치367'!$K$7:$K$373,'05_상품별배치367'!$E$7:$E$373,A493,'05_상품별배치367'!$H$7:$H$373,"추가 진열")</f>
        <v>0</v>
      </c>
      <c r="Q493" s="7">
        <f>O493+P493</f>
        <v>0</v>
      </c>
      <c r="R493" s="7">
        <v>1</v>
      </c>
      <c r="S493" s="6" t="s">
        <v>1645</v>
      </c>
      <c r="T493" s="6" t="s">
        <v>1637</v>
      </c>
      <c r="U493" s="6"/>
      <c r="V493" s="16"/>
      <c r="W493" s="16"/>
      <c r="X493" s="16"/>
      <c r="Y493" s="6" t="s">
        <v>1627</v>
      </c>
      <c r="Z493" s="15"/>
      <c r="AA493" s="15" t="s">
        <v>1628</v>
      </c>
    </row>
    <row r="494" spans="1:27" ht="33" customHeight="1">
      <c r="A494" s="6" t="s">
        <v>4595</v>
      </c>
      <c r="B494" s="7">
        <v>1285</v>
      </c>
      <c r="C494" s="6" t="s">
        <v>4596</v>
      </c>
      <c r="D494" s="6" t="s">
        <v>2133</v>
      </c>
      <c r="E494" s="6" t="s">
        <v>2134</v>
      </c>
      <c r="F494" s="6" t="s">
        <v>2933</v>
      </c>
      <c r="G494" s="6" t="s">
        <v>1668</v>
      </c>
      <c r="H494" s="6"/>
      <c r="I494" s="14" t="s">
        <v>1807</v>
      </c>
      <c r="J494" s="15"/>
      <c r="K494" s="6" t="s">
        <v>1976</v>
      </c>
      <c r="L494" s="6" t="s">
        <v>2032</v>
      </c>
      <c r="M494" s="6" t="s">
        <v>1809</v>
      </c>
      <c r="N494" s="6" t="s">
        <v>1644</v>
      </c>
      <c r="O494" s="7">
        <f>SUMIFS('05_상품별배치367'!$K$7:$K$373,'05_상품별배치367'!$E$7:$E$373,A494,'05_상품별배치367'!$H$7:$H$373,"본진")</f>
        <v>0</v>
      </c>
      <c r="P494" s="7">
        <f>SUMIFS('05_상품별배치367'!$K$7:$K$373,'05_상품별배치367'!$E$7:$E$373,A494,'05_상품별배치367'!$H$7:$H$373,"추가 진열")</f>
        <v>0</v>
      </c>
      <c r="Q494" s="7">
        <f>O494+P494</f>
        <v>0</v>
      </c>
      <c r="R494" s="7">
        <v>0</v>
      </c>
      <c r="S494" s="6" t="s">
        <v>1810</v>
      </c>
      <c r="T494" s="6" t="s">
        <v>1637</v>
      </c>
      <c r="U494" s="6"/>
      <c r="V494" s="16"/>
      <c r="W494" s="16"/>
      <c r="X494" s="16"/>
      <c r="Y494" s="6" t="s">
        <v>1627</v>
      </c>
      <c r="Z494" s="15"/>
      <c r="AA494" s="15" t="s">
        <v>1628</v>
      </c>
    </row>
    <row r="495" spans="1:27" ht="33" customHeight="1">
      <c r="A495" s="6" t="s">
        <v>4600</v>
      </c>
      <c r="B495" s="7">
        <v>1287</v>
      </c>
      <c r="C495" s="6" t="s">
        <v>4601</v>
      </c>
      <c r="D495" s="6" t="s">
        <v>1649</v>
      </c>
      <c r="E495" s="6" t="s">
        <v>1986</v>
      </c>
      <c r="F495" s="6" t="s">
        <v>493</v>
      </c>
      <c r="G495" s="6" t="s">
        <v>299</v>
      </c>
      <c r="H495" s="6"/>
      <c r="I495" s="14" t="s">
        <v>1642</v>
      </c>
      <c r="J495" s="15"/>
      <c r="K495" s="6" t="s">
        <v>1976</v>
      </c>
      <c r="L495" s="6"/>
      <c r="M495" s="6" t="s">
        <v>1643</v>
      </c>
      <c r="N495" s="6" t="s">
        <v>1644</v>
      </c>
      <c r="O495" s="7">
        <f>SUMIFS('05_상품별배치367'!$K$7:$K$373,'05_상품별배치367'!$E$7:$E$373,A495,'05_상품별배치367'!$H$7:$H$373,"본진")</f>
        <v>0</v>
      </c>
      <c r="P495" s="7">
        <f>SUMIFS('05_상품별배치367'!$K$7:$K$373,'05_상품별배치367'!$E$7:$E$373,A495,'05_상품별배치367'!$H$7:$H$373,"추가 진열")</f>
        <v>0</v>
      </c>
      <c r="Q495" s="7">
        <f>O495+P495</f>
        <v>0</v>
      </c>
      <c r="R495" s="7">
        <v>1</v>
      </c>
      <c r="S495" s="6" t="s">
        <v>3084</v>
      </c>
      <c r="T495" s="6" t="s">
        <v>1637</v>
      </c>
      <c r="U495" s="6"/>
      <c r="V495" s="16"/>
      <c r="W495" s="16"/>
      <c r="X495" s="16"/>
      <c r="Y495" s="6" t="s">
        <v>1627</v>
      </c>
      <c r="Z495" s="15"/>
      <c r="AA495" s="15" t="s">
        <v>1628</v>
      </c>
    </row>
    <row r="496" spans="1:27" ht="33" customHeight="1">
      <c r="A496" s="8" t="s">
        <v>4597</v>
      </c>
      <c r="B496" s="9">
        <v>1286</v>
      </c>
      <c r="C496" s="8" t="s">
        <v>4598</v>
      </c>
      <c r="D496" s="8" t="s">
        <v>4599</v>
      </c>
      <c r="E496" s="8" t="s">
        <v>1986</v>
      </c>
      <c r="F496" s="8" t="s">
        <v>1276</v>
      </c>
      <c r="G496" s="8" t="s">
        <v>1987</v>
      </c>
      <c r="H496" s="8"/>
      <c r="I496" s="14" t="s">
        <v>1642</v>
      </c>
      <c r="J496" s="15"/>
      <c r="K496" s="8" t="s">
        <v>1976</v>
      </c>
      <c r="L496" s="8"/>
      <c r="M496" s="6" t="s">
        <v>1643</v>
      </c>
      <c r="N496" s="6" t="s">
        <v>1644</v>
      </c>
      <c r="O496" s="7">
        <f>SUMIFS('05_상품별배치367'!$K$7:$K$373,'05_상품별배치367'!$E$7:$E$373,A496,'05_상품별배치367'!$H$7:$H$373,"본진")</f>
        <v>0</v>
      </c>
      <c r="P496" s="7">
        <f>SUMIFS('05_상품별배치367'!$K$7:$K$373,'05_상품별배치367'!$E$7:$E$373,A496,'05_상품별배치367'!$H$7:$H$373,"추가 진열")</f>
        <v>0</v>
      </c>
      <c r="Q496" s="7">
        <f>O496+P496</f>
        <v>0</v>
      </c>
      <c r="R496" s="7">
        <v>1</v>
      </c>
      <c r="S496" s="6" t="s">
        <v>1988</v>
      </c>
      <c r="T496" s="6" t="s">
        <v>1637</v>
      </c>
      <c r="U496" s="6"/>
      <c r="V496" s="16"/>
      <c r="W496" s="16"/>
      <c r="X496" s="16"/>
      <c r="Y496" s="6" t="s">
        <v>1655</v>
      </c>
      <c r="Z496" s="15"/>
      <c r="AA496" s="15" t="s">
        <v>1628</v>
      </c>
    </row>
    <row r="497" spans="1:27" ht="33" customHeight="1">
      <c r="A497" s="8" t="s">
        <v>4602</v>
      </c>
      <c r="B497" s="9">
        <v>1288</v>
      </c>
      <c r="C497" s="8" t="s">
        <v>4603</v>
      </c>
      <c r="D497" s="8" t="s">
        <v>2845</v>
      </c>
      <c r="E497" s="8" t="s">
        <v>1986</v>
      </c>
      <c r="F497" s="8" t="s">
        <v>913</v>
      </c>
      <c r="G497" s="8" t="s">
        <v>201</v>
      </c>
      <c r="H497" s="8"/>
      <c r="I497" s="14" t="s">
        <v>1642</v>
      </c>
      <c r="J497" s="15"/>
      <c r="K497" s="8" t="s">
        <v>1976</v>
      </c>
      <c r="L497" s="8"/>
      <c r="M497" s="6" t="s">
        <v>1643</v>
      </c>
      <c r="N497" s="6" t="s">
        <v>1644</v>
      </c>
      <c r="O497" s="7">
        <f>SUMIFS('05_상품별배치367'!$K$7:$K$373,'05_상품별배치367'!$E$7:$E$373,A497,'05_상품별배치367'!$H$7:$H$373,"본진")</f>
        <v>0</v>
      </c>
      <c r="P497" s="7">
        <f>SUMIFS('05_상품별배치367'!$K$7:$K$373,'05_상품별배치367'!$E$7:$E$373,A497,'05_상품별배치367'!$H$7:$H$373,"추가 진열")</f>
        <v>0</v>
      </c>
      <c r="Q497" s="7">
        <f>O497+P497</f>
        <v>0</v>
      </c>
      <c r="R497" s="7">
        <v>1</v>
      </c>
      <c r="S497" s="6" t="s">
        <v>2907</v>
      </c>
      <c r="T497" s="6" t="s">
        <v>1637</v>
      </c>
      <c r="U497" s="6"/>
      <c r="V497" s="16"/>
      <c r="W497" s="16"/>
      <c r="X497" s="16"/>
      <c r="Y497" s="6" t="s">
        <v>1627</v>
      </c>
      <c r="Z497" s="15"/>
      <c r="AA497" s="15" t="s">
        <v>1628</v>
      </c>
    </row>
    <row r="498" spans="1:27" ht="33" customHeight="1">
      <c r="A498" s="8" t="s">
        <v>3308</v>
      </c>
      <c r="B498" s="9">
        <v>688</v>
      </c>
      <c r="C498" s="8" t="s">
        <v>3309</v>
      </c>
      <c r="D498" s="8" t="s">
        <v>2007</v>
      </c>
      <c r="E498" s="8" t="s">
        <v>1986</v>
      </c>
      <c r="F498" s="8" t="s">
        <v>913</v>
      </c>
      <c r="G498" s="8" t="s">
        <v>201</v>
      </c>
      <c r="H498" s="8"/>
      <c r="I498" s="14" t="s">
        <v>1642</v>
      </c>
      <c r="J498" s="15"/>
      <c r="K498" s="8" t="s">
        <v>1976</v>
      </c>
      <c r="L498" s="8"/>
      <c r="M498" s="6" t="s">
        <v>1643</v>
      </c>
      <c r="N498" s="6" t="s">
        <v>1644</v>
      </c>
      <c r="O498" s="7">
        <f>SUMIFS('05_상품별배치367'!$K$7:$K$373,'05_상품별배치367'!$E$7:$E$373,A498,'05_상품별배치367'!$H$7:$H$373,"본진")</f>
        <v>0</v>
      </c>
      <c r="P498" s="7">
        <f>SUMIFS('05_상품별배치367'!$K$7:$K$373,'05_상품별배치367'!$E$7:$E$373,A498,'05_상품별배치367'!$H$7:$H$373,"추가 진열")</f>
        <v>0</v>
      </c>
      <c r="Q498" s="7">
        <f>O498+P498</f>
        <v>0</v>
      </c>
      <c r="R498" s="7">
        <v>1</v>
      </c>
      <c r="S498" s="6" t="s">
        <v>2907</v>
      </c>
      <c r="T498" s="6" t="s">
        <v>1637</v>
      </c>
      <c r="U498" s="6"/>
      <c r="V498" s="16"/>
      <c r="W498" s="16"/>
      <c r="X498" s="16"/>
      <c r="Y498" s="6" t="s">
        <v>1627</v>
      </c>
      <c r="Z498" s="15"/>
      <c r="AA498" s="15" t="s">
        <v>1628</v>
      </c>
    </row>
    <row r="499" spans="1:27" ht="33" customHeight="1">
      <c r="A499" s="8" t="s">
        <v>3304</v>
      </c>
      <c r="B499" s="9">
        <v>686</v>
      </c>
      <c r="C499" s="8" t="s">
        <v>3305</v>
      </c>
      <c r="D499" s="8" t="s">
        <v>3055</v>
      </c>
      <c r="E499" s="8" t="s">
        <v>2134</v>
      </c>
      <c r="F499" s="8" t="s">
        <v>2933</v>
      </c>
      <c r="G499" s="8" t="s">
        <v>1668</v>
      </c>
      <c r="H499" s="8"/>
      <c r="I499" s="14" t="s">
        <v>1807</v>
      </c>
      <c r="J499" s="15"/>
      <c r="K499" s="8" t="s">
        <v>1976</v>
      </c>
      <c r="L499" s="8" t="s">
        <v>2032</v>
      </c>
      <c r="M499" s="6" t="s">
        <v>1809</v>
      </c>
      <c r="N499" s="6" t="s">
        <v>1644</v>
      </c>
      <c r="O499" s="7">
        <f>SUMIFS('05_상품별배치367'!$K$7:$K$373,'05_상품별배치367'!$E$7:$E$373,A499,'05_상품별배치367'!$H$7:$H$373,"본진")</f>
        <v>0</v>
      </c>
      <c r="P499" s="7">
        <f>SUMIFS('05_상품별배치367'!$K$7:$K$373,'05_상품별배치367'!$E$7:$E$373,A499,'05_상품별배치367'!$H$7:$H$373,"추가 진열")</f>
        <v>0</v>
      </c>
      <c r="Q499" s="7">
        <f>O499+P499</f>
        <v>0</v>
      </c>
      <c r="R499" s="7">
        <v>0</v>
      </c>
      <c r="S499" s="6" t="s">
        <v>1810</v>
      </c>
      <c r="T499" s="6" t="s">
        <v>1637</v>
      </c>
      <c r="U499" s="6"/>
      <c r="V499" s="16"/>
      <c r="W499" s="16"/>
      <c r="X499" s="16"/>
      <c r="Y499" s="6" t="s">
        <v>1627</v>
      </c>
      <c r="Z499" s="15"/>
      <c r="AA499" s="15" t="s">
        <v>1628</v>
      </c>
    </row>
    <row r="500" spans="1:27" ht="33" customHeight="1">
      <c r="A500" s="6" t="s">
        <v>3306</v>
      </c>
      <c r="B500" s="7">
        <v>687</v>
      </c>
      <c r="C500" s="6" t="s">
        <v>3307</v>
      </c>
      <c r="D500" s="6" t="s">
        <v>2133</v>
      </c>
      <c r="E500" s="6" t="s">
        <v>2134</v>
      </c>
      <c r="F500" s="6" t="s">
        <v>1263</v>
      </c>
      <c r="G500" s="6" t="s">
        <v>376</v>
      </c>
      <c r="H500" s="6"/>
      <c r="I500" s="14" t="s">
        <v>1642</v>
      </c>
      <c r="J500" s="15"/>
      <c r="K500" s="6" t="s">
        <v>1976</v>
      </c>
      <c r="L500" s="6"/>
      <c r="M500" s="6" t="s">
        <v>1643</v>
      </c>
      <c r="N500" s="6" t="s">
        <v>1644</v>
      </c>
      <c r="O500" s="7">
        <f>SUMIFS('05_상품별배치367'!$K$7:$K$373,'05_상품별배치367'!$E$7:$E$373,A500,'05_상품별배치367'!$H$7:$H$373,"본진")</f>
        <v>0</v>
      </c>
      <c r="P500" s="7">
        <f>SUMIFS('05_상품별배치367'!$K$7:$K$373,'05_상품별배치367'!$E$7:$E$373,A500,'05_상품별배치367'!$H$7:$H$373,"추가 진열")</f>
        <v>0</v>
      </c>
      <c r="Q500" s="7">
        <f>O500+P500</f>
        <v>0</v>
      </c>
      <c r="R500" s="7">
        <v>1</v>
      </c>
      <c r="S500" s="6" t="s">
        <v>3016</v>
      </c>
      <c r="T500" s="6" t="s">
        <v>1637</v>
      </c>
      <c r="U500" s="6"/>
      <c r="V500" s="16"/>
      <c r="W500" s="16"/>
      <c r="X500" s="16"/>
      <c r="Y500" s="6" t="s">
        <v>1627</v>
      </c>
      <c r="Z500" s="15"/>
      <c r="AA500" s="15" t="s">
        <v>1628</v>
      </c>
    </row>
    <row r="501" spans="1:27" ht="33" customHeight="1">
      <c r="A501" s="6" t="s">
        <v>3302</v>
      </c>
      <c r="B501" s="7">
        <v>685</v>
      </c>
      <c r="C501" s="6" t="s">
        <v>3303</v>
      </c>
      <c r="D501" s="6" t="s">
        <v>2133</v>
      </c>
      <c r="E501" s="6" t="s">
        <v>1986</v>
      </c>
      <c r="F501" s="6" t="s">
        <v>493</v>
      </c>
      <c r="G501" s="6" t="s">
        <v>299</v>
      </c>
      <c r="H501" s="6"/>
      <c r="I501" s="14" t="s">
        <v>1642</v>
      </c>
      <c r="J501" s="15"/>
      <c r="K501" s="6" t="s">
        <v>1976</v>
      </c>
      <c r="L501" s="6"/>
      <c r="M501" s="6" t="s">
        <v>1643</v>
      </c>
      <c r="N501" s="6" t="s">
        <v>1644</v>
      </c>
      <c r="O501" s="7">
        <f>SUMIFS('05_상품별배치367'!$K$7:$K$373,'05_상품별배치367'!$E$7:$E$373,A501,'05_상품별배치367'!$H$7:$H$373,"본진")</f>
        <v>0</v>
      </c>
      <c r="P501" s="7">
        <f>SUMIFS('05_상품별배치367'!$K$7:$K$373,'05_상품별배치367'!$E$7:$E$373,A501,'05_상품별배치367'!$H$7:$H$373,"추가 진열")</f>
        <v>0</v>
      </c>
      <c r="Q501" s="7">
        <f>O501+P501</f>
        <v>0</v>
      </c>
      <c r="R501" s="7">
        <v>1</v>
      </c>
      <c r="S501" s="6" t="s">
        <v>3084</v>
      </c>
      <c r="T501" s="6" t="s">
        <v>1637</v>
      </c>
      <c r="U501" s="6"/>
      <c r="V501" s="16"/>
      <c r="W501" s="16"/>
      <c r="X501" s="16"/>
      <c r="Y501" s="6" t="s">
        <v>1627</v>
      </c>
      <c r="Z501" s="15"/>
      <c r="AA501" s="15" t="s">
        <v>1628</v>
      </c>
    </row>
    <row r="502" spans="1:27" ht="33" customHeight="1">
      <c r="A502" s="8" t="s">
        <v>3300</v>
      </c>
      <c r="B502" s="9">
        <v>684</v>
      </c>
      <c r="C502" s="8" t="s">
        <v>3301</v>
      </c>
      <c r="D502" s="8" t="s">
        <v>2133</v>
      </c>
      <c r="E502" s="8" t="s">
        <v>1986</v>
      </c>
      <c r="F502" s="8" t="s">
        <v>493</v>
      </c>
      <c r="G502" s="8" t="s">
        <v>299</v>
      </c>
      <c r="H502" s="8"/>
      <c r="I502" s="14" t="s">
        <v>1642</v>
      </c>
      <c r="J502" s="15"/>
      <c r="K502" s="8" t="s">
        <v>1976</v>
      </c>
      <c r="L502" s="8"/>
      <c r="M502" s="6" t="s">
        <v>1643</v>
      </c>
      <c r="N502" s="6" t="s">
        <v>1644</v>
      </c>
      <c r="O502" s="7">
        <f>SUMIFS('05_상품별배치367'!$K$7:$K$373,'05_상품별배치367'!$E$7:$E$373,A502,'05_상품별배치367'!$H$7:$H$373,"본진")</f>
        <v>0</v>
      </c>
      <c r="P502" s="7">
        <f>SUMIFS('05_상품별배치367'!$K$7:$K$373,'05_상품별배치367'!$E$7:$E$373,A502,'05_상품별배치367'!$H$7:$H$373,"추가 진열")</f>
        <v>0</v>
      </c>
      <c r="Q502" s="7">
        <f>O502+P502</f>
        <v>0</v>
      </c>
      <c r="R502" s="7">
        <v>1</v>
      </c>
      <c r="S502" s="6" t="s">
        <v>3084</v>
      </c>
      <c r="T502" s="6" t="s">
        <v>1637</v>
      </c>
      <c r="U502" s="6"/>
      <c r="V502" s="16"/>
      <c r="W502" s="16"/>
      <c r="X502" s="16"/>
      <c r="Y502" s="6" t="s">
        <v>1627</v>
      </c>
      <c r="Z502" s="15"/>
      <c r="AA502" s="15" t="s">
        <v>1628</v>
      </c>
    </row>
    <row r="503" spans="1:27" ht="33" customHeight="1">
      <c r="A503" s="8" t="s">
        <v>1984</v>
      </c>
      <c r="B503" s="9">
        <v>128</v>
      </c>
      <c r="C503" s="8" t="s">
        <v>1985</v>
      </c>
      <c r="D503" s="8" t="s">
        <v>1773</v>
      </c>
      <c r="E503" s="8" t="s">
        <v>1986</v>
      </c>
      <c r="F503" s="8" t="s">
        <v>1276</v>
      </c>
      <c r="G503" s="8" t="s">
        <v>1987</v>
      </c>
      <c r="H503" s="8"/>
      <c r="I503" s="14" t="s">
        <v>1642</v>
      </c>
      <c r="J503" s="15"/>
      <c r="K503" s="8" t="s">
        <v>1976</v>
      </c>
      <c r="L503" s="8" t="s">
        <v>1977</v>
      </c>
      <c r="M503" s="6" t="s">
        <v>1643</v>
      </c>
      <c r="N503" s="6" t="s">
        <v>1644</v>
      </c>
      <c r="O503" s="7">
        <f>SUMIFS('05_상품별배치367'!$K$7:$K$373,'05_상품별배치367'!$E$7:$E$373,A503,'05_상품별배치367'!$H$7:$H$373,"본진")</f>
        <v>0</v>
      </c>
      <c r="P503" s="7">
        <f>SUMIFS('05_상품별배치367'!$K$7:$K$373,'05_상품별배치367'!$E$7:$E$373,A503,'05_상품별배치367'!$H$7:$H$373,"추가 진열")</f>
        <v>0</v>
      </c>
      <c r="Q503" s="7">
        <f>O503+P503</f>
        <v>0</v>
      </c>
      <c r="R503" s="7">
        <v>1</v>
      </c>
      <c r="S503" s="6" t="s">
        <v>1988</v>
      </c>
      <c r="T503" s="6" t="s">
        <v>1637</v>
      </c>
      <c r="U503" s="6"/>
      <c r="V503" s="16"/>
      <c r="W503" s="16"/>
      <c r="X503" s="16"/>
      <c r="Y503" s="6" t="s">
        <v>1627</v>
      </c>
      <c r="Z503" s="15"/>
      <c r="AA503" s="15" t="s">
        <v>1628</v>
      </c>
    </row>
    <row r="504" spans="1:27" ht="33" customHeight="1">
      <c r="A504" s="6" t="s">
        <v>4332</v>
      </c>
      <c r="B504" s="7">
        <v>1155</v>
      </c>
      <c r="C504" s="6" t="s">
        <v>1985</v>
      </c>
      <c r="D504" s="6" t="s">
        <v>1773</v>
      </c>
      <c r="E504" s="6" t="s">
        <v>1986</v>
      </c>
      <c r="F504" s="6" t="s">
        <v>1276</v>
      </c>
      <c r="G504" s="6" t="s">
        <v>1987</v>
      </c>
      <c r="H504" s="6"/>
      <c r="I504" s="14" t="s">
        <v>1642</v>
      </c>
      <c r="J504" s="15"/>
      <c r="K504" s="6" t="s">
        <v>1976</v>
      </c>
      <c r="L504" s="6" t="s">
        <v>1977</v>
      </c>
      <c r="M504" s="6" t="s">
        <v>1643</v>
      </c>
      <c r="N504" s="6" t="s">
        <v>1644</v>
      </c>
      <c r="O504" s="7">
        <f>SUMIFS('05_상품별배치367'!$K$7:$K$373,'05_상품별배치367'!$E$7:$E$373,A504,'05_상품별배치367'!$H$7:$H$373,"본진")</f>
        <v>0</v>
      </c>
      <c r="P504" s="7">
        <f>SUMIFS('05_상품별배치367'!$K$7:$K$373,'05_상품별배치367'!$E$7:$E$373,A504,'05_상품별배치367'!$H$7:$H$373,"추가 진열")</f>
        <v>0</v>
      </c>
      <c r="Q504" s="7">
        <f>O504+P504</f>
        <v>0</v>
      </c>
      <c r="R504" s="7">
        <v>1</v>
      </c>
      <c r="S504" s="6" t="s">
        <v>4333</v>
      </c>
      <c r="T504" s="6" t="s">
        <v>1637</v>
      </c>
      <c r="U504" s="6" t="s">
        <v>1984</v>
      </c>
      <c r="V504" s="16"/>
      <c r="W504" s="16"/>
      <c r="X504" s="16"/>
      <c r="Y504" s="6" t="s">
        <v>1627</v>
      </c>
      <c r="Z504" s="15"/>
      <c r="AA504" s="15" t="s">
        <v>1628</v>
      </c>
    </row>
    <row r="505" spans="1:27" ht="33" customHeight="1">
      <c r="A505" s="6" t="s">
        <v>1989</v>
      </c>
      <c r="B505" s="7">
        <v>129</v>
      </c>
      <c r="C505" s="6" t="s">
        <v>1990</v>
      </c>
      <c r="D505" s="6" t="s">
        <v>1975</v>
      </c>
      <c r="E505" s="6" t="s">
        <v>1814</v>
      </c>
      <c r="F505" s="6" t="s">
        <v>514</v>
      </c>
      <c r="G505" s="6" t="s">
        <v>423</v>
      </c>
      <c r="H505" s="6"/>
      <c r="I505" s="14" t="s">
        <v>1642</v>
      </c>
      <c r="J505" s="15"/>
      <c r="K505" s="6" t="s">
        <v>1976</v>
      </c>
      <c r="L505" s="6" t="s">
        <v>1977</v>
      </c>
      <c r="M505" s="6" t="s">
        <v>1643</v>
      </c>
      <c r="N505" s="6" t="s">
        <v>1644</v>
      </c>
      <c r="O505" s="7">
        <f>SUMIFS('05_상품별배치367'!$K$7:$K$373,'05_상품별배치367'!$E$7:$E$373,A505,'05_상품별배치367'!$H$7:$H$373,"본진")</f>
        <v>0</v>
      </c>
      <c r="P505" s="7">
        <f>SUMIFS('05_상품별배치367'!$K$7:$K$373,'05_상품별배치367'!$E$7:$E$373,A505,'05_상품별배치367'!$H$7:$H$373,"추가 진열")</f>
        <v>0</v>
      </c>
      <c r="Q505" s="7">
        <f>O505+P505</f>
        <v>0</v>
      </c>
      <c r="R505" s="7">
        <v>1</v>
      </c>
      <c r="S505" s="6" t="s">
        <v>1991</v>
      </c>
      <c r="T505" s="6" t="s">
        <v>1637</v>
      </c>
      <c r="U505" s="6"/>
      <c r="V505" s="16"/>
      <c r="W505" s="16"/>
      <c r="X505" s="16"/>
      <c r="Y505" s="6" t="s">
        <v>1627</v>
      </c>
      <c r="Z505" s="15"/>
      <c r="AA505" s="15" t="s">
        <v>1628</v>
      </c>
    </row>
    <row r="506" spans="1:27" ht="33" customHeight="1">
      <c r="A506" s="6" t="s">
        <v>4336</v>
      </c>
      <c r="B506" s="7">
        <v>1157</v>
      </c>
      <c r="C506" s="6" t="s">
        <v>1990</v>
      </c>
      <c r="D506" s="6" t="s">
        <v>1975</v>
      </c>
      <c r="E506" s="6" t="s">
        <v>1814</v>
      </c>
      <c r="F506" s="6" t="s">
        <v>514</v>
      </c>
      <c r="G506" s="6" t="s">
        <v>423</v>
      </c>
      <c r="H506" s="6"/>
      <c r="I506" s="14" t="s">
        <v>1642</v>
      </c>
      <c r="J506" s="15"/>
      <c r="K506" s="6" t="s">
        <v>1976</v>
      </c>
      <c r="L506" s="6" t="s">
        <v>1977</v>
      </c>
      <c r="M506" s="6" t="s">
        <v>1643</v>
      </c>
      <c r="N506" s="6" t="s">
        <v>1644</v>
      </c>
      <c r="O506" s="7">
        <f>SUMIFS('05_상품별배치367'!$K$7:$K$373,'05_상품별배치367'!$E$7:$E$373,A506,'05_상품별배치367'!$H$7:$H$373,"본진")</f>
        <v>0</v>
      </c>
      <c r="P506" s="7">
        <f>SUMIFS('05_상품별배치367'!$K$7:$K$373,'05_상품별배치367'!$E$7:$E$373,A506,'05_상품별배치367'!$H$7:$H$373,"추가 진열")</f>
        <v>0</v>
      </c>
      <c r="Q506" s="7">
        <f>O506+P506</f>
        <v>0</v>
      </c>
      <c r="R506" s="7">
        <v>1</v>
      </c>
      <c r="S506" s="6" t="s">
        <v>4337</v>
      </c>
      <c r="T506" s="6" t="s">
        <v>1637</v>
      </c>
      <c r="U506" s="6" t="s">
        <v>1989</v>
      </c>
      <c r="V506" s="16"/>
      <c r="W506" s="16"/>
      <c r="X506" s="16"/>
      <c r="Y506" s="6" t="s">
        <v>1627</v>
      </c>
      <c r="Z506" s="15"/>
      <c r="AA506" s="15" t="s">
        <v>1628</v>
      </c>
    </row>
    <row r="507" spans="1:27" ht="33" customHeight="1">
      <c r="A507" s="8" t="s">
        <v>1973</v>
      </c>
      <c r="B507" s="9">
        <v>126</v>
      </c>
      <c r="C507" s="8" t="s">
        <v>1974</v>
      </c>
      <c r="D507" s="8" t="s">
        <v>1975</v>
      </c>
      <c r="E507" s="8" t="s">
        <v>1814</v>
      </c>
      <c r="F507" s="8" t="s">
        <v>1376</v>
      </c>
      <c r="G507" s="8" t="s">
        <v>431</v>
      </c>
      <c r="H507" s="8"/>
      <c r="I507" s="14" t="s">
        <v>1642</v>
      </c>
      <c r="J507" s="15"/>
      <c r="K507" s="8" t="s">
        <v>1976</v>
      </c>
      <c r="L507" s="8" t="s">
        <v>1977</v>
      </c>
      <c r="M507" s="6" t="s">
        <v>1643</v>
      </c>
      <c r="N507" s="6" t="s">
        <v>1644</v>
      </c>
      <c r="O507" s="7">
        <f>SUMIFS('05_상품별배치367'!$K$7:$K$373,'05_상품별배치367'!$E$7:$E$373,A507,'05_상품별배치367'!$H$7:$H$373,"본진")</f>
        <v>0</v>
      </c>
      <c r="P507" s="7">
        <f>SUMIFS('05_상품별배치367'!$K$7:$K$373,'05_상품별배치367'!$E$7:$E$373,A507,'05_상품별배치367'!$H$7:$H$373,"추가 진열")</f>
        <v>0</v>
      </c>
      <c r="Q507" s="7">
        <f>O507+P507</f>
        <v>0</v>
      </c>
      <c r="R507" s="7">
        <v>1</v>
      </c>
      <c r="S507" s="6" t="s">
        <v>1978</v>
      </c>
      <c r="T507" s="6" t="s">
        <v>1637</v>
      </c>
      <c r="U507" s="6"/>
      <c r="V507" s="16"/>
      <c r="W507" s="16"/>
      <c r="X507" s="16"/>
      <c r="Y507" s="6" t="s">
        <v>1627</v>
      </c>
      <c r="Z507" s="15"/>
      <c r="AA507" s="15" t="s">
        <v>1628</v>
      </c>
    </row>
    <row r="508" spans="1:27" ht="33" customHeight="1">
      <c r="A508" s="8" t="s">
        <v>4334</v>
      </c>
      <c r="B508" s="9">
        <v>1156</v>
      </c>
      <c r="C508" s="8" t="s">
        <v>1974</v>
      </c>
      <c r="D508" s="8" t="s">
        <v>1975</v>
      </c>
      <c r="E508" s="8" t="s">
        <v>1814</v>
      </c>
      <c r="F508" s="8" t="s">
        <v>1376</v>
      </c>
      <c r="G508" s="8" t="s">
        <v>431</v>
      </c>
      <c r="H508" s="8"/>
      <c r="I508" s="14" t="s">
        <v>1642</v>
      </c>
      <c r="J508" s="15"/>
      <c r="K508" s="8" t="s">
        <v>1976</v>
      </c>
      <c r="L508" s="8" t="s">
        <v>1977</v>
      </c>
      <c r="M508" s="6" t="s">
        <v>1643</v>
      </c>
      <c r="N508" s="6" t="s">
        <v>1644</v>
      </c>
      <c r="O508" s="7">
        <f>SUMIFS('05_상품별배치367'!$K$7:$K$373,'05_상품별배치367'!$E$7:$E$373,A508,'05_상품별배치367'!$H$7:$H$373,"본진")</f>
        <v>0</v>
      </c>
      <c r="P508" s="7">
        <f>SUMIFS('05_상품별배치367'!$K$7:$K$373,'05_상품별배치367'!$E$7:$E$373,A508,'05_상품별배치367'!$H$7:$H$373,"추가 진열")</f>
        <v>0</v>
      </c>
      <c r="Q508" s="7">
        <f>O508+P508</f>
        <v>0</v>
      </c>
      <c r="R508" s="7">
        <v>1</v>
      </c>
      <c r="S508" s="6" t="s">
        <v>4335</v>
      </c>
      <c r="T508" s="6" t="s">
        <v>1637</v>
      </c>
      <c r="U508" s="6" t="s">
        <v>1973</v>
      </c>
      <c r="V508" s="16"/>
      <c r="W508" s="16"/>
      <c r="X508" s="16"/>
      <c r="Y508" s="6" t="s">
        <v>1627</v>
      </c>
      <c r="Z508" s="15"/>
      <c r="AA508" s="15" t="s">
        <v>1628</v>
      </c>
    </row>
    <row r="509" spans="1:27" ht="33" customHeight="1">
      <c r="A509" s="6" t="s">
        <v>1979</v>
      </c>
      <c r="B509" s="7">
        <v>127</v>
      </c>
      <c r="C509" s="6" t="s">
        <v>1980</v>
      </c>
      <c r="D509" s="6" t="s">
        <v>1820</v>
      </c>
      <c r="E509" s="6" t="s">
        <v>1981</v>
      </c>
      <c r="F509" s="6" t="s">
        <v>122</v>
      </c>
      <c r="G509" s="6" t="s">
        <v>185</v>
      </c>
      <c r="H509" s="6" t="s">
        <v>883</v>
      </c>
      <c r="I509" s="14" t="s">
        <v>1642</v>
      </c>
      <c r="J509" s="15"/>
      <c r="K509" s="6" t="s">
        <v>1982</v>
      </c>
      <c r="L509" s="6" t="s">
        <v>1977</v>
      </c>
      <c r="M509" s="6" t="s">
        <v>1643</v>
      </c>
      <c r="N509" s="6" t="s">
        <v>1644</v>
      </c>
      <c r="O509" s="7">
        <f>SUMIFS('05_상품별배치367'!$K$7:$K$373,'05_상품별배치367'!$E$7:$E$373,A509,'05_상품별배치367'!$H$7:$H$373,"본진")</f>
        <v>0</v>
      </c>
      <c r="P509" s="7">
        <f>SUMIFS('05_상품별배치367'!$K$7:$K$373,'05_상품별배치367'!$E$7:$E$373,A509,'05_상품별배치367'!$H$7:$H$373,"추가 진열")</f>
        <v>0</v>
      </c>
      <c r="Q509" s="7">
        <f>O509+P509</f>
        <v>0</v>
      </c>
      <c r="R509" s="7">
        <v>1</v>
      </c>
      <c r="S509" s="6" t="s">
        <v>1983</v>
      </c>
      <c r="T509" s="6" t="s">
        <v>1637</v>
      </c>
      <c r="U509" s="6"/>
      <c r="V509" s="16"/>
      <c r="W509" s="16"/>
      <c r="X509" s="16"/>
      <c r="Y509" s="6" t="s">
        <v>1627</v>
      </c>
      <c r="Z509" s="15"/>
      <c r="AA509" s="15" t="s">
        <v>1628</v>
      </c>
    </row>
    <row r="510" spans="1:27" ht="33" customHeight="1">
      <c r="A510" s="8" t="s">
        <v>4330</v>
      </c>
      <c r="B510" s="9">
        <v>1154</v>
      </c>
      <c r="C510" s="8" t="s">
        <v>1980</v>
      </c>
      <c r="D510" s="8" t="s">
        <v>1820</v>
      </c>
      <c r="E510" s="8" t="s">
        <v>1981</v>
      </c>
      <c r="F510" s="8" t="s">
        <v>122</v>
      </c>
      <c r="G510" s="8" t="s">
        <v>185</v>
      </c>
      <c r="H510" s="8"/>
      <c r="I510" s="14" t="s">
        <v>1642</v>
      </c>
      <c r="J510" s="15"/>
      <c r="K510" s="8" t="s">
        <v>1982</v>
      </c>
      <c r="L510" s="8" t="s">
        <v>1977</v>
      </c>
      <c r="M510" s="6" t="s">
        <v>1643</v>
      </c>
      <c r="N510" s="6" t="s">
        <v>1644</v>
      </c>
      <c r="O510" s="7">
        <f>SUMIFS('05_상품별배치367'!$K$7:$K$373,'05_상품별배치367'!$E$7:$E$373,A510,'05_상품별배치367'!$H$7:$H$373,"본진")</f>
        <v>0</v>
      </c>
      <c r="P510" s="7">
        <f>SUMIFS('05_상품별배치367'!$K$7:$K$373,'05_상품별배치367'!$E$7:$E$373,A510,'05_상품별배치367'!$H$7:$H$373,"추가 진열")</f>
        <v>0</v>
      </c>
      <c r="Q510" s="7">
        <f>O510+P510</f>
        <v>0</v>
      </c>
      <c r="R510" s="7">
        <v>1</v>
      </c>
      <c r="S510" s="6" t="s">
        <v>4331</v>
      </c>
      <c r="T510" s="6" t="s">
        <v>1637</v>
      </c>
      <c r="U510" s="6" t="s">
        <v>1979</v>
      </c>
      <c r="V510" s="16"/>
      <c r="W510" s="16"/>
      <c r="X510" s="16"/>
      <c r="Y510" s="6" t="s">
        <v>1627</v>
      </c>
      <c r="Z510" s="15"/>
      <c r="AA510" s="15" t="s">
        <v>1628</v>
      </c>
    </row>
    <row r="511" spans="1:27" ht="33" customHeight="1">
      <c r="A511" s="8" t="s">
        <v>4838</v>
      </c>
      <c r="B511" s="9">
        <v>1402</v>
      </c>
      <c r="C511" s="8" t="s">
        <v>4839</v>
      </c>
      <c r="D511" s="8" t="s">
        <v>2133</v>
      </c>
      <c r="E511" s="8" t="s">
        <v>2134</v>
      </c>
      <c r="F511" s="8" t="s">
        <v>2933</v>
      </c>
      <c r="G511" s="8" t="s">
        <v>1668</v>
      </c>
      <c r="H511" s="8"/>
      <c r="I511" s="14" t="s">
        <v>1807</v>
      </c>
      <c r="J511" s="15"/>
      <c r="K511" s="8" t="s">
        <v>1976</v>
      </c>
      <c r="L511" s="8" t="s">
        <v>2032</v>
      </c>
      <c r="M511" s="6" t="s">
        <v>1809</v>
      </c>
      <c r="N511" s="6" t="s">
        <v>1644</v>
      </c>
      <c r="O511" s="7">
        <f>SUMIFS('05_상품별배치367'!$K$7:$K$373,'05_상품별배치367'!$E$7:$E$373,A511,'05_상품별배치367'!$H$7:$H$373,"본진")</f>
        <v>0</v>
      </c>
      <c r="P511" s="7">
        <f>SUMIFS('05_상품별배치367'!$K$7:$K$373,'05_상품별배치367'!$E$7:$E$373,A511,'05_상품별배치367'!$H$7:$H$373,"추가 진열")</f>
        <v>0</v>
      </c>
      <c r="Q511" s="7">
        <f>O511+P511</f>
        <v>0</v>
      </c>
      <c r="R511" s="7">
        <v>0</v>
      </c>
      <c r="S511" s="6" t="s">
        <v>1810</v>
      </c>
      <c r="T511" s="6" t="s">
        <v>1637</v>
      </c>
      <c r="U511" s="6"/>
      <c r="V511" s="16"/>
      <c r="W511" s="16"/>
      <c r="X511" s="16"/>
      <c r="Y511" s="6" t="s">
        <v>1627</v>
      </c>
      <c r="Z511" s="15"/>
      <c r="AA511" s="15" t="s">
        <v>1628</v>
      </c>
    </row>
    <row r="512" spans="1:27" ht="33" customHeight="1">
      <c r="A512" s="8" t="s">
        <v>4834</v>
      </c>
      <c r="B512" s="9">
        <v>1400</v>
      </c>
      <c r="C512" s="8" t="s">
        <v>4835</v>
      </c>
      <c r="D512" s="8" t="s">
        <v>2133</v>
      </c>
      <c r="E512" s="8" t="s">
        <v>2134</v>
      </c>
      <c r="F512" s="8" t="s">
        <v>2933</v>
      </c>
      <c r="G512" s="8" t="s">
        <v>1668</v>
      </c>
      <c r="H512" s="8"/>
      <c r="I512" s="14" t="s">
        <v>1807</v>
      </c>
      <c r="J512" s="15"/>
      <c r="K512" s="8" t="s">
        <v>1976</v>
      </c>
      <c r="L512" s="8" t="s">
        <v>2032</v>
      </c>
      <c r="M512" s="6" t="s">
        <v>1809</v>
      </c>
      <c r="N512" s="6" t="s">
        <v>1644</v>
      </c>
      <c r="O512" s="7">
        <f>SUMIFS('05_상품별배치367'!$K$7:$K$373,'05_상품별배치367'!$E$7:$E$373,A512,'05_상품별배치367'!$H$7:$H$373,"본진")</f>
        <v>0</v>
      </c>
      <c r="P512" s="7">
        <f>SUMIFS('05_상품별배치367'!$K$7:$K$373,'05_상품별배치367'!$E$7:$E$373,A512,'05_상품별배치367'!$H$7:$H$373,"추가 진열")</f>
        <v>0</v>
      </c>
      <c r="Q512" s="7">
        <f>O512+P512</f>
        <v>0</v>
      </c>
      <c r="R512" s="7">
        <v>0</v>
      </c>
      <c r="S512" s="6" t="s">
        <v>1810</v>
      </c>
      <c r="T512" s="6" t="s">
        <v>1637</v>
      </c>
      <c r="U512" s="6"/>
      <c r="V512" s="16"/>
      <c r="W512" s="16"/>
      <c r="X512" s="16"/>
      <c r="Y512" s="6" t="s">
        <v>1627</v>
      </c>
      <c r="Z512" s="15"/>
      <c r="AA512" s="15" t="s">
        <v>1628</v>
      </c>
    </row>
    <row r="513" spans="1:27" ht="33" customHeight="1">
      <c r="A513" s="6" t="s">
        <v>4832</v>
      </c>
      <c r="B513" s="7">
        <v>1399</v>
      </c>
      <c r="C513" s="6" t="s">
        <v>4833</v>
      </c>
      <c r="D513" s="6" t="s">
        <v>2133</v>
      </c>
      <c r="E513" s="6" t="s">
        <v>1986</v>
      </c>
      <c r="F513" s="6" t="s">
        <v>493</v>
      </c>
      <c r="G513" s="6" t="s">
        <v>299</v>
      </c>
      <c r="H513" s="6"/>
      <c r="I513" s="14" t="s">
        <v>1642</v>
      </c>
      <c r="J513" s="15"/>
      <c r="K513" s="6" t="s">
        <v>1976</v>
      </c>
      <c r="L513" s="6"/>
      <c r="M513" s="6" t="s">
        <v>1643</v>
      </c>
      <c r="N513" s="6" t="s">
        <v>1644</v>
      </c>
      <c r="O513" s="7">
        <f>SUMIFS('05_상품별배치367'!$K$7:$K$373,'05_상품별배치367'!$E$7:$E$373,A513,'05_상품별배치367'!$H$7:$H$373,"본진")</f>
        <v>0</v>
      </c>
      <c r="P513" s="7">
        <f>SUMIFS('05_상품별배치367'!$K$7:$K$373,'05_상품별배치367'!$E$7:$E$373,A513,'05_상품별배치367'!$H$7:$H$373,"추가 진열")</f>
        <v>0</v>
      </c>
      <c r="Q513" s="7">
        <f>O513+P513</f>
        <v>0</v>
      </c>
      <c r="R513" s="7">
        <v>1</v>
      </c>
      <c r="S513" s="6" t="s">
        <v>3084</v>
      </c>
      <c r="T513" s="6" t="s">
        <v>1637</v>
      </c>
      <c r="U513" s="6"/>
      <c r="V513" s="16"/>
      <c r="W513" s="16"/>
      <c r="X513" s="16"/>
      <c r="Y513" s="6" t="s">
        <v>1627</v>
      </c>
      <c r="Z513" s="15"/>
      <c r="AA513" s="15" t="s">
        <v>1628</v>
      </c>
    </row>
    <row r="514" spans="1:27" ht="33" customHeight="1">
      <c r="A514" s="6" t="s">
        <v>4836</v>
      </c>
      <c r="B514" s="7">
        <v>1401</v>
      </c>
      <c r="C514" s="6" t="s">
        <v>4837</v>
      </c>
      <c r="D514" s="6" t="s">
        <v>3608</v>
      </c>
      <c r="E514" s="6" t="s">
        <v>2134</v>
      </c>
      <c r="F514" s="6" t="s">
        <v>163</v>
      </c>
      <c r="G514" s="6" t="s">
        <v>414</v>
      </c>
      <c r="H514" s="6"/>
      <c r="I514" s="14" t="s">
        <v>1642</v>
      </c>
      <c r="J514" s="15"/>
      <c r="K514" s="6" t="s">
        <v>1976</v>
      </c>
      <c r="L514" s="6"/>
      <c r="M514" s="6" t="s">
        <v>1643</v>
      </c>
      <c r="N514" s="6" t="s">
        <v>1644</v>
      </c>
      <c r="O514" s="7">
        <f>SUMIFS('05_상품별배치367'!$K$7:$K$373,'05_상품별배치367'!$E$7:$E$373,A514,'05_상품별배치367'!$H$7:$H$373,"본진")</f>
        <v>0</v>
      </c>
      <c r="P514" s="7">
        <f>SUMIFS('05_상품별배치367'!$K$7:$K$373,'05_상품별배치367'!$E$7:$E$373,A514,'05_상품별배치367'!$H$7:$H$373,"추가 진열")</f>
        <v>0</v>
      </c>
      <c r="Q514" s="7">
        <f>O514+P514</f>
        <v>0</v>
      </c>
      <c r="R514" s="7">
        <v>1</v>
      </c>
      <c r="S514" s="6" t="s">
        <v>3048</v>
      </c>
      <c r="T514" s="6" t="s">
        <v>1637</v>
      </c>
      <c r="U514" s="6"/>
      <c r="V514" s="16"/>
      <c r="W514" s="16"/>
      <c r="X514" s="16"/>
      <c r="Y514" s="6" t="s">
        <v>1627</v>
      </c>
      <c r="Z514" s="15"/>
      <c r="AA514" s="15" t="s">
        <v>1628</v>
      </c>
    </row>
    <row r="515" spans="1:27" ht="33" customHeight="1">
      <c r="A515" s="8" t="s">
        <v>6278</v>
      </c>
      <c r="B515" s="9">
        <v>2068</v>
      </c>
      <c r="C515" s="8" t="s">
        <v>6279</v>
      </c>
      <c r="D515" s="8" t="s">
        <v>6280</v>
      </c>
      <c r="E515" s="8" t="s">
        <v>1620</v>
      </c>
      <c r="F515" s="8" t="s">
        <v>2031</v>
      </c>
      <c r="G515" s="8" t="s">
        <v>1668</v>
      </c>
      <c r="H515" s="8"/>
      <c r="I515" s="14" t="s">
        <v>1642</v>
      </c>
      <c r="J515" s="15"/>
      <c r="K515" s="8" t="s">
        <v>1622</v>
      </c>
      <c r="L515" s="8" t="s">
        <v>6125</v>
      </c>
      <c r="M515" s="6" t="s">
        <v>1643</v>
      </c>
      <c r="N515" s="6" t="s">
        <v>1624</v>
      </c>
      <c r="O515" s="7">
        <f>SUMIFS('05_상품별배치367'!$K$7:$K$373,'05_상품별배치367'!$E$7:$E$373,A515,'05_상품별배치367'!$H$7:$H$373,"본진")</f>
        <v>0</v>
      </c>
      <c r="P515" s="7">
        <f>SUMIFS('05_상품별배치367'!$K$7:$K$373,'05_상품별배치367'!$E$7:$E$373,A515,'05_상품별배치367'!$H$7:$H$373,"추가 진열")</f>
        <v>0</v>
      </c>
      <c r="Q515" s="7">
        <f>O515+P515</f>
        <v>0</v>
      </c>
      <c r="R515" s="7">
        <v>1</v>
      </c>
      <c r="S515" s="6" t="s">
        <v>2033</v>
      </c>
      <c r="T515" s="6" t="s">
        <v>1637</v>
      </c>
      <c r="U515" s="6"/>
      <c r="V515" s="16"/>
      <c r="W515" s="16"/>
      <c r="X515" s="16"/>
      <c r="Y515" s="6" t="s">
        <v>1655</v>
      </c>
      <c r="Z515" s="15"/>
      <c r="AA515" s="15" t="s">
        <v>1628</v>
      </c>
    </row>
    <row r="516" spans="1:27" ht="33" customHeight="1">
      <c r="A516" s="6" t="s">
        <v>5774</v>
      </c>
      <c r="B516" s="7">
        <v>1843</v>
      </c>
      <c r="C516" s="6" t="s">
        <v>5775</v>
      </c>
      <c r="D516" s="6" t="s">
        <v>1711</v>
      </c>
      <c r="E516" s="6" t="s">
        <v>1632</v>
      </c>
      <c r="F516" s="6" t="s">
        <v>492</v>
      </c>
      <c r="G516" s="6" t="s">
        <v>282</v>
      </c>
      <c r="H516" s="6" t="s">
        <v>1071</v>
      </c>
      <c r="I516" s="14" t="s">
        <v>1633</v>
      </c>
      <c r="J516" s="15"/>
      <c r="K516" s="6" t="s">
        <v>1634</v>
      </c>
      <c r="L516" s="6" t="s">
        <v>3828</v>
      </c>
      <c r="M516" s="6" t="s">
        <v>1635</v>
      </c>
      <c r="N516" s="6" t="s">
        <v>1624</v>
      </c>
      <c r="O516" s="7">
        <f>SUMIFS('05_상품별배치367'!$K$7:$K$373,'05_상품별배치367'!$E$7:$E$373,A516,'05_상품별배치367'!$H$7:$H$373,"본진")</f>
        <v>1</v>
      </c>
      <c r="P516" s="7">
        <f>SUMIFS('05_상품별배치367'!$K$7:$K$373,'05_상품별배치367'!$E$7:$E$373,A516,'05_상품별배치367'!$H$7:$H$373,"추가 진열")</f>
        <v>0</v>
      </c>
      <c r="Q516" s="7">
        <f>O516+P516</f>
        <v>1</v>
      </c>
      <c r="R516" s="7">
        <v>1</v>
      </c>
      <c r="S516" s="6" t="s">
        <v>1636</v>
      </c>
      <c r="T516" s="6" t="s">
        <v>1637</v>
      </c>
      <c r="U516" s="6"/>
      <c r="V516" s="16"/>
      <c r="W516" s="16"/>
      <c r="X516" s="16"/>
      <c r="Y516" s="6" t="s">
        <v>1627</v>
      </c>
      <c r="Z516" s="15"/>
      <c r="AA516" s="15" t="s">
        <v>1628</v>
      </c>
    </row>
    <row r="517" spans="1:27" ht="33" customHeight="1">
      <c r="A517" s="8" t="s">
        <v>5789</v>
      </c>
      <c r="B517" s="9">
        <v>1850</v>
      </c>
      <c r="C517" s="8" t="s">
        <v>5790</v>
      </c>
      <c r="D517" s="8" t="s">
        <v>5618</v>
      </c>
      <c r="E517" s="8" t="s">
        <v>1632</v>
      </c>
      <c r="F517" s="8" t="s">
        <v>492</v>
      </c>
      <c r="G517" s="8" t="s">
        <v>282</v>
      </c>
      <c r="H517" s="8" t="s">
        <v>1067</v>
      </c>
      <c r="I517" s="14" t="s">
        <v>1642</v>
      </c>
      <c r="J517" s="15"/>
      <c r="K517" s="8" t="s">
        <v>1634</v>
      </c>
      <c r="L517" s="8" t="s">
        <v>3828</v>
      </c>
      <c r="M517" s="6" t="s">
        <v>1643</v>
      </c>
      <c r="N517" s="6" t="s">
        <v>1624</v>
      </c>
      <c r="O517" s="7">
        <f>SUMIFS('05_상품별배치367'!$K$7:$K$373,'05_상품별배치367'!$E$7:$E$373,A517,'05_상품별배치367'!$H$7:$H$373,"본진")</f>
        <v>0</v>
      </c>
      <c r="P517" s="7">
        <f>SUMIFS('05_상품별배치367'!$K$7:$K$373,'05_상품별배치367'!$E$7:$E$373,A517,'05_상품별배치367'!$H$7:$H$373,"추가 진열")</f>
        <v>0</v>
      </c>
      <c r="Q517" s="7">
        <f>O517+P517</f>
        <v>0</v>
      </c>
      <c r="R517" s="7">
        <v>1</v>
      </c>
      <c r="S517" s="6" t="s">
        <v>5782</v>
      </c>
      <c r="T517" s="6" t="s">
        <v>1637</v>
      </c>
      <c r="U517" s="6"/>
      <c r="V517" s="16"/>
      <c r="W517" s="16"/>
      <c r="X517" s="16"/>
      <c r="Y517" s="6" t="s">
        <v>1627</v>
      </c>
      <c r="Z517" s="15"/>
      <c r="AA517" s="15" t="s">
        <v>1628</v>
      </c>
    </row>
    <row r="518" spans="1:27" ht="33" customHeight="1">
      <c r="A518" s="8" t="s">
        <v>5785</v>
      </c>
      <c r="B518" s="9">
        <v>1848</v>
      </c>
      <c r="C518" s="8" t="s">
        <v>5786</v>
      </c>
      <c r="D518" s="8" t="s">
        <v>2572</v>
      </c>
      <c r="E518" s="8" t="s">
        <v>1632</v>
      </c>
      <c r="F518" s="8" t="s">
        <v>492</v>
      </c>
      <c r="G518" s="8" t="s">
        <v>282</v>
      </c>
      <c r="H518" s="8" t="s">
        <v>1067</v>
      </c>
      <c r="I518" s="14" t="s">
        <v>1621</v>
      </c>
      <c r="J518" s="15"/>
      <c r="K518" s="8" t="s">
        <v>1634</v>
      </c>
      <c r="L518" s="8" t="s">
        <v>3828</v>
      </c>
      <c r="M518" s="6" t="s">
        <v>1623</v>
      </c>
      <c r="N518" s="6" t="s">
        <v>1624</v>
      </c>
      <c r="O518" s="7">
        <f>SUMIFS('05_상품별배치367'!$K$7:$K$373,'05_상품별배치367'!$E$7:$E$373,A518,'05_상품별배치367'!$H$7:$H$373,"본진")</f>
        <v>2</v>
      </c>
      <c r="P518" s="7">
        <f>SUMIFS('05_상품별배치367'!$K$7:$K$373,'05_상품별배치367'!$E$7:$E$373,A518,'05_상품별배치367'!$H$7:$H$373,"추가 진열")</f>
        <v>0</v>
      </c>
      <c r="Q518" s="7">
        <f>O518+P518</f>
        <v>2</v>
      </c>
      <c r="R518" s="7">
        <v>2</v>
      </c>
      <c r="S518" s="6" t="s">
        <v>1625</v>
      </c>
      <c r="T518" s="6" t="s">
        <v>1637</v>
      </c>
      <c r="U518" s="6"/>
      <c r="V518" s="16"/>
      <c r="W518" s="16"/>
      <c r="X518" s="16"/>
      <c r="Y518" s="6" t="s">
        <v>1627</v>
      </c>
      <c r="Z518" s="15"/>
      <c r="AA518" s="15" t="s">
        <v>1628</v>
      </c>
    </row>
    <row r="519" spans="1:27" ht="33" customHeight="1">
      <c r="A519" s="6" t="s">
        <v>4840</v>
      </c>
      <c r="B519" s="7">
        <v>1403</v>
      </c>
      <c r="C519" s="6" t="s">
        <v>4841</v>
      </c>
      <c r="D519" s="6" t="s">
        <v>1941</v>
      </c>
      <c r="E519" s="6" t="s">
        <v>2134</v>
      </c>
      <c r="F519" s="6" t="s">
        <v>2933</v>
      </c>
      <c r="G519" s="6" t="s">
        <v>1668</v>
      </c>
      <c r="H519" s="6"/>
      <c r="I519" s="14" t="s">
        <v>1807</v>
      </c>
      <c r="J519" s="15"/>
      <c r="K519" s="6" t="s">
        <v>1976</v>
      </c>
      <c r="L519" s="6" t="s">
        <v>2032</v>
      </c>
      <c r="M519" s="6" t="s">
        <v>1809</v>
      </c>
      <c r="N519" s="6" t="s">
        <v>1644</v>
      </c>
      <c r="O519" s="7">
        <f>SUMIFS('05_상품별배치367'!$K$7:$K$373,'05_상품별배치367'!$E$7:$E$373,A519,'05_상품별배치367'!$H$7:$H$373,"본진")</f>
        <v>0</v>
      </c>
      <c r="P519" s="7">
        <f>SUMIFS('05_상품별배치367'!$K$7:$K$373,'05_상품별배치367'!$E$7:$E$373,A519,'05_상품별배치367'!$H$7:$H$373,"추가 진열")</f>
        <v>0</v>
      </c>
      <c r="Q519" s="7">
        <f>O519+P519</f>
        <v>0</v>
      </c>
      <c r="R519" s="7">
        <v>0</v>
      </c>
      <c r="S519" s="6" t="s">
        <v>1810</v>
      </c>
      <c r="T519" s="6" t="s">
        <v>1637</v>
      </c>
      <c r="U519" s="6"/>
      <c r="V519" s="16"/>
      <c r="W519" s="16"/>
      <c r="X519" s="16"/>
      <c r="Y519" s="6" t="s">
        <v>1627</v>
      </c>
      <c r="Z519" s="15"/>
      <c r="AA519" s="15" t="s">
        <v>1628</v>
      </c>
    </row>
    <row r="520" spans="1:27" ht="33" customHeight="1">
      <c r="A520" s="8" t="s">
        <v>4842</v>
      </c>
      <c r="B520" s="9">
        <v>1404</v>
      </c>
      <c r="C520" s="8" t="s">
        <v>4843</v>
      </c>
      <c r="D520" s="8" t="s">
        <v>4291</v>
      </c>
      <c r="E520" s="8" t="s">
        <v>2134</v>
      </c>
      <c r="F520" s="8" t="s">
        <v>163</v>
      </c>
      <c r="G520" s="8" t="s">
        <v>414</v>
      </c>
      <c r="H520" s="8"/>
      <c r="I520" s="14" t="s">
        <v>1642</v>
      </c>
      <c r="J520" s="15"/>
      <c r="K520" s="8" t="s">
        <v>1976</v>
      </c>
      <c r="L520" s="8"/>
      <c r="M520" s="6" t="s">
        <v>1643</v>
      </c>
      <c r="N520" s="6" t="s">
        <v>1644</v>
      </c>
      <c r="O520" s="7">
        <f>SUMIFS('05_상품별배치367'!$K$7:$K$373,'05_상품별배치367'!$E$7:$E$373,A520,'05_상품별배치367'!$H$7:$H$373,"본진")</f>
        <v>0</v>
      </c>
      <c r="P520" s="7">
        <f>SUMIFS('05_상품별배치367'!$K$7:$K$373,'05_상품별배치367'!$E$7:$E$373,A520,'05_상품별배치367'!$H$7:$H$373,"추가 진열")</f>
        <v>0</v>
      </c>
      <c r="Q520" s="7">
        <f>O520+P520</f>
        <v>0</v>
      </c>
      <c r="R520" s="7">
        <v>1</v>
      </c>
      <c r="S520" s="6" t="s">
        <v>3048</v>
      </c>
      <c r="T520" s="6" t="s">
        <v>1637</v>
      </c>
      <c r="U520" s="6"/>
      <c r="V520" s="16"/>
      <c r="W520" s="16"/>
      <c r="X520" s="16"/>
      <c r="Y520" s="6" t="s">
        <v>1627</v>
      </c>
      <c r="Z520" s="15"/>
      <c r="AA520" s="15" t="s">
        <v>1628</v>
      </c>
    </row>
    <row r="521" spans="1:27" ht="33" customHeight="1">
      <c r="A521" s="8" t="s">
        <v>7080</v>
      </c>
      <c r="B521" s="9">
        <v>2444</v>
      </c>
      <c r="C521" s="8" t="s">
        <v>7081</v>
      </c>
      <c r="D521" s="8" t="s">
        <v>7082</v>
      </c>
      <c r="E521" s="8" t="s">
        <v>1641</v>
      </c>
      <c r="F521" s="8" t="s">
        <v>1691</v>
      </c>
      <c r="G521" s="8" t="s">
        <v>59</v>
      </c>
      <c r="H521" s="8"/>
      <c r="I521" s="14" t="s">
        <v>1642</v>
      </c>
      <c r="J521" s="15"/>
      <c r="K521" s="8" t="s">
        <v>1634</v>
      </c>
      <c r="L521" s="8" t="s">
        <v>3828</v>
      </c>
      <c r="M521" s="6" t="s">
        <v>1643</v>
      </c>
      <c r="N521" s="6" t="s">
        <v>1624</v>
      </c>
      <c r="O521" s="7">
        <f>SUMIFS('05_상품별배치367'!$K$7:$K$373,'05_상품별배치367'!$E$7:$E$373,A521,'05_상품별배치367'!$H$7:$H$373,"본진")</f>
        <v>0</v>
      </c>
      <c r="P521" s="7">
        <f>SUMIFS('05_상품별배치367'!$K$7:$K$373,'05_상품별배치367'!$E$7:$E$373,A521,'05_상품별배치367'!$H$7:$H$373,"추가 진열")</f>
        <v>0</v>
      </c>
      <c r="Q521" s="7">
        <f>O521+P521</f>
        <v>0</v>
      </c>
      <c r="R521" s="7">
        <v>1</v>
      </c>
      <c r="S521" s="6" t="s">
        <v>1721</v>
      </c>
      <c r="T521" s="6" t="s">
        <v>1637</v>
      </c>
      <c r="U521" s="6"/>
      <c r="V521" s="16"/>
      <c r="W521" s="16"/>
      <c r="X521" s="16"/>
      <c r="Y521" s="6" t="s">
        <v>1655</v>
      </c>
      <c r="Z521" s="15"/>
      <c r="AA521" s="15" t="s">
        <v>1628</v>
      </c>
    </row>
    <row r="522" spans="1:27" ht="33" customHeight="1">
      <c r="A522" s="8" t="s">
        <v>6685</v>
      </c>
      <c r="B522" s="9">
        <v>2252</v>
      </c>
      <c r="C522" s="8" t="s">
        <v>6686</v>
      </c>
      <c r="D522" s="8" t="s">
        <v>2856</v>
      </c>
      <c r="E522" s="8" t="s">
        <v>1641</v>
      </c>
      <c r="F522" s="8" t="s">
        <v>498</v>
      </c>
      <c r="G522" s="8" t="s">
        <v>307</v>
      </c>
      <c r="H522" s="8"/>
      <c r="I522" s="14" t="s">
        <v>1642</v>
      </c>
      <c r="J522" s="15"/>
      <c r="K522" s="8" t="s">
        <v>1634</v>
      </c>
      <c r="L522" s="8" t="s">
        <v>3828</v>
      </c>
      <c r="M522" s="6" t="s">
        <v>1643</v>
      </c>
      <c r="N522" s="6" t="s">
        <v>1624</v>
      </c>
      <c r="O522" s="7">
        <f>SUMIFS('05_상품별배치367'!$K$7:$K$373,'05_상품별배치367'!$E$7:$E$373,A522,'05_상품별배치367'!$H$7:$H$373,"본진")</f>
        <v>0</v>
      </c>
      <c r="P522" s="7">
        <f>SUMIFS('05_상품별배치367'!$K$7:$K$373,'05_상품별배치367'!$E$7:$E$373,A522,'05_상품별배치367'!$H$7:$H$373,"추가 진열")</f>
        <v>0</v>
      </c>
      <c r="Q522" s="7">
        <f>O522+P522</f>
        <v>0</v>
      </c>
      <c r="R522" s="7">
        <v>1</v>
      </c>
      <c r="S522" s="6" t="s">
        <v>6141</v>
      </c>
      <c r="T522" s="6" t="s">
        <v>1637</v>
      </c>
      <c r="U522" s="6"/>
      <c r="V522" s="16"/>
      <c r="W522" s="16"/>
      <c r="X522" s="16"/>
      <c r="Y522" s="6" t="s">
        <v>1627</v>
      </c>
      <c r="Z522" s="15"/>
      <c r="AA522" s="15" t="s">
        <v>1628</v>
      </c>
    </row>
    <row r="523" spans="1:27" ht="33" customHeight="1">
      <c r="A523" s="6" t="s">
        <v>6687</v>
      </c>
      <c r="B523" s="7">
        <v>2253</v>
      </c>
      <c r="C523" s="6" t="s">
        <v>6688</v>
      </c>
      <c r="D523" s="6" t="s">
        <v>2856</v>
      </c>
      <c r="E523" s="6" t="s">
        <v>1641</v>
      </c>
      <c r="F523" s="6" t="s">
        <v>498</v>
      </c>
      <c r="G523" s="6" t="s">
        <v>307</v>
      </c>
      <c r="H523" s="6"/>
      <c r="I523" s="14" t="s">
        <v>1642</v>
      </c>
      <c r="J523" s="15"/>
      <c r="K523" s="6" t="s">
        <v>1634</v>
      </c>
      <c r="L523" s="6" t="s">
        <v>3828</v>
      </c>
      <c r="M523" s="6" t="s">
        <v>1643</v>
      </c>
      <c r="N523" s="6" t="s">
        <v>1624</v>
      </c>
      <c r="O523" s="7">
        <f>SUMIFS('05_상품별배치367'!$K$7:$K$373,'05_상품별배치367'!$E$7:$E$373,A523,'05_상품별배치367'!$H$7:$H$373,"본진")</f>
        <v>0</v>
      </c>
      <c r="P523" s="7">
        <f>SUMIFS('05_상품별배치367'!$K$7:$K$373,'05_상품별배치367'!$E$7:$E$373,A523,'05_상품별배치367'!$H$7:$H$373,"추가 진열")</f>
        <v>0</v>
      </c>
      <c r="Q523" s="7">
        <f>O523+P523</f>
        <v>0</v>
      </c>
      <c r="R523" s="7">
        <v>1</v>
      </c>
      <c r="S523" s="6" t="s">
        <v>6141</v>
      </c>
      <c r="T523" s="6" t="s">
        <v>1637</v>
      </c>
      <c r="U523" s="6"/>
      <c r="V523" s="16"/>
      <c r="W523" s="16"/>
      <c r="X523" s="16"/>
      <c r="Y523" s="6" t="s">
        <v>1627</v>
      </c>
      <c r="Z523" s="15"/>
      <c r="AA523" s="15" t="s">
        <v>1628</v>
      </c>
    </row>
    <row r="524" spans="1:27" ht="33" customHeight="1">
      <c r="A524" s="8" t="s">
        <v>4980</v>
      </c>
      <c r="B524" s="9">
        <v>1470</v>
      </c>
      <c r="C524" s="8" t="s">
        <v>4981</v>
      </c>
      <c r="D524" s="8" t="s">
        <v>4982</v>
      </c>
      <c r="E524" s="8" t="s">
        <v>2134</v>
      </c>
      <c r="F524" s="8" t="s">
        <v>1081</v>
      </c>
      <c r="G524" s="8" t="s">
        <v>290</v>
      </c>
      <c r="H524" s="8"/>
      <c r="I524" s="14" t="s">
        <v>1642</v>
      </c>
      <c r="J524" s="15"/>
      <c r="K524" s="8" t="s">
        <v>1976</v>
      </c>
      <c r="L524" s="8"/>
      <c r="M524" s="6" t="s">
        <v>1643</v>
      </c>
      <c r="N524" s="6" t="s">
        <v>1644</v>
      </c>
      <c r="O524" s="7">
        <f>SUMIFS('05_상품별배치367'!$K$7:$K$373,'05_상품별배치367'!$E$7:$E$373,A524,'05_상품별배치367'!$H$7:$H$373,"본진")</f>
        <v>0</v>
      </c>
      <c r="P524" s="7">
        <f>SUMIFS('05_상품별배치367'!$K$7:$K$373,'05_상품별배치367'!$E$7:$E$373,A524,'05_상품별배치367'!$H$7:$H$373,"추가 진열")</f>
        <v>0</v>
      </c>
      <c r="Q524" s="7">
        <f>O524+P524</f>
        <v>0</v>
      </c>
      <c r="R524" s="7">
        <v>1</v>
      </c>
      <c r="S524" s="6" t="s">
        <v>2135</v>
      </c>
      <c r="T524" s="6" t="s">
        <v>1637</v>
      </c>
      <c r="U524" s="6"/>
      <c r="V524" s="16"/>
      <c r="W524" s="16"/>
      <c r="X524" s="16"/>
      <c r="Y524" s="6" t="s">
        <v>1627</v>
      </c>
      <c r="Z524" s="15"/>
      <c r="AA524" s="15" t="s">
        <v>1628</v>
      </c>
    </row>
    <row r="525" spans="1:27" ht="33" customHeight="1">
      <c r="A525" s="8" t="s">
        <v>4985</v>
      </c>
      <c r="B525" s="9">
        <v>1472</v>
      </c>
      <c r="C525" s="8" t="s">
        <v>4986</v>
      </c>
      <c r="D525" s="8" t="s">
        <v>2913</v>
      </c>
      <c r="E525" s="8" t="s">
        <v>1986</v>
      </c>
      <c r="F525" s="8" t="s">
        <v>493</v>
      </c>
      <c r="G525" s="8" t="s">
        <v>299</v>
      </c>
      <c r="H525" s="8"/>
      <c r="I525" s="14" t="s">
        <v>1642</v>
      </c>
      <c r="J525" s="15"/>
      <c r="K525" s="8" t="s">
        <v>1976</v>
      </c>
      <c r="L525" s="8"/>
      <c r="M525" s="6" t="s">
        <v>1643</v>
      </c>
      <c r="N525" s="6" t="s">
        <v>1644</v>
      </c>
      <c r="O525" s="7">
        <f>SUMIFS('05_상품별배치367'!$K$7:$K$373,'05_상품별배치367'!$E$7:$E$373,A525,'05_상품별배치367'!$H$7:$H$373,"본진")</f>
        <v>0</v>
      </c>
      <c r="P525" s="7">
        <f>SUMIFS('05_상품별배치367'!$K$7:$K$373,'05_상품별배치367'!$E$7:$E$373,A525,'05_상품별배치367'!$H$7:$H$373,"추가 진열")</f>
        <v>0</v>
      </c>
      <c r="Q525" s="7">
        <f>O525+P525</f>
        <v>0</v>
      </c>
      <c r="R525" s="7">
        <v>1</v>
      </c>
      <c r="S525" s="6" t="s">
        <v>3084</v>
      </c>
      <c r="T525" s="6" t="s">
        <v>1637</v>
      </c>
      <c r="U525" s="6"/>
      <c r="V525" s="16"/>
      <c r="W525" s="16"/>
      <c r="X525" s="16"/>
      <c r="Y525" s="6" t="s">
        <v>1627</v>
      </c>
      <c r="Z525" s="15"/>
      <c r="AA525" s="15" t="s">
        <v>1628</v>
      </c>
    </row>
    <row r="526" spans="1:27" ht="33" customHeight="1">
      <c r="A526" s="6" t="s">
        <v>4983</v>
      </c>
      <c r="B526" s="7">
        <v>1471</v>
      </c>
      <c r="C526" s="6" t="s">
        <v>4984</v>
      </c>
      <c r="D526" s="6" t="s">
        <v>4982</v>
      </c>
      <c r="E526" s="6" t="s">
        <v>1986</v>
      </c>
      <c r="F526" s="6" t="s">
        <v>1276</v>
      </c>
      <c r="G526" s="6" t="s">
        <v>1987</v>
      </c>
      <c r="H526" s="6"/>
      <c r="I526" s="14" t="s">
        <v>1642</v>
      </c>
      <c r="J526" s="15"/>
      <c r="K526" s="6" t="s">
        <v>1976</v>
      </c>
      <c r="L526" s="6"/>
      <c r="M526" s="6" t="s">
        <v>1643</v>
      </c>
      <c r="N526" s="6" t="s">
        <v>1644</v>
      </c>
      <c r="O526" s="7">
        <f>SUMIFS('05_상품별배치367'!$K$7:$K$373,'05_상품별배치367'!$E$7:$E$373,A526,'05_상품별배치367'!$H$7:$H$373,"본진")</f>
        <v>0</v>
      </c>
      <c r="P526" s="7">
        <f>SUMIFS('05_상품별배치367'!$K$7:$K$373,'05_상품별배치367'!$E$7:$E$373,A526,'05_상품별배치367'!$H$7:$H$373,"추가 진열")</f>
        <v>0</v>
      </c>
      <c r="Q526" s="7">
        <f>O526+P526</f>
        <v>0</v>
      </c>
      <c r="R526" s="7">
        <v>1</v>
      </c>
      <c r="S526" s="6" t="s">
        <v>1988</v>
      </c>
      <c r="T526" s="6" t="s">
        <v>1637</v>
      </c>
      <c r="U526" s="6"/>
      <c r="V526" s="16"/>
      <c r="W526" s="16"/>
      <c r="X526" s="16"/>
      <c r="Y526" s="6" t="s">
        <v>1627</v>
      </c>
      <c r="Z526" s="15"/>
      <c r="AA526" s="15" t="s">
        <v>1628</v>
      </c>
    </row>
    <row r="527" spans="1:27" ht="33" customHeight="1">
      <c r="A527" s="6" t="s">
        <v>4978</v>
      </c>
      <c r="B527" s="7">
        <v>1469</v>
      </c>
      <c r="C527" s="6" t="s">
        <v>4979</v>
      </c>
      <c r="D527" s="6" t="s">
        <v>4977</v>
      </c>
      <c r="E527" s="6" t="s">
        <v>2134</v>
      </c>
      <c r="F527" s="6" t="s">
        <v>1081</v>
      </c>
      <c r="G527" s="6" t="s">
        <v>290</v>
      </c>
      <c r="H527" s="6"/>
      <c r="I527" s="14" t="s">
        <v>1642</v>
      </c>
      <c r="J527" s="15"/>
      <c r="K527" s="6" t="s">
        <v>1976</v>
      </c>
      <c r="L527" s="6"/>
      <c r="M527" s="6" t="s">
        <v>1643</v>
      </c>
      <c r="N527" s="6" t="s">
        <v>1644</v>
      </c>
      <c r="O527" s="7">
        <f>SUMIFS('05_상품별배치367'!$K$7:$K$373,'05_상품별배치367'!$E$7:$E$373,A527,'05_상품별배치367'!$H$7:$H$373,"본진")</f>
        <v>0</v>
      </c>
      <c r="P527" s="7">
        <f>SUMIFS('05_상품별배치367'!$K$7:$K$373,'05_상품별배치367'!$E$7:$E$373,A527,'05_상품별배치367'!$H$7:$H$373,"추가 진열")</f>
        <v>0</v>
      </c>
      <c r="Q527" s="7">
        <f>O527+P527</f>
        <v>0</v>
      </c>
      <c r="R527" s="7">
        <v>1</v>
      </c>
      <c r="S527" s="6" t="s">
        <v>2135</v>
      </c>
      <c r="T527" s="6" t="s">
        <v>1637</v>
      </c>
      <c r="U527" s="6"/>
      <c r="V527" s="16"/>
      <c r="W527" s="16"/>
      <c r="X527" s="16"/>
      <c r="Y527" s="6" t="s">
        <v>1627</v>
      </c>
      <c r="Z527" s="15"/>
      <c r="AA527" s="15" t="s">
        <v>1628</v>
      </c>
    </row>
    <row r="528" spans="1:27" ht="33" customHeight="1">
      <c r="A528" s="8" t="s">
        <v>4975</v>
      </c>
      <c r="B528" s="9">
        <v>1468</v>
      </c>
      <c r="C528" s="8" t="s">
        <v>4976</v>
      </c>
      <c r="D528" s="8" t="s">
        <v>4977</v>
      </c>
      <c r="E528" s="8" t="s">
        <v>2134</v>
      </c>
      <c r="F528" s="8" t="s">
        <v>1263</v>
      </c>
      <c r="G528" s="8" t="s">
        <v>376</v>
      </c>
      <c r="H528" s="8"/>
      <c r="I528" s="14" t="s">
        <v>1642</v>
      </c>
      <c r="J528" s="15"/>
      <c r="K528" s="8" t="s">
        <v>1976</v>
      </c>
      <c r="L528" s="8"/>
      <c r="M528" s="6" t="s">
        <v>1643</v>
      </c>
      <c r="N528" s="6" t="s">
        <v>1644</v>
      </c>
      <c r="O528" s="7">
        <f>SUMIFS('05_상품별배치367'!$K$7:$K$373,'05_상품별배치367'!$E$7:$E$373,A528,'05_상품별배치367'!$H$7:$H$373,"본진")</f>
        <v>0</v>
      </c>
      <c r="P528" s="7">
        <f>SUMIFS('05_상품별배치367'!$K$7:$K$373,'05_상품별배치367'!$E$7:$E$373,A528,'05_상품별배치367'!$H$7:$H$373,"추가 진열")</f>
        <v>0</v>
      </c>
      <c r="Q528" s="7">
        <f>O528+P528</f>
        <v>0</v>
      </c>
      <c r="R528" s="7">
        <v>1</v>
      </c>
      <c r="S528" s="6" t="s">
        <v>3016</v>
      </c>
      <c r="T528" s="6" t="s">
        <v>1637</v>
      </c>
      <c r="U528" s="6"/>
      <c r="V528" s="16"/>
      <c r="W528" s="16"/>
      <c r="X528" s="16"/>
      <c r="Y528" s="6" t="s">
        <v>1627</v>
      </c>
      <c r="Z528" s="15"/>
      <c r="AA528" s="15" t="s">
        <v>1628</v>
      </c>
    </row>
    <row r="529" spans="1:27" ht="33" customHeight="1">
      <c r="A529" s="6" t="s">
        <v>4973</v>
      </c>
      <c r="B529" s="7">
        <v>1467</v>
      </c>
      <c r="C529" s="6" t="s">
        <v>4974</v>
      </c>
      <c r="D529" s="6" t="s">
        <v>1851</v>
      </c>
      <c r="E529" s="6" t="s">
        <v>2134</v>
      </c>
      <c r="F529" s="6" t="s">
        <v>156</v>
      </c>
      <c r="G529" s="6" t="s">
        <v>3239</v>
      </c>
      <c r="H529" s="6"/>
      <c r="I529" s="14" t="s">
        <v>1642</v>
      </c>
      <c r="J529" s="15"/>
      <c r="K529" s="6" t="s">
        <v>1976</v>
      </c>
      <c r="L529" s="6"/>
      <c r="M529" s="6" t="s">
        <v>1643</v>
      </c>
      <c r="N529" s="6" t="s">
        <v>1644</v>
      </c>
      <c r="O529" s="7">
        <f>SUMIFS('05_상품별배치367'!$K$7:$K$373,'05_상품별배치367'!$E$7:$E$373,A529,'05_상품별배치367'!$H$7:$H$373,"본진")</f>
        <v>0</v>
      </c>
      <c r="P529" s="7">
        <f>SUMIFS('05_상품별배치367'!$K$7:$K$373,'05_상품별배치367'!$E$7:$E$373,A529,'05_상품별배치367'!$H$7:$H$373,"추가 진열")</f>
        <v>0</v>
      </c>
      <c r="Q529" s="7">
        <f>O529+P529</f>
        <v>0</v>
      </c>
      <c r="R529" s="7">
        <v>1</v>
      </c>
      <c r="S529" s="6" t="s">
        <v>3240</v>
      </c>
      <c r="T529" s="6" t="s">
        <v>1637</v>
      </c>
      <c r="U529" s="6"/>
      <c r="V529" s="16"/>
      <c r="W529" s="16"/>
      <c r="X529" s="16"/>
      <c r="Y529" s="6" t="s">
        <v>1627</v>
      </c>
      <c r="Z529" s="15"/>
      <c r="AA529" s="15" t="s">
        <v>1628</v>
      </c>
    </row>
    <row r="530" spans="1:27" ht="33" customHeight="1">
      <c r="A530" s="8" t="s">
        <v>5699</v>
      </c>
      <c r="B530" s="9">
        <v>1806</v>
      </c>
      <c r="C530" s="8" t="s">
        <v>5700</v>
      </c>
      <c r="D530" s="8" t="s">
        <v>2133</v>
      </c>
      <c r="E530" s="8" t="s">
        <v>2134</v>
      </c>
      <c r="F530" s="8" t="s">
        <v>156</v>
      </c>
      <c r="G530" s="8" t="s">
        <v>3239</v>
      </c>
      <c r="H530" s="8"/>
      <c r="I530" s="14" t="s">
        <v>1642</v>
      </c>
      <c r="J530" s="15"/>
      <c r="K530" s="8" t="s">
        <v>1976</v>
      </c>
      <c r="L530" s="8"/>
      <c r="M530" s="6" t="s">
        <v>1643</v>
      </c>
      <c r="N530" s="6" t="s">
        <v>1644</v>
      </c>
      <c r="O530" s="7">
        <f>SUMIFS('05_상품별배치367'!$K$7:$K$373,'05_상품별배치367'!$E$7:$E$373,A530,'05_상품별배치367'!$H$7:$H$373,"본진")</f>
        <v>0</v>
      </c>
      <c r="P530" s="7">
        <f>SUMIFS('05_상품별배치367'!$K$7:$K$373,'05_상품별배치367'!$E$7:$E$373,A530,'05_상품별배치367'!$H$7:$H$373,"추가 진열")</f>
        <v>0</v>
      </c>
      <c r="Q530" s="7">
        <f>O530+P530</f>
        <v>0</v>
      </c>
      <c r="R530" s="7">
        <v>1</v>
      </c>
      <c r="S530" s="6" t="s">
        <v>3240</v>
      </c>
      <c r="T530" s="6" t="s">
        <v>1637</v>
      </c>
      <c r="U530" s="6"/>
      <c r="V530" s="16"/>
      <c r="W530" s="16"/>
      <c r="X530" s="16"/>
      <c r="Y530" s="6" t="s">
        <v>1627</v>
      </c>
      <c r="Z530" s="15"/>
      <c r="AA530" s="15" t="s">
        <v>1628</v>
      </c>
    </row>
    <row r="531" spans="1:27" ht="33" customHeight="1">
      <c r="A531" s="8" t="s">
        <v>5712</v>
      </c>
      <c r="B531" s="9">
        <v>1812</v>
      </c>
      <c r="C531" s="8" t="s">
        <v>5713</v>
      </c>
      <c r="D531" s="8" t="s">
        <v>5711</v>
      </c>
      <c r="E531" s="8" t="s">
        <v>2134</v>
      </c>
      <c r="F531" s="8" t="s">
        <v>1081</v>
      </c>
      <c r="G531" s="8" t="s">
        <v>290</v>
      </c>
      <c r="H531" s="8"/>
      <c r="I531" s="14" t="s">
        <v>1642</v>
      </c>
      <c r="J531" s="15"/>
      <c r="K531" s="8" t="s">
        <v>1976</v>
      </c>
      <c r="L531" s="8"/>
      <c r="M531" s="6" t="s">
        <v>1643</v>
      </c>
      <c r="N531" s="6" t="s">
        <v>1644</v>
      </c>
      <c r="O531" s="7">
        <f>SUMIFS('05_상품별배치367'!$K$7:$K$373,'05_상품별배치367'!$E$7:$E$373,A531,'05_상품별배치367'!$H$7:$H$373,"본진")</f>
        <v>0</v>
      </c>
      <c r="P531" s="7">
        <f>SUMIFS('05_상품별배치367'!$K$7:$K$373,'05_상품별배치367'!$E$7:$E$373,A531,'05_상품별배치367'!$H$7:$H$373,"추가 진열")</f>
        <v>0</v>
      </c>
      <c r="Q531" s="7">
        <f>O531+P531</f>
        <v>0</v>
      </c>
      <c r="R531" s="7">
        <v>1</v>
      </c>
      <c r="S531" s="6" t="s">
        <v>2135</v>
      </c>
      <c r="T531" s="6" t="s">
        <v>1637</v>
      </c>
      <c r="U531" s="6"/>
      <c r="V531" s="16"/>
      <c r="W531" s="16"/>
      <c r="X531" s="16"/>
      <c r="Y531" s="6" t="s">
        <v>1655</v>
      </c>
      <c r="Z531" s="15"/>
      <c r="AA531" s="15" t="s">
        <v>1628</v>
      </c>
    </row>
    <row r="532" spans="1:27" ht="33" customHeight="1">
      <c r="A532" s="6" t="s">
        <v>5701</v>
      </c>
      <c r="B532" s="7">
        <v>1807</v>
      </c>
      <c r="C532" s="6" t="s">
        <v>5702</v>
      </c>
      <c r="D532" s="6" t="s">
        <v>2133</v>
      </c>
      <c r="E532" s="6" t="s">
        <v>2134</v>
      </c>
      <c r="F532" s="6" t="s">
        <v>842</v>
      </c>
      <c r="G532" s="6" t="s">
        <v>164</v>
      </c>
      <c r="H532" s="6"/>
      <c r="I532" s="14" t="s">
        <v>1642</v>
      </c>
      <c r="J532" s="15"/>
      <c r="K532" s="6" t="s">
        <v>1976</v>
      </c>
      <c r="L532" s="6"/>
      <c r="M532" s="6" t="s">
        <v>1643</v>
      </c>
      <c r="N532" s="6" t="s">
        <v>1644</v>
      </c>
      <c r="O532" s="7">
        <f>SUMIFS('05_상품별배치367'!$K$7:$K$373,'05_상품별배치367'!$E$7:$E$373,A532,'05_상품별배치367'!$H$7:$H$373,"본진")</f>
        <v>0</v>
      </c>
      <c r="P532" s="7">
        <f>SUMIFS('05_상품별배치367'!$K$7:$K$373,'05_상품별배치367'!$E$7:$E$373,A532,'05_상품별배치367'!$H$7:$H$373,"추가 진열")</f>
        <v>0</v>
      </c>
      <c r="Q532" s="7">
        <f>O532+P532</f>
        <v>0</v>
      </c>
      <c r="R532" s="7">
        <v>1</v>
      </c>
      <c r="S532" s="6" t="s">
        <v>3009</v>
      </c>
      <c r="T532" s="6" t="s">
        <v>1637</v>
      </c>
      <c r="U532" s="6"/>
      <c r="V532" s="16"/>
      <c r="W532" s="16"/>
      <c r="X532" s="16"/>
      <c r="Y532" s="6" t="s">
        <v>1627</v>
      </c>
      <c r="Z532" s="15"/>
      <c r="AA532" s="15" t="s">
        <v>1628</v>
      </c>
    </row>
    <row r="533" spans="1:27" ht="33" customHeight="1">
      <c r="A533" s="6" t="s">
        <v>5709</v>
      </c>
      <c r="B533" s="7">
        <v>1811</v>
      </c>
      <c r="C533" s="6" t="s">
        <v>5710</v>
      </c>
      <c r="D533" s="6" t="s">
        <v>5711</v>
      </c>
      <c r="E533" s="6" t="s">
        <v>2134</v>
      </c>
      <c r="F533" s="6" t="s">
        <v>161</v>
      </c>
      <c r="G533" s="6" t="s">
        <v>395</v>
      </c>
      <c r="H533" s="6"/>
      <c r="I533" s="14" t="s">
        <v>1642</v>
      </c>
      <c r="J533" s="15"/>
      <c r="K533" s="6" t="s">
        <v>1976</v>
      </c>
      <c r="L533" s="6"/>
      <c r="M533" s="6" t="s">
        <v>1643</v>
      </c>
      <c r="N533" s="6" t="s">
        <v>1644</v>
      </c>
      <c r="O533" s="7">
        <f>SUMIFS('05_상품별배치367'!$K$7:$K$373,'05_상품별배치367'!$E$7:$E$373,A533,'05_상품별배치367'!$H$7:$H$373,"본진")</f>
        <v>0</v>
      </c>
      <c r="P533" s="7">
        <f>SUMIFS('05_상품별배치367'!$K$7:$K$373,'05_상품별배치367'!$E$7:$E$373,A533,'05_상품별배치367'!$H$7:$H$373,"추가 진열")</f>
        <v>0</v>
      </c>
      <c r="Q533" s="7">
        <f>O533+P533</f>
        <v>0</v>
      </c>
      <c r="R533" s="7">
        <v>1</v>
      </c>
      <c r="S533" s="6" t="s">
        <v>3070</v>
      </c>
      <c r="T533" s="6" t="s">
        <v>1637</v>
      </c>
      <c r="U533" s="6"/>
      <c r="V533" s="16"/>
      <c r="W533" s="16"/>
      <c r="X533" s="16"/>
      <c r="Y533" s="6" t="s">
        <v>1655</v>
      </c>
      <c r="Z533" s="15"/>
      <c r="AA533" s="15" t="s">
        <v>1628</v>
      </c>
    </row>
    <row r="534" spans="1:27" ht="33" customHeight="1">
      <c r="A534" s="6" t="s">
        <v>5705</v>
      </c>
      <c r="B534" s="7">
        <v>1809</v>
      </c>
      <c r="C534" s="6" t="s">
        <v>5706</v>
      </c>
      <c r="D534" s="6" t="s">
        <v>3055</v>
      </c>
      <c r="E534" s="6" t="s">
        <v>2134</v>
      </c>
      <c r="F534" s="6" t="s">
        <v>575</v>
      </c>
      <c r="G534" s="6" t="s">
        <v>38</v>
      </c>
      <c r="H534" s="6"/>
      <c r="I534" s="14" t="s">
        <v>1642</v>
      </c>
      <c r="J534" s="15"/>
      <c r="K534" s="6" t="s">
        <v>1976</v>
      </c>
      <c r="L534" s="6"/>
      <c r="M534" s="6" t="s">
        <v>1643</v>
      </c>
      <c r="N534" s="6" t="s">
        <v>1644</v>
      </c>
      <c r="O534" s="7">
        <f>SUMIFS('05_상품별배치367'!$K$7:$K$373,'05_상품별배치367'!$E$7:$E$373,A534,'05_상품별배치367'!$H$7:$H$373,"본진")</f>
        <v>0</v>
      </c>
      <c r="P534" s="7">
        <f>SUMIFS('05_상품별배치367'!$K$7:$K$373,'05_상품별배치367'!$E$7:$E$373,A534,'05_상품별배치367'!$H$7:$H$373,"추가 진열")</f>
        <v>0</v>
      </c>
      <c r="Q534" s="7">
        <f>O534+P534</f>
        <v>0</v>
      </c>
      <c r="R534" s="7">
        <v>1</v>
      </c>
      <c r="S534" s="6" t="s">
        <v>3615</v>
      </c>
      <c r="T534" s="6" t="s">
        <v>1637</v>
      </c>
      <c r="U534" s="6"/>
      <c r="V534" s="16"/>
      <c r="W534" s="16"/>
      <c r="X534" s="16"/>
      <c r="Y534" s="6" t="s">
        <v>1627</v>
      </c>
      <c r="Z534" s="15"/>
      <c r="AA534" s="15" t="s">
        <v>1628</v>
      </c>
    </row>
    <row r="535" spans="1:27" ht="33" customHeight="1">
      <c r="A535" s="8" t="s">
        <v>5703</v>
      </c>
      <c r="B535" s="9">
        <v>1808</v>
      </c>
      <c r="C535" s="8" t="s">
        <v>5704</v>
      </c>
      <c r="D535" s="8" t="s">
        <v>2133</v>
      </c>
      <c r="E535" s="8" t="s">
        <v>2134</v>
      </c>
      <c r="F535" s="8" t="s">
        <v>163</v>
      </c>
      <c r="G535" s="8" t="s">
        <v>414</v>
      </c>
      <c r="H535" s="8"/>
      <c r="I535" s="14" t="s">
        <v>1642</v>
      </c>
      <c r="J535" s="15"/>
      <c r="K535" s="8" t="s">
        <v>1976</v>
      </c>
      <c r="L535" s="8"/>
      <c r="M535" s="6" t="s">
        <v>1643</v>
      </c>
      <c r="N535" s="6" t="s">
        <v>1644</v>
      </c>
      <c r="O535" s="7">
        <f>SUMIFS('05_상품별배치367'!$K$7:$K$373,'05_상품별배치367'!$E$7:$E$373,A535,'05_상품별배치367'!$H$7:$H$373,"본진")</f>
        <v>0</v>
      </c>
      <c r="P535" s="7">
        <f>SUMIFS('05_상품별배치367'!$K$7:$K$373,'05_상품별배치367'!$E$7:$E$373,A535,'05_상품별배치367'!$H$7:$H$373,"추가 진열")</f>
        <v>0</v>
      </c>
      <c r="Q535" s="7">
        <f>O535+P535</f>
        <v>0</v>
      </c>
      <c r="R535" s="7">
        <v>1</v>
      </c>
      <c r="S535" s="6" t="s">
        <v>3048</v>
      </c>
      <c r="T535" s="6" t="s">
        <v>1637</v>
      </c>
      <c r="U535" s="6"/>
      <c r="V535" s="16"/>
      <c r="W535" s="16"/>
      <c r="X535" s="16"/>
      <c r="Y535" s="6" t="s">
        <v>1627</v>
      </c>
      <c r="Z535" s="15"/>
      <c r="AA535" s="15" t="s">
        <v>1628</v>
      </c>
    </row>
    <row r="536" spans="1:27" ht="33" customHeight="1">
      <c r="A536" s="8" t="s">
        <v>5707</v>
      </c>
      <c r="B536" s="9">
        <v>1810</v>
      </c>
      <c r="C536" s="8" t="s">
        <v>5708</v>
      </c>
      <c r="D536" s="8" t="s">
        <v>3055</v>
      </c>
      <c r="E536" s="8" t="s">
        <v>2134</v>
      </c>
      <c r="F536" s="8" t="s">
        <v>163</v>
      </c>
      <c r="G536" s="8" t="s">
        <v>414</v>
      </c>
      <c r="H536" s="8"/>
      <c r="I536" s="14" t="s">
        <v>1642</v>
      </c>
      <c r="J536" s="15"/>
      <c r="K536" s="8" t="s">
        <v>1976</v>
      </c>
      <c r="L536" s="8"/>
      <c r="M536" s="6" t="s">
        <v>1643</v>
      </c>
      <c r="N536" s="6" t="s">
        <v>1644</v>
      </c>
      <c r="O536" s="7">
        <f>SUMIFS('05_상품별배치367'!$K$7:$K$373,'05_상품별배치367'!$E$7:$E$373,A536,'05_상품별배치367'!$H$7:$H$373,"본진")</f>
        <v>0</v>
      </c>
      <c r="P536" s="7">
        <f>SUMIFS('05_상품별배치367'!$K$7:$K$373,'05_상품별배치367'!$E$7:$E$373,A536,'05_상품별배치367'!$H$7:$H$373,"추가 진열")</f>
        <v>0</v>
      </c>
      <c r="Q536" s="7">
        <f>O536+P536</f>
        <v>0</v>
      </c>
      <c r="R536" s="7">
        <v>1</v>
      </c>
      <c r="S536" s="6" t="s">
        <v>3048</v>
      </c>
      <c r="T536" s="6" t="s">
        <v>1637</v>
      </c>
      <c r="U536" s="6"/>
      <c r="V536" s="16"/>
      <c r="W536" s="16"/>
      <c r="X536" s="16"/>
      <c r="Y536" s="6" t="s">
        <v>1627</v>
      </c>
      <c r="Z536" s="15"/>
      <c r="AA536" s="15" t="s">
        <v>1628</v>
      </c>
    </row>
    <row r="537" spans="1:27" ht="33" customHeight="1">
      <c r="A537" s="8" t="s">
        <v>5815</v>
      </c>
      <c r="B537" s="9">
        <v>1864</v>
      </c>
      <c r="C537" s="8" t="s">
        <v>5816</v>
      </c>
      <c r="D537" s="8" t="s">
        <v>2856</v>
      </c>
      <c r="E537" s="8" t="s">
        <v>1632</v>
      </c>
      <c r="F537" s="8" t="s">
        <v>1410</v>
      </c>
      <c r="G537" s="8" t="s">
        <v>447</v>
      </c>
      <c r="H537" s="8"/>
      <c r="I537" s="14" t="s">
        <v>1642</v>
      </c>
      <c r="J537" s="15"/>
      <c r="K537" s="8" t="s">
        <v>1634</v>
      </c>
      <c r="L537" s="8" t="s">
        <v>3828</v>
      </c>
      <c r="M537" s="6" t="s">
        <v>1643</v>
      </c>
      <c r="N537" s="6" t="s">
        <v>1624</v>
      </c>
      <c r="O537" s="7">
        <f>SUMIFS('05_상품별배치367'!$K$7:$K$373,'05_상품별배치367'!$E$7:$E$373,A537,'05_상품별배치367'!$H$7:$H$373,"본진")</f>
        <v>0</v>
      </c>
      <c r="P537" s="7">
        <f>SUMIFS('05_상품별배치367'!$K$7:$K$373,'05_상품별배치367'!$E$7:$E$373,A537,'05_상품별배치367'!$H$7:$H$373,"추가 진열")</f>
        <v>0</v>
      </c>
      <c r="Q537" s="7">
        <f>O537+P537</f>
        <v>0</v>
      </c>
      <c r="R537" s="7">
        <v>1</v>
      </c>
      <c r="S537" s="6" t="s">
        <v>5817</v>
      </c>
      <c r="T537" s="6" t="s">
        <v>1637</v>
      </c>
      <c r="U537" s="6"/>
      <c r="V537" s="16"/>
      <c r="W537" s="16"/>
      <c r="X537" s="16"/>
      <c r="Y537" s="6" t="s">
        <v>1627</v>
      </c>
      <c r="Z537" s="15"/>
      <c r="AA537" s="15" t="s">
        <v>1628</v>
      </c>
    </row>
    <row r="538" spans="1:27" ht="33" customHeight="1">
      <c r="A538" s="8" t="s">
        <v>5827</v>
      </c>
      <c r="B538" s="9">
        <v>1870</v>
      </c>
      <c r="C538" s="8" t="s">
        <v>5828</v>
      </c>
      <c r="D538" s="8" t="s">
        <v>3042</v>
      </c>
      <c r="E538" s="8" t="s">
        <v>1632</v>
      </c>
      <c r="F538" s="8" t="s">
        <v>1410</v>
      </c>
      <c r="G538" s="8" t="s">
        <v>447</v>
      </c>
      <c r="H538" s="8" t="s">
        <v>1409</v>
      </c>
      <c r="I538" s="14" t="s">
        <v>1633</v>
      </c>
      <c r="J538" s="15"/>
      <c r="K538" s="8" t="s">
        <v>1634</v>
      </c>
      <c r="L538" s="8" t="s">
        <v>3828</v>
      </c>
      <c r="M538" s="6" t="s">
        <v>1635</v>
      </c>
      <c r="N538" s="6" t="s">
        <v>1624</v>
      </c>
      <c r="O538" s="7">
        <f>SUMIFS('05_상품별배치367'!$K$7:$K$373,'05_상품별배치367'!$E$7:$E$373,A538,'05_상품별배치367'!$H$7:$H$373,"본진")</f>
        <v>1</v>
      </c>
      <c r="P538" s="7">
        <f>SUMIFS('05_상품별배치367'!$K$7:$K$373,'05_상품별배치367'!$E$7:$E$373,A538,'05_상품별배치367'!$H$7:$H$373,"추가 진열")</f>
        <v>0</v>
      </c>
      <c r="Q538" s="7">
        <f>O538+P538</f>
        <v>1</v>
      </c>
      <c r="R538" s="7">
        <v>1</v>
      </c>
      <c r="S538" s="6" t="s">
        <v>1636</v>
      </c>
      <c r="T538" s="6" t="s">
        <v>1637</v>
      </c>
      <c r="U538" s="6"/>
      <c r="V538" s="16"/>
      <c r="W538" s="16"/>
      <c r="X538" s="16"/>
      <c r="Y538" s="6" t="s">
        <v>1627</v>
      </c>
      <c r="Z538" s="15"/>
      <c r="AA538" s="15" t="s">
        <v>1628</v>
      </c>
    </row>
    <row r="539" spans="1:27" ht="33" customHeight="1">
      <c r="A539" s="6" t="s">
        <v>6595</v>
      </c>
      <c r="B539" s="7">
        <v>2211</v>
      </c>
      <c r="C539" s="6" t="s">
        <v>6596</v>
      </c>
      <c r="D539" s="6" t="s">
        <v>1846</v>
      </c>
      <c r="E539" s="6" t="s">
        <v>1641</v>
      </c>
      <c r="F539" s="6" t="s">
        <v>1157</v>
      </c>
      <c r="G539" s="6" t="s">
        <v>323</v>
      </c>
      <c r="H539" s="6"/>
      <c r="I539" s="14" t="s">
        <v>1642</v>
      </c>
      <c r="J539" s="15"/>
      <c r="K539" s="6" t="s">
        <v>1634</v>
      </c>
      <c r="L539" s="6"/>
      <c r="M539" s="6" t="s">
        <v>1643</v>
      </c>
      <c r="N539" s="6" t="s">
        <v>1624</v>
      </c>
      <c r="O539" s="7">
        <f>SUMIFS('05_상품별배치367'!$K$7:$K$373,'05_상품별배치367'!$E$7:$E$373,A539,'05_상품별배치367'!$H$7:$H$373,"본진")</f>
        <v>0</v>
      </c>
      <c r="P539" s="7">
        <f>SUMIFS('05_상품별배치367'!$K$7:$K$373,'05_상품별배치367'!$E$7:$E$373,A539,'05_상품별배치367'!$H$7:$H$373,"추가 진열")</f>
        <v>0</v>
      </c>
      <c r="Q539" s="7">
        <f>O539+P539</f>
        <v>0</v>
      </c>
      <c r="R539" s="7">
        <v>1</v>
      </c>
      <c r="S539" s="6" t="s">
        <v>6597</v>
      </c>
      <c r="T539" s="6" t="s">
        <v>1637</v>
      </c>
      <c r="U539" s="6"/>
      <c r="V539" s="16"/>
      <c r="W539" s="16"/>
      <c r="X539" s="16"/>
      <c r="Y539" s="6" t="s">
        <v>1627</v>
      </c>
      <c r="Z539" s="15"/>
      <c r="AA539" s="15" t="s">
        <v>1628</v>
      </c>
    </row>
    <row r="540" spans="1:27" ht="33" customHeight="1">
      <c r="A540" s="6" t="s">
        <v>6060</v>
      </c>
      <c r="B540" s="7">
        <v>1977</v>
      </c>
      <c r="C540" s="6" t="s">
        <v>6061</v>
      </c>
      <c r="D540" s="6" t="s">
        <v>2259</v>
      </c>
      <c r="E540" s="6" t="s">
        <v>1641</v>
      </c>
      <c r="F540" s="6" t="s">
        <v>1134</v>
      </c>
      <c r="G540" s="6" t="s">
        <v>315</v>
      </c>
      <c r="H540" s="6"/>
      <c r="I540" s="14" t="s">
        <v>1642</v>
      </c>
      <c r="J540" s="15"/>
      <c r="K540" s="6" t="s">
        <v>1634</v>
      </c>
      <c r="L540" s="6" t="s">
        <v>3828</v>
      </c>
      <c r="M540" s="6" t="s">
        <v>1643</v>
      </c>
      <c r="N540" s="6" t="s">
        <v>1624</v>
      </c>
      <c r="O540" s="7">
        <f>SUMIFS('05_상품별배치367'!$K$7:$K$373,'05_상품별배치367'!$E$7:$E$373,A540,'05_상품별배치367'!$H$7:$H$373,"본진")</f>
        <v>0</v>
      </c>
      <c r="P540" s="7">
        <f>SUMIFS('05_상품별배치367'!$K$7:$K$373,'05_상품별배치367'!$E$7:$E$373,A540,'05_상품별배치367'!$H$7:$H$373,"추가 진열")</f>
        <v>0</v>
      </c>
      <c r="Q540" s="7">
        <f>O540+P540</f>
        <v>0</v>
      </c>
      <c r="R540" s="7">
        <v>1</v>
      </c>
      <c r="S540" s="6" t="s">
        <v>6055</v>
      </c>
      <c r="T540" s="6" t="s">
        <v>1637</v>
      </c>
      <c r="U540" s="6"/>
      <c r="V540" s="16"/>
      <c r="W540" s="16"/>
      <c r="X540" s="16"/>
      <c r="Y540" s="6" t="s">
        <v>1627</v>
      </c>
      <c r="Z540" s="15"/>
      <c r="AA540" s="15" t="s">
        <v>1628</v>
      </c>
    </row>
    <row r="541" spans="1:27" ht="33" customHeight="1">
      <c r="A541" s="8" t="s">
        <v>6067</v>
      </c>
      <c r="B541" s="9">
        <v>1980</v>
      </c>
      <c r="C541" s="8" t="s">
        <v>6068</v>
      </c>
      <c r="D541" s="8" t="s">
        <v>6069</v>
      </c>
      <c r="E541" s="8" t="s">
        <v>1641</v>
      </c>
      <c r="F541" s="8" t="s">
        <v>1134</v>
      </c>
      <c r="G541" s="8" t="s">
        <v>315</v>
      </c>
      <c r="H541" s="8"/>
      <c r="I541" s="14" t="s">
        <v>1642</v>
      </c>
      <c r="J541" s="15"/>
      <c r="K541" s="8" t="s">
        <v>1634</v>
      </c>
      <c r="L541" s="8" t="s">
        <v>3828</v>
      </c>
      <c r="M541" s="6" t="s">
        <v>1643</v>
      </c>
      <c r="N541" s="6" t="s">
        <v>1624</v>
      </c>
      <c r="O541" s="7">
        <f>SUMIFS('05_상품별배치367'!$K$7:$K$373,'05_상품별배치367'!$E$7:$E$373,A541,'05_상품별배치367'!$H$7:$H$373,"본진")</f>
        <v>0</v>
      </c>
      <c r="P541" s="7">
        <f>SUMIFS('05_상품별배치367'!$K$7:$K$373,'05_상품별배치367'!$E$7:$E$373,A541,'05_상품별배치367'!$H$7:$H$373,"추가 진열")</f>
        <v>0</v>
      </c>
      <c r="Q541" s="7">
        <f>O541+P541</f>
        <v>0</v>
      </c>
      <c r="R541" s="7">
        <v>1</v>
      </c>
      <c r="S541" s="6" t="s">
        <v>6055</v>
      </c>
      <c r="T541" s="6" t="s">
        <v>1637</v>
      </c>
      <c r="U541" s="6"/>
      <c r="V541" s="16"/>
      <c r="W541" s="16"/>
      <c r="X541" s="16"/>
      <c r="Y541" s="6" t="s">
        <v>1627</v>
      </c>
      <c r="Z541" s="15"/>
      <c r="AA541" s="15" t="s">
        <v>1628</v>
      </c>
    </row>
    <row r="542" spans="1:27" ht="33" customHeight="1">
      <c r="A542" s="6" t="s">
        <v>4328</v>
      </c>
      <c r="B542" s="7">
        <v>1153</v>
      </c>
      <c r="C542" s="6" t="s">
        <v>4329</v>
      </c>
      <c r="D542" s="6" t="s">
        <v>1711</v>
      </c>
      <c r="E542" s="6" t="s">
        <v>2134</v>
      </c>
      <c r="F542" s="6" t="s">
        <v>2933</v>
      </c>
      <c r="G542" s="6" t="s">
        <v>1668</v>
      </c>
      <c r="H542" s="6"/>
      <c r="I542" s="14" t="s">
        <v>1807</v>
      </c>
      <c r="J542" s="15"/>
      <c r="K542" s="6" t="s">
        <v>1976</v>
      </c>
      <c r="L542" s="6" t="s">
        <v>2032</v>
      </c>
      <c r="M542" s="6" t="s">
        <v>1809</v>
      </c>
      <c r="N542" s="6" t="s">
        <v>1644</v>
      </c>
      <c r="O542" s="7">
        <f>SUMIFS('05_상품별배치367'!$K$7:$K$373,'05_상품별배치367'!$E$7:$E$373,A542,'05_상품별배치367'!$H$7:$H$373,"본진")</f>
        <v>0</v>
      </c>
      <c r="P542" s="7">
        <f>SUMIFS('05_상품별배치367'!$K$7:$K$373,'05_상품별배치367'!$E$7:$E$373,A542,'05_상품별배치367'!$H$7:$H$373,"추가 진열")</f>
        <v>0</v>
      </c>
      <c r="Q542" s="7">
        <f>O542+P542</f>
        <v>0</v>
      </c>
      <c r="R542" s="7">
        <v>0</v>
      </c>
      <c r="S542" s="6" t="s">
        <v>1810</v>
      </c>
      <c r="T542" s="6" t="s">
        <v>1637</v>
      </c>
      <c r="U542" s="6"/>
      <c r="V542" s="16"/>
      <c r="W542" s="16"/>
      <c r="X542" s="16"/>
      <c r="Y542" s="6" t="s">
        <v>1627</v>
      </c>
      <c r="Z542" s="15"/>
      <c r="AA542" s="15" t="s">
        <v>1628</v>
      </c>
    </row>
    <row r="543" spans="1:27" ht="33" customHeight="1">
      <c r="A543" s="8" t="s">
        <v>4326</v>
      </c>
      <c r="B543" s="9">
        <v>1152</v>
      </c>
      <c r="C543" s="8" t="s">
        <v>4327</v>
      </c>
      <c r="D543" s="8" t="s">
        <v>1711</v>
      </c>
      <c r="E543" s="8" t="s">
        <v>2134</v>
      </c>
      <c r="F543" s="8" t="s">
        <v>2933</v>
      </c>
      <c r="G543" s="8" t="s">
        <v>1668</v>
      </c>
      <c r="H543" s="8"/>
      <c r="I543" s="14" t="s">
        <v>1807</v>
      </c>
      <c r="J543" s="15"/>
      <c r="K543" s="8" t="s">
        <v>1976</v>
      </c>
      <c r="L543" s="8" t="s">
        <v>2032</v>
      </c>
      <c r="M543" s="6" t="s">
        <v>1809</v>
      </c>
      <c r="N543" s="6" t="s">
        <v>1644</v>
      </c>
      <c r="O543" s="7">
        <f>SUMIFS('05_상품별배치367'!$K$7:$K$373,'05_상품별배치367'!$E$7:$E$373,A543,'05_상품별배치367'!$H$7:$H$373,"본진")</f>
        <v>0</v>
      </c>
      <c r="P543" s="7">
        <f>SUMIFS('05_상품별배치367'!$K$7:$K$373,'05_상품별배치367'!$E$7:$E$373,A543,'05_상품별배치367'!$H$7:$H$373,"추가 진열")</f>
        <v>0</v>
      </c>
      <c r="Q543" s="7">
        <f>O543+P543</f>
        <v>0</v>
      </c>
      <c r="R543" s="7">
        <v>0</v>
      </c>
      <c r="S543" s="6" t="s">
        <v>1810</v>
      </c>
      <c r="T543" s="6" t="s">
        <v>1637</v>
      </c>
      <c r="U543" s="6"/>
      <c r="V543" s="16"/>
      <c r="W543" s="16"/>
      <c r="X543" s="16"/>
      <c r="Y543" s="6" t="s">
        <v>1627</v>
      </c>
      <c r="Z543" s="15"/>
      <c r="AA543" s="15" t="s">
        <v>1628</v>
      </c>
    </row>
    <row r="544" spans="1:27" ht="33" customHeight="1">
      <c r="A544" s="8" t="s">
        <v>4313</v>
      </c>
      <c r="B544" s="9">
        <v>1146</v>
      </c>
      <c r="C544" s="8" t="s">
        <v>4314</v>
      </c>
      <c r="D544" s="8" t="s">
        <v>3600</v>
      </c>
      <c r="E544" s="8" t="s">
        <v>1814</v>
      </c>
      <c r="F544" s="8" t="s">
        <v>514</v>
      </c>
      <c r="G544" s="8" t="s">
        <v>423</v>
      </c>
      <c r="H544" s="8"/>
      <c r="I544" s="14" t="s">
        <v>1642</v>
      </c>
      <c r="J544" s="15"/>
      <c r="K544" s="8" t="s">
        <v>1976</v>
      </c>
      <c r="L544" s="8"/>
      <c r="M544" s="6" t="s">
        <v>1643</v>
      </c>
      <c r="N544" s="6" t="s">
        <v>1644</v>
      </c>
      <c r="O544" s="7">
        <f>SUMIFS('05_상품별배치367'!$K$7:$K$373,'05_상품별배치367'!$E$7:$E$373,A544,'05_상품별배치367'!$H$7:$H$373,"본진")</f>
        <v>0</v>
      </c>
      <c r="P544" s="7">
        <f>SUMIFS('05_상품별배치367'!$K$7:$K$373,'05_상품별배치367'!$E$7:$E$373,A544,'05_상품별배치367'!$H$7:$H$373,"추가 진열")</f>
        <v>0</v>
      </c>
      <c r="Q544" s="7">
        <f>O544+P544</f>
        <v>0</v>
      </c>
      <c r="R544" s="7">
        <v>1</v>
      </c>
      <c r="S544" s="6" t="s">
        <v>1991</v>
      </c>
      <c r="T544" s="6" t="s">
        <v>1637</v>
      </c>
      <c r="U544" s="6"/>
      <c r="V544" s="16"/>
      <c r="W544" s="16"/>
      <c r="X544" s="16"/>
      <c r="Y544" s="6" t="s">
        <v>1627</v>
      </c>
      <c r="Z544" s="15"/>
      <c r="AA544" s="15" t="s">
        <v>1628</v>
      </c>
    </row>
    <row r="545" spans="1:27" ht="33" customHeight="1">
      <c r="A545" s="6" t="s">
        <v>4311</v>
      </c>
      <c r="B545" s="7">
        <v>1145</v>
      </c>
      <c r="C545" s="6" t="s">
        <v>4312</v>
      </c>
      <c r="D545" s="6" t="s">
        <v>1631</v>
      </c>
      <c r="E545" s="6" t="s">
        <v>2134</v>
      </c>
      <c r="F545" s="6" t="s">
        <v>575</v>
      </c>
      <c r="G545" s="6" t="s">
        <v>38</v>
      </c>
      <c r="H545" s="6"/>
      <c r="I545" s="14" t="s">
        <v>1642</v>
      </c>
      <c r="J545" s="15"/>
      <c r="K545" s="6" t="s">
        <v>1976</v>
      </c>
      <c r="L545" s="6"/>
      <c r="M545" s="6" t="s">
        <v>1643</v>
      </c>
      <c r="N545" s="6" t="s">
        <v>1644</v>
      </c>
      <c r="O545" s="7">
        <f>SUMIFS('05_상품별배치367'!$K$7:$K$373,'05_상품별배치367'!$E$7:$E$373,A545,'05_상품별배치367'!$H$7:$H$373,"본진")</f>
        <v>0</v>
      </c>
      <c r="P545" s="7">
        <f>SUMIFS('05_상품별배치367'!$K$7:$K$373,'05_상품별배치367'!$E$7:$E$373,A545,'05_상품별배치367'!$H$7:$H$373,"추가 진열")</f>
        <v>0</v>
      </c>
      <c r="Q545" s="7">
        <f>O545+P545</f>
        <v>0</v>
      </c>
      <c r="R545" s="7">
        <v>1</v>
      </c>
      <c r="S545" s="6" t="s">
        <v>3615</v>
      </c>
      <c r="T545" s="6" t="s">
        <v>1637</v>
      </c>
      <c r="U545" s="6"/>
      <c r="V545" s="16"/>
      <c r="W545" s="16"/>
      <c r="X545" s="16"/>
      <c r="Y545" s="6" t="s">
        <v>1627</v>
      </c>
      <c r="Z545" s="15"/>
      <c r="AA545" s="15" t="s">
        <v>1628</v>
      </c>
    </row>
    <row r="546" spans="1:27" ht="33" customHeight="1">
      <c r="A546" s="6" t="s">
        <v>4315</v>
      </c>
      <c r="B546" s="7">
        <v>1147</v>
      </c>
      <c r="C546" s="6" t="s">
        <v>4316</v>
      </c>
      <c r="D546" s="6" t="s">
        <v>1631</v>
      </c>
      <c r="E546" s="6" t="s">
        <v>2134</v>
      </c>
      <c r="F546" s="6" t="s">
        <v>575</v>
      </c>
      <c r="G546" s="6" t="s">
        <v>38</v>
      </c>
      <c r="H546" s="6"/>
      <c r="I546" s="14" t="s">
        <v>1642</v>
      </c>
      <c r="J546" s="15"/>
      <c r="K546" s="6" t="s">
        <v>1976</v>
      </c>
      <c r="L546" s="6"/>
      <c r="M546" s="6" t="s">
        <v>1643</v>
      </c>
      <c r="N546" s="6" t="s">
        <v>1644</v>
      </c>
      <c r="O546" s="7">
        <f>SUMIFS('05_상품별배치367'!$K$7:$K$373,'05_상품별배치367'!$E$7:$E$373,A546,'05_상품별배치367'!$H$7:$H$373,"본진")</f>
        <v>0</v>
      </c>
      <c r="P546" s="7">
        <f>SUMIFS('05_상품별배치367'!$K$7:$K$373,'05_상품별배치367'!$E$7:$E$373,A546,'05_상품별배치367'!$H$7:$H$373,"추가 진열")</f>
        <v>0</v>
      </c>
      <c r="Q546" s="7">
        <f>O546+P546</f>
        <v>0</v>
      </c>
      <c r="R546" s="7">
        <v>1</v>
      </c>
      <c r="S546" s="6" t="s">
        <v>3615</v>
      </c>
      <c r="T546" s="6" t="s">
        <v>1637</v>
      </c>
      <c r="U546" s="6"/>
      <c r="V546" s="16"/>
      <c r="W546" s="16"/>
      <c r="X546" s="16"/>
      <c r="Y546" s="6" t="s">
        <v>1627</v>
      </c>
      <c r="Z546" s="15"/>
      <c r="AA546" s="15" t="s">
        <v>1628</v>
      </c>
    </row>
    <row r="547" spans="1:27" ht="33" customHeight="1">
      <c r="A547" s="8" t="s">
        <v>4317</v>
      </c>
      <c r="B547" s="9">
        <v>1148</v>
      </c>
      <c r="C547" s="8" t="s">
        <v>4318</v>
      </c>
      <c r="D547" s="8" t="s">
        <v>1851</v>
      </c>
      <c r="E547" s="8" t="s">
        <v>2134</v>
      </c>
      <c r="F547" s="8" t="s">
        <v>575</v>
      </c>
      <c r="G547" s="8" t="s">
        <v>38</v>
      </c>
      <c r="H547" s="8"/>
      <c r="I547" s="14" t="s">
        <v>1642</v>
      </c>
      <c r="J547" s="15"/>
      <c r="K547" s="8" t="s">
        <v>1976</v>
      </c>
      <c r="L547" s="8"/>
      <c r="M547" s="6" t="s">
        <v>1643</v>
      </c>
      <c r="N547" s="6" t="s">
        <v>1644</v>
      </c>
      <c r="O547" s="7">
        <f>SUMIFS('05_상품별배치367'!$K$7:$K$373,'05_상품별배치367'!$E$7:$E$373,A547,'05_상품별배치367'!$H$7:$H$373,"본진")</f>
        <v>0</v>
      </c>
      <c r="P547" s="7">
        <f>SUMIFS('05_상품별배치367'!$K$7:$K$373,'05_상품별배치367'!$E$7:$E$373,A547,'05_상품별배치367'!$H$7:$H$373,"추가 진열")</f>
        <v>0</v>
      </c>
      <c r="Q547" s="7">
        <f>O547+P547</f>
        <v>0</v>
      </c>
      <c r="R547" s="7">
        <v>1</v>
      </c>
      <c r="S547" s="6" t="s">
        <v>3615</v>
      </c>
      <c r="T547" s="6" t="s">
        <v>1637</v>
      </c>
      <c r="U547" s="6"/>
      <c r="V547" s="16"/>
      <c r="W547" s="16"/>
      <c r="X547" s="16"/>
      <c r="Y547" s="6" t="s">
        <v>1627</v>
      </c>
      <c r="Z547" s="15"/>
      <c r="AA547" s="15" t="s">
        <v>1628</v>
      </c>
    </row>
    <row r="548" spans="1:27" ht="33" customHeight="1">
      <c r="A548" s="6" t="s">
        <v>4319</v>
      </c>
      <c r="B548" s="7">
        <v>1149</v>
      </c>
      <c r="C548" s="6" t="s">
        <v>4320</v>
      </c>
      <c r="D548" s="6" t="s">
        <v>2588</v>
      </c>
      <c r="E548" s="6" t="s">
        <v>1814</v>
      </c>
      <c r="F548" s="6" t="s">
        <v>1376</v>
      </c>
      <c r="G548" s="6" t="s">
        <v>431</v>
      </c>
      <c r="H548" s="6"/>
      <c r="I548" s="14" t="s">
        <v>1642</v>
      </c>
      <c r="J548" s="15"/>
      <c r="K548" s="6" t="s">
        <v>1976</v>
      </c>
      <c r="L548" s="6"/>
      <c r="M548" s="6" t="s">
        <v>1643</v>
      </c>
      <c r="N548" s="6" t="s">
        <v>1644</v>
      </c>
      <c r="O548" s="7">
        <f>SUMIFS('05_상품별배치367'!$K$7:$K$373,'05_상품별배치367'!$E$7:$E$373,A548,'05_상품별배치367'!$H$7:$H$373,"본진")</f>
        <v>0</v>
      </c>
      <c r="P548" s="7">
        <f>SUMIFS('05_상품별배치367'!$K$7:$K$373,'05_상품별배치367'!$E$7:$E$373,A548,'05_상품별배치367'!$H$7:$H$373,"추가 진열")</f>
        <v>0</v>
      </c>
      <c r="Q548" s="7">
        <f>O548+P548</f>
        <v>0</v>
      </c>
      <c r="R548" s="7">
        <v>1</v>
      </c>
      <c r="S548" s="6" t="s">
        <v>1978</v>
      </c>
      <c r="T548" s="6" t="s">
        <v>1637</v>
      </c>
      <c r="U548" s="6"/>
      <c r="V548" s="16"/>
      <c r="W548" s="16"/>
      <c r="X548" s="16"/>
      <c r="Y548" s="6" t="s">
        <v>1627</v>
      </c>
      <c r="Z548" s="15"/>
      <c r="AA548" s="15" t="s">
        <v>1628</v>
      </c>
    </row>
    <row r="549" spans="1:27" ht="33" customHeight="1">
      <c r="A549" s="6" t="s">
        <v>4323</v>
      </c>
      <c r="B549" s="7">
        <v>1151</v>
      </c>
      <c r="C549" s="6" t="s">
        <v>4324</v>
      </c>
      <c r="D549" s="6" t="s">
        <v>4325</v>
      </c>
      <c r="E549" s="6" t="s">
        <v>2134</v>
      </c>
      <c r="F549" s="6" t="s">
        <v>1081</v>
      </c>
      <c r="G549" s="6" t="s">
        <v>290</v>
      </c>
      <c r="H549" s="6"/>
      <c r="I549" s="14" t="s">
        <v>1642</v>
      </c>
      <c r="J549" s="15"/>
      <c r="K549" s="6" t="s">
        <v>1976</v>
      </c>
      <c r="L549" s="6"/>
      <c r="M549" s="6" t="s">
        <v>1643</v>
      </c>
      <c r="N549" s="6" t="s">
        <v>1644</v>
      </c>
      <c r="O549" s="7">
        <f>SUMIFS('05_상품별배치367'!$K$7:$K$373,'05_상품별배치367'!$E$7:$E$373,A549,'05_상품별배치367'!$H$7:$H$373,"본진")</f>
        <v>0</v>
      </c>
      <c r="P549" s="7">
        <f>SUMIFS('05_상품별배치367'!$K$7:$K$373,'05_상품별배치367'!$E$7:$E$373,A549,'05_상품별배치367'!$H$7:$H$373,"추가 진열")</f>
        <v>0</v>
      </c>
      <c r="Q549" s="7">
        <f>O549+P549</f>
        <v>0</v>
      </c>
      <c r="R549" s="7">
        <v>1</v>
      </c>
      <c r="S549" s="6" t="s">
        <v>2135</v>
      </c>
      <c r="T549" s="6" t="s">
        <v>1637</v>
      </c>
      <c r="U549" s="6"/>
      <c r="V549" s="16"/>
      <c r="W549" s="16"/>
      <c r="X549" s="16"/>
      <c r="Y549" s="6" t="s">
        <v>1627</v>
      </c>
      <c r="Z549" s="15"/>
      <c r="AA549" s="15" t="s">
        <v>1628</v>
      </c>
    </row>
    <row r="550" spans="1:27" ht="33" customHeight="1">
      <c r="A550" s="8" t="s">
        <v>4321</v>
      </c>
      <c r="B550" s="9">
        <v>1150</v>
      </c>
      <c r="C550" s="8" t="s">
        <v>4322</v>
      </c>
      <c r="D550" s="8" t="s">
        <v>3164</v>
      </c>
      <c r="E550" s="8" t="s">
        <v>2134</v>
      </c>
      <c r="F550" s="8" t="s">
        <v>1081</v>
      </c>
      <c r="G550" s="8" t="s">
        <v>290</v>
      </c>
      <c r="H550" s="8"/>
      <c r="I550" s="14" t="s">
        <v>1642</v>
      </c>
      <c r="J550" s="15"/>
      <c r="K550" s="8" t="s">
        <v>1976</v>
      </c>
      <c r="L550" s="8"/>
      <c r="M550" s="6" t="s">
        <v>1643</v>
      </c>
      <c r="N550" s="6" t="s">
        <v>1644</v>
      </c>
      <c r="O550" s="7">
        <f>SUMIFS('05_상품별배치367'!$K$7:$K$373,'05_상품별배치367'!$E$7:$E$373,A550,'05_상품별배치367'!$H$7:$H$373,"본진")</f>
        <v>0</v>
      </c>
      <c r="P550" s="7">
        <f>SUMIFS('05_상품별배치367'!$K$7:$K$373,'05_상품별배치367'!$E$7:$E$373,A550,'05_상품별배치367'!$H$7:$H$373,"추가 진열")</f>
        <v>0</v>
      </c>
      <c r="Q550" s="7">
        <f>O550+P550</f>
        <v>0</v>
      </c>
      <c r="R550" s="7">
        <v>1</v>
      </c>
      <c r="S550" s="6" t="s">
        <v>2135</v>
      </c>
      <c r="T550" s="6" t="s">
        <v>1637</v>
      </c>
      <c r="U550" s="6"/>
      <c r="V550" s="16"/>
      <c r="W550" s="16"/>
      <c r="X550" s="16"/>
      <c r="Y550" s="6" t="s">
        <v>1627</v>
      </c>
      <c r="Z550" s="15"/>
      <c r="AA550" s="15" t="s">
        <v>1628</v>
      </c>
    </row>
    <row r="551" spans="1:27" ht="33" customHeight="1">
      <c r="A551" s="6" t="s">
        <v>4930</v>
      </c>
      <c r="B551" s="7">
        <v>1445</v>
      </c>
      <c r="C551" s="6" t="s">
        <v>4931</v>
      </c>
      <c r="D551" s="6" t="s">
        <v>2133</v>
      </c>
      <c r="E551" s="6" t="s">
        <v>2134</v>
      </c>
      <c r="F551" s="6" t="s">
        <v>162</v>
      </c>
      <c r="G551" s="6" t="s">
        <v>404</v>
      </c>
      <c r="H551" s="6"/>
      <c r="I551" s="14" t="s">
        <v>1642</v>
      </c>
      <c r="J551" s="15"/>
      <c r="K551" s="6" t="s">
        <v>1976</v>
      </c>
      <c r="L551" s="6"/>
      <c r="M551" s="6" t="s">
        <v>1643</v>
      </c>
      <c r="N551" s="6" t="s">
        <v>1644</v>
      </c>
      <c r="O551" s="7">
        <f>SUMIFS('05_상품별배치367'!$K$7:$K$373,'05_상품별배치367'!$E$7:$E$373,A551,'05_상품별배치367'!$H$7:$H$373,"본진")</f>
        <v>0</v>
      </c>
      <c r="P551" s="7">
        <f>SUMIFS('05_상품별배치367'!$K$7:$K$373,'05_상품별배치367'!$E$7:$E$373,A551,'05_상품별배치367'!$H$7:$H$373,"추가 진열")</f>
        <v>0</v>
      </c>
      <c r="Q551" s="7">
        <f>O551+P551</f>
        <v>0</v>
      </c>
      <c r="R551" s="7">
        <v>1</v>
      </c>
      <c r="S551" s="6" t="s">
        <v>2996</v>
      </c>
      <c r="T551" s="6" t="s">
        <v>1637</v>
      </c>
      <c r="U551" s="6"/>
      <c r="V551" s="16"/>
      <c r="W551" s="16"/>
      <c r="X551" s="16"/>
      <c r="Y551" s="6" t="s">
        <v>1627</v>
      </c>
      <c r="Z551" s="15"/>
      <c r="AA551" s="15" t="s">
        <v>1628</v>
      </c>
    </row>
    <row r="552" spans="1:27" ht="33" customHeight="1">
      <c r="A552" s="8" t="s">
        <v>4932</v>
      </c>
      <c r="B552" s="9">
        <v>1446</v>
      </c>
      <c r="C552" s="8" t="s">
        <v>4933</v>
      </c>
      <c r="D552" s="8" t="s">
        <v>2913</v>
      </c>
      <c r="E552" s="8" t="s">
        <v>2134</v>
      </c>
      <c r="F552" s="8" t="s">
        <v>162</v>
      </c>
      <c r="G552" s="8" t="s">
        <v>404</v>
      </c>
      <c r="H552" s="8"/>
      <c r="I552" s="14" t="s">
        <v>1642</v>
      </c>
      <c r="J552" s="15"/>
      <c r="K552" s="8" t="s">
        <v>1976</v>
      </c>
      <c r="L552" s="8"/>
      <c r="M552" s="6" t="s">
        <v>1643</v>
      </c>
      <c r="N552" s="6" t="s">
        <v>1644</v>
      </c>
      <c r="O552" s="7">
        <f>SUMIFS('05_상품별배치367'!$K$7:$K$373,'05_상품별배치367'!$E$7:$E$373,A552,'05_상품별배치367'!$H$7:$H$373,"본진")</f>
        <v>0</v>
      </c>
      <c r="P552" s="7">
        <f>SUMIFS('05_상품별배치367'!$K$7:$K$373,'05_상품별배치367'!$E$7:$E$373,A552,'05_상품별배치367'!$H$7:$H$373,"추가 진열")</f>
        <v>0</v>
      </c>
      <c r="Q552" s="7">
        <f>O552+P552</f>
        <v>0</v>
      </c>
      <c r="R552" s="7">
        <v>1</v>
      </c>
      <c r="S552" s="6" t="s">
        <v>2996</v>
      </c>
      <c r="T552" s="6" t="s">
        <v>1637</v>
      </c>
      <c r="U552" s="6"/>
      <c r="V552" s="16"/>
      <c r="W552" s="16"/>
      <c r="X552" s="16"/>
      <c r="Y552" s="6" t="s">
        <v>1627</v>
      </c>
      <c r="Z552" s="15"/>
      <c r="AA552" s="15" t="s">
        <v>1628</v>
      </c>
    </row>
    <row r="553" spans="1:27" ht="33" customHeight="1">
      <c r="A553" s="8" t="s">
        <v>4928</v>
      </c>
      <c r="B553" s="9">
        <v>1444</v>
      </c>
      <c r="C553" s="8" t="s">
        <v>4929</v>
      </c>
      <c r="D553" s="8" t="s">
        <v>2007</v>
      </c>
      <c r="E553" s="8" t="s">
        <v>2134</v>
      </c>
      <c r="F553" s="8" t="s">
        <v>162</v>
      </c>
      <c r="G553" s="8" t="s">
        <v>404</v>
      </c>
      <c r="H553" s="8"/>
      <c r="I553" s="14" t="s">
        <v>1642</v>
      </c>
      <c r="J553" s="15"/>
      <c r="K553" s="8" t="s">
        <v>1976</v>
      </c>
      <c r="L553" s="8"/>
      <c r="M553" s="6" t="s">
        <v>1643</v>
      </c>
      <c r="N553" s="6" t="s">
        <v>1644</v>
      </c>
      <c r="O553" s="7">
        <f>SUMIFS('05_상품별배치367'!$K$7:$K$373,'05_상품별배치367'!$E$7:$E$373,A553,'05_상품별배치367'!$H$7:$H$373,"본진")</f>
        <v>0</v>
      </c>
      <c r="P553" s="7">
        <f>SUMIFS('05_상품별배치367'!$K$7:$K$373,'05_상품별배치367'!$E$7:$E$373,A553,'05_상품별배치367'!$H$7:$H$373,"추가 진열")</f>
        <v>0</v>
      </c>
      <c r="Q553" s="7">
        <f>O553+P553</f>
        <v>0</v>
      </c>
      <c r="R553" s="7">
        <v>1</v>
      </c>
      <c r="S553" s="6" t="s">
        <v>2996</v>
      </c>
      <c r="T553" s="6" t="s">
        <v>1637</v>
      </c>
      <c r="U553" s="6"/>
      <c r="V553" s="16"/>
      <c r="W553" s="16"/>
      <c r="X553" s="16"/>
      <c r="Y553" s="6" t="s">
        <v>1627</v>
      </c>
      <c r="Z553" s="15"/>
      <c r="AA553" s="15" t="s">
        <v>1628</v>
      </c>
    </row>
    <row r="554" spans="1:27" ht="33" customHeight="1">
      <c r="A554" s="6" t="s">
        <v>1392</v>
      </c>
      <c r="B554" s="7">
        <v>1915</v>
      </c>
      <c r="C554" s="6" t="s">
        <v>1391</v>
      </c>
      <c r="D554" s="6" t="s">
        <v>1619</v>
      </c>
      <c r="E554" s="6" t="s">
        <v>1641</v>
      </c>
      <c r="F554" s="6" t="s">
        <v>1381</v>
      </c>
      <c r="G554" s="6" t="s">
        <v>439</v>
      </c>
      <c r="H554" s="6" t="s">
        <v>1390</v>
      </c>
      <c r="I554" s="14" t="s">
        <v>1633</v>
      </c>
      <c r="J554" s="15"/>
      <c r="K554" s="6" t="s">
        <v>1634</v>
      </c>
      <c r="L554" s="6" t="s">
        <v>3828</v>
      </c>
      <c r="M554" s="6" t="s">
        <v>1635</v>
      </c>
      <c r="N554" s="6" t="s">
        <v>1624</v>
      </c>
      <c r="O554" s="7">
        <f>SUMIFS('05_상품별배치367'!$K$7:$K$373,'05_상품별배치367'!$E$7:$E$373,A554,'05_상품별배치367'!$H$7:$H$373,"본진")</f>
        <v>1</v>
      </c>
      <c r="P554" s="7">
        <f>SUMIFS('05_상품별배치367'!$K$7:$K$373,'05_상품별배치367'!$E$7:$E$373,A554,'05_상품별배치367'!$H$7:$H$373,"추가 진열")</f>
        <v>0</v>
      </c>
      <c r="Q554" s="7">
        <f>O554+P554</f>
        <v>1</v>
      </c>
      <c r="R554" s="7">
        <v>1</v>
      </c>
      <c r="S554" s="6" t="s">
        <v>1636</v>
      </c>
      <c r="T554" s="6" t="s">
        <v>1637</v>
      </c>
      <c r="U554" s="6"/>
      <c r="V554" s="16"/>
      <c r="W554" s="16"/>
      <c r="X554" s="16"/>
      <c r="Y554" s="6" t="s">
        <v>1627</v>
      </c>
      <c r="Z554" s="15"/>
      <c r="AA554" s="15" t="s">
        <v>1628</v>
      </c>
    </row>
    <row r="555" spans="1:27" ht="33" customHeight="1">
      <c r="A555" s="6" t="s">
        <v>5931</v>
      </c>
      <c r="B555" s="7">
        <v>1919</v>
      </c>
      <c r="C555" s="6" t="s">
        <v>5932</v>
      </c>
      <c r="D555" s="6" t="s">
        <v>5933</v>
      </c>
      <c r="E555" s="6" t="s">
        <v>1641</v>
      </c>
      <c r="F555" s="6" t="s">
        <v>1381</v>
      </c>
      <c r="G555" s="6" t="s">
        <v>439</v>
      </c>
      <c r="H555" s="6" t="s">
        <v>1386</v>
      </c>
      <c r="I555" s="14" t="s">
        <v>1633</v>
      </c>
      <c r="J555" s="15"/>
      <c r="K555" s="6" t="s">
        <v>1634</v>
      </c>
      <c r="L555" s="6" t="s">
        <v>3828</v>
      </c>
      <c r="M555" s="6" t="s">
        <v>1635</v>
      </c>
      <c r="N555" s="6" t="s">
        <v>1624</v>
      </c>
      <c r="O555" s="7">
        <f>SUMIFS('05_상품별배치367'!$K$7:$K$373,'05_상품별배치367'!$E$7:$E$373,A555,'05_상품별배치367'!$H$7:$H$373,"본진")</f>
        <v>1</v>
      </c>
      <c r="P555" s="7">
        <f>SUMIFS('05_상품별배치367'!$K$7:$K$373,'05_상품별배치367'!$E$7:$E$373,A555,'05_상품별배치367'!$H$7:$H$373,"추가 진열")</f>
        <v>0</v>
      </c>
      <c r="Q555" s="7">
        <f>O555+P555</f>
        <v>1</v>
      </c>
      <c r="R555" s="7">
        <v>1</v>
      </c>
      <c r="S555" s="6" t="s">
        <v>1636</v>
      </c>
      <c r="T555" s="6" t="s">
        <v>1637</v>
      </c>
      <c r="U555" s="6"/>
      <c r="V555" s="16"/>
      <c r="W555" s="16"/>
      <c r="X555" s="16"/>
      <c r="Y555" s="6" t="s">
        <v>1655</v>
      </c>
      <c r="Z555" s="15"/>
      <c r="AA555" s="15" t="s">
        <v>1628</v>
      </c>
    </row>
    <row r="556" spans="1:27" ht="33" customHeight="1">
      <c r="A556" s="6" t="s">
        <v>5825</v>
      </c>
      <c r="B556" s="7">
        <v>1869</v>
      </c>
      <c r="C556" s="6" t="s">
        <v>5826</v>
      </c>
      <c r="D556" s="6" t="s">
        <v>4982</v>
      </c>
      <c r="E556" s="6" t="s">
        <v>1641</v>
      </c>
      <c r="F556" s="6" t="s">
        <v>699</v>
      </c>
      <c r="G556" s="6" t="s">
        <v>99</v>
      </c>
      <c r="H556" s="6"/>
      <c r="I556" s="14" t="s">
        <v>1642</v>
      </c>
      <c r="J556" s="15"/>
      <c r="K556" s="6" t="s">
        <v>1634</v>
      </c>
      <c r="L556" s="6" t="s">
        <v>3828</v>
      </c>
      <c r="M556" s="6" t="s">
        <v>1643</v>
      </c>
      <c r="N556" s="6" t="s">
        <v>1644</v>
      </c>
      <c r="O556" s="7">
        <f>SUMIFS('05_상품별배치367'!$K$7:$K$373,'05_상품별배치367'!$E$7:$E$373,A556,'05_상품별배치367'!$H$7:$H$373,"본진")</f>
        <v>0</v>
      </c>
      <c r="P556" s="7">
        <f>SUMIFS('05_상품별배치367'!$K$7:$K$373,'05_상품별배치367'!$E$7:$E$373,A556,'05_상품별배치367'!$H$7:$H$373,"추가 진열")</f>
        <v>0</v>
      </c>
      <c r="Q556" s="7">
        <f>O556+P556</f>
        <v>0</v>
      </c>
      <c r="R556" s="7">
        <v>1</v>
      </c>
      <c r="S556" s="6" t="s">
        <v>1659</v>
      </c>
      <c r="T556" s="6" t="s">
        <v>1637</v>
      </c>
      <c r="U556" s="6"/>
      <c r="V556" s="16"/>
      <c r="W556" s="16"/>
      <c r="X556" s="16"/>
      <c r="Y556" s="6" t="s">
        <v>1627</v>
      </c>
      <c r="Z556" s="15"/>
      <c r="AA556" s="15" t="s">
        <v>1628</v>
      </c>
    </row>
    <row r="557" spans="1:27" ht="33" customHeight="1">
      <c r="A557" s="8" t="s">
        <v>5820</v>
      </c>
      <c r="B557" s="9">
        <v>1866</v>
      </c>
      <c r="C557" s="8" t="s">
        <v>5821</v>
      </c>
      <c r="D557" s="8" t="s">
        <v>5822</v>
      </c>
      <c r="E557" s="8" t="s">
        <v>1641</v>
      </c>
      <c r="F557" s="8" t="s">
        <v>699</v>
      </c>
      <c r="G557" s="8" t="s">
        <v>99</v>
      </c>
      <c r="H557" s="8" t="s">
        <v>703</v>
      </c>
      <c r="I557" s="14" t="s">
        <v>1633</v>
      </c>
      <c r="J557" s="15"/>
      <c r="K557" s="8" t="s">
        <v>1634</v>
      </c>
      <c r="L557" s="8" t="s">
        <v>3828</v>
      </c>
      <c r="M557" s="6" t="s">
        <v>1635</v>
      </c>
      <c r="N557" s="6" t="s">
        <v>1624</v>
      </c>
      <c r="O557" s="7">
        <f>SUMIFS('05_상품별배치367'!$K$7:$K$373,'05_상품별배치367'!$E$7:$E$373,A557,'05_상품별배치367'!$H$7:$H$373,"본진")</f>
        <v>1</v>
      </c>
      <c r="P557" s="7">
        <f>SUMIFS('05_상품별배치367'!$K$7:$K$373,'05_상품별배치367'!$E$7:$E$373,A557,'05_상품별배치367'!$H$7:$H$373,"추가 진열")</f>
        <v>0</v>
      </c>
      <c r="Q557" s="7">
        <f>O557+P557</f>
        <v>1</v>
      </c>
      <c r="R557" s="7">
        <v>1</v>
      </c>
      <c r="S557" s="6" t="s">
        <v>1636</v>
      </c>
      <c r="T557" s="6" t="s">
        <v>1637</v>
      </c>
      <c r="U557" s="6"/>
      <c r="V557" s="16"/>
      <c r="W557" s="16"/>
      <c r="X557" s="16"/>
      <c r="Y557" s="6" t="s">
        <v>1655</v>
      </c>
      <c r="Z557" s="15"/>
      <c r="AA557" s="15" t="s">
        <v>1628</v>
      </c>
    </row>
    <row r="558" spans="1:27" ht="33" customHeight="1">
      <c r="A558" s="6" t="s">
        <v>5829</v>
      </c>
      <c r="B558" s="7">
        <v>1871</v>
      </c>
      <c r="C558" s="6" t="s">
        <v>5830</v>
      </c>
      <c r="D558" s="6" t="s">
        <v>5822</v>
      </c>
      <c r="E558" s="6" t="s">
        <v>1641</v>
      </c>
      <c r="F558" s="6" t="s">
        <v>699</v>
      </c>
      <c r="G558" s="6" t="s">
        <v>99</v>
      </c>
      <c r="H558" s="6"/>
      <c r="I558" s="14" t="s">
        <v>1642</v>
      </c>
      <c r="J558" s="15"/>
      <c r="K558" s="6" t="s">
        <v>1634</v>
      </c>
      <c r="L558" s="6" t="s">
        <v>3828</v>
      </c>
      <c r="M558" s="6" t="s">
        <v>1643</v>
      </c>
      <c r="N558" s="6" t="s">
        <v>1644</v>
      </c>
      <c r="O558" s="7">
        <f>SUMIFS('05_상품별배치367'!$K$7:$K$373,'05_상품별배치367'!$E$7:$E$373,A558,'05_상품별배치367'!$H$7:$H$373,"본진")</f>
        <v>0</v>
      </c>
      <c r="P558" s="7">
        <f>SUMIFS('05_상품별배치367'!$K$7:$K$373,'05_상품별배치367'!$E$7:$E$373,A558,'05_상품별배치367'!$H$7:$H$373,"추가 진열")</f>
        <v>0</v>
      </c>
      <c r="Q558" s="7">
        <f>O558+P558</f>
        <v>0</v>
      </c>
      <c r="R558" s="7">
        <v>1</v>
      </c>
      <c r="S558" s="6" t="s">
        <v>1659</v>
      </c>
      <c r="T558" s="6" t="s">
        <v>1637</v>
      </c>
      <c r="U558" s="6"/>
      <c r="V558" s="16"/>
      <c r="W558" s="16"/>
      <c r="X558" s="16"/>
      <c r="Y558" s="6" t="s">
        <v>1655</v>
      </c>
      <c r="Z558" s="15"/>
      <c r="AA558" s="15" t="s">
        <v>1628</v>
      </c>
    </row>
    <row r="559" spans="1:27" ht="33" customHeight="1">
      <c r="A559" s="8" t="s">
        <v>2428</v>
      </c>
      <c r="B559" s="9">
        <v>294</v>
      </c>
      <c r="C559" s="8" t="s">
        <v>2429</v>
      </c>
      <c r="D559" s="8" t="s">
        <v>1619</v>
      </c>
      <c r="E559" s="8" t="s">
        <v>1666</v>
      </c>
      <c r="F559" s="8" t="s">
        <v>348</v>
      </c>
      <c r="G559" s="8" t="s">
        <v>341</v>
      </c>
      <c r="H559" s="8"/>
      <c r="I559" s="14" t="s">
        <v>1642</v>
      </c>
      <c r="J559" s="15"/>
      <c r="K559" s="8" t="s">
        <v>1670</v>
      </c>
      <c r="L559" s="8"/>
      <c r="M559" s="6" t="s">
        <v>1643</v>
      </c>
      <c r="N559" s="6" t="s">
        <v>1644</v>
      </c>
      <c r="O559" s="7">
        <f>SUMIFS('05_상품별배치367'!$K$7:$K$373,'05_상품별배치367'!$E$7:$E$373,A559,'05_상품별배치367'!$H$7:$H$373,"본진")</f>
        <v>0</v>
      </c>
      <c r="P559" s="7">
        <f>SUMIFS('05_상품별배치367'!$K$7:$K$373,'05_상품별배치367'!$E$7:$E$373,A559,'05_상품별배치367'!$H$7:$H$373,"추가 진열")</f>
        <v>0</v>
      </c>
      <c r="Q559" s="7">
        <f>O559+P559</f>
        <v>0</v>
      </c>
      <c r="R559" s="7">
        <v>1</v>
      </c>
      <c r="S559" s="6" t="s">
        <v>2040</v>
      </c>
      <c r="T559" s="6" t="s">
        <v>1637</v>
      </c>
      <c r="U559" s="6"/>
      <c r="V559" s="16"/>
      <c r="W559" s="16"/>
      <c r="X559" s="16"/>
      <c r="Y559" s="6" t="s">
        <v>1627</v>
      </c>
      <c r="Z559" s="15"/>
      <c r="AA559" s="15" t="s">
        <v>1628</v>
      </c>
    </row>
    <row r="560" spans="1:27" ht="33" customHeight="1">
      <c r="A560" s="6" t="s">
        <v>2421</v>
      </c>
      <c r="B560" s="7">
        <v>291</v>
      </c>
      <c r="C560" s="6" t="s">
        <v>2422</v>
      </c>
      <c r="D560" s="6" t="s">
        <v>2423</v>
      </c>
      <c r="E560" s="6" t="s">
        <v>1666</v>
      </c>
      <c r="F560" s="6" t="s">
        <v>348</v>
      </c>
      <c r="G560" s="6" t="s">
        <v>341</v>
      </c>
      <c r="H560" s="6"/>
      <c r="I560" s="14" t="s">
        <v>1642</v>
      </c>
      <c r="J560" s="15"/>
      <c r="K560" s="6" t="s">
        <v>1670</v>
      </c>
      <c r="L560" s="6"/>
      <c r="M560" s="6" t="s">
        <v>1643</v>
      </c>
      <c r="N560" s="6" t="s">
        <v>1644</v>
      </c>
      <c r="O560" s="7">
        <f>SUMIFS('05_상품별배치367'!$K$7:$K$373,'05_상품별배치367'!$E$7:$E$373,A560,'05_상품별배치367'!$H$7:$H$373,"본진")</f>
        <v>0</v>
      </c>
      <c r="P560" s="7">
        <f>SUMIFS('05_상품별배치367'!$K$7:$K$373,'05_상품별배치367'!$E$7:$E$373,A560,'05_상품별배치367'!$H$7:$H$373,"추가 진열")</f>
        <v>0</v>
      </c>
      <c r="Q560" s="7">
        <f>O560+P560</f>
        <v>0</v>
      </c>
      <c r="R560" s="7">
        <v>1</v>
      </c>
      <c r="S560" s="6" t="s">
        <v>2040</v>
      </c>
      <c r="T560" s="6" t="s">
        <v>1637</v>
      </c>
      <c r="U560" s="6"/>
      <c r="V560" s="16"/>
      <c r="W560" s="16"/>
      <c r="X560" s="16"/>
      <c r="Y560" s="6" t="s">
        <v>1627</v>
      </c>
      <c r="Z560" s="15"/>
      <c r="AA560" s="15" t="s">
        <v>1628</v>
      </c>
    </row>
    <row r="561" spans="1:27" ht="33" customHeight="1">
      <c r="A561" s="6" t="s">
        <v>2426</v>
      </c>
      <c r="B561" s="7">
        <v>293</v>
      </c>
      <c r="C561" s="6" t="s">
        <v>2427</v>
      </c>
      <c r="D561" s="6" t="s">
        <v>2010</v>
      </c>
      <c r="E561" s="6" t="s">
        <v>1620</v>
      </c>
      <c r="F561" s="6" t="s">
        <v>2048</v>
      </c>
      <c r="G561" s="6" t="s">
        <v>1668</v>
      </c>
      <c r="H561" s="6"/>
      <c r="I561" s="14" t="s">
        <v>1669</v>
      </c>
      <c r="J561" s="15"/>
      <c r="K561" s="6" t="s">
        <v>1622</v>
      </c>
      <c r="L561" s="6"/>
      <c r="M561" s="6" t="s">
        <v>1671</v>
      </c>
      <c r="N561" s="6" t="s">
        <v>1644</v>
      </c>
      <c r="O561" s="7">
        <f>SUMIFS('05_상품별배치367'!$K$7:$K$373,'05_상품별배치367'!$E$7:$E$373,A561,'05_상품별배치367'!$H$7:$H$373,"본진")</f>
        <v>0</v>
      </c>
      <c r="P561" s="7">
        <f>SUMIFS('05_상품별배치367'!$K$7:$K$373,'05_상품별배치367'!$E$7:$E$373,A561,'05_상품별배치367'!$H$7:$H$373,"추가 진열")</f>
        <v>0</v>
      </c>
      <c r="Q561" s="7">
        <f>O561+P561</f>
        <v>0</v>
      </c>
      <c r="R561" s="7">
        <v>0</v>
      </c>
      <c r="S561" s="6" t="s">
        <v>1672</v>
      </c>
      <c r="T561" s="6" t="s">
        <v>1637</v>
      </c>
      <c r="U561" s="6"/>
      <c r="V561" s="16"/>
      <c r="W561" s="16"/>
      <c r="X561" s="16"/>
      <c r="Y561" s="6" t="s">
        <v>1627</v>
      </c>
      <c r="Z561" s="15"/>
      <c r="AA561" s="15" t="s">
        <v>1628</v>
      </c>
    </row>
    <row r="562" spans="1:27" ht="33" customHeight="1">
      <c r="A562" s="8" t="s">
        <v>2424</v>
      </c>
      <c r="B562" s="9">
        <v>292</v>
      </c>
      <c r="C562" s="8" t="s">
        <v>2425</v>
      </c>
      <c r="D562" s="8" t="s">
        <v>2423</v>
      </c>
      <c r="E562" s="8" t="s">
        <v>1620</v>
      </c>
      <c r="F562" s="8" t="s">
        <v>2048</v>
      </c>
      <c r="G562" s="8" t="s">
        <v>1668</v>
      </c>
      <c r="H562" s="8"/>
      <c r="I562" s="14" t="s">
        <v>1669</v>
      </c>
      <c r="J562" s="15"/>
      <c r="K562" s="8" t="s">
        <v>1622</v>
      </c>
      <c r="L562" s="8"/>
      <c r="M562" s="6" t="s">
        <v>1671</v>
      </c>
      <c r="N562" s="6" t="s">
        <v>1644</v>
      </c>
      <c r="O562" s="7">
        <f>SUMIFS('05_상품별배치367'!$K$7:$K$373,'05_상품별배치367'!$E$7:$E$373,A562,'05_상품별배치367'!$H$7:$H$373,"본진")</f>
        <v>0</v>
      </c>
      <c r="P562" s="7">
        <f>SUMIFS('05_상품별배치367'!$K$7:$K$373,'05_상품별배치367'!$E$7:$E$373,A562,'05_상품별배치367'!$H$7:$H$373,"추가 진열")</f>
        <v>0</v>
      </c>
      <c r="Q562" s="7">
        <f>O562+P562</f>
        <v>0</v>
      </c>
      <c r="R562" s="7">
        <v>0</v>
      </c>
      <c r="S562" s="6" t="s">
        <v>1672</v>
      </c>
      <c r="T562" s="6" t="s">
        <v>1637</v>
      </c>
      <c r="U562" s="6"/>
      <c r="V562" s="16"/>
      <c r="W562" s="16"/>
      <c r="X562" s="16"/>
      <c r="Y562" s="6" t="s">
        <v>1627</v>
      </c>
      <c r="Z562" s="15"/>
      <c r="AA562" s="15" t="s">
        <v>1628</v>
      </c>
    </row>
    <row r="563" spans="1:27" ht="33" customHeight="1">
      <c r="A563" s="8" t="s">
        <v>2419</v>
      </c>
      <c r="B563" s="9">
        <v>290</v>
      </c>
      <c r="C563" s="8" t="s">
        <v>2420</v>
      </c>
      <c r="D563" s="8" t="s">
        <v>2418</v>
      </c>
      <c r="E563" s="8" t="s">
        <v>1620</v>
      </c>
      <c r="F563" s="8" t="s">
        <v>2048</v>
      </c>
      <c r="G563" s="8" t="s">
        <v>1668</v>
      </c>
      <c r="H563" s="8"/>
      <c r="I563" s="14" t="s">
        <v>1669</v>
      </c>
      <c r="J563" s="15"/>
      <c r="K563" s="8" t="s">
        <v>1622</v>
      </c>
      <c r="L563" s="8"/>
      <c r="M563" s="6" t="s">
        <v>1671</v>
      </c>
      <c r="N563" s="6" t="s">
        <v>1644</v>
      </c>
      <c r="O563" s="7">
        <f>SUMIFS('05_상품별배치367'!$K$7:$K$373,'05_상품별배치367'!$E$7:$E$373,A563,'05_상품별배치367'!$H$7:$H$373,"본진")</f>
        <v>0</v>
      </c>
      <c r="P563" s="7">
        <f>SUMIFS('05_상품별배치367'!$K$7:$K$373,'05_상품별배치367'!$E$7:$E$373,A563,'05_상품별배치367'!$H$7:$H$373,"추가 진열")</f>
        <v>0</v>
      </c>
      <c r="Q563" s="7">
        <f>O563+P563</f>
        <v>0</v>
      </c>
      <c r="R563" s="7">
        <v>0</v>
      </c>
      <c r="S563" s="6" t="s">
        <v>1672</v>
      </c>
      <c r="T563" s="6" t="s">
        <v>1637</v>
      </c>
      <c r="U563" s="6"/>
      <c r="V563" s="16"/>
      <c r="W563" s="16"/>
      <c r="X563" s="16"/>
      <c r="Y563" s="6" t="s">
        <v>1627</v>
      </c>
      <c r="Z563" s="15"/>
      <c r="AA563" s="15" t="s">
        <v>1628</v>
      </c>
    </row>
    <row r="564" spans="1:27" ht="33" customHeight="1">
      <c r="A564" s="6" t="s">
        <v>2416</v>
      </c>
      <c r="B564" s="7">
        <v>289</v>
      </c>
      <c r="C564" s="6" t="s">
        <v>2417</v>
      </c>
      <c r="D564" s="6" t="s">
        <v>2418</v>
      </c>
      <c r="E564" s="6" t="s">
        <v>1620</v>
      </c>
      <c r="F564" s="6" t="s">
        <v>2048</v>
      </c>
      <c r="G564" s="6" t="s">
        <v>1668</v>
      </c>
      <c r="H564" s="6"/>
      <c r="I564" s="14" t="s">
        <v>1669</v>
      </c>
      <c r="J564" s="15"/>
      <c r="K564" s="6" t="s">
        <v>1622</v>
      </c>
      <c r="L564" s="6"/>
      <c r="M564" s="6" t="s">
        <v>1671</v>
      </c>
      <c r="N564" s="6" t="s">
        <v>1644</v>
      </c>
      <c r="O564" s="7">
        <f>SUMIFS('05_상품별배치367'!$K$7:$K$373,'05_상품별배치367'!$E$7:$E$373,A564,'05_상품별배치367'!$H$7:$H$373,"본진")</f>
        <v>0</v>
      </c>
      <c r="P564" s="7">
        <f>SUMIFS('05_상품별배치367'!$K$7:$K$373,'05_상품별배치367'!$E$7:$E$373,A564,'05_상품별배치367'!$H$7:$H$373,"추가 진열")</f>
        <v>0</v>
      </c>
      <c r="Q564" s="7">
        <f>O564+P564</f>
        <v>0</v>
      </c>
      <c r="R564" s="7">
        <v>0</v>
      </c>
      <c r="S564" s="6" t="s">
        <v>1672</v>
      </c>
      <c r="T564" s="6" t="s">
        <v>1637</v>
      </c>
      <c r="U564" s="6"/>
      <c r="V564" s="16"/>
      <c r="W564" s="16"/>
      <c r="X564" s="16"/>
      <c r="Y564" s="6" t="s">
        <v>1627</v>
      </c>
      <c r="Z564" s="15"/>
      <c r="AA564" s="15" t="s">
        <v>1628</v>
      </c>
    </row>
    <row r="565" spans="1:27" ht="33" customHeight="1">
      <c r="A565" s="6" t="s">
        <v>2430</v>
      </c>
      <c r="B565" s="7">
        <v>295</v>
      </c>
      <c r="C565" s="6" t="s">
        <v>2431</v>
      </c>
      <c r="D565" s="6" t="s">
        <v>1948</v>
      </c>
      <c r="E565" s="6" t="s">
        <v>1620</v>
      </c>
      <c r="F565" s="6" t="s">
        <v>2048</v>
      </c>
      <c r="G565" s="6" t="s">
        <v>1668</v>
      </c>
      <c r="H565" s="6"/>
      <c r="I565" s="14" t="s">
        <v>1669</v>
      </c>
      <c r="J565" s="15"/>
      <c r="K565" s="6" t="s">
        <v>1622</v>
      </c>
      <c r="L565" s="6"/>
      <c r="M565" s="6" t="s">
        <v>1671</v>
      </c>
      <c r="N565" s="6" t="s">
        <v>1644</v>
      </c>
      <c r="O565" s="7">
        <f>SUMIFS('05_상품별배치367'!$K$7:$K$373,'05_상품별배치367'!$E$7:$E$373,A565,'05_상품별배치367'!$H$7:$H$373,"본진")</f>
        <v>0</v>
      </c>
      <c r="P565" s="7">
        <f>SUMIFS('05_상품별배치367'!$K$7:$K$373,'05_상품별배치367'!$E$7:$E$373,A565,'05_상품별배치367'!$H$7:$H$373,"추가 진열")</f>
        <v>0</v>
      </c>
      <c r="Q565" s="7">
        <f>O565+P565</f>
        <v>0</v>
      </c>
      <c r="R565" s="7">
        <v>0</v>
      </c>
      <c r="S565" s="6" t="s">
        <v>1672</v>
      </c>
      <c r="T565" s="6" t="s">
        <v>1637</v>
      </c>
      <c r="U565" s="6"/>
      <c r="V565" s="16"/>
      <c r="W565" s="16"/>
      <c r="X565" s="16"/>
      <c r="Y565" s="6" t="s">
        <v>1627</v>
      </c>
      <c r="Z565" s="15"/>
      <c r="AA565" s="15" t="s">
        <v>1628</v>
      </c>
    </row>
    <row r="566" spans="1:27" ht="33" customHeight="1">
      <c r="A566" s="6" t="s">
        <v>6031</v>
      </c>
      <c r="B566" s="7">
        <v>1963</v>
      </c>
      <c r="C566" s="6" t="s">
        <v>6032</v>
      </c>
      <c r="D566" s="6"/>
      <c r="E566" s="6" t="s">
        <v>1666</v>
      </c>
      <c r="F566" s="6" t="s">
        <v>1667</v>
      </c>
      <c r="G566" s="6" t="s">
        <v>1668</v>
      </c>
      <c r="H566" s="6"/>
      <c r="I566" s="14" t="s">
        <v>1669</v>
      </c>
      <c r="J566" s="15"/>
      <c r="K566" s="6" t="s">
        <v>1670</v>
      </c>
      <c r="L566" s="6" t="s">
        <v>2079</v>
      </c>
      <c r="M566" s="6" t="s">
        <v>1671</v>
      </c>
      <c r="N566" s="6" t="s">
        <v>1644</v>
      </c>
      <c r="O566" s="7">
        <f>SUMIFS('05_상품별배치367'!$K$7:$K$373,'05_상품별배치367'!$E$7:$E$373,A566,'05_상품별배치367'!$H$7:$H$373,"본진")</f>
        <v>0</v>
      </c>
      <c r="P566" s="7">
        <f>SUMIFS('05_상품별배치367'!$K$7:$K$373,'05_상품별배치367'!$E$7:$E$373,A566,'05_상품별배치367'!$H$7:$H$373,"추가 진열")</f>
        <v>0</v>
      </c>
      <c r="Q566" s="7">
        <f>O566+P566</f>
        <v>0</v>
      </c>
      <c r="R566" s="7">
        <v>0</v>
      </c>
      <c r="S566" s="6" t="s">
        <v>1672</v>
      </c>
      <c r="T566" s="6" t="s">
        <v>1637</v>
      </c>
      <c r="U566" s="6"/>
      <c r="V566" s="16"/>
      <c r="W566" s="16"/>
      <c r="X566" s="16"/>
      <c r="Y566" s="6" t="s">
        <v>5772</v>
      </c>
      <c r="Z566" s="15"/>
      <c r="AA566" s="15" t="s">
        <v>1628</v>
      </c>
    </row>
    <row r="567" spans="1:27" ht="33" customHeight="1">
      <c r="A567" s="6" t="s">
        <v>3142</v>
      </c>
      <c r="B567" s="7">
        <v>611</v>
      </c>
      <c r="C567" s="6" t="s">
        <v>3143</v>
      </c>
      <c r="D567" s="6" t="s">
        <v>2133</v>
      </c>
      <c r="E567" s="6" t="s">
        <v>2134</v>
      </c>
      <c r="F567" s="6" t="s">
        <v>1263</v>
      </c>
      <c r="G567" s="6" t="s">
        <v>376</v>
      </c>
      <c r="H567" s="6"/>
      <c r="I567" s="14" t="s">
        <v>1642</v>
      </c>
      <c r="J567" s="15"/>
      <c r="K567" s="6" t="s">
        <v>1976</v>
      </c>
      <c r="L567" s="6"/>
      <c r="M567" s="6" t="s">
        <v>1643</v>
      </c>
      <c r="N567" s="6" t="s">
        <v>1644</v>
      </c>
      <c r="O567" s="7">
        <f>SUMIFS('05_상품별배치367'!$K$7:$K$373,'05_상품별배치367'!$E$7:$E$373,A567,'05_상품별배치367'!$H$7:$H$373,"본진")</f>
        <v>0</v>
      </c>
      <c r="P567" s="7">
        <f>SUMIFS('05_상품별배치367'!$K$7:$K$373,'05_상품별배치367'!$E$7:$E$373,A567,'05_상품별배치367'!$H$7:$H$373,"추가 진열")</f>
        <v>0</v>
      </c>
      <c r="Q567" s="7">
        <f>O567+P567</f>
        <v>0</v>
      </c>
      <c r="R567" s="7">
        <v>1</v>
      </c>
      <c r="S567" s="6" t="s">
        <v>3016</v>
      </c>
      <c r="T567" s="6" t="s">
        <v>1637</v>
      </c>
      <c r="U567" s="6"/>
      <c r="V567" s="16"/>
      <c r="W567" s="16"/>
      <c r="X567" s="16"/>
      <c r="Y567" s="6" t="s">
        <v>1627</v>
      </c>
      <c r="Z567" s="15"/>
      <c r="AA567" s="15" t="s">
        <v>1628</v>
      </c>
    </row>
    <row r="568" spans="1:27" ht="33" customHeight="1">
      <c r="A568" s="8" t="s">
        <v>3144</v>
      </c>
      <c r="B568" s="9">
        <v>612</v>
      </c>
      <c r="C568" s="8" t="s">
        <v>3145</v>
      </c>
      <c r="D568" s="8" t="s">
        <v>2133</v>
      </c>
      <c r="E568" s="8" t="s">
        <v>2134</v>
      </c>
      <c r="F568" s="8" t="s">
        <v>842</v>
      </c>
      <c r="G568" s="8" t="s">
        <v>164</v>
      </c>
      <c r="H568" s="8"/>
      <c r="I568" s="14" t="s">
        <v>1642</v>
      </c>
      <c r="J568" s="15"/>
      <c r="K568" s="8" t="s">
        <v>1976</v>
      </c>
      <c r="L568" s="8"/>
      <c r="M568" s="6" t="s">
        <v>1643</v>
      </c>
      <c r="N568" s="6" t="s">
        <v>1644</v>
      </c>
      <c r="O568" s="7">
        <f>SUMIFS('05_상품별배치367'!$K$7:$K$373,'05_상품별배치367'!$E$7:$E$373,A568,'05_상품별배치367'!$H$7:$H$373,"본진")</f>
        <v>0</v>
      </c>
      <c r="P568" s="7">
        <f>SUMIFS('05_상품별배치367'!$K$7:$K$373,'05_상품별배치367'!$E$7:$E$373,A568,'05_상품별배치367'!$H$7:$H$373,"추가 진열")</f>
        <v>0</v>
      </c>
      <c r="Q568" s="7">
        <f>O568+P568</f>
        <v>0</v>
      </c>
      <c r="R568" s="7">
        <v>1</v>
      </c>
      <c r="S568" s="6" t="s">
        <v>3009</v>
      </c>
      <c r="T568" s="6" t="s">
        <v>1637</v>
      </c>
      <c r="U568" s="6"/>
      <c r="V568" s="16"/>
      <c r="W568" s="16"/>
      <c r="X568" s="16"/>
      <c r="Y568" s="6" t="s">
        <v>1627</v>
      </c>
      <c r="Z568" s="15"/>
      <c r="AA568" s="15" t="s">
        <v>1628</v>
      </c>
    </row>
    <row r="569" spans="1:27" ht="33" customHeight="1">
      <c r="A569" s="6" t="s">
        <v>3146</v>
      </c>
      <c r="B569" s="7">
        <v>613</v>
      </c>
      <c r="C569" s="6" t="s">
        <v>3147</v>
      </c>
      <c r="D569" s="6" t="s">
        <v>1851</v>
      </c>
      <c r="E569" s="6" t="s">
        <v>2134</v>
      </c>
      <c r="F569" s="6" t="s">
        <v>842</v>
      </c>
      <c r="G569" s="6" t="s">
        <v>164</v>
      </c>
      <c r="H569" s="6"/>
      <c r="I569" s="14" t="s">
        <v>1642</v>
      </c>
      <c r="J569" s="15"/>
      <c r="K569" s="6" t="s">
        <v>1976</v>
      </c>
      <c r="L569" s="6"/>
      <c r="M569" s="6" t="s">
        <v>1643</v>
      </c>
      <c r="N569" s="6" t="s">
        <v>1644</v>
      </c>
      <c r="O569" s="7">
        <f>SUMIFS('05_상품별배치367'!$K$7:$K$373,'05_상품별배치367'!$E$7:$E$373,A569,'05_상품별배치367'!$H$7:$H$373,"본진")</f>
        <v>0</v>
      </c>
      <c r="P569" s="7">
        <f>SUMIFS('05_상품별배치367'!$K$7:$K$373,'05_상품별배치367'!$E$7:$E$373,A569,'05_상품별배치367'!$H$7:$H$373,"추가 진열")</f>
        <v>0</v>
      </c>
      <c r="Q569" s="7">
        <f>O569+P569</f>
        <v>0</v>
      </c>
      <c r="R569" s="7">
        <v>1</v>
      </c>
      <c r="S569" s="6" t="s">
        <v>3009</v>
      </c>
      <c r="T569" s="6" t="s">
        <v>1637</v>
      </c>
      <c r="U569" s="6"/>
      <c r="V569" s="16"/>
      <c r="W569" s="16"/>
      <c r="X569" s="16"/>
      <c r="Y569" s="6" t="s">
        <v>1627</v>
      </c>
      <c r="Z569" s="15"/>
      <c r="AA569" s="15" t="s">
        <v>1628</v>
      </c>
    </row>
    <row r="570" spans="1:27" ht="33" customHeight="1">
      <c r="A570" s="8" t="s">
        <v>7189</v>
      </c>
      <c r="B570" s="9">
        <v>2498</v>
      </c>
      <c r="C570" s="8" t="s">
        <v>3147</v>
      </c>
      <c r="D570" s="8" t="s">
        <v>6669</v>
      </c>
      <c r="E570" s="8" t="s">
        <v>2134</v>
      </c>
      <c r="F570" s="8" t="s">
        <v>842</v>
      </c>
      <c r="G570" s="8" t="s">
        <v>164</v>
      </c>
      <c r="H570" s="8"/>
      <c r="I570" s="14" t="s">
        <v>1642</v>
      </c>
      <c r="J570" s="15"/>
      <c r="K570" s="8" t="s">
        <v>1976</v>
      </c>
      <c r="L570" s="8" t="s">
        <v>3828</v>
      </c>
      <c r="M570" s="6" t="s">
        <v>1643</v>
      </c>
      <c r="N570" s="6" t="s">
        <v>1644</v>
      </c>
      <c r="O570" s="7">
        <f>SUMIFS('05_상품별배치367'!$K$7:$K$373,'05_상품별배치367'!$E$7:$E$373,A570,'05_상품별배치367'!$H$7:$H$373,"본진")</f>
        <v>0</v>
      </c>
      <c r="P570" s="7">
        <f>SUMIFS('05_상품별배치367'!$K$7:$K$373,'05_상품별배치367'!$E$7:$E$373,A570,'05_상품별배치367'!$H$7:$H$373,"추가 진열")</f>
        <v>0</v>
      </c>
      <c r="Q570" s="7">
        <f>O570+P570</f>
        <v>0</v>
      </c>
      <c r="R570" s="7">
        <v>1</v>
      </c>
      <c r="S570" s="6" t="s">
        <v>7190</v>
      </c>
      <c r="T570" s="6" t="s">
        <v>1637</v>
      </c>
      <c r="U570" s="6" t="s">
        <v>3146</v>
      </c>
      <c r="V570" s="16"/>
      <c r="W570" s="16"/>
      <c r="X570" s="16"/>
      <c r="Y570" s="6" t="s">
        <v>1627</v>
      </c>
      <c r="Z570" s="15"/>
      <c r="AA570" s="15" t="s">
        <v>1628</v>
      </c>
    </row>
    <row r="571" spans="1:27" ht="33" customHeight="1">
      <c r="A571" s="8" t="s">
        <v>6927</v>
      </c>
      <c r="B571" s="9">
        <v>2374</v>
      </c>
      <c r="C571" s="8" t="s">
        <v>6928</v>
      </c>
      <c r="D571" s="8" t="s">
        <v>6929</v>
      </c>
      <c r="E571" s="8" t="s">
        <v>1641</v>
      </c>
      <c r="F571" s="8" t="s">
        <v>1691</v>
      </c>
      <c r="G571" s="8" t="s">
        <v>59</v>
      </c>
      <c r="H571" s="8"/>
      <c r="I571" s="14" t="s">
        <v>1642</v>
      </c>
      <c r="J571" s="15"/>
      <c r="K571" s="8" t="s">
        <v>1634</v>
      </c>
      <c r="L571" s="8" t="s">
        <v>3828</v>
      </c>
      <c r="M571" s="6" t="s">
        <v>1643</v>
      </c>
      <c r="N571" s="6" t="s">
        <v>1624</v>
      </c>
      <c r="O571" s="7">
        <f>SUMIFS('05_상품별배치367'!$K$7:$K$373,'05_상품별배치367'!$E$7:$E$373,A571,'05_상품별배치367'!$H$7:$H$373,"본진")</f>
        <v>0</v>
      </c>
      <c r="P571" s="7">
        <f>SUMIFS('05_상품별배치367'!$K$7:$K$373,'05_상품별배치367'!$E$7:$E$373,A571,'05_상품별배치367'!$H$7:$H$373,"추가 진열")</f>
        <v>0</v>
      </c>
      <c r="Q571" s="7">
        <f>O571+P571</f>
        <v>0</v>
      </c>
      <c r="R571" s="7">
        <v>1</v>
      </c>
      <c r="S571" s="6" t="s">
        <v>1721</v>
      </c>
      <c r="T571" s="6" t="s">
        <v>1637</v>
      </c>
      <c r="U571" s="6"/>
      <c r="V571" s="16"/>
      <c r="W571" s="16"/>
      <c r="X571" s="16"/>
      <c r="Y571" s="6" t="s">
        <v>1627</v>
      </c>
      <c r="Z571" s="15"/>
      <c r="AA571" s="15" t="s">
        <v>1628</v>
      </c>
    </row>
    <row r="572" spans="1:27" ht="33" customHeight="1">
      <c r="A572" s="8" t="s">
        <v>5640</v>
      </c>
      <c r="B572" s="9">
        <v>1780</v>
      </c>
      <c r="C572" s="8" t="s">
        <v>5641</v>
      </c>
      <c r="D572" s="8" t="s">
        <v>1937</v>
      </c>
      <c r="E572" s="8" t="s">
        <v>2134</v>
      </c>
      <c r="F572" s="8" t="s">
        <v>156</v>
      </c>
      <c r="G572" s="8" t="s">
        <v>3239</v>
      </c>
      <c r="H572" s="8"/>
      <c r="I572" s="14" t="s">
        <v>1642</v>
      </c>
      <c r="J572" s="15"/>
      <c r="K572" s="8" t="s">
        <v>1976</v>
      </c>
      <c r="L572" s="8"/>
      <c r="M572" s="6" t="s">
        <v>1643</v>
      </c>
      <c r="N572" s="6" t="s">
        <v>1644</v>
      </c>
      <c r="O572" s="7">
        <f>SUMIFS('05_상품별배치367'!$K$7:$K$373,'05_상품별배치367'!$E$7:$E$373,A572,'05_상품별배치367'!$H$7:$H$373,"본진")</f>
        <v>0</v>
      </c>
      <c r="P572" s="7">
        <f>SUMIFS('05_상품별배치367'!$K$7:$K$373,'05_상품별배치367'!$E$7:$E$373,A572,'05_상품별배치367'!$H$7:$H$373,"추가 진열")</f>
        <v>0</v>
      </c>
      <c r="Q572" s="7">
        <f>O572+P572</f>
        <v>0</v>
      </c>
      <c r="R572" s="7">
        <v>1</v>
      </c>
      <c r="S572" s="6" t="s">
        <v>3240</v>
      </c>
      <c r="T572" s="6" t="s">
        <v>1637</v>
      </c>
      <c r="U572" s="6"/>
      <c r="V572" s="16"/>
      <c r="W572" s="16"/>
      <c r="X572" s="16"/>
      <c r="Y572" s="6" t="s">
        <v>1627</v>
      </c>
      <c r="Z572" s="15"/>
      <c r="AA572" s="15" t="s">
        <v>1628</v>
      </c>
    </row>
    <row r="573" spans="1:27" ht="33" customHeight="1">
      <c r="A573" s="8" t="s">
        <v>5652</v>
      </c>
      <c r="B573" s="9">
        <v>1786</v>
      </c>
      <c r="C573" s="8" t="s">
        <v>5653</v>
      </c>
      <c r="D573" s="8" t="s">
        <v>2572</v>
      </c>
      <c r="E573" s="8" t="s">
        <v>2746</v>
      </c>
      <c r="F573" s="8" t="s">
        <v>3635</v>
      </c>
      <c r="G573" s="8" t="s">
        <v>1668</v>
      </c>
      <c r="H573" s="8"/>
      <c r="I573" s="14" t="s">
        <v>1669</v>
      </c>
      <c r="J573" s="15"/>
      <c r="K573" s="8" t="s">
        <v>2748</v>
      </c>
      <c r="L573" s="8"/>
      <c r="M573" s="6" t="s">
        <v>1671</v>
      </c>
      <c r="N573" s="6" t="s">
        <v>1644</v>
      </c>
      <c r="O573" s="7">
        <f>SUMIFS('05_상품별배치367'!$K$7:$K$373,'05_상품별배치367'!$E$7:$E$373,A573,'05_상품별배치367'!$H$7:$H$373,"본진")</f>
        <v>0</v>
      </c>
      <c r="P573" s="7">
        <f>SUMIFS('05_상품별배치367'!$K$7:$K$373,'05_상품별배치367'!$E$7:$E$373,A573,'05_상품별배치367'!$H$7:$H$373,"추가 진열")</f>
        <v>0</v>
      </c>
      <c r="Q573" s="7">
        <f>O573+P573</f>
        <v>0</v>
      </c>
      <c r="R573" s="7">
        <v>0</v>
      </c>
      <c r="S573" s="6" t="s">
        <v>1672</v>
      </c>
      <c r="T573" s="6" t="s">
        <v>1637</v>
      </c>
      <c r="U573" s="6"/>
      <c r="V573" s="16"/>
      <c r="W573" s="16"/>
      <c r="X573" s="16"/>
      <c r="Y573" s="6" t="s">
        <v>1627</v>
      </c>
      <c r="Z573" s="15"/>
      <c r="AA573" s="15" t="s">
        <v>1628</v>
      </c>
    </row>
    <row r="574" spans="1:27" ht="33" customHeight="1">
      <c r="A574" s="8" t="s">
        <v>5598</v>
      </c>
      <c r="B574" s="9">
        <v>1762</v>
      </c>
      <c r="C574" s="8" t="s">
        <v>5599</v>
      </c>
      <c r="D574" s="8" t="s">
        <v>1851</v>
      </c>
      <c r="E574" s="8" t="s">
        <v>2134</v>
      </c>
      <c r="F574" s="8" t="s">
        <v>1263</v>
      </c>
      <c r="G574" s="8" t="s">
        <v>376</v>
      </c>
      <c r="H574" s="8"/>
      <c r="I574" s="14" t="s">
        <v>1642</v>
      </c>
      <c r="J574" s="15"/>
      <c r="K574" s="8" t="s">
        <v>1976</v>
      </c>
      <c r="L574" s="8"/>
      <c r="M574" s="6" t="s">
        <v>1643</v>
      </c>
      <c r="N574" s="6" t="s">
        <v>1644</v>
      </c>
      <c r="O574" s="7">
        <f>SUMIFS('05_상품별배치367'!$K$7:$K$373,'05_상품별배치367'!$E$7:$E$373,A574,'05_상품별배치367'!$H$7:$H$373,"본진")</f>
        <v>0</v>
      </c>
      <c r="P574" s="7">
        <f>SUMIFS('05_상품별배치367'!$K$7:$K$373,'05_상품별배치367'!$E$7:$E$373,A574,'05_상품별배치367'!$H$7:$H$373,"추가 진열")</f>
        <v>0</v>
      </c>
      <c r="Q574" s="7">
        <f>O574+P574</f>
        <v>0</v>
      </c>
      <c r="R574" s="7">
        <v>1</v>
      </c>
      <c r="S574" s="6" t="s">
        <v>3016</v>
      </c>
      <c r="T574" s="6" t="s">
        <v>1637</v>
      </c>
      <c r="U574" s="6"/>
      <c r="V574" s="16"/>
      <c r="W574" s="16"/>
      <c r="X574" s="16"/>
      <c r="Y574" s="6" t="s">
        <v>1627</v>
      </c>
      <c r="Z574" s="15"/>
      <c r="AA574" s="15" t="s">
        <v>1628</v>
      </c>
    </row>
    <row r="575" spans="1:27" ht="33" customHeight="1">
      <c r="A575" s="6" t="s">
        <v>5600</v>
      </c>
      <c r="B575" s="7">
        <v>1763</v>
      </c>
      <c r="C575" s="6" t="s">
        <v>5601</v>
      </c>
      <c r="D575" s="6" t="s">
        <v>2572</v>
      </c>
      <c r="E575" s="6" t="s">
        <v>2134</v>
      </c>
      <c r="F575" s="6" t="s">
        <v>1263</v>
      </c>
      <c r="G575" s="6" t="s">
        <v>376</v>
      </c>
      <c r="H575" s="6"/>
      <c r="I575" s="14" t="s">
        <v>1642</v>
      </c>
      <c r="J575" s="15"/>
      <c r="K575" s="6" t="s">
        <v>1976</v>
      </c>
      <c r="L575" s="6"/>
      <c r="M575" s="6" t="s">
        <v>1643</v>
      </c>
      <c r="N575" s="6" t="s">
        <v>1644</v>
      </c>
      <c r="O575" s="7">
        <f>SUMIFS('05_상품별배치367'!$K$7:$K$373,'05_상품별배치367'!$E$7:$E$373,A575,'05_상품별배치367'!$H$7:$H$373,"본진")</f>
        <v>0</v>
      </c>
      <c r="P575" s="7">
        <f>SUMIFS('05_상품별배치367'!$K$7:$K$373,'05_상품별배치367'!$E$7:$E$373,A575,'05_상품별배치367'!$H$7:$H$373,"추가 진열")</f>
        <v>0</v>
      </c>
      <c r="Q575" s="7">
        <f>O575+P575</f>
        <v>0</v>
      </c>
      <c r="R575" s="7">
        <v>1</v>
      </c>
      <c r="S575" s="6" t="s">
        <v>3016</v>
      </c>
      <c r="T575" s="6" t="s">
        <v>1637</v>
      </c>
      <c r="U575" s="6"/>
      <c r="V575" s="16"/>
      <c r="W575" s="16"/>
      <c r="X575" s="16"/>
      <c r="Y575" s="6" t="s">
        <v>1627</v>
      </c>
      <c r="Z575" s="15"/>
      <c r="AA575" s="15" t="s">
        <v>1628</v>
      </c>
    </row>
    <row r="576" spans="1:27" ht="33" customHeight="1">
      <c r="A576" s="8" t="s">
        <v>5587</v>
      </c>
      <c r="B576" s="9">
        <v>1758</v>
      </c>
      <c r="C576" s="8" t="s">
        <v>5588</v>
      </c>
      <c r="D576" s="8" t="s">
        <v>5589</v>
      </c>
      <c r="E576" s="8" t="s">
        <v>2134</v>
      </c>
      <c r="F576" s="8" t="s">
        <v>2933</v>
      </c>
      <c r="G576" s="8" t="s">
        <v>1668</v>
      </c>
      <c r="H576" s="8"/>
      <c r="I576" s="14" t="s">
        <v>1807</v>
      </c>
      <c r="J576" s="15"/>
      <c r="K576" s="8" t="s">
        <v>1976</v>
      </c>
      <c r="L576" s="8" t="s">
        <v>2032</v>
      </c>
      <c r="M576" s="6" t="s">
        <v>1809</v>
      </c>
      <c r="N576" s="6" t="s">
        <v>1644</v>
      </c>
      <c r="O576" s="7">
        <f>SUMIFS('05_상품별배치367'!$K$7:$K$373,'05_상품별배치367'!$E$7:$E$373,A576,'05_상품별배치367'!$H$7:$H$373,"본진")</f>
        <v>0</v>
      </c>
      <c r="P576" s="7">
        <f>SUMIFS('05_상품별배치367'!$K$7:$K$373,'05_상품별배치367'!$E$7:$E$373,A576,'05_상품별배치367'!$H$7:$H$373,"추가 진열")</f>
        <v>0</v>
      </c>
      <c r="Q576" s="7">
        <f>O576+P576</f>
        <v>0</v>
      </c>
      <c r="R576" s="7">
        <v>0</v>
      </c>
      <c r="S576" s="6" t="s">
        <v>1810</v>
      </c>
      <c r="T576" s="6" t="s">
        <v>1637</v>
      </c>
      <c r="U576" s="6"/>
      <c r="V576" s="16"/>
      <c r="W576" s="16"/>
      <c r="X576" s="16"/>
      <c r="Y576" s="6" t="s">
        <v>1655</v>
      </c>
      <c r="Z576" s="15"/>
      <c r="AA576" s="15" t="s">
        <v>1628</v>
      </c>
    </row>
    <row r="577" spans="1:27" ht="33" customHeight="1">
      <c r="A577" s="6" t="s">
        <v>5590</v>
      </c>
      <c r="B577" s="7">
        <v>1759</v>
      </c>
      <c r="C577" s="6" t="s">
        <v>5591</v>
      </c>
      <c r="D577" s="6" t="s">
        <v>2572</v>
      </c>
      <c r="E577" s="6" t="s">
        <v>2134</v>
      </c>
      <c r="F577" s="6" t="s">
        <v>842</v>
      </c>
      <c r="G577" s="6" t="s">
        <v>164</v>
      </c>
      <c r="H577" s="6"/>
      <c r="I577" s="14" t="s">
        <v>1642</v>
      </c>
      <c r="J577" s="15"/>
      <c r="K577" s="6" t="s">
        <v>1976</v>
      </c>
      <c r="L577" s="6"/>
      <c r="M577" s="6" t="s">
        <v>1643</v>
      </c>
      <c r="N577" s="6" t="s">
        <v>1644</v>
      </c>
      <c r="O577" s="7">
        <f>SUMIFS('05_상품별배치367'!$K$7:$K$373,'05_상품별배치367'!$E$7:$E$373,A577,'05_상품별배치367'!$H$7:$H$373,"본진")</f>
        <v>0</v>
      </c>
      <c r="P577" s="7">
        <f>SUMIFS('05_상품별배치367'!$K$7:$K$373,'05_상품별배치367'!$E$7:$E$373,A577,'05_상품별배치367'!$H$7:$H$373,"추가 진열")</f>
        <v>0</v>
      </c>
      <c r="Q577" s="7">
        <f>O577+P577</f>
        <v>0</v>
      </c>
      <c r="R577" s="7">
        <v>1</v>
      </c>
      <c r="S577" s="6" t="s">
        <v>3009</v>
      </c>
      <c r="T577" s="6" t="s">
        <v>1637</v>
      </c>
      <c r="U577" s="6"/>
      <c r="V577" s="16"/>
      <c r="W577" s="16"/>
      <c r="X577" s="16"/>
      <c r="Y577" s="6" t="s">
        <v>1627</v>
      </c>
      <c r="Z577" s="15"/>
      <c r="AA577" s="15" t="s">
        <v>1628</v>
      </c>
    </row>
    <row r="578" spans="1:27" ht="33" customHeight="1">
      <c r="A578" s="8" t="s">
        <v>5592</v>
      </c>
      <c r="B578" s="9">
        <v>1760</v>
      </c>
      <c r="C578" s="8" t="s">
        <v>5593</v>
      </c>
      <c r="D578" s="8" t="s">
        <v>5594</v>
      </c>
      <c r="E578" s="8" t="s">
        <v>2134</v>
      </c>
      <c r="F578" s="8" t="s">
        <v>156</v>
      </c>
      <c r="G578" s="8" t="s">
        <v>3239</v>
      </c>
      <c r="H578" s="8"/>
      <c r="I578" s="14" t="s">
        <v>1642</v>
      </c>
      <c r="J578" s="15"/>
      <c r="K578" s="8" t="s">
        <v>1976</v>
      </c>
      <c r="L578" s="8"/>
      <c r="M578" s="6" t="s">
        <v>1643</v>
      </c>
      <c r="N578" s="6" t="s">
        <v>1644</v>
      </c>
      <c r="O578" s="7">
        <f>SUMIFS('05_상품별배치367'!$K$7:$K$373,'05_상품별배치367'!$E$7:$E$373,A578,'05_상품별배치367'!$H$7:$H$373,"본진")</f>
        <v>0</v>
      </c>
      <c r="P578" s="7">
        <f>SUMIFS('05_상품별배치367'!$K$7:$K$373,'05_상품별배치367'!$E$7:$E$373,A578,'05_상품별배치367'!$H$7:$H$373,"추가 진열")</f>
        <v>0</v>
      </c>
      <c r="Q578" s="7">
        <f>O578+P578</f>
        <v>0</v>
      </c>
      <c r="R578" s="7">
        <v>1</v>
      </c>
      <c r="S578" s="6" t="s">
        <v>3240</v>
      </c>
      <c r="T578" s="6" t="s">
        <v>1637</v>
      </c>
      <c r="U578" s="6"/>
      <c r="V578" s="16"/>
      <c r="W578" s="16"/>
      <c r="X578" s="16"/>
      <c r="Y578" s="6" t="s">
        <v>1655</v>
      </c>
      <c r="Z578" s="15"/>
      <c r="AA578" s="15" t="s">
        <v>1628</v>
      </c>
    </row>
    <row r="579" spans="1:27" ht="33" customHeight="1">
      <c r="A579" s="6" t="s">
        <v>5604</v>
      </c>
      <c r="B579" s="7">
        <v>1765</v>
      </c>
      <c r="C579" s="6" t="s">
        <v>5605</v>
      </c>
      <c r="D579" s="6" t="s">
        <v>2133</v>
      </c>
      <c r="E579" s="6" t="s">
        <v>2134</v>
      </c>
      <c r="F579" s="6" t="s">
        <v>1263</v>
      </c>
      <c r="G579" s="6" t="s">
        <v>376</v>
      </c>
      <c r="H579" s="6"/>
      <c r="I579" s="14" t="s">
        <v>1642</v>
      </c>
      <c r="J579" s="15"/>
      <c r="K579" s="6" t="s">
        <v>1976</v>
      </c>
      <c r="L579" s="6"/>
      <c r="M579" s="6" t="s">
        <v>1643</v>
      </c>
      <c r="N579" s="6" t="s">
        <v>1644</v>
      </c>
      <c r="O579" s="7">
        <f>SUMIFS('05_상품별배치367'!$K$7:$K$373,'05_상품별배치367'!$E$7:$E$373,A579,'05_상품별배치367'!$H$7:$H$373,"본진")</f>
        <v>0</v>
      </c>
      <c r="P579" s="7">
        <f>SUMIFS('05_상품별배치367'!$K$7:$K$373,'05_상품별배치367'!$E$7:$E$373,A579,'05_상품별배치367'!$H$7:$H$373,"추가 진열")</f>
        <v>0</v>
      </c>
      <c r="Q579" s="7">
        <f>O579+P579</f>
        <v>0</v>
      </c>
      <c r="R579" s="7">
        <v>1</v>
      </c>
      <c r="S579" s="6" t="s">
        <v>3016</v>
      </c>
      <c r="T579" s="6" t="s">
        <v>1637</v>
      </c>
      <c r="U579" s="6"/>
      <c r="V579" s="16"/>
      <c r="W579" s="16"/>
      <c r="X579" s="16"/>
      <c r="Y579" s="6" t="s">
        <v>1627</v>
      </c>
      <c r="Z579" s="15"/>
      <c r="AA579" s="15" t="s">
        <v>1628</v>
      </c>
    </row>
    <row r="580" spans="1:27" ht="33" customHeight="1">
      <c r="A580" s="8" t="s">
        <v>5606</v>
      </c>
      <c r="B580" s="9">
        <v>1766</v>
      </c>
      <c r="C580" s="8" t="s">
        <v>5607</v>
      </c>
      <c r="D580" s="8" t="s">
        <v>3608</v>
      </c>
      <c r="E580" s="8" t="s">
        <v>2134</v>
      </c>
      <c r="F580" s="8" t="s">
        <v>1081</v>
      </c>
      <c r="G580" s="8" t="s">
        <v>290</v>
      </c>
      <c r="H580" s="8"/>
      <c r="I580" s="14" t="s">
        <v>1642</v>
      </c>
      <c r="J580" s="15"/>
      <c r="K580" s="8" t="s">
        <v>1976</v>
      </c>
      <c r="L580" s="8"/>
      <c r="M580" s="6" t="s">
        <v>1643</v>
      </c>
      <c r="N580" s="6" t="s">
        <v>1644</v>
      </c>
      <c r="O580" s="7">
        <f>SUMIFS('05_상품별배치367'!$K$7:$K$373,'05_상품별배치367'!$E$7:$E$373,A580,'05_상품별배치367'!$H$7:$H$373,"본진")</f>
        <v>0</v>
      </c>
      <c r="P580" s="7">
        <f>SUMIFS('05_상품별배치367'!$K$7:$K$373,'05_상품별배치367'!$E$7:$E$373,A580,'05_상품별배치367'!$H$7:$H$373,"추가 진열")</f>
        <v>0</v>
      </c>
      <c r="Q580" s="7">
        <f>O580+P580</f>
        <v>0</v>
      </c>
      <c r="R580" s="7">
        <v>1</v>
      </c>
      <c r="S580" s="6" t="s">
        <v>2135</v>
      </c>
      <c r="T580" s="6" t="s">
        <v>1637</v>
      </c>
      <c r="U580" s="6"/>
      <c r="V580" s="16"/>
      <c r="W580" s="16"/>
      <c r="X580" s="16"/>
      <c r="Y580" s="6" t="s">
        <v>1627</v>
      </c>
      <c r="Z580" s="15"/>
      <c r="AA580" s="15" t="s">
        <v>1628</v>
      </c>
    </row>
    <row r="581" spans="1:27" ht="33" customHeight="1">
      <c r="A581" s="6" t="s">
        <v>5608</v>
      </c>
      <c r="B581" s="7">
        <v>1767</v>
      </c>
      <c r="C581" s="6" t="s">
        <v>5609</v>
      </c>
      <c r="D581" s="6" t="s">
        <v>5610</v>
      </c>
      <c r="E581" s="6" t="s">
        <v>2134</v>
      </c>
      <c r="F581" s="6" t="s">
        <v>1081</v>
      </c>
      <c r="G581" s="6" t="s">
        <v>290</v>
      </c>
      <c r="H581" s="6"/>
      <c r="I581" s="14" t="s">
        <v>1642</v>
      </c>
      <c r="J581" s="15"/>
      <c r="K581" s="6" t="s">
        <v>1976</v>
      </c>
      <c r="L581" s="6"/>
      <c r="M581" s="6" t="s">
        <v>1643</v>
      </c>
      <c r="N581" s="6" t="s">
        <v>1644</v>
      </c>
      <c r="O581" s="7">
        <f>SUMIFS('05_상품별배치367'!$K$7:$K$373,'05_상품별배치367'!$E$7:$E$373,A581,'05_상품별배치367'!$H$7:$H$373,"본진")</f>
        <v>0</v>
      </c>
      <c r="P581" s="7">
        <f>SUMIFS('05_상품별배치367'!$K$7:$K$373,'05_상품별배치367'!$E$7:$E$373,A581,'05_상품별배치367'!$H$7:$H$373,"추가 진열")</f>
        <v>0</v>
      </c>
      <c r="Q581" s="7">
        <f>O581+P581</f>
        <v>0</v>
      </c>
      <c r="R581" s="7">
        <v>1</v>
      </c>
      <c r="S581" s="6" t="s">
        <v>2135</v>
      </c>
      <c r="T581" s="6" t="s">
        <v>1637</v>
      </c>
      <c r="U581" s="6"/>
      <c r="V581" s="16"/>
      <c r="W581" s="16"/>
      <c r="X581" s="16"/>
      <c r="Y581" s="6" t="s">
        <v>1655</v>
      </c>
      <c r="Z581" s="15"/>
      <c r="AA581" s="15" t="s">
        <v>1628</v>
      </c>
    </row>
    <row r="582" spans="1:27" ht="33" customHeight="1">
      <c r="A582" s="8" t="s">
        <v>5602</v>
      </c>
      <c r="B582" s="9">
        <v>1764</v>
      </c>
      <c r="C582" s="8" t="s">
        <v>5603</v>
      </c>
      <c r="D582" s="8" t="s">
        <v>2845</v>
      </c>
      <c r="E582" s="8" t="s">
        <v>2134</v>
      </c>
      <c r="F582" s="8" t="s">
        <v>162</v>
      </c>
      <c r="G582" s="8" t="s">
        <v>404</v>
      </c>
      <c r="H582" s="8"/>
      <c r="I582" s="14" t="s">
        <v>1642</v>
      </c>
      <c r="J582" s="15"/>
      <c r="K582" s="8" t="s">
        <v>1976</v>
      </c>
      <c r="L582" s="8"/>
      <c r="M582" s="6" t="s">
        <v>1643</v>
      </c>
      <c r="N582" s="6" t="s">
        <v>1644</v>
      </c>
      <c r="O582" s="7">
        <f>SUMIFS('05_상품별배치367'!$K$7:$K$373,'05_상품별배치367'!$E$7:$E$373,A582,'05_상품별배치367'!$H$7:$H$373,"본진")</f>
        <v>0</v>
      </c>
      <c r="P582" s="7">
        <f>SUMIFS('05_상품별배치367'!$K$7:$K$373,'05_상품별배치367'!$E$7:$E$373,A582,'05_상품별배치367'!$H$7:$H$373,"추가 진열")</f>
        <v>0</v>
      </c>
      <c r="Q582" s="7">
        <f>O582+P582</f>
        <v>0</v>
      </c>
      <c r="R582" s="7">
        <v>1</v>
      </c>
      <c r="S582" s="6" t="s">
        <v>2996</v>
      </c>
      <c r="T582" s="6" t="s">
        <v>1637</v>
      </c>
      <c r="U582" s="6"/>
      <c r="V582" s="16"/>
      <c r="W582" s="16"/>
      <c r="X582" s="16"/>
      <c r="Y582" s="6" t="s">
        <v>1627</v>
      </c>
      <c r="Z582" s="15"/>
      <c r="AA582" s="15" t="s">
        <v>1628</v>
      </c>
    </row>
    <row r="583" spans="1:27" ht="33" customHeight="1">
      <c r="A583" s="8" t="s">
        <v>5611</v>
      </c>
      <c r="B583" s="9">
        <v>1768</v>
      </c>
      <c r="C583" s="8" t="s">
        <v>5612</v>
      </c>
      <c r="D583" s="8" t="s">
        <v>5613</v>
      </c>
      <c r="E583" s="8" t="s">
        <v>2134</v>
      </c>
      <c r="F583" s="8" t="s">
        <v>162</v>
      </c>
      <c r="G583" s="8" t="s">
        <v>404</v>
      </c>
      <c r="H583" s="8"/>
      <c r="I583" s="14" t="s">
        <v>1642</v>
      </c>
      <c r="J583" s="15"/>
      <c r="K583" s="8" t="s">
        <v>1976</v>
      </c>
      <c r="L583" s="8"/>
      <c r="M583" s="6" t="s">
        <v>1643</v>
      </c>
      <c r="N583" s="6" t="s">
        <v>1644</v>
      </c>
      <c r="O583" s="7">
        <f>SUMIFS('05_상품별배치367'!$K$7:$K$373,'05_상품별배치367'!$E$7:$E$373,A583,'05_상품별배치367'!$H$7:$H$373,"본진")</f>
        <v>0</v>
      </c>
      <c r="P583" s="7">
        <f>SUMIFS('05_상품별배치367'!$K$7:$K$373,'05_상품별배치367'!$E$7:$E$373,A583,'05_상품별배치367'!$H$7:$H$373,"추가 진열")</f>
        <v>0</v>
      </c>
      <c r="Q583" s="7">
        <f>O583+P583</f>
        <v>0</v>
      </c>
      <c r="R583" s="7">
        <v>1</v>
      </c>
      <c r="S583" s="6" t="s">
        <v>2996</v>
      </c>
      <c r="T583" s="6" t="s">
        <v>1637</v>
      </c>
      <c r="U583" s="6"/>
      <c r="V583" s="16"/>
      <c r="W583" s="16"/>
      <c r="X583" s="16"/>
      <c r="Y583" s="6" t="s">
        <v>1627</v>
      </c>
      <c r="Z583" s="15"/>
      <c r="AA583" s="15" t="s">
        <v>1628</v>
      </c>
    </row>
    <row r="584" spans="1:27" ht="33" customHeight="1">
      <c r="A584" s="8" t="s">
        <v>5616</v>
      </c>
      <c r="B584" s="9">
        <v>1770</v>
      </c>
      <c r="C584" s="8" t="s">
        <v>5617</v>
      </c>
      <c r="D584" s="8" t="s">
        <v>5618</v>
      </c>
      <c r="E584" s="8" t="s">
        <v>2134</v>
      </c>
      <c r="F584" s="8" t="s">
        <v>161</v>
      </c>
      <c r="G584" s="8" t="s">
        <v>395</v>
      </c>
      <c r="H584" s="8"/>
      <c r="I584" s="14" t="s">
        <v>1642</v>
      </c>
      <c r="J584" s="15"/>
      <c r="K584" s="8" t="s">
        <v>1976</v>
      </c>
      <c r="L584" s="8"/>
      <c r="M584" s="6" t="s">
        <v>1643</v>
      </c>
      <c r="N584" s="6" t="s">
        <v>1644</v>
      </c>
      <c r="O584" s="7">
        <f>SUMIFS('05_상품별배치367'!$K$7:$K$373,'05_상품별배치367'!$E$7:$E$373,A584,'05_상품별배치367'!$H$7:$H$373,"본진")</f>
        <v>0</v>
      </c>
      <c r="P584" s="7">
        <f>SUMIFS('05_상품별배치367'!$K$7:$K$373,'05_상품별배치367'!$E$7:$E$373,A584,'05_상품별배치367'!$H$7:$H$373,"추가 진열")</f>
        <v>0</v>
      </c>
      <c r="Q584" s="7">
        <f>O584+P584</f>
        <v>0</v>
      </c>
      <c r="R584" s="7">
        <v>1</v>
      </c>
      <c r="S584" s="6" t="s">
        <v>3070</v>
      </c>
      <c r="T584" s="6" t="s">
        <v>1637</v>
      </c>
      <c r="U584" s="6"/>
      <c r="V584" s="16"/>
      <c r="W584" s="16"/>
      <c r="X584" s="16"/>
      <c r="Y584" s="6" t="s">
        <v>1627</v>
      </c>
      <c r="Z584" s="15"/>
      <c r="AA584" s="15" t="s">
        <v>1628</v>
      </c>
    </row>
    <row r="585" spans="1:27" ht="33" customHeight="1">
      <c r="A585" s="6" t="s">
        <v>5614</v>
      </c>
      <c r="B585" s="7">
        <v>1769</v>
      </c>
      <c r="C585" s="6" t="s">
        <v>5615</v>
      </c>
      <c r="D585" s="6" t="s">
        <v>2133</v>
      </c>
      <c r="E585" s="6" t="s">
        <v>2134</v>
      </c>
      <c r="F585" s="6" t="s">
        <v>162</v>
      </c>
      <c r="G585" s="6" t="s">
        <v>404</v>
      </c>
      <c r="H585" s="6"/>
      <c r="I585" s="14" t="s">
        <v>1642</v>
      </c>
      <c r="J585" s="15"/>
      <c r="K585" s="6" t="s">
        <v>1976</v>
      </c>
      <c r="L585" s="6"/>
      <c r="M585" s="6" t="s">
        <v>1643</v>
      </c>
      <c r="N585" s="6" t="s">
        <v>1644</v>
      </c>
      <c r="O585" s="7">
        <f>SUMIFS('05_상품별배치367'!$K$7:$K$373,'05_상품별배치367'!$E$7:$E$373,A585,'05_상품별배치367'!$H$7:$H$373,"본진")</f>
        <v>0</v>
      </c>
      <c r="P585" s="7">
        <f>SUMIFS('05_상품별배치367'!$K$7:$K$373,'05_상품별배치367'!$E$7:$E$373,A585,'05_상품별배치367'!$H$7:$H$373,"추가 진열")</f>
        <v>0</v>
      </c>
      <c r="Q585" s="7">
        <f>O585+P585</f>
        <v>0</v>
      </c>
      <c r="R585" s="7">
        <v>1</v>
      </c>
      <c r="S585" s="6" t="s">
        <v>2996</v>
      </c>
      <c r="T585" s="6" t="s">
        <v>1637</v>
      </c>
      <c r="U585" s="6"/>
      <c r="V585" s="16"/>
      <c r="W585" s="16"/>
      <c r="X585" s="16"/>
      <c r="Y585" s="6" t="s">
        <v>1627</v>
      </c>
      <c r="Z585" s="15"/>
      <c r="AA585" s="15" t="s">
        <v>1628</v>
      </c>
    </row>
    <row r="586" spans="1:27" ht="33" customHeight="1">
      <c r="A586" s="6" t="s">
        <v>5619</v>
      </c>
      <c r="B586" s="7">
        <v>1771</v>
      </c>
      <c r="C586" s="6" t="s">
        <v>5620</v>
      </c>
      <c r="D586" s="6" t="s">
        <v>5621</v>
      </c>
      <c r="E586" s="6" t="s">
        <v>2134</v>
      </c>
      <c r="F586" s="6" t="s">
        <v>481</v>
      </c>
      <c r="G586" s="6" t="s">
        <v>193</v>
      </c>
      <c r="H586" s="6"/>
      <c r="I586" s="14" t="s">
        <v>1642</v>
      </c>
      <c r="J586" s="15"/>
      <c r="K586" s="6" t="s">
        <v>1976</v>
      </c>
      <c r="L586" s="6"/>
      <c r="M586" s="6" t="s">
        <v>1643</v>
      </c>
      <c r="N586" s="6" t="s">
        <v>1644</v>
      </c>
      <c r="O586" s="7">
        <f>SUMIFS('05_상품별배치367'!$K$7:$K$373,'05_상품별배치367'!$E$7:$E$373,A586,'05_상품별배치367'!$H$7:$H$373,"본진")</f>
        <v>0</v>
      </c>
      <c r="P586" s="7">
        <f>SUMIFS('05_상품별배치367'!$K$7:$K$373,'05_상품별배치367'!$E$7:$E$373,A586,'05_상품별배치367'!$H$7:$H$373,"추가 진열")</f>
        <v>0</v>
      </c>
      <c r="Q586" s="7">
        <f>O586+P586</f>
        <v>0</v>
      </c>
      <c r="R586" s="7">
        <v>1</v>
      </c>
      <c r="S586" s="6" t="s">
        <v>3000</v>
      </c>
      <c r="T586" s="6" t="s">
        <v>1637</v>
      </c>
      <c r="U586" s="6"/>
      <c r="V586" s="16"/>
      <c r="W586" s="16"/>
      <c r="X586" s="16"/>
      <c r="Y586" s="6" t="s">
        <v>1655</v>
      </c>
      <c r="Z586" s="15"/>
      <c r="AA586" s="15" t="s">
        <v>1628</v>
      </c>
    </row>
    <row r="587" spans="1:27" ht="33" customHeight="1">
      <c r="A587" s="8" t="s">
        <v>5648</v>
      </c>
      <c r="B587" s="9">
        <v>1784</v>
      </c>
      <c r="C587" s="8" t="s">
        <v>5649</v>
      </c>
      <c r="D587" s="8" t="s">
        <v>2701</v>
      </c>
      <c r="E587" s="8" t="s">
        <v>1695</v>
      </c>
      <c r="F587" s="8" t="s">
        <v>2846</v>
      </c>
      <c r="G587" s="8" t="s">
        <v>1668</v>
      </c>
      <c r="H587" s="8"/>
      <c r="I587" s="14" t="s">
        <v>1669</v>
      </c>
      <c r="J587" s="15"/>
      <c r="K587" s="8" t="s">
        <v>1696</v>
      </c>
      <c r="L587" s="8"/>
      <c r="M587" s="6" t="s">
        <v>1671</v>
      </c>
      <c r="N587" s="6" t="s">
        <v>1644</v>
      </c>
      <c r="O587" s="7">
        <f>SUMIFS('05_상품별배치367'!$K$7:$K$373,'05_상품별배치367'!$E$7:$E$373,A587,'05_상품별배치367'!$H$7:$H$373,"본진")</f>
        <v>0</v>
      </c>
      <c r="P587" s="7">
        <f>SUMIFS('05_상품별배치367'!$K$7:$K$373,'05_상품별배치367'!$E$7:$E$373,A587,'05_상품별배치367'!$H$7:$H$373,"추가 진열")</f>
        <v>0</v>
      </c>
      <c r="Q587" s="7">
        <f>O587+P587</f>
        <v>0</v>
      </c>
      <c r="R587" s="7">
        <v>0</v>
      </c>
      <c r="S587" s="6" t="s">
        <v>1672</v>
      </c>
      <c r="T587" s="6" t="s">
        <v>1637</v>
      </c>
      <c r="U587" s="6"/>
      <c r="V587" s="16"/>
      <c r="W587" s="16"/>
      <c r="X587" s="16"/>
      <c r="Y587" s="6" t="s">
        <v>1627</v>
      </c>
      <c r="Z587" s="15"/>
      <c r="AA587" s="15" t="s">
        <v>1628</v>
      </c>
    </row>
    <row r="588" spans="1:27" ht="33" customHeight="1">
      <c r="A588" s="6" t="s">
        <v>5646</v>
      </c>
      <c r="B588" s="7">
        <v>1783</v>
      </c>
      <c r="C588" s="6" t="s">
        <v>5647</v>
      </c>
      <c r="D588" s="6" t="s">
        <v>2701</v>
      </c>
      <c r="E588" s="6" t="s">
        <v>1695</v>
      </c>
      <c r="F588" s="6" t="s">
        <v>1129</v>
      </c>
      <c r="G588" s="6" t="s">
        <v>307</v>
      </c>
      <c r="H588" s="6"/>
      <c r="I588" s="14" t="s">
        <v>1642</v>
      </c>
      <c r="J588" s="15"/>
      <c r="K588" s="6" t="s">
        <v>1696</v>
      </c>
      <c r="L588" s="6"/>
      <c r="M588" s="6" t="s">
        <v>1643</v>
      </c>
      <c r="N588" s="6" t="s">
        <v>1644</v>
      </c>
      <c r="O588" s="7">
        <f>SUMIFS('05_상품별배치367'!$K$7:$K$373,'05_상품별배치367'!$E$7:$E$373,A588,'05_상품별배치367'!$H$7:$H$373,"본진")</f>
        <v>0</v>
      </c>
      <c r="P588" s="7">
        <f>SUMIFS('05_상품별배치367'!$K$7:$K$373,'05_상품별배치367'!$E$7:$E$373,A588,'05_상품별배치367'!$H$7:$H$373,"추가 진열")</f>
        <v>0</v>
      </c>
      <c r="Q588" s="7">
        <f>O588+P588</f>
        <v>0</v>
      </c>
      <c r="R588" s="7">
        <v>1</v>
      </c>
      <c r="S588" s="6" t="s">
        <v>2850</v>
      </c>
      <c r="T588" s="6" t="s">
        <v>1637</v>
      </c>
      <c r="U588" s="6"/>
      <c r="V588" s="16"/>
      <c r="W588" s="16"/>
      <c r="X588" s="16"/>
      <c r="Y588" s="6" t="s">
        <v>1627</v>
      </c>
      <c r="Z588" s="15"/>
      <c r="AA588" s="15" t="s">
        <v>1628</v>
      </c>
    </row>
    <row r="589" spans="1:27" ht="33" customHeight="1">
      <c r="A589" s="8" t="s">
        <v>5627</v>
      </c>
      <c r="B589" s="9">
        <v>1774</v>
      </c>
      <c r="C589" s="8" t="s">
        <v>5628</v>
      </c>
      <c r="D589" s="8" t="s">
        <v>2133</v>
      </c>
      <c r="E589" s="8" t="s">
        <v>2134</v>
      </c>
      <c r="F589" s="8" t="s">
        <v>2933</v>
      </c>
      <c r="G589" s="8" t="s">
        <v>1668</v>
      </c>
      <c r="H589" s="8"/>
      <c r="I589" s="14" t="s">
        <v>1807</v>
      </c>
      <c r="J589" s="15"/>
      <c r="K589" s="8" t="s">
        <v>1976</v>
      </c>
      <c r="L589" s="8" t="s">
        <v>2032</v>
      </c>
      <c r="M589" s="6" t="s">
        <v>1809</v>
      </c>
      <c r="N589" s="6" t="s">
        <v>1644</v>
      </c>
      <c r="O589" s="7">
        <f>SUMIFS('05_상품별배치367'!$K$7:$K$373,'05_상품별배치367'!$E$7:$E$373,A589,'05_상품별배치367'!$H$7:$H$373,"본진")</f>
        <v>0</v>
      </c>
      <c r="P589" s="7">
        <f>SUMIFS('05_상품별배치367'!$K$7:$K$373,'05_상품별배치367'!$E$7:$E$373,A589,'05_상품별배치367'!$H$7:$H$373,"추가 진열")</f>
        <v>0</v>
      </c>
      <c r="Q589" s="7">
        <f>O589+P589</f>
        <v>0</v>
      </c>
      <c r="R589" s="7">
        <v>0</v>
      </c>
      <c r="S589" s="6" t="s">
        <v>1810</v>
      </c>
      <c r="T589" s="6" t="s">
        <v>1637</v>
      </c>
      <c r="U589" s="6"/>
      <c r="V589" s="16"/>
      <c r="W589" s="16"/>
      <c r="X589" s="16"/>
      <c r="Y589" s="6" t="s">
        <v>1627</v>
      </c>
      <c r="Z589" s="15"/>
      <c r="AA589" s="15" t="s">
        <v>1628</v>
      </c>
    </row>
    <row r="590" spans="1:27" ht="33" customHeight="1">
      <c r="A590" s="6" t="s">
        <v>5629</v>
      </c>
      <c r="B590" s="7">
        <v>1775</v>
      </c>
      <c r="C590" s="6" t="s">
        <v>5630</v>
      </c>
      <c r="D590" s="6" t="s">
        <v>2572</v>
      </c>
      <c r="E590" s="6" t="s">
        <v>2134</v>
      </c>
      <c r="F590" s="6" t="s">
        <v>161</v>
      </c>
      <c r="G590" s="6" t="s">
        <v>395</v>
      </c>
      <c r="H590" s="6"/>
      <c r="I590" s="14" t="s">
        <v>1642</v>
      </c>
      <c r="J590" s="15"/>
      <c r="K590" s="6" t="s">
        <v>1976</v>
      </c>
      <c r="L590" s="6"/>
      <c r="M590" s="6" t="s">
        <v>1643</v>
      </c>
      <c r="N590" s="6" t="s">
        <v>1644</v>
      </c>
      <c r="O590" s="7">
        <f>SUMIFS('05_상품별배치367'!$K$7:$K$373,'05_상품별배치367'!$E$7:$E$373,A590,'05_상품별배치367'!$H$7:$H$373,"본진")</f>
        <v>0</v>
      </c>
      <c r="P590" s="7">
        <f>SUMIFS('05_상품별배치367'!$K$7:$K$373,'05_상품별배치367'!$E$7:$E$373,A590,'05_상품별배치367'!$H$7:$H$373,"추가 진열")</f>
        <v>0</v>
      </c>
      <c r="Q590" s="7">
        <f>O590+P590</f>
        <v>0</v>
      </c>
      <c r="R590" s="7">
        <v>1</v>
      </c>
      <c r="S590" s="6" t="s">
        <v>3070</v>
      </c>
      <c r="T590" s="6" t="s">
        <v>1637</v>
      </c>
      <c r="U590" s="6"/>
      <c r="V590" s="16"/>
      <c r="W590" s="16"/>
      <c r="X590" s="16"/>
      <c r="Y590" s="6" t="s">
        <v>1627</v>
      </c>
      <c r="Z590" s="15"/>
      <c r="AA590" s="15" t="s">
        <v>1628</v>
      </c>
    </row>
    <row r="591" spans="1:27" ht="33" customHeight="1">
      <c r="A591" s="6" t="s">
        <v>5624</v>
      </c>
      <c r="B591" s="7">
        <v>1773</v>
      </c>
      <c r="C591" s="6" t="s">
        <v>5625</v>
      </c>
      <c r="D591" s="6" t="s">
        <v>5626</v>
      </c>
      <c r="E591" s="6" t="s">
        <v>2134</v>
      </c>
      <c r="F591" s="6" t="s">
        <v>2933</v>
      </c>
      <c r="G591" s="6" t="s">
        <v>1668</v>
      </c>
      <c r="H591" s="6"/>
      <c r="I591" s="14" t="s">
        <v>1807</v>
      </c>
      <c r="J591" s="15"/>
      <c r="K591" s="6" t="s">
        <v>1976</v>
      </c>
      <c r="L591" s="6" t="s">
        <v>2032</v>
      </c>
      <c r="M591" s="6" t="s">
        <v>1809</v>
      </c>
      <c r="N591" s="6" t="s">
        <v>1644</v>
      </c>
      <c r="O591" s="7">
        <f>SUMIFS('05_상품별배치367'!$K$7:$K$373,'05_상품별배치367'!$E$7:$E$373,A591,'05_상품별배치367'!$H$7:$H$373,"본진")</f>
        <v>0</v>
      </c>
      <c r="P591" s="7">
        <f>SUMIFS('05_상품별배치367'!$K$7:$K$373,'05_상품별배치367'!$E$7:$E$373,A591,'05_상품별배치367'!$H$7:$H$373,"추가 진열")</f>
        <v>0</v>
      </c>
      <c r="Q591" s="7">
        <f>O591+P591</f>
        <v>0</v>
      </c>
      <c r="R591" s="7">
        <v>0</v>
      </c>
      <c r="S591" s="6" t="s">
        <v>1810</v>
      </c>
      <c r="T591" s="6" t="s">
        <v>1637</v>
      </c>
      <c r="U591" s="6"/>
      <c r="V591" s="16"/>
      <c r="W591" s="16"/>
      <c r="X591" s="16"/>
      <c r="Y591" s="6" t="s">
        <v>1655</v>
      </c>
      <c r="Z591" s="15"/>
      <c r="AA591" s="15" t="s">
        <v>1628</v>
      </c>
    </row>
    <row r="592" spans="1:27" ht="33" customHeight="1">
      <c r="A592" s="8" t="s">
        <v>5622</v>
      </c>
      <c r="B592" s="9">
        <v>1772</v>
      </c>
      <c r="C592" s="8" t="s">
        <v>5623</v>
      </c>
      <c r="D592" s="8" t="s">
        <v>5613</v>
      </c>
      <c r="E592" s="8" t="s">
        <v>2134</v>
      </c>
      <c r="F592" s="8" t="s">
        <v>163</v>
      </c>
      <c r="G592" s="8" t="s">
        <v>414</v>
      </c>
      <c r="H592" s="8"/>
      <c r="I592" s="14" t="s">
        <v>1642</v>
      </c>
      <c r="J592" s="15"/>
      <c r="K592" s="8" t="s">
        <v>1976</v>
      </c>
      <c r="L592" s="8"/>
      <c r="M592" s="6" t="s">
        <v>1643</v>
      </c>
      <c r="N592" s="6" t="s">
        <v>1644</v>
      </c>
      <c r="O592" s="7">
        <f>SUMIFS('05_상품별배치367'!$K$7:$K$373,'05_상품별배치367'!$E$7:$E$373,A592,'05_상품별배치367'!$H$7:$H$373,"본진")</f>
        <v>0</v>
      </c>
      <c r="P592" s="7">
        <f>SUMIFS('05_상품별배치367'!$K$7:$K$373,'05_상품별배치367'!$E$7:$E$373,A592,'05_상품별배치367'!$H$7:$H$373,"추가 진열")</f>
        <v>0</v>
      </c>
      <c r="Q592" s="7">
        <f>O592+P592</f>
        <v>0</v>
      </c>
      <c r="R592" s="7">
        <v>1</v>
      </c>
      <c r="S592" s="6" t="s">
        <v>3048</v>
      </c>
      <c r="T592" s="6" t="s">
        <v>1637</v>
      </c>
      <c r="U592" s="6"/>
      <c r="V592" s="16"/>
      <c r="W592" s="16"/>
      <c r="X592" s="16"/>
      <c r="Y592" s="6" t="s">
        <v>1627</v>
      </c>
      <c r="Z592" s="15"/>
      <c r="AA592" s="15" t="s">
        <v>1628</v>
      </c>
    </row>
    <row r="593" spans="1:27" ht="33" customHeight="1">
      <c r="A593" s="6" t="s">
        <v>5642</v>
      </c>
      <c r="B593" s="7">
        <v>1781</v>
      </c>
      <c r="C593" s="6" t="s">
        <v>5643</v>
      </c>
      <c r="D593" s="6" t="s">
        <v>1931</v>
      </c>
      <c r="E593" s="6" t="s">
        <v>1695</v>
      </c>
      <c r="F593" s="6" t="s">
        <v>954</v>
      </c>
      <c r="G593" s="6" t="s">
        <v>219</v>
      </c>
      <c r="H593" s="6"/>
      <c r="I593" s="14" t="s">
        <v>1642</v>
      </c>
      <c r="J593" s="15"/>
      <c r="K593" s="6" t="s">
        <v>1696</v>
      </c>
      <c r="L593" s="6"/>
      <c r="M593" s="6" t="s">
        <v>1643</v>
      </c>
      <c r="N593" s="6" t="s">
        <v>1644</v>
      </c>
      <c r="O593" s="7">
        <f>SUMIFS('05_상품별배치367'!$K$7:$K$373,'05_상품별배치367'!$E$7:$E$373,A593,'05_상품별배치367'!$H$7:$H$373,"본진")</f>
        <v>0</v>
      </c>
      <c r="P593" s="7">
        <f>SUMIFS('05_상품별배치367'!$K$7:$K$373,'05_상품별배치367'!$E$7:$E$373,A593,'05_상품별배치367'!$H$7:$H$373,"추가 진열")</f>
        <v>0</v>
      </c>
      <c r="Q593" s="7">
        <f>O593+P593</f>
        <v>0</v>
      </c>
      <c r="R593" s="7">
        <v>1</v>
      </c>
      <c r="S593" s="6" t="s">
        <v>2884</v>
      </c>
      <c r="T593" s="6" t="s">
        <v>1637</v>
      </c>
      <c r="U593" s="6"/>
      <c r="V593" s="16"/>
      <c r="W593" s="16"/>
      <c r="X593" s="16"/>
      <c r="Y593" s="6" t="s">
        <v>1627</v>
      </c>
      <c r="Z593" s="15"/>
      <c r="AA593" s="15" t="s">
        <v>1628</v>
      </c>
    </row>
    <row r="594" spans="1:27" ht="33" customHeight="1">
      <c r="A594" s="8" t="s">
        <v>5644</v>
      </c>
      <c r="B594" s="9">
        <v>1782</v>
      </c>
      <c r="C594" s="8" t="s">
        <v>5645</v>
      </c>
      <c r="D594" s="8" t="s">
        <v>1931</v>
      </c>
      <c r="E594" s="8" t="s">
        <v>1695</v>
      </c>
      <c r="F594" s="8" t="s">
        <v>482</v>
      </c>
      <c r="G594" s="8" t="s">
        <v>272</v>
      </c>
      <c r="H594" s="8"/>
      <c r="I594" s="14" t="s">
        <v>1642</v>
      </c>
      <c r="J594" s="15"/>
      <c r="K594" s="8" t="s">
        <v>1696</v>
      </c>
      <c r="L594" s="8"/>
      <c r="M594" s="6" t="s">
        <v>1643</v>
      </c>
      <c r="N594" s="6" t="s">
        <v>1644</v>
      </c>
      <c r="O594" s="7">
        <f>SUMIFS('05_상품별배치367'!$K$7:$K$373,'05_상품별배치367'!$E$7:$E$373,A594,'05_상품별배치367'!$H$7:$H$373,"본진")</f>
        <v>0</v>
      </c>
      <c r="P594" s="7">
        <f>SUMIFS('05_상품별배치367'!$K$7:$K$373,'05_상품별배치367'!$E$7:$E$373,A594,'05_상품별배치367'!$H$7:$H$373,"추가 진열")</f>
        <v>0</v>
      </c>
      <c r="Q594" s="7">
        <f>O594+P594</f>
        <v>0</v>
      </c>
      <c r="R594" s="7">
        <v>1</v>
      </c>
      <c r="S594" s="6" t="s">
        <v>1942</v>
      </c>
      <c r="T594" s="6" t="s">
        <v>1637</v>
      </c>
      <c r="U594" s="6"/>
      <c r="V594" s="16"/>
      <c r="W594" s="16"/>
      <c r="X594" s="16"/>
      <c r="Y594" s="6" t="s">
        <v>1627</v>
      </c>
      <c r="Z594" s="15"/>
      <c r="AA594" s="15" t="s">
        <v>1628</v>
      </c>
    </row>
    <row r="595" spans="1:27" ht="33" customHeight="1">
      <c r="A595" s="6" t="s">
        <v>5595</v>
      </c>
      <c r="B595" s="7">
        <v>1761</v>
      </c>
      <c r="C595" s="6" t="s">
        <v>5596</v>
      </c>
      <c r="D595" s="6" t="s">
        <v>5597</v>
      </c>
      <c r="E595" s="6" t="s">
        <v>2134</v>
      </c>
      <c r="F595" s="6" t="s">
        <v>1263</v>
      </c>
      <c r="G595" s="6" t="s">
        <v>376</v>
      </c>
      <c r="H595" s="6"/>
      <c r="I595" s="14" t="s">
        <v>1642</v>
      </c>
      <c r="J595" s="15"/>
      <c r="K595" s="6" t="s">
        <v>1976</v>
      </c>
      <c r="L595" s="6"/>
      <c r="M595" s="6" t="s">
        <v>1643</v>
      </c>
      <c r="N595" s="6" t="s">
        <v>1644</v>
      </c>
      <c r="O595" s="7">
        <f>SUMIFS('05_상품별배치367'!$K$7:$K$373,'05_상품별배치367'!$E$7:$E$373,A595,'05_상품별배치367'!$H$7:$H$373,"본진")</f>
        <v>0</v>
      </c>
      <c r="P595" s="7">
        <f>SUMIFS('05_상품별배치367'!$K$7:$K$373,'05_상품별배치367'!$E$7:$E$373,A595,'05_상품별배치367'!$H$7:$H$373,"추가 진열")</f>
        <v>0</v>
      </c>
      <c r="Q595" s="7">
        <f>O595+P595</f>
        <v>0</v>
      </c>
      <c r="R595" s="7">
        <v>1</v>
      </c>
      <c r="S595" s="6" t="s">
        <v>3016</v>
      </c>
      <c r="T595" s="6" t="s">
        <v>1637</v>
      </c>
      <c r="U595" s="6"/>
      <c r="V595" s="16"/>
      <c r="W595" s="16"/>
      <c r="X595" s="16"/>
      <c r="Y595" s="6" t="s">
        <v>1655</v>
      </c>
      <c r="Z595" s="15"/>
      <c r="AA595" s="15" t="s">
        <v>1628</v>
      </c>
    </row>
    <row r="596" spans="1:27" ht="33" customHeight="1">
      <c r="A596" s="6" t="s">
        <v>5637</v>
      </c>
      <c r="B596" s="7">
        <v>1779</v>
      </c>
      <c r="C596" s="6" t="s">
        <v>5638</v>
      </c>
      <c r="D596" s="6" t="s">
        <v>5639</v>
      </c>
      <c r="E596" s="6" t="s">
        <v>2134</v>
      </c>
      <c r="F596" s="6" t="s">
        <v>163</v>
      </c>
      <c r="G596" s="6" t="s">
        <v>414</v>
      </c>
      <c r="H596" s="6"/>
      <c r="I596" s="14" t="s">
        <v>1642</v>
      </c>
      <c r="J596" s="15"/>
      <c r="K596" s="6" t="s">
        <v>1976</v>
      </c>
      <c r="L596" s="6"/>
      <c r="M596" s="6" t="s">
        <v>1643</v>
      </c>
      <c r="N596" s="6" t="s">
        <v>1644</v>
      </c>
      <c r="O596" s="7">
        <f>SUMIFS('05_상품별배치367'!$K$7:$K$373,'05_상품별배치367'!$E$7:$E$373,A596,'05_상품별배치367'!$H$7:$H$373,"본진")</f>
        <v>0</v>
      </c>
      <c r="P596" s="7">
        <f>SUMIFS('05_상품별배치367'!$K$7:$K$373,'05_상품별배치367'!$E$7:$E$373,A596,'05_상품별배치367'!$H$7:$H$373,"추가 진열")</f>
        <v>0</v>
      </c>
      <c r="Q596" s="7">
        <f>O596+P596</f>
        <v>0</v>
      </c>
      <c r="R596" s="7">
        <v>1</v>
      </c>
      <c r="S596" s="6" t="s">
        <v>3048</v>
      </c>
      <c r="T596" s="6" t="s">
        <v>1637</v>
      </c>
      <c r="U596" s="6"/>
      <c r="V596" s="16"/>
      <c r="W596" s="16"/>
      <c r="X596" s="16"/>
      <c r="Y596" s="6" t="s">
        <v>1655</v>
      </c>
      <c r="Z596" s="15"/>
      <c r="AA596" s="15" t="s">
        <v>1628</v>
      </c>
    </row>
    <row r="597" spans="1:27" ht="33" customHeight="1">
      <c r="A597" s="6" t="s">
        <v>5633</v>
      </c>
      <c r="B597" s="7">
        <v>1777</v>
      </c>
      <c r="C597" s="6" t="s">
        <v>5634</v>
      </c>
      <c r="D597" s="6" t="s">
        <v>2133</v>
      </c>
      <c r="E597" s="6" t="s">
        <v>2134</v>
      </c>
      <c r="F597" s="6" t="s">
        <v>162</v>
      </c>
      <c r="G597" s="6" t="s">
        <v>404</v>
      </c>
      <c r="H597" s="6"/>
      <c r="I597" s="14" t="s">
        <v>1642</v>
      </c>
      <c r="J597" s="15"/>
      <c r="K597" s="6" t="s">
        <v>1976</v>
      </c>
      <c r="L597" s="6"/>
      <c r="M597" s="6" t="s">
        <v>1643</v>
      </c>
      <c r="N597" s="6" t="s">
        <v>1644</v>
      </c>
      <c r="O597" s="7">
        <f>SUMIFS('05_상품별배치367'!$K$7:$K$373,'05_상품별배치367'!$E$7:$E$373,A597,'05_상품별배치367'!$H$7:$H$373,"본진")</f>
        <v>0</v>
      </c>
      <c r="P597" s="7">
        <f>SUMIFS('05_상품별배치367'!$K$7:$K$373,'05_상품별배치367'!$E$7:$E$373,A597,'05_상품별배치367'!$H$7:$H$373,"추가 진열")</f>
        <v>0</v>
      </c>
      <c r="Q597" s="7">
        <f>O597+P597</f>
        <v>0</v>
      </c>
      <c r="R597" s="7">
        <v>1</v>
      </c>
      <c r="S597" s="6" t="s">
        <v>2996</v>
      </c>
      <c r="T597" s="6" t="s">
        <v>1637</v>
      </c>
      <c r="U597" s="6"/>
      <c r="V597" s="16"/>
      <c r="W597" s="16"/>
      <c r="X597" s="16"/>
      <c r="Y597" s="6" t="s">
        <v>1627</v>
      </c>
      <c r="Z597" s="15"/>
      <c r="AA597" s="15" t="s">
        <v>1628</v>
      </c>
    </row>
    <row r="598" spans="1:27" ht="33" customHeight="1">
      <c r="A598" s="8" t="s">
        <v>5631</v>
      </c>
      <c r="B598" s="9">
        <v>1776</v>
      </c>
      <c r="C598" s="8" t="s">
        <v>5632</v>
      </c>
      <c r="D598" s="8" t="s">
        <v>2845</v>
      </c>
      <c r="E598" s="8" t="s">
        <v>2134</v>
      </c>
      <c r="F598" s="8" t="s">
        <v>163</v>
      </c>
      <c r="G598" s="8" t="s">
        <v>414</v>
      </c>
      <c r="H598" s="8"/>
      <c r="I598" s="14" t="s">
        <v>1642</v>
      </c>
      <c r="J598" s="15"/>
      <c r="K598" s="8" t="s">
        <v>1976</v>
      </c>
      <c r="L598" s="8"/>
      <c r="M598" s="6" t="s">
        <v>1643</v>
      </c>
      <c r="N598" s="6" t="s">
        <v>1644</v>
      </c>
      <c r="O598" s="7">
        <f>SUMIFS('05_상품별배치367'!$K$7:$K$373,'05_상품별배치367'!$E$7:$E$373,A598,'05_상품별배치367'!$H$7:$H$373,"본진")</f>
        <v>0</v>
      </c>
      <c r="P598" s="7">
        <f>SUMIFS('05_상품별배치367'!$K$7:$K$373,'05_상품별배치367'!$E$7:$E$373,A598,'05_상품별배치367'!$H$7:$H$373,"추가 진열")</f>
        <v>0</v>
      </c>
      <c r="Q598" s="7">
        <f>O598+P598</f>
        <v>0</v>
      </c>
      <c r="R598" s="7">
        <v>1</v>
      </c>
      <c r="S598" s="6" t="s">
        <v>3048</v>
      </c>
      <c r="T598" s="6" t="s">
        <v>1637</v>
      </c>
      <c r="U598" s="6"/>
      <c r="V598" s="16"/>
      <c r="W598" s="16"/>
      <c r="X598" s="16"/>
      <c r="Y598" s="6" t="s">
        <v>1627</v>
      </c>
      <c r="Z598" s="15"/>
      <c r="AA598" s="15" t="s">
        <v>1628</v>
      </c>
    </row>
    <row r="599" spans="1:27" ht="33" customHeight="1">
      <c r="A599" s="8" t="s">
        <v>5635</v>
      </c>
      <c r="B599" s="9">
        <v>1778</v>
      </c>
      <c r="C599" s="8" t="s">
        <v>5636</v>
      </c>
      <c r="D599" s="8" t="s">
        <v>2572</v>
      </c>
      <c r="E599" s="8" t="s">
        <v>2134</v>
      </c>
      <c r="F599" s="8" t="s">
        <v>2933</v>
      </c>
      <c r="G599" s="8" t="s">
        <v>1668</v>
      </c>
      <c r="H599" s="8"/>
      <c r="I599" s="14" t="s">
        <v>1807</v>
      </c>
      <c r="J599" s="15"/>
      <c r="K599" s="8" t="s">
        <v>1976</v>
      </c>
      <c r="L599" s="8" t="s">
        <v>2032</v>
      </c>
      <c r="M599" s="6" t="s">
        <v>1809</v>
      </c>
      <c r="N599" s="6" t="s">
        <v>1644</v>
      </c>
      <c r="O599" s="7">
        <f>SUMIFS('05_상품별배치367'!$K$7:$K$373,'05_상품별배치367'!$E$7:$E$373,A599,'05_상품별배치367'!$H$7:$H$373,"본진")</f>
        <v>0</v>
      </c>
      <c r="P599" s="7">
        <f>SUMIFS('05_상품별배치367'!$K$7:$K$373,'05_상품별배치367'!$E$7:$E$373,A599,'05_상품별배치367'!$H$7:$H$373,"추가 진열")</f>
        <v>0</v>
      </c>
      <c r="Q599" s="7">
        <f>O599+P599</f>
        <v>0</v>
      </c>
      <c r="R599" s="7">
        <v>0</v>
      </c>
      <c r="S599" s="6" t="s">
        <v>1810</v>
      </c>
      <c r="T599" s="6" t="s">
        <v>1637</v>
      </c>
      <c r="U599" s="6"/>
      <c r="V599" s="16"/>
      <c r="W599" s="16"/>
      <c r="X599" s="16"/>
      <c r="Y599" s="6" t="s">
        <v>1627</v>
      </c>
      <c r="Z599" s="15"/>
      <c r="AA599" s="15" t="s">
        <v>1628</v>
      </c>
    </row>
    <row r="600" spans="1:27" ht="33" customHeight="1">
      <c r="A600" s="8" t="s">
        <v>5663</v>
      </c>
      <c r="B600" s="9">
        <v>1790</v>
      </c>
      <c r="C600" s="8" t="s">
        <v>5664</v>
      </c>
      <c r="D600" s="8" t="s">
        <v>5665</v>
      </c>
      <c r="E600" s="8" t="s">
        <v>1666</v>
      </c>
      <c r="F600" s="8" t="s">
        <v>348</v>
      </c>
      <c r="G600" s="8" t="s">
        <v>341</v>
      </c>
      <c r="H600" s="8"/>
      <c r="I600" s="14" t="s">
        <v>1642</v>
      </c>
      <c r="J600" s="15"/>
      <c r="K600" s="8" t="s">
        <v>1670</v>
      </c>
      <c r="L600" s="8"/>
      <c r="M600" s="6" t="s">
        <v>1643</v>
      </c>
      <c r="N600" s="6" t="s">
        <v>1644</v>
      </c>
      <c r="O600" s="7">
        <f>SUMIFS('05_상품별배치367'!$K$7:$K$373,'05_상품별배치367'!$E$7:$E$373,A600,'05_상품별배치367'!$H$7:$H$373,"본진")</f>
        <v>0</v>
      </c>
      <c r="P600" s="7">
        <f>SUMIFS('05_상품별배치367'!$K$7:$K$373,'05_상품별배치367'!$E$7:$E$373,A600,'05_상품별배치367'!$H$7:$H$373,"추가 진열")</f>
        <v>0</v>
      </c>
      <c r="Q600" s="7">
        <f>O600+P600</f>
        <v>0</v>
      </c>
      <c r="R600" s="7">
        <v>1</v>
      </c>
      <c r="S600" s="6" t="s">
        <v>2040</v>
      </c>
      <c r="T600" s="6" t="s">
        <v>1637</v>
      </c>
      <c r="U600" s="6"/>
      <c r="V600" s="16"/>
      <c r="W600" s="16"/>
      <c r="X600" s="16"/>
      <c r="Y600" s="6" t="s">
        <v>1655</v>
      </c>
      <c r="Z600" s="15"/>
      <c r="AA600" s="15" t="s">
        <v>1628</v>
      </c>
    </row>
    <row r="601" spans="1:27" ht="33" customHeight="1">
      <c r="A601" s="8" t="s">
        <v>5669</v>
      </c>
      <c r="B601" s="9">
        <v>1792</v>
      </c>
      <c r="C601" s="8" t="s">
        <v>5670</v>
      </c>
      <c r="D601" s="8" t="s">
        <v>5671</v>
      </c>
      <c r="E601" s="8" t="s">
        <v>1620</v>
      </c>
      <c r="F601" s="8" t="s">
        <v>339</v>
      </c>
      <c r="G601" s="8" t="s">
        <v>332</v>
      </c>
      <c r="H601" s="8"/>
      <c r="I601" s="14" t="s">
        <v>1642</v>
      </c>
      <c r="J601" s="15"/>
      <c r="K601" s="8" t="s">
        <v>1622</v>
      </c>
      <c r="L601" s="8"/>
      <c r="M601" s="6" t="s">
        <v>1643</v>
      </c>
      <c r="N601" s="6" t="s">
        <v>1644</v>
      </c>
      <c r="O601" s="7">
        <f>SUMIFS('05_상품별배치367'!$K$7:$K$373,'05_상품별배치367'!$E$7:$E$373,A601,'05_상품별배치367'!$H$7:$H$373,"본진")</f>
        <v>0</v>
      </c>
      <c r="P601" s="7">
        <f>SUMIFS('05_상품별배치367'!$K$7:$K$373,'05_상품별배치367'!$E$7:$E$373,A601,'05_상품별배치367'!$H$7:$H$373,"추가 진열")</f>
        <v>0</v>
      </c>
      <c r="Q601" s="7">
        <f>O601+P601</f>
        <v>0</v>
      </c>
      <c r="R601" s="7">
        <v>1</v>
      </c>
      <c r="S601" s="6" t="s">
        <v>2375</v>
      </c>
      <c r="T601" s="6" t="s">
        <v>1637</v>
      </c>
      <c r="U601" s="6"/>
      <c r="V601" s="16"/>
      <c r="W601" s="16"/>
      <c r="X601" s="16"/>
      <c r="Y601" s="6" t="s">
        <v>1655</v>
      </c>
      <c r="Z601" s="15"/>
      <c r="AA601" s="15" t="s">
        <v>1628</v>
      </c>
    </row>
    <row r="602" spans="1:27" ht="33" customHeight="1">
      <c r="A602" s="6" t="s">
        <v>5654</v>
      </c>
      <c r="B602" s="7">
        <v>1787</v>
      </c>
      <c r="C602" s="6" t="s">
        <v>5655</v>
      </c>
      <c r="D602" s="6" t="s">
        <v>5656</v>
      </c>
      <c r="E602" s="6" t="s">
        <v>1620</v>
      </c>
      <c r="F602" s="6" t="s">
        <v>2031</v>
      </c>
      <c r="G602" s="6" t="s">
        <v>1668</v>
      </c>
      <c r="H602" s="6"/>
      <c r="I602" s="14" t="s">
        <v>1642</v>
      </c>
      <c r="J602" s="15"/>
      <c r="K602" s="6" t="s">
        <v>1622</v>
      </c>
      <c r="L602" s="6" t="s">
        <v>2032</v>
      </c>
      <c r="M602" s="6" t="s">
        <v>1643</v>
      </c>
      <c r="N602" s="6" t="s">
        <v>1644</v>
      </c>
      <c r="O602" s="7">
        <f>SUMIFS('05_상품별배치367'!$K$7:$K$373,'05_상품별배치367'!$E$7:$E$373,A602,'05_상품별배치367'!$H$7:$H$373,"본진")</f>
        <v>0</v>
      </c>
      <c r="P602" s="7">
        <f>SUMIFS('05_상품별배치367'!$K$7:$K$373,'05_상품별배치367'!$E$7:$E$373,A602,'05_상품별배치367'!$H$7:$H$373,"추가 진열")</f>
        <v>0</v>
      </c>
      <c r="Q602" s="7">
        <f>O602+P602</f>
        <v>0</v>
      </c>
      <c r="R602" s="7">
        <v>1</v>
      </c>
      <c r="S602" s="6" t="s">
        <v>2033</v>
      </c>
      <c r="T602" s="6" t="s">
        <v>1637</v>
      </c>
      <c r="U602" s="6"/>
      <c r="V602" s="16"/>
      <c r="W602" s="16"/>
      <c r="X602" s="16"/>
      <c r="Y602" s="6" t="s">
        <v>1655</v>
      </c>
      <c r="Z602" s="15"/>
      <c r="AA602" s="15" t="s">
        <v>1628</v>
      </c>
    </row>
    <row r="603" spans="1:27" ht="33" customHeight="1">
      <c r="A603" s="8" t="s">
        <v>5657</v>
      </c>
      <c r="B603" s="9">
        <v>1788</v>
      </c>
      <c r="C603" s="8" t="s">
        <v>5658</v>
      </c>
      <c r="D603" s="8" t="s">
        <v>5659</v>
      </c>
      <c r="E603" s="8" t="s">
        <v>1620</v>
      </c>
      <c r="F603" s="8" t="s">
        <v>2031</v>
      </c>
      <c r="G603" s="8" t="s">
        <v>1668</v>
      </c>
      <c r="H603" s="8"/>
      <c r="I603" s="14" t="s">
        <v>1642</v>
      </c>
      <c r="J603" s="15"/>
      <c r="K603" s="8" t="s">
        <v>1622</v>
      </c>
      <c r="L603" s="8" t="s">
        <v>2032</v>
      </c>
      <c r="M603" s="6" t="s">
        <v>1643</v>
      </c>
      <c r="N603" s="6" t="s">
        <v>1644</v>
      </c>
      <c r="O603" s="7">
        <f>SUMIFS('05_상품별배치367'!$K$7:$K$373,'05_상품별배치367'!$E$7:$E$373,A603,'05_상품별배치367'!$H$7:$H$373,"본진")</f>
        <v>0</v>
      </c>
      <c r="P603" s="7">
        <f>SUMIFS('05_상품별배치367'!$K$7:$K$373,'05_상품별배치367'!$E$7:$E$373,A603,'05_상품별배치367'!$H$7:$H$373,"추가 진열")</f>
        <v>0</v>
      </c>
      <c r="Q603" s="7">
        <f>O603+P603</f>
        <v>0</v>
      </c>
      <c r="R603" s="7">
        <v>1</v>
      </c>
      <c r="S603" s="6" t="s">
        <v>2033</v>
      </c>
      <c r="T603" s="6" t="s">
        <v>1637</v>
      </c>
      <c r="U603" s="6"/>
      <c r="V603" s="16"/>
      <c r="W603" s="16"/>
      <c r="X603" s="16"/>
      <c r="Y603" s="6" t="s">
        <v>1655</v>
      </c>
      <c r="Z603" s="15"/>
      <c r="AA603" s="15" t="s">
        <v>1628</v>
      </c>
    </row>
    <row r="604" spans="1:27" ht="33" customHeight="1">
      <c r="A604" s="6" t="s">
        <v>5660</v>
      </c>
      <c r="B604" s="7">
        <v>1789</v>
      </c>
      <c r="C604" s="6" t="s">
        <v>5661</v>
      </c>
      <c r="D604" s="6" t="s">
        <v>5662</v>
      </c>
      <c r="E604" s="6" t="s">
        <v>1620</v>
      </c>
      <c r="F604" s="6" t="s">
        <v>2031</v>
      </c>
      <c r="G604" s="6" t="s">
        <v>1668</v>
      </c>
      <c r="H604" s="6"/>
      <c r="I604" s="14" t="s">
        <v>1642</v>
      </c>
      <c r="J604" s="15"/>
      <c r="K604" s="6" t="s">
        <v>1622</v>
      </c>
      <c r="L604" s="6" t="s">
        <v>2032</v>
      </c>
      <c r="M604" s="6" t="s">
        <v>1643</v>
      </c>
      <c r="N604" s="6" t="s">
        <v>1644</v>
      </c>
      <c r="O604" s="7">
        <f>SUMIFS('05_상품별배치367'!$K$7:$K$373,'05_상품별배치367'!$E$7:$E$373,A604,'05_상품별배치367'!$H$7:$H$373,"본진")</f>
        <v>0</v>
      </c>
      <c r="P604" s="7">
        <f>SUMIFS('05_상품별배치367'!$K$7:$K$373,'05_상품별배치367'!$E$7:$E$373,A604,'05_상품별배치367'!$H$7:$H$373,"추가 진열")</f>
        <v>0</v>
      </c>
      <c r="Q604" s="7">
        <f>O604+P604</f>
        <v>0</v>
      </c>
      <c r="R604" s="7">
        <v>1</v>
      </c>
      <c r="S604" s="6" t="s">
        <v>2033</v>
      </c>
      <c r="T604" s="6" t="s">
        <v>1637</v>
      </c>
      <c r="U604" s="6"/>
      <c r="V604" s="16"/>
      <c r="W604" s="16"/>
      <c r="X604" s="16"/>
      <c r="Y604" s="6" t="s">
        <v>1655</v>
      </c>
      <c r="Z604" s="15"/>
      <c r="AA604" s="15" t="s">
        <v>1628</v>
      </c>
    </row>
    <row r="605" spans="1:27" ht="33" customHeight="1">
      <c r="A605" s="6" t="s">
        <v>5666</v>
      </c>
      <c r="B605" s="7">
        <v>1791</v>
      </c>
      <c r="C605" s="6" t="s">
        <v>5667</v>
      </c>
      <c r="D605" s="6" t="s">
        <v>5668</v>
      </c>
      <c r="E605" s="6" t="s">
        <v>1620</v>
      </c>
      <c r="F605" s="6" t="s">
        <v>2031</v>
      </c>
      <c r="G605" s="6" t="s">
        <v>1668</v>
      </c>
      <c r="H605" s="6"/>
      <c r="I605" s="14" t="s">
        <v>1642</v>
      </c>
      <c r="J605" s="15"/>
      <c r="K605" s="6" t="s">
        <v>1622</v>
      </c>
      <c r="L605" s="6" t="s">
        <v>2032</v>
      </c>
      <c r="M605" s="6" t="s">
        <v>1643</v>
      </c>
      <c r="N605" s="6" t="s">
        <v>1644</v>
      </c>
      <c r="O605" s="7">
        <f>SUMIFS('05_상품별배치367'!$K$7:$K$373,'05_상품별배치367'!$E$7:$E$373,A605,'05_상품별배치367'!$H$7:$H$373,"본진")</f>
        <v>0</v>
      </c>
      <c r="P605" s="7">
        <f>SUMIFS('05_상품별배치367'!$K$7:$K$373,'05_상품별배치367'!$E$7:$E$373,A605,'05_상품별배치367'!$H$7:$H$373,"추가 진열")</f>
        <v>0</v>
      </c>
      <c r="Q605" s="7">
        <f>O605+P605</f>
        <v>0</v>
      </c>
      <c r="R605" s="7">
        <v>1</v>
      </c>
      <c r="S605" s="6" t="s">
        <v>2033</v>
      </c>
      <c r="T605" s="6" t="s">
        <v>1637</v>
      </c>
      <c r="U605" s="6"/>
      <c r="V605" s="16"/>
      <c r="W605" s="16"/>
      <c r="X605" s="16"/>
      <c r="Y605" s="6" t="s">
        <v>1655</v>
      </c>
      <c r="Z605" s="15"/>
      <c r="AA605" s="15" t="s">
        <v>1628</v>
      </c>
    </row>
    <row r="606" spans="1:27" ht="33" customHeight="1">
      <c r="A606" s="6" t="s">
        <v>5650</v>
      </c>
      <c r="B606" s="7">
        <v>1785</v>
      </c>
      <c r="C606" s="6" t="s">
        <v>5651</v>
      </c>
      <c r="D606" s="6" t="s">
        <v>2133</v>
      </c>
      <c r="E606" s="6" t="s">
        <v>1986</v>
      </c>
      <c r="F606" s="6" t="s">
        <v>493</v>
      </c>
      <c r="G606" s="6" t="s">
        <v>299</v>
      </c>
      <c r="H606" s="6"/>
      <c r="I606" s="14" t="s">
        <v>1642</v>
      </c>
      <c r="J606" s="15"/>
      <c r="K606" s="6" t="s">
        <v>1976</v>
      </c>
      <c r="L606" s="6"/>
      <c r="M606" s="6" t="s">
        <v>1643</v>
      </c>
      <c r="N606" s="6" t="s">
        <v>1644</v>
      </c>
      <c r="O606" s="7">
        <f>SUMIFS('05_상품별배치367'!$K$7:$K$373,'05_상품별배치367'!$E$7:$E$373,A606,'05_상품별배치367'!$H$7:$H$373,"본진")</f>
        <v>0</v>
      </c>
      <c r="P606" s="7">
        <f>SUMIFS('05_상품별배치367'!$K$7:$K$373,'05_상품별배치367'!$E$7:$E$373,A606,'05_상품별배치367'!$H$7:$H$373,"추가 진열")</f>
        <v>0</v>
      </c>
      <c r="Q606" s="7">
        <f>O606+P606</f>
        <v>0</v>
      </c>
      <c r="R606" s="7">
        <v>1</v>
      </c>
      <c r="S606" s="6" t="s">
        <v>3084</v>
      </c>
      <c r="T606" s="6" t="s">
        <v>1637</v>
      </c>
      <c r="U606" s="6"/>
      <c r="V606" s="16"/>
      <c r="W606" s="16"/>
      <c r="X606" s="16"/>
      <c r="Y606" s="6" t="s">
        <v>1627</v>
      </c>
      <c r="Z606" s="15"/>
      <c r="AA606" s="15" t="s">
        <v>1628</v>
      </c>
    </row>
    <row r="607" spans="1:27" ht="33" customHeight="1">
      <c r="A607" s="6" t="s">
        <v>5672</v>
      </c>
      <c r="B607" s="7">
        <v>1793</v>
      </c>
      <c r="C607" s="6" t="s">
        <v>5673</v>
      </c>
      <c r="D607" s="6" t="s">
        <v>5674</v>
      </c>
      <c r="E607" s="6" t="s">
        <v>1620</v>
      </c>
      <c r="F607" s="6" t="s">
        <v>2048</v>
      </c>
      <c r="G607" s="6" t="s">
        <v>1668</v>
      </c>
      <c r="H607" s="6"/>
      <c r="I607" s="14" t="s">
        <v>1669</v>
      </c>
      <c r="J607" s="15"/>
      <c r="K607" s="6" t="s">
        <v>1622</v>
      </c>
      <c r="L607" s="6"/>
      <c r="M607" s="6" t="s">
        <v>1671</v>
      </c>
      <c r="N607" s="6" t="s">
        <v>1644</v>
      </c>
      <c r="O607" s="7">
        <f>SUMIFS('05_상품별배치367'!$K$7:$K$373,'05_상품별배치367'!$E$7:$E$373,A607,'05_상품별배치367'!$H$7:$H$373,"본진")</f>
        <v>0</v>
      </c>
      <c r="P607" s="7">
        <f>SUMIFS('05_상품별배치367'!$K$7:$K$373,'05_상품별배치367'!$E$7:$E$373,A607,'05_상품별배치367'!$H$7:$H$373,"추가 진열")</f>
        <v>0</v>
      </c>
      <c r="Q607" s="7">
        <f>O607+P607</f>
        <v>0</v>
      </c>
      <c r="R607" s="7">
        <v>0</v>
      </c>
      <c r="S607" s="6" t="s">
        <v>1672</v>
      </c>
      <c r="T607" s="6" t="s">
        <v>1637</v>
      </c>
      <c r="U607" s="6"/>
      <c r="V607" s="16"/>
      <c r="W607" s="16"/>
      <c r="X607" s="16"/>
      <c r="Y607" s="6" t="s">
        <v>1655</v>
      </c>
      <c r="Z607" s="15"/>
      <c r="AA607" s="15" t="s">
        <v>1628</v>
      </c>
    </row>
    <row r="608" spans="1:27" ht="33" customHeight="1">
      <c r="A608" s="6" t="s">
        <v>3298</v>
      </c>
      <c r="B608" s="7">
        <v>683</v>
      </c>
      <c r="C608" s="6" t="s">
        <v>3299</v>
      </c>
      <c r="D608" s="6" t="s">
        <v>2856</v>
      </c>
      <c r="E608" s="6" t="s">
        <v>2134</v>
      </c>
      <c r="F608" s="6" t="s">
        <v>163</v>
      </c>
      <c r="G608" s="6" t="s">
        <v>414</v>
      </c>
      <c r="H608" s="6"/>
      <c r="I608" s="14" t="s">
        <v>1642</v>
      </c>
      <c r="J608" s="15"/>
      <c r="K608" s="6" t="s">
        <v>1976</v>
      </c>
      <c r="L608" s="6"/>
      <c r="M608" s="6" t="s">
        <v>1643</v>
      </c>
      <c r="N608" s="6" t="s">
        <v>1644</v>
      </c>
      <c r="O608" s="7">
        <f>SUMIFS('05_상품별배치367'!$K$7:$K$373,'05_상품별배치367'!$E$7:$E$373,A608,'05_상품별배치367'!$H$7:$H$373,"본진")</f>
        <v>0</v>
      </c>
      <c r="P608" s="7">
        <f>SUMIFS('05_상품별배치367'!$K$7:$K$373,'05_상품별배치367'!$E$7:$E$373,A608,'05_상품별배치367'!$H$7:$H$373,"추가 진열")</f>
        <v>0</v>
      </c>
      <c r="Q608" s="7">
        <f>O608+P608</f>
        <v>0</v>
      </c>
      <c r="R608" s="7">
        <v>1</v>
      </c>
      <c r="S608" s="6" t="s">
        <v>3048</v>
      </c>
      <c r="T608" s="6" t="s">
        <v>1637</v>
      </c>
      <c r="U608" s="6"/>
      <c r="V608" s="16"/>
      <c r="W608" s="16"/>
      <c r="X608" s="16"/>
      <c r="Y608" s="6" t="s">
        <v>1627</v>
      </c>
      <c r="Z608" s="15"/>
      <c r="AA608" s="15" t="s">
        <v>1628</v>
      </c>
    </row>
    <row r="609" spans="1:27" ht="33" customHeight="1">
      <c r="A609" s="8" t="s">
        <v>3296</v>
      </c>
      <c r="B609" s="9">
        <v>682</v>
      </c>
      <c r="C609" s="8" t="s">
        <v>3297</v>
      </c>
      <c r="D609" s="8" t="s">
        <v>3055</v>
      </c>
      <c r="E609" s="8" t="s">
        <v>2134</v>
      </c>
      <c r="F609" s="8" t="s">
        <v>163</v>
      </c>
      <c r="G609" s="8" t="s">
        <v>414</v>
      </c>
      <c r="H609" s="8"/>
      <c r="I609" s="14" t="s">
        <v>1642</v>
      </c>
      <c r="J609" s="15"/>
      <c r="K609" s="8" t="s">
        <v>1976</v>
      </c>
      <c r="L609" s="8"/>
      <c r="M609" s="6" t="s">
        <v>1643</v>
      </c>
      <c r="N609" s="6" t="s">
        <v>1644</v>
      </c>
      <c r="O609" s="7">
        <f>SUMIFS('05_상품별배치367'!$K$7:$K$373,'05_상품별배치367'!$E$7:$E$373,A609,'05_상품별배치367'!$H$7:$H$373,"본진")</f>
        <v>0</v>
      </c>
      <c r="P609" s="7">
        <f>SUMIFS('05_상품별배치367'!$K$7:$K$373,'05_상품별배치367'!$E$7:$E$373,A609,'05_상품별배치367'!$H$7:$H$373,"추가 진열")</f>
        <v>0</v>
      </c>
      <c r="Q609" s="7">
        <f>O609+P609</f>
        <v>0</v>
      </c>
      <c r="R609" s="7">
        <v>1</v>
      </c>
      <c r="S609" s="6" t="s">
        <v>3048</v>
      </c>
      <c r="T609" s="6" t="s">
        <v>1637</v>
      </c>
      <c r="U609" s="6"/>
      <c r="V609" s="16"/>
      <c r="W609" s="16"/>
      <c r="X609" s="16"/>
      <c r="Y609" s="6" t="s">
        <v>1627</v>
      </c>
      <c r="Z609" s="15"/>
      <c r="AA609" s="15" t="s">
        <v>1628</v>
      </c>
    </row>
    <row r="610" spans="1:27" ht="33" customHeight="1">
      <c r="A610" s="6" t="s">
        <v>3294</v>
      </c>
      <c r="B610" s="7">
        <v>681</v>
      </c>
      <c r="C610" s="6" t="s">
        <v>3295</v>
      </c>
      <c r="D610" s="6" t="s">
        <v>2856</v>
      </c>
      <c r="E610" s="6" t="s">
        <v>2134</v>
      </c>
      <c r="F610" s="6" t="s">
        <v>1081</v>
      </c>
      <c r="G610" s="6" t="s">
        <v>290</v>
      </c>
      <c r="H610" s="6"/>
      <c r="I610" s="14" t="s">
        <v>1642</v>
      </c>
      <c r="J610" s="15"/>
      <c r="K610" s="6" t="s">
        <v>1976</v>
      </c>
      <c r="L610" s="6"/>
      <c r="M610" s="6" t="s">
        <v>1643</v>
      </c>
      <c r="N610" s="6" t="s">
        <v>1644</v>
      </c>
      <c r="O610" s="7">
        <f>SUMIFS('05_상품별배치367'!$K$7:$K$373,'05_상품별배치367'!$E$7:$E$373,A610,'05_상품별배치367'!$H$7:$H$373,"본진")</f>
        <v>0</v>
      </c>
      <c r="P610" s="7">
        <f>SUMIFS('05_상품별배치367'!$K$7:$K$373,'05_상품별배치367'!$E$7:$E$373,A610,'05_상품별배치367'!$H$7:$H$373,"추가 진열")</f>
        <v>0</v>
      </c>
      <c r="Q610" s="7">
        <f>O610+P610</f>
        <v>0</v>
      </c>
      <c r="R610" s="7">
        <v>1</v>
      </c>
      <c r="S610" s="6" t="s">
        <v>2135</v>
      </c>
      <c r="T610" s="6" t="s">
        <v>1637</v>
      </c>
      <c r="U610" s="6"/>
      <c r="V610" s="16"/>
      <c r="W610" s="16"/>
      <c r="X610" s="16"/>
      <c r="Y610" s="6" t="s">
        <v>1627</v>
      </c>
      <c r="Z610" s="15"/>
      <c r="AA610" s="15" t="s">
        <v>1628</v>
      </c>
    </row>
    <row r="611" spans="1:27" ht="33" customHeight="1">
      <c r="A611" s="8" t="s">
        <v>3292</v>
      </c>
      <c r="B611" s="9">
        <v>680</v>
      </c>
      <c r="C611" s="8" t="s">
        <v>3293</v>
      </c>
      <c r="D611" s="8" t="s">
        <v>2133</v>
      </c>
      <c r="E611" s="8" t="s">
        <v>2134</v>
      </c>
      <c r="F611" s="8" t="s">
        <v>1081</v>
      </c>
      <c r="G611" s="8" t="s">
        <v>290</v>
      </c>
      <c r="H611" s="8"/>
      <c r="I611" s="14" t="s">
        <v>1642</v>
      </c>
      <c r="J611" s="15"/>
      <c r="K611" s="8" t="s">
        <v>1976</v>
      </c>
      <c r="L611" s="8"/>
      <c r="M611" s="6" t="s">
        <v>1643</v>
      </c>
      <c r="N611" s="6" t="s">
        <v>1644</v>
      </c>
      <c r="O611" s="7">
        <f>SUMIFS('05_상품별배치367'!$K$7:$K$373,'05_상품별배치367'!$E$7:$E$373,A611,'05_상품별배치367'!$H$7:$H$373,"본진")</f>
        <v>0</v>
      </c>
      <c r="P611" s="7">
        <f>SUMIFS('05_상품별배치367'!$K$7:$K$373,'05_상품별배치367'!$E$7:$E$373,A611,'05_상품별배치367'!$H$7:$H$373,"추가 진열")</f>
        <v>0</v>
      </c>
      <c r="Q611" s="7">
        <f>O611+P611</f>
        <v>0</v>
      </c>
      <c r="R611" s="7">
        <v>1</v>
      </c>
      <c r="S611" s="6" t="s">
        <v>2135</v>
      </c>
      <c r="T611" s="6" t="s">
        <v>1637</v>
      </c>
      <c r="U611" s="6"/>
      <c r="V611" s="16"/>
      <c r="W611" s="16"/>
      <c r="X611" s="16"/>
      <c r="Y611" s="6" t="s">
        <v>1627</v>
      </c>
      <c r="Z611" s="15"/>
      <c r="AA611" s="15" t="s">
        <v>1628</v>
      </c>
    </row>
    <row r="612" spans="1:27" ht="33" customHeight="1">
      <c r="A612" s="8" t="s">
        <v>3288</v>
      </c>
      <c r="B612" s="9">
        <v>678</v>
      </c>
      <c r="C612" s="8" t="s">
        <v>3289</v>
      </c>
      <c r="D612" s="8" t="s">
        <v>2856</v>
      </c>
      <c r="E612" s="8" t="s">
        <v>2134</v>
      </c>
      <c r="F612" s="8" t="s">
        <v>2933</v>
      </c>
      <c r="G612" s="8" t="s">
        <v>1668</v>
      </c>
      <c r="H612" s="8"/>
      <c r="I612" s="14" t="s">
        <v>1807</v>
      </c>
      <c r="J612" s="15"/>
      <c r="K612" s="8" t="s">
        <v>1976</v>
      </c>
      <c r="L612" s="8" t="s">
        <v>2032</v>
      </c>
      <c r="M612" s="6" t="s">
        <v>1809</v>
      </c>
      <c r="N612" s="6" t="s">
        <v>1644</v>
      </c>
      <c r="O612" s="7">
        <f>SUMIFS('05_상품별배치367'!$K$7:$K$373,'05_상품별배치367'!$E$7:$E$373,A612,'05_상품별배치367'!$H$7:$H$373,"본진")</f>
        <v>0</v>
      </c>
      <c r="P612" s="7">
        <f>SUMIFS('05_상품별배치367'!$K$7:$K$373,'05_상품별배치367'!$E$7:$E$373,A612,'05_상품별배치367'!$H$7:$H$373,"추가 진열")</f>
        <v>0</v>
      </c>
      <c r="Q612" s="7">
        <f>O612+P612</f>
        <v>0</v>
      </c>
      <c r="R612" s="7">
        <v>0</v>
      </c>
      <c r="S612" s="6" t="s">
        <v>1810</v>
      </c>
      <c r="T612" s="6" t="s">
        <v>1637</v>
      </c>
      <c r="U612" s="6"/>
      <c r="V612" s="16"/>
      <c r="W612" s="16"/>
      <c r="X612" s="16"/>
      <c r="Y612" s="6" t="s">
        <v>1627</v>
      </c>
      <c r="Z612" s="15"/>
      <c r="AA612" s="15" t="s">
        <v>1628</v>
      </c>
    </row>
    <row r="613" spans="1:27" ht="33" customHeight="1">
      <c r="A613" s="8" t="s">
        <v>3284</v>
      </c>
      <c r="B613" s="9">
        <v>676</v>
      </c>
      <c r="C613" s="8" t="s">
        <v>3285</v>
      </c>
      <c r="D613" s="8" t="s">
        <v>2133</v>
      </c>
      <c r="E613" s="8" t="s">
        <v>2134</v>
      </c>
      <c r="F613" s="8" t="s">
        <v>2933</v>
      </c>
      <c r="G613" s="8" t="s">
        <v>1668</v>
      </c>
      <c r="H613" s="8"/>
      <c r="I613" s="14" t="s">
        <v>1807</v>
      </c>
      <c r="J613" s="15"/>
      <c r="K613" s="8" t="s">
        <v>1976</v>
      </c>
      <c r="L613" s="8" t="s">
        <v>2032</v>
      </c>
      <c r="M613" s="6" t="s">
        <v>1809</v>
      </c>
      <c r="N613" s="6" t="s">
        <v>1644</v>
      </c>
      <c r="O613" s="7">
        <f>SUMIFS('05_상품별배치367'!$K$7:$K$373,'05_상품별배치367'!$E$7:$E$373,A613,'05_상품별배치367'!$H$7:$H$373,"본진")</f>
        <v>0</v>
      </c>
      <c r="P613" s="7">
        <f>SUMIFS('05_상품별배치367'!$K$7:$K$373,'05_상품별배치367'!$E$7:$E$373,A613,'05_상품별배치367'!$H$7:$H$373,"추가 진열")</f>
        <v>0</v>
      </c>
      <c r="Q613" s="7">
        <f>O613+P613</f>
        <v>0</v>
      </c>
      <c r="R613" s="7">
        <v>0</v>
      </c>
      <c r="S613" s="6" t="s">
        <v>1810</v>
      </c>
      <c r="T613" s="6" t="s">
        <v>1637</v>
      </c>
      <c r="U613" s="6"/>
      <c r="V613" s="16"/>
      <c r="W613" s="16"/>
      <c r="X613" s="16"/>
      <c r="Y613" s="6" t="s">
        <v>1627</v>
      </c>
      <c r="Z613" s="15"/>
      <c r="AA613" s="15" t="s">
        <v>1628</v>
      </c>
    </row>
    <row r="614" spans="1:27" ht="33" customHeight="1">
      <c r="A614" s="6" t="s">
        <v>3286</v>
      </c>
      <c r="B614" s="7">
        <v>677</v>
      </c>
      <c r="C614" s="6" t="s">
        <v>3287</v>
      </c>
      <c r="D614" s="6" t="s">
        <v>3055</v>
      </c>
      <c r="E614" s="6" t="s">
        <v>2134</v>
      </c>
      <c r="F614" s="6" t="s">
        <v>2933</v>
      </c>
      <c r="G614" s="6" t="s">
        <v>1668</v>
      </c>
      <c r="H614" s="6"/>
      <c r="I614" s="14" t="s">
        <v>1807</v>
      </c>
      <c r="J614" s="15"/>
      <c r="K614" s="6" t="s">
        <v>1976</v>
      </c>
      <c r="L614" s="6" t="s">
        <v>2032</v>
      </c>
      <c r="M614" s="6" t="s">
        <v>1809</v>
      </c>
      <c r="N614" s="6" t="s">
        <v>1644</v>
      </c>
      <c r="O614" s="7">
        <f>SUMIFS('05_상품별배치367'!$K$7:$K$373,'05_상품별배치367'!$E$7:$E$373,A614,'05_상품별배치367'!$H$7:$H$373,"본진")</f>
        <v>0</v>
      </c>
      <c r="P614" s="7">
        <f>SUMIFS('05_상품별배치367'!$K$7:$K$373,'05_상품별배치367'!$E$7:$E$373,A614,'05_상품별배치367'!$H$7:$H$373,"추가 진열")</f>
        <v>0</v>
      </c>
      <c r="Q614" s="7">
        <f>O614+P614</f>
        <v>0</v>
      </c>
      <c r="R614" s="7">
        <v>0</v>
      </c>
      <c r="S614" s="6" t="s">
        <v>1810</v>
      </c>
      <c r="T614" s="6" t="s">
        <v>1637</v>
      </c>
      <c r="U614" s="6"/>
      <c r="V614" s="16"/>
      <c r="W614" s="16"/>
      <c r="X614" s="16"/>
      <c r="Y614" s="6" t="s">
        <v>1627</v>
      </c>
      <c r="Z614" s="15"/>
      <c r="AA614" s="15" t="s">
        <v>1628</v>
      </c>
    </row>
    <row r="615" spans="1:27" ht="33" customHeight="1">
      <c r="A615" s="6" t="s">
        <v>3290</v>
      </c>
      <c r="B615" s="7">
        <v>679</v>
      </c>
      <c r="C615" s="6" t="s">
        <v>3291</v>
      </c>
      <c r="D615" s="6" t="s">
        <v>2845</v>
      </c>
      <c r="E615" s="6" t="s">
        <v>2134</v>
      </c>
      <c r="F615" s="6" t="s">
        <v>2933</v>
      </c>
      <c r="G615" s="6" t="s">
        <v>1668</v>
      </c>
      <c r="H615" s="6"/>
      <c r="I615" s="14" t="s">
        <v>1807</v>
      </c>
      <c r="J615" s="15"/>
      <c r="K615" s="6" t="s">
        <v>1976</v>
      </c>
      <c r="L615" s="6" t="s">
        <v>2032</v>
      </c>
      <c r="M615" s="6" t="s">
        <v>1809</v>
      </c>
      <c r="N615" s="6" t="s">
        <v>1644</v>
      </c>
      <c r="O615" s="7">
        <f>SUMIFS('05_상품별배치367'!$K$7:$K$373,'05_상품별배치367'!$E$7:$E$373,A615,'05_상품별배치367'!$H$7:$H$373,"본진")</f>
        <v>0</v>
      </c>
      <c r="P615" s="7">
        <f>SUMIFS('05_상품별배치367'!$K$7:$K$373,'05_상품별배치367'!$E$7:$E$373,A615,'05_상품별배치367'!$H$7:$H$373,"추가 진열")</f>
        <v>0</v>
      </c>
      <c r="Q615" s="7">
        <f>O615+P615</f>
        <v>0</v>
      </c>
      <c r="R615" s="7">
        <v>0</v>
      </c>
      <c r="S615" s="6" t="s">
        <v>1810</v>
      </c>
      <c r="T615" s="6" t="s">
        <v>1637</v>
      </c>
      <c r="U615" s="6"/>
      <c r="V615" s="16"/>
      <c r="W615" s="16"/>
      <c r="X615" s="16"/>
      <c r="Y615" s="6" t="s">
        <v>1627</v>
      </c>
      <c r="Z615" s="15"/>
      <c r="AA615" s="15" t="s">
        <v>1628</v>
      </c>
    </row>
    <row r="616" spans="1:27" ht="33" customHeight="1">
      <c r="A616" s="6" t="s">
        <v>4852</v>
      </c>
      <c r="B616" s="7">
        <v>1409</v>
      </c>
      <c r="C616" s="6" t="s">
        <v>4853</v>
      </c>
      <c r="D616" s="6" t="s">
        <v>3393</v>
      </c>
      <c r="E616" s="6" t="s">
        <v>2134</v>
      </c>
      <c r="F616" s="6" t="s">
        <v>162</v>
      </c>
      <c r="G616" s="6" t="s">
        <v>404</v>
      </c>
      <c r="H616" s="6"/>
      <c r="I616" s="14" t="s">
        <v>1642</v>
      </c>
      <c r="J616" s="15"/>
      <c r="K616" s="6" t="s">
        <v>1976</v>
      </c>
      <c r="L616" s="6"/>
      <c r="M616" s="6" t="s">
        <v>1643</v>
      </c>
      <c r="N616" s="6" t="s">
        <v>1644</v>
      </c>
      <c r="O616" s="7">
        <f>SUMIFS('05_상품별배치367'!$K$7:$K$373,'05_상품별배치367'!$E$7:$E$373,A616,'05_상품별배치367'!$H$7:$H$373,"본진")</f>
        <v>0</v>
      </c>
      <c r="P616" s="7">
        <f>SUMIFS('05_상품별배치367'!$K$7:$K$373,'05_상품별배치367'!$E$7:$E$373,A616,'05_상품별배치367'!$H$7:$H$373,"추가 진열")</f>
        <v>0</v>
      </c>
      <c r="Q616" s="7">
        <f>O616+P616</f>
        <v>0</v>
      </c>
      <c r="R616" s="7">
        <v>1</v>
      </c>
      <c r="S616" s="6" t="s">
        <v>2996</v>
      </c>
      <c r="T616" s="6" t="s">
        <v>1637</v>
      </c>
      <c r="U616" s="6"/>
      <c r="V616" s="16"/>
      <c r="W616" s="16"/>
      <c r="X616" s="16"/>
      <c r="Y616" s="6" t="s">
        <v>1627</v>
      </c>
      <c r="Z616" s="15"/>
      <c r="AA616" s="15" t="s">
        <v>1628</v>
      </c>
    </row>
    <row r="617" spans="1:27" ht="33" customHeight="1">
      <c r="A617" s="6" t="s">
        <v>4848</v>
      </c>
      <c r="B617" s="7">
        <v>1407</v>
      </c>
      <c r="C617" s="6" t="s">
        <v>4849</v>
      </c>
      <c r="D617" s="6" t="s">
        <v>2007</v>
      </c>
      <c r="E617" s="6" t="s">
        <v>2134</v>
      </c>
      <c r="F617" s="6" t="s">
        <v>162</v>
      </c>
      <c r="G617" s="6" t="s">
        <v>404</v>
      </c>
      <c r="H617" s="6"/>
      <c r="I617" s="14" t="s">
        <v>1642</v>
      </c>
      <c r="J617" s="15"/>
      <c r="K617" s="6" t="s">
        <v>1976</v>
      </c>
      <c r="L617" s="6"/>
      <c r="M617" s="6" t="s">
        <v>1643</v>
      </c>
      <c r="N617" s="6" t="s">
        <v>1644</v>
      </c>
      <c r="O617" s="7">
        <f>SUMIFS('05_상품별배치367'!$K$7:$K$373,'05_상품별배치367'!$E$7:$E$373,A617,'05_상품별배치367'!$H$7:$H$373,"본진")</f>
        <v>0</v>
      </c>
      <c r="P617" s="7">
        <f>SUMIFS('05_상품별배치367'!$K$7:$K$373,'05_상품별배치367'!$E$7:$E$373,A617,'05_상품별배치367'!$H$7:$H$373,"추가 진열")</f>
        <v>0</v>
      </c>
      <c r="Q617" s="7">
        <f>O617+P617</f>
        <v>0</v>
      </c>
      <c r="R617" s="7">
        <v>1</v>
      </c>
      <c r="S617" s="6" t="s">
        <v>2996</v>
      </c>
      <c r="T617" s="6" t="s">
        <v>1637</v>
      </c>
      <c r="U617" s="6"/>
      <c r="V617" s="16"/>
      <c r="W617" s="16"/>
      <c r="X617" s="16"/>
      <c r="Y617" s="6" t="s">
        <v>1627</v>
      </c>
      <c r="Z617" s="15"/>
      <c r="AA617" s="15" t="s">
        <v>1628</v>
      </c>
    </row>
    <row r="618" spans="1:27" ht="33" customHeight="1">
      <c r="A618" s="8" t="s">
        <v>4846</v>
      </c>
      <c r="B618" s="9">
        <v>1406</v>
      </c>
      <c r="C618" s="8" t="s">
        <v>4847</v>
      </c>
      <c r="D618" s="8" t="s">
        <v>2572</v>
      </c>
      <c r="E618" s="8" t="s">
        <v>2134</v>
      </c>
      <c r="F618" s="8" t="s">
        <v>162</v>
      </c>
      <c r="G618" s="8" t="s">
        <v>404</v>
      </c>
      <c r="H618" s="8"/>
      <c r="I618" s="14" t="s">
        <v>1642</v>
      </c>
      <c r="J618" s="15"/>
      <c r="K618" s="8" t="s">
        <v>1976</v>
      </c>
      <c r="L618" s="8"/>
      <c r="M618" s="6" t="s">
        <v>1643</v>
      </c>
      <c r="N618" s="6" t="s">
        <v>1644</v>
      </c>
      <c r="O618" s="7">
        <f>SUMIFS('05_상품별배치367'!$K$7:$K$373,'05_상품별배치367'!$E$7:$E$373,A618,'05_상품별배치367'!$H$7:$H$373,"본진")</f>
        <v>0</v>
      </c>
      <c r="P618" s="7">
        <f>SUMIFS('05_상품별배치367'!$K$7:$K$373,'05_상품별배치367'!$E$7:$E$373,A618,'05_상품별배치367'!$H$7:$H$373,"추가 진열")</f>
        <v>0</v>
      </c>
      <c r="Q618" s="7">
        <f>O618+P618</f>
        <v>0</v>
      </c>
      <c r="R618" s="7">
        <v>1</v>
      </c>
      <c r="S618" s="6" t="s">
        <v>2996</v>
      </c>
      <c r="T618" s="6" t="s">
        <v>1637</v>
      </c>
      <c r="U618" s="6"/>
      <c r="V618" s="16"/>
      <c r="W618" s="16"/>
      <c r="X618" s="16"/>
      <c r="Y618" s="6" t="s">
        <v>1627</v>
      </c>
      <c r="Z618" s="15"/>
      <c r="AA618" s="15" t="s">
        <v>1628</v>
      </c>
    </row>
    <row r="619" spans="1:27" ht="33" customHeight="1">
      <c r="A619" s="8" t="s">
        <v>4850</v>
      </c>
      <c r="B619" s="9">
        <v>1408</v>
      </c>
      <c r="C619" s="8" t="s">
        <v>4851</v>
      </c>
      <c r="D619" s="8" t="s">
        <v>2138</v>
      </c>
      <c r="E619" s="8" t="s">
        <v>2134</v>
      </c>
      <c r="F619" s="8" t="s">
        <v>162</v>
      </c>
      <c r="G619" s="8" t="s">
        <v>404</v>
      </c>
      <c r="H619" s="8"/>
      <c r="I619" s="14" t="s">
        <v>1642</v>
      </c>
      <c r="J619" s="15"/>
      <c r="K619" s="8" t="s">
        <v>1976</v>
      </c>
      <c r="L619" s="8"/>
      <c r="M619" s="6" t="s">
        <v>1643</v>
      </c>
      <c r="N619" s="6" t="s">
        <v>1644</v>
      </c>
      <c r="O619" s="7">
        <f>SUMIFS('05_상품별배치367'!$K$7:$K$373,'05_상품별배치367'!$E$7:$E$373,A619,'05_상품별배치367'!$H$7:$H$373,"본진")</f>
        <v>0</v>
      </c>
      <c r="P619" s="7">
        <f>SUMIFS('05_상품별배치367'!$K$7:$K$373,'05_상품별배치367'!$E$7:$E$373,A619,'05_상품별배치367'!$H$7:$H$373,"추가 진열")</f>
        <v>0</v>
      </c>
      <c r="Q619" s="7">
        <f>O619+P619</f>
        <v>0</v>
      </c>
      <c r="R619" s="7">
        <v>1</v>
      </c>
      <c r="S619" s="6" t="s">
        <v>2996</v>
      </c>
      <c r="T619" s="6" t="s">
        <v>1637</v>
      </c>
      <c r="U619" s="6"/>
      <c r="V619" s="16"/>
      <c r="W619" s="16"/>
      <c r="X619" s="16"/>
      <c r="Y619" s="6" t="s">
        <v>1627</v>
      </c>
      <c r="Z619" s="15"/>
      <c r="AA619" s="15" t="s">
        <v>1628</v>
      </c>
    </row>
    <row r="620" spans="1:27" ht="33" customHeight="1">
      <c r="A620" s="6" t="s">
        <v>4844</v>
      </c>
      <c r="B620" s="7">
        <v>1405</v>
      </c>
      <c r="C620" s="6" t="s">
        <v>4845</v>
      </c>
      <c r="D620" s="6" t="s">
        <v>2856</v>
      </c>
      <c r="E620" s="6" t="s">
        <v>1814</v>
      </c>
      <c r="F620" s="6" t="s">
        <v>1376</v>
      </c>
      <c r="G620" s="6" t="s">
        <v>431</v>
      </c>
      <c r="H620" s="6"/>
      <c r="I620" s="14" t="s">
        <v>1642</v>
      </c>
      <c r="J620" s="15"/>
      <c r="K620" s="6" t="s">
        <v>1976</v>
      </c>
      <c r="L620" s="6"/>
      <c r="M620" s="6" t="s">
        <v>1643</v>
      </c>
      <c r="N620" s="6" t="s">
        <v>1644</v>
      </c>
      <c r="O620" s="7">
        <f>SUMIFS('05_상품별배치367'!$K$7:$K$373,'05_상품별배치367'!$E$7:$E$373,A620,'05_상품별배치367'!$H$7:$H$373,"본진")</f>
        <v>0</v>
      </c>
      <c r="P620" s="7">
        <f>SUMIFS('05_상품별배치367'!$K$7:$K$373,'05_상품별배치367'!$E$7:$E$373,A620,'05_상품별배치367'!$H$7:$H$373,"추가 진열")</f>
        <v>0</v>
      </c>
      <c r="Q620" s="7">
        <f>O620+P620</f>
        <v>0</v>
      </c>
      <c r="R620" s="7">
        <v>1</v>
      </c>
      <c r="S620" s="6" t="s">
        <v>1978</v>
      </c>
      <c r="T620" s="6" t="s">
        <v>1637</v>
      </c>
      <c r="U620" s="6"/>
      <c r="V620" s="16"/>
      <c r="W620" s="16"/>
      <c r="X620" s="16"/>
      <c r="Y620" s="6" t="s">
        <v>1627</v>
      </c>
      <c r="Z620" s="15"/>
      <c r="AA620" s="15" t="s">
        <v>1628</v>
      </c>
    </row>
    <row r="621" spans="1:27" ht="33" customHeight="1">
      <c r="A621" s="6" t="s">
        <v>2903</v>
      </c>
      <c r="B621" s="7">
        <v>505</v>
      </c>
      <c r="C621" s="6" t="s">
        <v>2904</v>
      </c>
      <c r="D621" s="6" t="s">
        <v>2133</v>
      </c>
      <c r="E621" s="6" t="s">
        <v>1695</v>
      </c>
      <c r="F621" s="6" t="s">
        <v>1049</v>
      </c>
      <c r="G621" s="6" t="s">
        <v>272</v>
      </c>
      <c r="H621" s="6"/>
      <c r="I621" s="14" t="s">
        <v>1642</v>
      </c>
      <c r="J621" s="15"/>
      <c r="K621" s="6" t="s">
        <v>1696</v>
      </c>
      <c r="L621" s="6"/>
      <c r="M621" s="6" t="s">
        <v>1643</v>
      </c>
      <c r="N621" s="6" t="s">
        <v>1644</v>
      </c>
      <c r="O621" s="7">
        <f>SUMIFS('05_상품별배치367'!$K$7:$K$373,'05_상품별배치367'!$E$7:$E$373,A621,'05_상품별배치367'!$H$7:$H$373,"본진")</f>
        <v>0</v>
      </c>
      <c r="P621" s="7">
        <f>SUMIFS('05_상품별배치367'!$K$7:$K$373,'05_상품별배치367'!$E$7:$E$373,A621,'05_상품별배치367'!$H$7:$H$373,"추가 진열")</f>
        <v>0</v>
      </c>
      <c r="Q621" s="7">
        <f>O621+P621</f>
        <v>0</v>
      </c>
      <c r="R621" s="7">
        <v>1</v>
      </c>
      <c r="S621" s="6" t="s">
        <v>2902</v>
      </c>
      <c r="T621" s="6" t="s">
        <v>1637</v>
      </c>
      <c r="U621" s="6"/>
      <c r="V621" s="16"/>
      <c r="W621" s="16"/>
      <c r="X621" s="16"/>
      <c r="Y621" s="6" t="s">
        <v>1627</v>
      </c>
      <c r="Z621" s="15"/>
      <c r="AA621" s="15" t="s">
        <v>1628</v>
      </c>
    </row>
    <row r="622" spans="1:27" ht="33" customHeight="1">
      <c r="A622" s="8" t="s">
        <v>956</v>
      </c>
      <c r="B622" s="9">
        <v>502</v>
      </c>
      <c r="C622" s="8" t="s">
        <v>955</v>
      </c>
      <c r="D622" s="8" t="s">
        <v>2701</v>
      </c>
      <c r="E622" s="8" t="s">
        <v>1695</v>
      </c>
      <c r="F622" s="8" t="s">
        <v>954</v>
      </c>
      <c r="G622" s="8" t="s">
        <v>219</v>
      </c>
      <c r="H622" s="8" t="s">
        <v>953</v>
      </c>
      <c r="I622" s="14" t="s">
        <v>1633</v>
      </c>
      <c r="J622" s="15"/>
      <c r="K622" s="8" t="s">
        <v>1696</v>
      </c>
      <c r="L622" s="8"/>
      <c r="M622" s="6" t="s">
        <v>1635</v>
      </c>
      <c r="N622" s="6" t="s">
        <v>1624</v>
      </c>
      <c r="O622" s="7">
        <f>SUMIFS('05_상품별배치367'!$K$7:$K$373,'05_상품별배치367'!$E$7:$E$373,A622,'05_상품별배치367'!$H$7:$H$373,"본진")</f>
        <v>1</v>
      </c>
      <c r="P622" s="7">
        <f>SUMIFS('05_상품별배치367'!$K$7:$K$373,'05_상품별배치367'!$E$7:$E$373,A622,'05_상품별배치367'!$H$7:$H$373,"추가 진열")</f>
        <v>0</v>
      </c>
      <c r="Q622" s="7">
        <f>O622+P622</f>
        <v>1</v>
      </c>
      <c r="R622" s="7">
        <v>1</v>
      </c>
      <c r="S622" s="6" t="s">
        <v>1636</v>
      </c>
      <c r="T622" s="6" t="s">
        <v>1637</v>
      </c>
      <c r="U622" s="6"/>
      <c r="V622" s="16"/>
      <c r="W622" s="16"/>
      <c r="X622" s="16"/>
      <c r="Y622" s="6" t="s">
        <v>1627</v>
      </c>
      <c r="Z622" s="15"/>
      <c r="AA622" s="15" t="s">
        <v>1628</v>
      </c>
    </row>
    <row r="623" spans="1:27" ht="33" customHeight="1">
      <c r="A623" s="6" t="s">
        <v>1064</v>
      </c>
      <c r="B623" s="7">
        <v>503</v>
      </c>
      <c r="C623" s="6" t="s">
        <v>1063</v>
      </c>
      <c r="D623" s="6" t="s">
        <v>2899</v>
      </c>
      <c r="E623" s="6" t="s">
        <v>1695</v>
      </c>
      <c r="F623" s="6" t="s">
        <v>1049</v>
      </c>
      <c r="G623" s="6" t="s">
        <v>272</v>
      </c>
      <c r="H623" s="6" t="s">
        <v>1062</v>
      </c>
      <c r="I623" s="14" t="s">
        <v>1633</v>
      </c>
      <c r="J623" s="15"/>
      <c r="K623" s="6" t="s">
        <v>1696</v>
      </c>
      <c r="L623" s="6"/>
      <c r="M623" s="6" t="s">
        <v>1635</v>
      </c>
      <c r="N623" s="6" t="s">
        <v>1624</v>
      </c>
      <c r="O623" s="7">
        <f>SUMIFS('05_상품별배치367'!$K$7:$K$373,'05_상품별배치367'!$E$7:$E$373,A623,'05_상품별배치367'!$H$7:$H$373,"본진")</f>
        <v>1</v>
      </c>
      <c r="P623" s="7">
        <f>SUMIFS('05_상품별배치367'!$K$7:$K$373,'05_상품별배치367'!$E$7:$E$373,A623,'05_상품별배치367'!$H$7:$H$373,"추가 진열")</f>
        <v>0</v>
      </c>
      <c r="Q623" s="7">
        <f>O623+P623</f>
        <v>1</v>
      </c>
      <c r="R623" s="7">
        <v>1</v>
      </c>
      <c r="S623" s="6" t="s">
        <v>1636</v>
      </c>
      <c r="T623" s="6" t="s">
        <v>1637</v>
      </c>
      <c r="U623" s="6"/>
      <c r="V623" s="16"/>
      <c r="W623" s="16"/>
      <c r="X623" s="16"/>
      <c r="Y623" s="6" t="s">
        <v>1627</v>
      </c>
      <c r="Z623" s="15"/>
      <c r="AA623" s="15" t="s">
        <v>1628</v>
      </c>
    </row>
    <row r="624" spans="1:27" ht="33" customHeight="1">
      <c r="A624" s="8" t="s">
        <v>2900</v>
      </c>
      <c r="B624" s="9">
        <v>504</v>
      </c>
      <c r="C624" s="8" t="s">
        <v>2901</v>
      </c>
      <c r="D624" s="8" t="s">
        <v>2133</v>
      </c>
      <c r="E624" s="8" t="s">
        <v>1695</v>
      </c>
      <c r="F624" s="8" t="s">
        <v>1049</v>
      </c>
      <c r="G624" s="8" t="s">
        <v>272</v>
      </c>
      <c r="H624" s="8"/>
      <c r="I624" s="14" t="s">
        <v>1642</v>
      </c>
      <c r="J624" s="15"/>
      <c r="K624" s="8" t="s">
        <v>1696</v>
      </c>
      <c r="L624" s="8"/>
      <c r="M624" s="6" t="s">
        <v>1643</v>
      </c>
      <c r="N624" s="6" t="s">
        <v>1644</v>
      </c>
      <c r="O624" s="7">
        <f>SUMIFS('05_상품별배치367'!$K$7:$K$373,'05_상품별배치367'!$E$7:$E$373,A624,'05_상품별배치367'!$H$7:$H$373,"본진")</f>
        <v>0</v>
      </c>
      <c r="P624" s="7">
        <f>SUMIFS('05_상품별배치367'!$K$7:$K$373,'05_상품별배치367'!$E$7:$E$373,A624,'05_상품별배치367'!$H$7:$H$373,"추가 진열")</f>
        <v>0</v>
      </c>
      <c r="Q624" s="7">
        <f>O624+P624</f>
        <v>0</v>
      </c>
      <c r="R624" s="7">
        <v>1</v>
      </c>
      <c r="S624" s="6" t="s">
        <v>2902</v>
      </c>
      <c r="T624" s="6" t="s">
        <v>1637</v>
      </c>
      <c r="U624" s="6"/>
      <c r="V624" s="16"/>
      <c r="W624" s="16"/>
      <c r="X624" s="16"/>
      <c r="Y624" s="6" t="s">
        <v>1627</v>
      </c>
      <c r="Z624" s="15"/>
      <c r="AA624" s="15" t="s">
        <v>1628</v>
      </c>
    </row>
    <row r="625" spans="1:27" ht="33" customHeight="1">
      <c r="A625" s="8" t="s">
        <v>2895</v>
      </c>
      <c r="B625" s="9">
        <v>500</v>
      </c>
      <c r="C625" s="8" t="s">
        <v>2896</v>
      </c>
      <c r="D625" s="8" t="s">
        <v>2701</v>
      </c>
      <c r="E625" s="8" t="s">
        <v>1695</v>
      </c>
      <c r="F625" s="8" t="s">
        <v>1129</v>
      </c>
      <c r="G625" s="8" t="s">
        <v>307</v>
      </c>
      <c r="H625" s="8"/>
      <c r="I625" s="14" t="s">
        <v>1642</v>
      </c>
      <c r="J625" s="15"/>
      <c r="K625" s="8" t="s">
        <v>1696</v>
      </c>
      <c r="L625" s="8"/>
      <c r="M625" s="6" t="s">
        <v>1643</v>
      </c>
      <c r="N625" s="6" t="s">
        <v>1644</v>
      </c>
      <c r="O625" s="7">
        <f>SUMIFS('05_상품별배치367'!$K$7:$K$373,'05_상품별배치367'!$E$7:$E$373,A625,'05_상품별배치367'!$H$7:$H$373,"본진")</f>
        <v>0</v>
      </c>
      <c r="P625" s="7">
        <f>SUMIFS('05_상품별배치367'!$K$7:$K$373,'05_상품별배치367'!$E$7:$E$373,A625,'05_상품별배치367'!$H$7:$H$373,"추가 진열")</f>
        <v>0</v>
      </c>
      <c r="Q625" s="7">
        <f>O625+P625</f>
        <v>0</v>
      </c>
      <c r="R625" s="7">
        <v>1</v>
      </c>
      <c r="S625" s="6" t="s">
        <v>2850</v>
      </c>
      <c r="T625" s="6" t="s">
        <v>1637</v>
      </c>
      <c r="U625" s="6"/>
      <c r="V625" s="16"/>
      <c r="W625" s="16"/>
      <c r="X625" s="16"/>
      <c r="Y625" s="6" t="s">
        <v>1627</v>
      </c>
      <c r="Z625" s="15"/>
      <c r="AA625" s="15" t="s">
        <v>1628</v>
      </c>
    </row>
    <row r="626" spans="1:27" ht="33" customHeight="1">
      <c r="A626" s="6" t="s">
        <v>2897</v>
      </c>
      <c r="B626" s="7">
        <v>501</v>
      </c>
      <c r="C626" s="6" t="s">
        <v>2898</v>
      </c>
      <c r="D626" s="6" t="s">
        <v>2701</v>
      </c>
      <c r="E626" s="6" t="s">
        <v>1695</v>
      </c>
      <c r="F626" s="6" t="s">
        <v>2846</v>
      </c>
      <c r="G626" s="6" t="s">
        <v>1668</v>
      </c>
      <c r="H626" s="6"/>
      <c r="I626" s="14" t="s">
        <v>1669</v>
      </c>
      <c r="J626" s="15"/>
      <c r="K626" s="6" t="s">
        <v>1696</v>
      </c>
      <c r="L626" s="6"/>
      <c r="M626" s="6" t="s">
        <v>1671</v>
      </c>
      <c r="N626" s="6" t="s">
        <v>1644</v>
      </c>
      <c r="O626" s="7">
        <f>SUMIFS('05_상품별배치367'!$K$7:$K$373,'05_상품별배치367'!$E$7:$E$373,A626,'05_상품별배치367'!$H$7:$H$373,"본진")</f>
        <v>0</v>
      </c>
      <c r="P626" s="7">
        <f>SUMIFS('05_상품별배치367'!$K$7:$K$373,'05_상품별배치367'!$E$7:$E$373,A626,'05_상품별배치367'!$H$7:$H$373,"추가 진열")</f>
        <v>0</v>
      </c>
      <c r="Q626" s="7">
        <f>O626+P626</f>
        <v>0</v>
      </c>
      <c r="R626" s="7">
        <v>0</v>
      </c>
      <c r="S626" s="6" t="s">
        <v>1672</v>
      </c>
      <c r="T626" s="6" t="s">
        <v>1637</v>
      </c>
      <c r="U626" s="6"/>
      <c r="V626" s="16"/>
      <c r="W626" s="16"/>
      <c r="X626" s="16"/>
      <c r="Y626" s="6" t="s">
        <v>1627</v>
      </c>
      <c r="Z626" s="15"/>
      <c r="AA626" s="15" t="s">
        <v>1628</v>
      </c>
    </row>
    <row r="627" spans="1:27" ht="33" customHeight="1">
      <c r="A627" s="8" t="s">
        <v>2905</v>
      </c>
      <c r="B627" s="9">
        <v>506</v>
      </c>
      <c r="C627" s="8" t="s">
        <v>2906</v>
      </c>
      <c r="D627" s="8" t="s">
        <v>2899</v>
      </c>
      <c r="E627" s="8" t="s">
        <v>1986</v>
      </c>
      <c r="F627" s="8" t="s">
        <v>913</v>
      </c>
      <c r="G627" s="8" t="s">
        <v>201</v>
      </c>
      <c r="H627" s="8"/>
      <c r="I627" s="14" t="s">
        <v>1642</v>
      </c>
      <c r="J627" s="15"/>
      <c r="K627" s="8" t="s">
        <v>1976</v>
      </c>
      <c r="L627" s="8"/>
      <c r="M627" s="6" t="s">
        <v>1643</v>
      </c>
      <c r="N627" s="6" t="s">
        <v>1644</v>
      </c>
      <c r="O627" s="7">
        <f>SUMIFS('05_상품별배치367'!$K$7:$K$373,'05_상품별배치367'!$E$7:$E$373,A627,'05_상품별배치367'!$H$7:$H$373,"본진")</f>
        <v>0</v>
      </c>
      <c r="P627" s="7">
        <f>SUMIFS('05_상품별배치367'!$K$7:$K$373,'05_상품별배치367'!$E$7:$E$373,A627,'05_상품별배치367'!$H$7:$H$373,"추가 진열")</f>
        <v>0</v>
      </c>
      <c r="Q627" s="7">
        <f>O627+P627</f>
        <v>0</v>
      </c>
      <c r="R627" s="7">
        <v>1</v>
      </c>
      <c r="S627" s="6" t="s">
        <v>2907</v>
      </c>
      <c r="T627" s="6" t="s">
        <v>1637</v>
      </c>
      <c r="U627" s="6"/>
      <c r="V627" s="16"/>
      <c r="W627" s="16"/>
      <c r="X627" s="16"/>
      <c r="Y627" s="6" t="s">
        <v>1627</v>
      </c>
      <c r="Z627" s="15"/>
      <c r="AA627" s="15" t="s">
        <v>1628</v>
      </c>
    </row>
    <row r="628" spans="1:27" ht="33" customHeight="1">
      <c r="A628" s="6" t="s">
        <v>2368</v>
      </c>
      <c r="B628" s="7">
        <v>269</v>
      </c>
      <c r="C628" s="6" t="s">
        <v>2369</v>
      </c>
      <c r="D628" s="6" t="s">
        <v>2367</v>
      </c>
      <c r="E628" s="6" t="s">
        <v>1620</v>
      </c>
      <c r="F628" s="6" t="s">
        <v>339</v>
      </c>
      <c r="G628" s="6" t="s">
        <v>332</v>
      </c>
      <c r="H628" s="6" t="s">
        <v>1185</v>
      </c>
      <c r="I628" s="14" t="s">
        <v>1633</v>
      </c>
      <c r="J628" s="15"/>
      <c r="K628" s="6" t="s">
        <v>1622</v>
      </c>
      <c r="L628" s="6"/>
      <c r="M628" s="6" t="s">
        <v>1635</v>
      </c>
      <c r="N628" s="6" t="s">
        <v>1624</v>
      </c>
      <c r="O628" s="7">
        <f>SUMIFS('05_상품별배치367'!$K$7:$K$373,'05_상품별배치367'!$E$7:$E$373,A628,'05_상품별배치367'!$H$7:$H$373,"본진")</f>
        <v>1</v>
      </c>
      <c r="P628" s="7">
        <f>SUMIFS('05_상품별배치367'!$K$7:$K$373,'05_상품별배치367'!$E$7:$E$373,A628,'05_상품별배치367'!$H$7:$H$373,"추가 진열")</f>
        <v>0</v>
      </c>
      <c r="Q628" s="7">
        <f>O628+P628</f>
        <v>1</v>
      </c>
      <c r="R628" s="7">
        <v>1</v>
      </c>
      <c r="S628" s="6" t="s">
        <v>1636</v>
      </c>
      <c r="T628" s="6" t="s">
        <v>1637</v>
      </c>
      <c r="U628" s="6"/>
      <c r="V628" s="16"/>
      <c r="W628" s="16"/>
      <c r="X628" s="16"/>
      <c r="Y628" s="6" t="s">
        <v>1655</v>
      </c>
      <c r="Z628" s="15"/>
      <c r="AA628" s="15" t="s">
        <v>1628</v>
      </c>
    </row>
    <row r="629" spans="1:27" ht="33" customHeight="1">
      <c r="A629" s="8" t="s">
        <v>2374</v>
      </c>
      <c r="B629" s="9">
        <v>272</v>
      </c>
      <c r="C629" s="8" t="s">
        <v>2369</v>
      </c>
      <c r="D629" s="8" t="s">
        <v>2371</v>
      </c>
      <c r="E629" s="8" t="s">
        <v>1620</v>
      </c>
      <c r="F629" s="8" t="s">
        <v>339</v>
      </c>
      <c r="G629" s="8" t="s">
        <v>332</v>
      </c>
      <c r="H629" s="8"/>
      <c r="I629" s="14" t="s">
        <v>1642</v>
      </c>
      <c r="J629" s="15"/>
      <c r="K629" s="8" t="s">
        <v>1622</v>
      </c>
      <c r="L629" s="8"/>
      <c r="M629" s="6" t="s">
        <v>1643</v>
      </c>
      <c r="N629" s="6" t="s">
        <v>1644</v>
      </c>
      <c r="O629" s="7">
        <f>SUMIFS('05_상품별배치367'!$K$7:$K$373,'05_상품별배치367'!$E$7:$E$373,A629,'05_상품별배치367'!$H$7:$H$373,"본진")</f>
        <v>0</v>
      </c>
      <c r="P629" s="7">
        <f>SUMIFS('05_상품별배치367'!$K$7:$K$373,'05_상품별배치367'!$E$7:$E$373,A629,'05_상품별배치367'!$H$7:$H$373,"추가 진열")</f>
        <v>0</v>
      </c>
      <c r="Q629" s="7">
        <f>O629+P629</f>
        <v>0</v>
      </c>
      <c r="R629" s="7">
        <v>1</v>
      </c>
      <c r="S629" s="6" t="s">
        <v>2375</v>
      </c>
      <c r="T629" s="6" t="s">
        <v>1637</v>
      </c>
      <c r="U629" s="6"/>
      <c r="V629" s="16"/>
      <c r="W629" s="16"/>
      <c r="X629" s="16"/>
      <c r="Y629" s="6" t="s">
        <v>1655</v>
      </c>
      <c r="Z629" s="15"/>
      <c r="AA629" s="15" t="s">
        <v>1628</v>
      </c>
    </row>
    <row r="630" spans="1:27" ht="33" customHeight="1">
      <c r="A630" s="6" t="s">
        <v>2376</v>
      </c>
      <c r="B630" s="7">
        <v>273</v>
      </c>
      <c r="C630" s="6" t="s">
        <v>2377</v>
      </c>
      <c r="D630" s="6" t="s">
        <v>2371</v>
      </c>
      <c r="E630" s="6" t="s">
        <v>1666</v>
      </c>
      <c r="F630" s="6" t="s">
        <v>1852</v>
      </c>
      <c r="G630" s="6" t="s">
        <v>1853</v>
      </c>
      <c r="H630" s="6"/>
      <c r="I630" s="14" t="s">
        <v>1669</v>
      </c>
      <c r="J630" s="15"/>
      <c r="K630" s="6" t="s">
        <v>1670</v>
      </c>
      <c r="L630" s="6"/>
      <c r="M630" s="6" t="s">
        <v>1671</v>
      </c>
      <c r="N630" s="6" t="s">
        <v>1644</v>
      </c>
      <c r="O630" s="7">
        <f>SUMIFS('05_상품별배치367'!$K$7:$K$373,'05_상품별배치367'!$E$7:$E$373,A630,'05_상품별배치367'!$H$7:$H$373,"본진")</f>
        <v>0</v>
      </c>
      <c r="P630" s="7">
        <f>SUMIFS('05_상품별배치367'!$K$7:$K$373,'05_상품별배치367'!$E$7:$E$373,A630,'05_상품별배치367'!$H$7:$H$373,"추가 진열")</f>
        <v>0</v>
      </c>
      <c r="Q630" s="7">
        <f>O630+P630</f>
        <v>0</v>
      </c>
      <c r="R630" s="7">
        <v>0</v>
      </c>
      <c r="S630" s="6" t="s">
        <v>1672</v>
      </c>
      <c r="T630" s="6" t="s">
        <v>1637</v>
      </c>
      <c r="U630" s="6"/>
      <c r="V630" s="16"/>
      <c r="W630" s="16"/>
      <c r="X630" s="16"/>
      <c r="Y630" s="6" t="s">
        <v>1655</v>
      </c>
      <c r="Z630" s="15"/>
      <c r="AA630" s="15" t="s">
        <v>1628</v>
      </c>
    </row>
    <row r="631" spans="1:27" ht="33" customHeight="1">
      <c r="A631" s="8" t="s">
        <v>2370</v>
      </c>
      <c r="B631" s="9">
        <v>270</v>
      </c>
      <c r="C631" s="8" t="s">
        <v>2366</v>
      </c>
      <c r="D631" s="8" t="s">
        <v>2371</v>
      </c>
      <c r="E631" s="8" t="s">
        <v>1666</v>
      </c>
      <c r="F631" s="8" t="s">
        <v>1852</v>
      </c>
      <c r="G631" s="8" t="s">
        <v>1853</v>
      </c>
      <c r="H631" s="8"/>
      <c r="I631" s="14" t="s">
        <v>1669</v>
      </c>
      <c r="J631" s="15"/>
      <c r="K631" s="8" t="s">
        <v>1670</v>
      </c>
      <c r="L631" s="8"/>
      <c r="M631" s="6" t="s">
        <v>1671</v>
      </c>
      <c r="N631" s="6" t="s">
        <v>1644</v>
      </c>
      <c r="O631" s="7">
        <f>SUMIFS('05_상품별배치367'!$K$7:$K$373,'05_상품별배치367'!$E$7:$E$373,A631,'05_상품별배치367'!$H$7:$H$373,"본진")</f>
        <v>0</v>
      </c>
      <c r="P631" s="7">
        <f>SUMIFS('05_상품별배치367'!$K$7:$K$373,'05_상품별배치367'!$E$7:$E$373,A631,'05_상품별배치367'!$H$7:$H$373,"추가 진열")</f>
        <v>0</v>
      </c>
      <c r="Q631" s="7">
        <f>O631+P631</f>
        <v>0</v>
      </c>
      <c r="R631" s="7">
        <v>0</v>
      </c>
      <c r="S631" s="6" t="s">
        <v>1672</v>
      </c>
      <c r="T631" s="6" t="s">
        <v>1637</v>
      </c>
      <c r="U631" s="6"/>
      <c r="V631" s="16"/>
      <c r="W631" s="16"/>
      <c r="X631" s="16"/>
      <c r="Y631" s="6" t="s">
        <v>1655</v>
      </c>
      <c r="Z631" s="15"/>
      <c r="AA631" s="15" t="s">
        <v>1628</v>
      </c>
    </row>
    <row r="632" spans="1:27" ht="33" customHeight="1">
      <c r="A632" s="8" t="s">
        <v>2365</v>
      </c>
      <c r="B632" s="9">
        <v>268</v>
      </c>
      <c r="C632" s="8" t="s">
        <v>2366</v>
      </c>
      <c r="D632" s="8" t="s">
        <v>2367</v>
      </c>
      <c r="E632" s="8" t="s">
        <v>1666</v>
      </c>
      <c r="F632" s="8" t="s">
        <v>1852</v>
      </c>
      <c r="G632" s="8" t="s">
        <v>1853</v>
      </c>
      <c r="H632" s="8"/>
      <c r="I632" s="14" t="s">
        <v>1669</v>
      </c>
      <c r="J632" s="15"/>
      <c r="K632" s="8" t="s">
        <v>1670</v>
      </c>
      <c r="L632" s="8"/>
      <c r="M632" s="6" t="s">
        <v>1671</v>
      </c>
      <c r="N632" s="6" t="s">
        <v>1644</v>
      </c>
      <c r="O632" s="7">
        <f>SUMIFS('05_상품별배치367'!$K$7:$K$373,'05_상품별배치367'!$E$7:$E$373,A632,'05_상품별배치367'!$H$7:$H$373,"본진")</f>
        <v>0</v>
      </c>
      <c r="P632" s="7">
        <f>SUMIFS('05_상품별배치367'!$K$7:$K$373,'05_상품별배치367'!$E$7:$E$373,A632,'05_상품별배치367'!$H$7:$H$373,"추가 진열")</f>
        <v>0</v>
      </c>
      <c r="Q632" s="7">
        <f>O632+P632</f>
        <v>0</v>
      </c>
      <c r="R632" s="7">
        <v>0</v>
      </c>
      <c r="S632" s="6" t="s">
        <v>1672</v>
      </c>
      <c r="T632" s="6" t="s">
        <v>1637</v>
      </c>
      <c r="U632" s="6"/>
      <c r="V632" s="16"/>
      <c r="W632" s="16"/>
      <c r="X632" s="16"/>
      <c r="Y632" s="6" t="s">
        <v>1655</v>
      </c>
      <c r="Z632" s="15"/>
      <c r="AA632" s="15" t="s">
        <v>1628</v>
      </c>
    </row>
    <row r="633" spans="1:27" ht="33" customHeight="1">
      <c r="A633" s="6" t="s">
        <v>2372</v>
      </c>
      <c r="B633" s="7">
        <v>271</v>
      </c>
      <c r="C633" s="6" t="s">
        <v>2373</v>
      </c>
      <c r="D633" s="6" t="s">
        <v>2371</v>
      </c>
      <c r="E633" s="6" t="s">
        <v>1666</v>
      </c>
      <c r="F633" s="6" t="s">
        <v>1852</v>
      </c>
      <c r="G633" s="6" t="s">
        <v>1853</v>
      </c>
      <c r="H633" s="6"/>
      <c r="I633" s="14" t="s">
        <v>1669</v>
      </c>
      <c r="J633" s="15"/>
      <c r="K633" s="6" t="s">
        <v>1670</v>
      </c>
      <c r="L633" s="6"/>
      <c r="M633" s="6" t="s">
        <v>1671</v>
      </c>
      <c r="N633" s="6" t="s">
        <v>1644</v>
      </c>
      <c r="O633" s="7">
        <f>SUMIFS('05_상품별배치367'!$K$7:$K$373,'05_상품별배치367'!$E$7:$E$373,A633,'05_상품별배치367'!$H$7:$H$373,"본진")</f>
        <v>0</v>
      </c>
      <c r="P633" s="7">
        <f>SUMIFS('05_상품별배치367'!$K$7:$K$373,'05_상품별배치367'!$E$7:$E$373,A633,'05_상품별배치367'!$H$7:$H$373,"추가 진열")</f>
        <v>0</v>
      </c>
      <c r="Q633" s="7">
        <f>O633+P633</f>
        <v>0</v>
      </c>
      <c r="R633" s="7">
        <v>0</v>
      </c>
      <c r="S633" s="6" t="s">
        <v>1672</v>
      </c>
      <c r="T633" s="6" t="s">
        <v>1637</v>
      </c>
      <c r="U633" s="6"/>
      <c r="V633" s="16"/>
      <c r="W633" s="16"/>
      <c r="X633" s="16"/>
      <c r="Y633" s="6" t="s">
        <v>1655</v>
      </c>
      <c r="Z633" s="15"/>
      <c r="AA633" s="15" t="s">
        <v>1628</v>
      </c>
    </row>
    <row r="634" spans="1:27" ht="33" customHeight="1">
      <c r="A634" s="8" t="s">
        <v>6910</v>
      </c>
      <c r="B634" s="9">
        <v>2366</v>
      </c>
      <c r="C634" s="8" t="s">
        <v>6911</v>
      </c>
      <c r="D634" s="8" t="s">
        <v>6912</v>
      </c>
      <c r="E634" s="8" t="s">
        <v>1620</v>
      </c>
      <c r="F634" s="8" t="s">
        <v>504</v>
      </c>
      <c r="G634" s="8" t="s">
        <v>341</v>
      </c>
      <c r="H634" s="8" t="s">
        <v>1194</v>
      </c>
      <c r="I634" s="14" t="s">
        <v>1642</v>
      </c>
      <c r="J634" s="15"/>
      <c r="K634" s="8" t="s">
        <v>1622</v>
      </c>
      <c r="L634" s="8" t="s">
        <v>3828</v>
      </c>
      <c r="M634" s="6" t="s">
        <v>1643</v>
      </c>
      <c r="N634" s="6" t="s">
        <v>1624</v>
      </c>
      <c r="O634" s="7">
        <f>SUMIFS('05_상품별배치367'!$K$7:$K$373,'05_상품별배치367'!$E$7:$E$373,A634,'05_상품별배치367'!$H$7:$H$373,"본진")</f>
        <v>0</v>
      </c>
      <c r="P634" s="7">
        <f>SUMIFS('05_상품별배치367'!$K$7:$K$373,'05_상품별배치367'!$E$7:$E$373,A634,'05_상품별배치367'!$H$7:$H$373,"추가 진열")</f>
        <v>0</v>
      </c>
      <c r="Q634" s="7">
        <f>O634+P634</f>
        <v>0</v>
      </c>
      <c r="R634" s="7">
        <v>1</v>
      </c>
      <c r="S634" s="6" t="s">
        <v>2199</v>
      </c>
      <c r="T634" s="6" t="s">
        <v>6909</v>
      </c>
      <c r="U634" s="6"/>
      <c r="V634" s="16"/>
      <c r="W634" s="16"/>
      <c r="X634" s="16"/>
      <c r="Y634" s="6" t="s">
        <v>1627</v>
      </c>
      <c r="Z634" s="15"/>
      <c r="AA634" s="15" t="s">
        <v>1628</v>
      </c>
    </row>
    <row r="635" spans="1:27" ht="33" customHeight="1">
      <c r="A635" s="8" t="s">
        <v>3691</v>
      </c>
      <c r="B635" s="9">
        <v>864</v>
      </c>
      <c r="C635" s="8" t="s">
        <v>3692</v>
      </c>
      <c r="D635" s="8" t="s">
        <v>3042</v>
      </c>
      <c r="E635" s="8" t="s">
        <v>2134</v>
      </c>
      <c r="F635" s="8" t="s">
        <v>481</v>
      </c>
      <c r="G635" s="8" t="s">
        <v>193</v>
      </c>
      <c r="H635" s="8"/>
      <c r="I635" s="14" t="s">
        <v>1642</v>
      </c>
      <c r="J635" s="15"/>
      <c r="K635" s="8" t="s">
        <v>1976</v>
      </c>
      <c r="L635" s="8"/>
      <c r="M635" s="6" t="s">
        <v>1643</v>
      </c>
      <c r="N635" s="6" t="s">
        <v>1644</v>
      </c>
      <c r="O635" s="7">
        <f>SUMIFS('05_상품별배치367'!$K$7:$K$373,'05_상품별배치367'!$E$7:$E$373,A635,'05_상품별배치367'!$H$7:$H$373,"본진")</f>
        <v>0</v>
      </c>
      <c r="P635" s="7">
        <f>SUMIFS('05_상품별배치367'!$K$7:$K$373,'05_상품별배치367'!$E$7:$E$373,A635,'05_상품별배치367'!$H$7:$H$373,"추가 진열")</f>
        <v>0</v>
      </c>
      <c r="Q635" s="7">
        <f>O635+P635</f>
        <v>0</v>
      </c>
      <c r="R635" s="7">
        <v>1</v>
      </c>
      <c r="S635" s="6" t="s">
        <v>3000</v>
      </c>
      <c r="T635" s="6" t="s">
        <v>1637</v>
      </c>
      <c r="U635" s="6"/>
      <c r="V635" s="16"/>
      <c r="W635" s="16"/>
      <c r="X635" s="16"/>
      <c r="Y635" s="6" t="s">
        <v>1627</v>
      </c>
      <c r="Z635" s="15"/>
      <c r="AA635" s="15" t="s">
        <v>1628</v>
      </c>
    </row>
    <row r="636" spans="1:27" ht="33" customHeight="1">
      <c r="A636" s="6" t="s">
        <v>3693</v>
      </c>
      <c r="B636" s="7">
        <v>865</v>
      </c>
      <c r="C636" s="6" t="s">
        <v>3694</v>
      </c>
      <c r="D636" s="6" t="s">
        <v>3393</v>
      </c>
      <c r="E636" s="6" t="s">
        <v>1986</v>
      </c>
      <c r="F636" s="6" t="s">
        <v>913</v>
      </c>
      <c r="G636" s="6" t="s">
        <v>201</v>
      </c>
      <c r="H636" s="6"/>
      <c r="I636" s="14" t="s">
        <v>1642</v>
      </c>
      <c r="J636" s="15"/>
      <c r="K636" s="6" t="s">
        <v>1976</v>
      </c>
      <c r="L636" s="6"/>
      <c r="M636" s="6" t="s">
        <v>1643</v>
      </c>
      <c r="N636" s="6" t="s">
        <v>1644</v>
      </c>
      <c r="O636" s="7">
        <f>SUMIFS('05_상품별배치367'!$K$7:$K$373,'05_상품별배치367'!$E$7:$E$373,A636,'05_상품별배치367'!$H$7:$H$373,"본진")</f>
        <v>0</v>
      </c>
      <c r="P636" s="7">
        <f>SUMIFS('05_상품별배치367'!$K$7:$K$373,'05_상품별배치367'!$E$7:$E$373,A636,'05_상품별배치367'!$H$7:$H$373,"추가 진열")</f>
        <v>0</v>
      </c>
      <c r="Q636" s="7">
        <f>O636+P636</f>
        <v>0</v>
      </c>
      <c r="R636" s="7">
        <v>1</v>
      </c>
      <c r="S636" s="6" t="s">
        <v>2907</v>
      </c>
      <c r="T636" s="6" t="s">
        <v>1637</v>
      </c>
      <c r="U636" s="6"/>
      <c r="V636" s="16"/>
      <c r="W636" s="16"/>
      <c r="X636" s="16"/>
      <c r="Y636" s="6" t="s">
        <v>1627</v>
      </c>
      <c r="Z636" s="15"/>
      <c r="AA636" s="15" t="s">
        <v>1628</v>
      </c>
    </row>
    <row r="637" spans="1:27" ht="33" customHeight="1">
      <c r="A637" s="8" t="s">
        <v>3687</v>
      </c>
      <c r="B637" s="9">
        <v>862</v>
      </c>
      <c r="C637" s="8" t="s">
        <v>3688</v>
      </c>
      <c r="D637" s="8" t="s">
        <v>2913</v>
      </c>
      <c r="E637" s="8" t="s">
        <v>1986</v>
      </c>
      <c r="F637" s="8" t="s">
        <v>493</v>
      </c>
      <c r="G637" s="8" t="s">
        <v>299</v>
      </c>
      <c r="H637" s="8"/>
      <c r="I637" s="14" t="s">
        <v>1642</v>
      </c>
      <c r="J637" s="15"/>
      <c r="K637" s="8" t="s">
        <v>1976</v>
      </c>
      <c r="L637" s="8"/>
      <c r="M637" s="6" t="s">
        <v>1643</v>
      </c>
      <c r="N637" s="6" t="s">
        <v>1644</v>
      </c>
      <c r="O637" s="7">
        <f>SUMIFS('05_상품별배치367'!$K$7:$K$373,'05_상품별배치367'!$E$7:$E$373,A637,'05_상품별배치367'!$H$7:$H$373,"본진")</f>
        <v>0</v>
      </c>
      <c r="P637" s="7">
        <f>SUMIFS('05_상품별배치367'!$K$7:$K$373,'05_상품별배치367'!$E$7:$E$373,A637,'05_상품별배치367'!$H$7:$H$373,"추가 진열")</f>
        <v>0</v>
      </c>
      <c r="Q637" s="7">
        <f>O637+P637</f>
        <v>0</v>
      </c>
      <c r="R637" s="7">
        <v>1</v>
      </c>
      <c r="S637" s="6" t="s">
        <v>3084</v>
      </c>
      <c r="T637" s="6" t="s">
        <v>1637</v>
      </c>
      <c r="U637" s="6"/>
      <c r="V637" s="16"/>
      <c r="W637" s="16"/>
      <c r="X637" s="16"/>
      <c r="Y637" s="6" t="s">
        <v>1627</v>
      </c>
      <c r="Z637" s="15"/>
      <c r="AA637" s="15" t="s">
        <v>1628</v>
      </c>
    </row>
    <row r="638" spans="1:27" ht="33" customHeight="1">
      <c r="A638" s="8" t="s">
        <v>3683</v>
      </c>
      <c r="B638" s="9">
        <v>860</v>
      </c>
      <c r="C638" s="8" t="s">
        <v>3684</v>
      </c>
      <c r="D638" s="8" t="s">
        <v>2133</v>
      </c>
      <c r="E638" s="8" t="s">
        <v>2134</v>
      </c>
      <c r="F638" s="8" t="s">
        <v>2933</v>
      </c>
      <c r="G638" s="8" t="s">
        <v>1668</v>
      </c>
      <c r="H638" s="8"/>
      <c r="I638" s="14" t="s">
        <v>1807</v>
      </c>
      <c r="J638" s="15"/>
      <c r="K638" s="8" t="s">
        <v>1976</v>
      </c>
      <c r="L638" s="8" t="s">
        <v>2032</v>
      </c>
      <c r="M638" s="6" t="s">
        <v>1809</v>
      </c>
      <c r="N638" s="6" t="s">
        <v>1644</v>
      </c>
      <c r="O638" s="7">
        <f>SUMIFS('05_상품별배치367'!$K$7:$K$373,'05_상품별배치367'!$E$7:$E$373,A638,'05_상품별배치367'!$H$7:$H$373,"본진")</f>
        <v>0</v>
      </c>
      <c r="P638" s="7">
        <f>SUMIFS('05_상품별배치367'!$K$7:$K$373,'05_상품별배치367'!$E$7:$E$373,A638,'05_상품별배치367'!$H$7:$H$373,"추가 진열")</f>
        <v>0</v>
      </c>
      <c r="Q638" s="7">
        <f>O638+P638</f>
        <v>0</v>
      </c>
      <c r="R638" s="7">
        <v>0</v>
      </c>
      <c r="S638" s="6" t="s">
        <v>1810</v>
      </c>
      <c r="T638" s="6" t="s">
        <v>1637</v>
      </c>
      <c r="U638" s="6"/>
      <c r="V638" s="16"/>
      <c r="W638" s="16"/>
      <c r="X638" s="16"/>
      <c r="Y638" s="6" t="s">
        <v>1627</v>
      </c>
      <c r="Z638" s="15"/>
      <c r="AA638" s="15" t="s">
        <v>1628</v>
      </c>
    </row>
    <row r="639" spans="1:27" ht="33" customHeight="1">
      <c r="A639" s="6" t="s">
        <v>3689</v>
      </c>
      <c r="B639" s="7">
        <v>863</v>
      </c>
      <c r="C639" s="6" t="s">
        <v>3690</v>
      </c>
      <c r="D639" s="6" t="s">
        <v>3338</v>
      </c>
      <c r="E639" s="6" t="s">
        <v>2134</v>
      </c>
      <c r="F639" s="6" t="s">
        <v>2933</v>
      </c>
      <c r="G639" s="6" t="s">
        <v>1668</v>
      </c>
      <c r="H639" s="6"/>
      <c r="I639" s="14" t="s">
        <v>1807</v>
      </c>
      <c r="J639" s="15"/>
      <c r="K639" s="6" t="s">
        <v>1976</v>
      </c>
      <c r="L639" s="6" t="s">
        <v>2032</v>
      </c>
      <c r="M639" s="6" t="s">
        <v>1809</v>
      </c>
      <c r="N639" s="6" t="s">
        <v>1644</v>
      </c>
      <c r="O639" s="7">
        <f>SUMIFS('05_상품별배치367'!$K$7:$K$373,'05_상품별배치367'!$E$7:$E$373,A639,'05_상품별배치367'!$H$7:$H$373,"본진")</f>
        <v>0</v>
      </c>
      <c r="P639" s="7">
        <f>SUMIFS('05_상품별배치367'!$K$7:$K$373,'05_상품별배치367'!$E$7:$E$373,A639,'05_상품별배치367'!$H$7:$H$373,"추가 진열")</f>
        <v>0</v>
      </c>
      <c r="Q639" s="7">
        <f>O639+P639</f>
        <v>0</v>
      </c>
      <c r="R639" s="7">
        <v>0</v>
      </c>
      <c r="S639" s="6" t="s">
        <v>1810</v>
      </c>
      <c r="T639" s="6" t="s">
        <v>1637</v>
      </c>
      <c r="U639" s="6"/>
      <c r="V639" s="16"/>
      <c r="W639" s="16"/>
      <c r="X639" s="16"/>
      <c r="Y639" s="6" t="s">
        <v>1627</v>
      </c>
      <c r="Z639" s="15"/>
      <c r="AA639" s="15" t="s">
        <v>1628</v>
      </c>
    </row>
    <row r="640" spans="1:27" ht="33" customHeight="1">
      <c r="A640" s="6" t="s">
        <v>3685</v>
      </c>
      <c r="B640" s="7">
        <v>861</v>
      </c>
      <c r="C640" s="6" t="s">
        <v>3686</v>
      </c>
      <c r="D640" s="6" t="s">
        <v>2845</v>
      </c>
      <c r="E640" s="6" t="s">
        <v>1986</v>
      </c>
      <c r="F640" s="6" t="s">
        <v>913</v>
      </c>
      <c r="G640" s="6" t="s">
        <v>201</v>
      </c>
      <c r="H640" s="6"/>
      <c r="I640" s="14" t="s">
        <v>1642</v>
      </c>
      <c r="J640" s="15"/>
      <c r="K640" s="6" t="s">
        <v>1976</v>
      </c>
      <c r="L640" s="6"/>
      <c r="M640" s="6" t="s">
        <v>1643</v>
      </c>
      <c r="N640" s="6" t="s">
        <v>1644</v>
      </c>
      <c r="O640" s="7">
        <f>SUMIFS('05_상품별배치367'!$K$7:$K$373,'05_상품별배치367'!$E$7:$E$373,A640,'05_상품별배치367'!$H$7:$H$373,"본진")</f>
        <v>0</v>
      </c>
      <c r="P640" s="7">
        <f>SUMIFS('05_상품별배치367'!$K$7:$K$373,'05_상품별배치367'!$E$7:$E$373,A640,'05_상품별배치367'!$H$7:$H$373,"추가 진열")</f>
        <v>0</v>
      </c>
      <c r="Q640" s="7">
        <f>O640+P640</f>
        <v>0</v>
      </c>
      <c r="R640" s="7">
        <v>1</v>
      </c>
      <c r="S640" s="6" t="s">
        <v>2907</v>
      </c>
      <c r="T640" s="6" t="s">
        <v>1637</v>
      </c>
      <c r="U640" s="6"/>
      <c r="V640" s="16"/>
      <c r="W640" s="16"/>
      <c r="X640" s="16"/>
      <c r="Y640" s="6" t="s">
        <v>1627</v>
      </c>
      <c r="Z640" s="15"/>
      <c r="AA640" s="15" t="s">
        <v>1628</v>
      </c>
    </row>
    <row r="641" spans="1:27" ht="33" customHeight="1">
      <c r="A641" s="8" t="s">
        <v>3695</v>
      </c>
      <c r="B641" s="9">
        <v>866</v>
      </c>
      <c r="C641" s="8" t="s">
        <v>3696</v>
      </c>
      <c r="D641" s="8" t="s">
        <v>2856</v>
      </c>
      <c r="E641" s="8" t="s">
        <v>2134</v>
      </c>
      <c r="F641" s="8" t="s">
        <v>162</v>
      </c>
      <c r="G641" s="8" t="s">
        <v>404</v>
      </c>
      <c r="H641" s="8"/>
      <c r="I641" s="14" t="s">
        <v>1642</v>
      </c>
      <c r="J641" s="15"/>
      <c r="K641" s="8" t="s">
        <v>1976</v>
      </c>
      <c r="L641" s="8"/>
      <c r="M641" s="6" t="s">
        <v>1643</v>
      </c>
      <c r="N641" s="6" t="s">
        <v>1644</v>
      </c>
      <c r="O641" s="7">
        <f>SUMIFS('05_상품별배치367'!$K$7:$K$373,'05_상품별배치367'!$E$7:$E$373,A641,'05_상품별배치367'!$H$7:$H$373,"본진")</f>
        <v>0</v>
      </c>
      <c r="P641" s="7">
        <f>SUMIFS('05_상품별배치367'!$K$7:$K$373,'05_상품별배치367'!$E$7:$E$373,A641,'05_상품별배치367'!$H$7:$H$373,"추가 진열")</f>
        <v>0</v>
      </c>
      <c r="Q641" s="7">
        <f>O641+P641</f>
        <v>0</v>
      </c>
      <c r="R641" s="7">
        <v>1</v>
      </c>
      <c r="S641" s="6" t="s">
        <v>2996</v>
      </c>
      <c r="T641" s="6" t="s">
        <v>1637</v>
      </c>
      <c r="U641" s="6"/>
      <c r="V641" s="16"/>
      <c r="W641" s="16"/>
      <c r="X641" s="16"/>
      <c r="Y641" s="6" t="s">
        <v>1627</v>
      </c>
      <c r="Z641" s="15"/>
      <c r="AA641" s="15" t="s">
        <v>1628</v>
      </c>
    </row>
    <row r="642" spans="1:27" ht="33" customHeight="1">
      <c r="A642" s="8" t="s">
        <v>7177</v>
      </c>
      <c r="B642" s="9">
        <v>2492</v>
      </c>
      <c r="C642" s="8" t="s">
        <v>7178</v>
      </c>
      <c r="D642" s="8" t="s">
        <v>7179</v>
      </c>
      <c r="E642" s="8" t="s">
        <v>1666</v>
      </c>
      <c r="F642" s="8" t="s">
        <v>1667</v>
      </c>
      <c r="G642" s="8" t="s">
        <v>1668</v>
      </c>
      <c r="H642" s="8"/>
      <c r="I642" s="14" t="s">
        <v>1669</v>
      </c>
      <c r="J642" s="15"/>
      <c r="K642" s="8" t="s">
        <v>1670</v>
      </c>
      <c r="L642" s="8"/>
      <c r="M642" s="6" t="s">
        <v>1671</v>
      </c>
      <c r="N642" s="6" t="s">
        <v>1624</v>
      </c>
      <c r="O642" s="7">
        <f>SUMIFS('05_상품별배치367'!$K$7:$K$373,'05_상품별배치367'!$E$7:$E$373,A642,'05_상품별배치367'!$H$7:$H$373,"본진")</f>
        <v>0</v>
      </c>
      <c r="P642" s="7">
        <f>SUMIFS('05_상품별배치367'!$K$7:$K$373,'05_상품별배치367'!$E$7:$E$373,A642,'05_상품별배치367'!$H$7:$H$373,"추가 진열")</f>
        <v>0</v>
      </c>
      <c r="Q642" s="7">
        <f>O642+P642</f>
        <v>0</v>
      </c>
      <c r="R642" s="7">
        <v>0</v>
      </c>
      <c r="S642" s="6" t="s">
        <v>1672</v>
      </c>
      <c r="T642" s="6" t="s">
        <v>1637</v>
      </c>
      <c r="U642" s="6"/>
      <c r="V642" s="16"/>
      <c r="W642" s="16"/>
      <c r="X642" s="16"/>
      <c r="Y642" s="6" t="s">
        <v>1627</v>
      </c>
      <c r="Z642" s="15"/>
      <c r="AA642" s="15" t="s">
        <v>1628</v>
      </c>
    </row>
    <row r="643" spans="1:27" ht="33" customHeight="1">
      <c r="A643" s="6" t="s">
        <v>7180</v>
      </c>
      <c r="B643" s="7">
        <v>2493</v>
      </c>
      <c r="C643" s="6" t="s">
        <v>7181</v>
      </c>
      <c r="D643" s="6" t="s">
        <v>7179</v>
      </c>
      <c r="E643" s="6" t="s">
        <v>1666</v>
      </c>
      <c r="F643" s="6" t="s">
        <v>1667</v>
      </c>
      <c r="G643" s="6" t="s">
        <v>1668</v>
      </c>
      <c r="H643" s="6"/>
      <c r="I643" s="14" t="s">
        <v>1669</v>
      </c>
      <c r="J643" s="15"/>
      <c r="K643" s="6" t="s">
        <v>1670</v>
      </c>
      <c r="L643" s="6"/>
      <c r="M643" s="6" t="s">
        <v>1671</v>
      </c>
      <c r="N643" s="6" t="s">
        <v>1624</v>
      </c>
      <c r="O643" s="7">
        <f>SUMIFS('05_상품별배치367'!$K$7:$K$373,'05_상품별배치367'!$E$7:$E$373,A643,'05_상품별배치367'!$H$7:$H$373,"본진")</f>
        <v>0</v>
      </c>
      <c r="P643" s="7">
        <f>SUMIFS('05_상품별배치367'!$K$7:$K$373,'05_상품별배치367'!$E$7:$E$373,A643,'05_상품별배치367'!$H$7:$H$373,"추가 진열")</f>
        <v>0</v>
      </c>
      <c r="Q643" s="7">
        <f>O643+P643</f>
        <v>0</v>
      </c>
      <c r="R643" s="7">
        <v>0</v>
      </c>
      <c r="S643" s="6" t="s">
        <v>1672</v>
      </c>
      <c r="T643" s="6" t="s">
        <v>1637</v>
      </c>
      <c r="U643" s="6"/>
      <c r="V643" s="16"/>
      <c r="W643" s="16"/>
      <c r="X643" s="16"/>
      <c r="Y643" s="6" t="s">
        <v>1627</v>
      </c>
      <c r="Z643" s="15"/>
      <c r="AA643" s="15" t="s">
        <v>1628</v>
      </c>
    </row>
    <row r="644" spans="1:27" ht="33" customHeight="1">
      <c r="A644" s="6" t="s">
        <v>6949</v>
      </c>
      <c r="B644" s="7">
        <v>2383</v>
      </c>
      <c r="C644" s="6" t="s">
        <v>6950</v>
      </c>
      <c r="D644" s="6" t="s">
        <v>6951</v>
      </c>
      <c r="E644" s="6" t="s">
        <v>1666</v>
      </c>
      <c r="F644" s="6" t="s">
        <v>1667</v>
      </c>
      <c r="G644" s="6" t="s">
        <v>1668</v>
      </c>
      <c r="H644" s="6"/>
      <c r="I644" s="14" t="s">
        <v>1669</v>
      </c>
      <c r="J644" s="15"/>
      <c r="K644" s="6" t="s">
        <v>1670</v>
      </c>
      <c r="L644" s="6" t="s">
        <v>3828</v>
      </c>
      <c r="M644" s="6" t="s">
        <v>1671</v>
      </c>
      <c r="N644" s="6" t="s">
        <v>1644</v>
      </c>
      <c r="O644" s="7">
        <f>SUMIFS('05_상품별배치367'!$K$7:$K$373,'05_상품별배치367'!$E$7:$E$373,A644,'05_상품별배치367'!$H$7:$H$373,"본진")</f>
        <v>0</v>
      </c>
      <c r="P644" s="7">
        <f>SUMIFS('05_상품별배치367'!$K$7:$K$373,'05_상품별배치367'!$E$7:$E$373,A644,'05_상품별배치367'!$H$7:$H$373,"추가 진열")</f>
        <v>0</v>
      </c>
      <c r="Q644" s="7">
        <f>O644+P644</f>
        <v>0</v>
      </c>
      <c r="R644" s="7">
        <v>0</v>
      </c>
      <c r="S644" s="6" t="s">
        <v>1672</v>
      </c>
      <c r="T644" s="6" t="s">
        <v>1637</v>
      </c>
      <c r="U644" s="6"/>
      <c r="V644" s="16"/>
      <c r="W644" s="16"/>
      <c r="X644" s="16"/>
      <c r="Y644" s="6" t="s">
        <v>1627</v>
      </c>
      <c r="Z644" s="15"/>
      <c r="AA644" s="15" t="s">
        <v>1628</v>
      </c>
    </row>
    <row r="645" spans="1:27" ht="33" customHeight="1">
      <c r="A645" s="8" t="s">
        <v>7182</v>
      </c>
      <c r="B645" s="9">
        <v>2494</v>
      </c>
      <c r="C645" s="8" t="s">
        <v>7183</v>
      </c>
      <c r="D645" s="8" t="s">
        <v>5958</v>
      </c>
      <c r="E645" s="8" t="s">
        <v>1620</v>
      </c>
      <c r="F645" s="8" t="s">
        <v>2031</v>
      </c>
      <c r="G645" s="8" t="s">
        <v>1668</v>
      </c>
      <c r="H645" s="8"/>
      <c r="I645" s="14" t="s">
        <v>1642</v>
      </c>
      <c r="J645" s="15"/>
      <c r="K645" s="8" t="s">
        <v>1622</v>
      </c>
      <c r="L645" s="8" t="s">
        <v>2032</v>
      </c>
      <c r="M645" s="6" t="s">
        <v>1643</v>
      </c>
      <c r="N645" s="6" t="s">
        <v>1644</v>
      </c>
      <c r="O645" s="7">
        <f>SUMIFS('05_상품별배치367'!$K$7:$K$373,'05_상품별배치367'!$E$7:$E$373,A645,'05_상품별배치367'!$H$7:$H$373,"본진")</f>
        <v>0</v>
      </c>
      <c r="P645" s="7">
        <f>SUMIFS('05_상품별배치367'!$K$7:$K$373,'05_상품별배치367'!$E$7:$E$373,A645,'05_상품별배치367'!$H$7:$H$373,"추가 진열")</f>
        <v>0</v>
      </c>
      <c r="Q645" s="7">
        <f>O645+P645</f>
        <v>0</v>
      </c>
      <c r="R645" s="7">
        <v>1</v>
      </c>
      <c r="S645" s="6" t="s">
        <v>2033</v>
      </c>
      <c r="T645" s="6" t="s">
        <v>1637</v>
      </c>
      <c r="U645" s="6"/>
      <c r="V645" s="16"/>
      <c r="W645" s="16"/>
      <c r="X645" s="16"/>
      <c r="Y645" s="6" t="s">
        <v>1627</v>
      </c>
      <c r="Z645" s="15"/>
      <c r="AA645" s="15" t="s">
        <v>1628</v>
      </c>
    </row>
    <row r="646" spans="1:27" ht="33" customHeight="1">
      <c r="A646" s="6" t="s">
        <v>2979</v>
      </c>
      <c r="B646" s="7">
        <v>539</v>
      </c>
      <c r="C646" s="6" t="s">
        <v>2980</v>
      </c>
      <c r="D646" s="6" t="s">
        <v>2981</v>
      </c>
      <c r="E646" s="6" t="s">
        <v>1695</v>
      </c>
      <c r="F646" s="6" t="s">
        <v>1129</v>
      </c>
      <c r="G646" s="6" t="s">
        <v>307</v>
      </c>
      <c r="H646" s="6"/>
      <c r="I646" s="14" t="s">
        <v>1642</v>
      </c>
      <c r="J646" s="15"/>
      <c r="K646" s="6" t="s">
        <v>1696</v>
      </c>
      <c r="L646" s="6"/>
      <c r="M646" s="6" t="s">
        <v>1643</v>
      </c>
      <c r="N646" s="6" t="s">
        <v>1644</v>
      </c>
      <c r="O646" s="7">
        <f>SUMIFS('05_상품별배치367'!$K$7:$K$373,'05_상품별배치367'!$E$7:$E$373,A646,'05_상품별배치367'!$H$7:$H$373,"본진")</f>
        <v>0</v>
      </c>
      <c r="P646" s="7">
        <f>SUMIFS('05_상품별배치367'!$K$7:$K$373,'05_상품별배치367'!$E$7:$E$373,A646,'05_상품별배치367'!$H$7:$H$373,"추가 진열")</f>
        <v>0</v>
      </c>
      <c r="Q646" s="7">
        <f>O646+P646</f>
        <v>0</v>
      </c>
      <c r="R646" s="7">
        <v>1</v>
      </c>
      <c r="S646" s="6" t="s">
        <v>2850</v>
      </c>
      <c r="T646" s="6" t="s">
        <v>1637</v>
      </c>
      <c r="U646" s="6"/>
      <c r="V646" s="16"/>
      <c r="W646" s="16"/>
      <c r="X646" s="16"/>
      <c r="Y646" s="6" t="s">
        <v>1627</v>
      </c>
      <c r="Z646" s="15"/>
      <c r="AA646" s="15" t="s">
        <v>1628</v>
      </c>
    </row>
    <row r="647" spans="1:27" ht="33" customHeight="1">
      <c r="A647" s="8" t="s">
        <v>2977</v>
      </c>
      <c r="B647" s="9">
        <v>538</v>
      </c>
      <c r="C647" s="8" t="s">
        <v>2978</v>
      </c>
      <c r="D647" s="8" t="s">
        <v>2964</v>
      </c>
      <c r="E647" s="8" t="s">
        <v>1695</v>
      </c>
      <c r="F647" s="8" t="s">
        <v>1129</v>
      </c>
      <c r="G647" s="8" t="s">
        <v>307</v>
      </c>
      <c r="H647" s="8"/>
      <c r="I647" s="14" t="s">
        <v>1642</v>
      </c>
      <c r="J647" s="15"/>
      <c r="K647" s="8" t="s">
        <v>1696</v>
      </c>
      <c r="L647" s="8"/>
      <c r="M647" s="6" t="s">
        <v>1643</v>
      </c>
      <c r="N647" s="6" t="s">
        <v>1644</v>
      </c>
      <c r="O647" s="7">
        <f>SUMIFS('05_상품별배치367'!$K$7:$K$373,'05_상품별배치367'!$E$7:$E$373,A647,'05_상품별배치367'!$H$7:$H$373,"본진")</f>
        <v>0</v>
      </c>
      <c r="P647" s="7">
        <f>SUMIFS('05_상품별배치367'!$K$7:$K$373,'05_상품별배치367'!$E$7:$E$373,A647,'05_상품별배치367'!$H$7:$H$373,"추가 진열")</f>
        <v>0</v>
      </c>
      <c r="Q647" s="7">
        <f>O647+P647</f>
        <v>0</v>
      </c>
      <c r="R647" s="7">
        <v>1</v>
      </c>
      <c r="S647" s="6" t="s">
        <v>2850</v>
      </c>
      <c r="T647" s="6" t="s">
        <v>1637</v>
      </c>
      <c r="U647" s="6"/>
      <c r="V647" s="16"/>
      <c r="W647" s="16"/>
      <c r="X647" s="16"/>
      <c r="Y647" s="6" t="s">
        <v>1627</v>
      </c>
      <c r="Z647" s="15"/>
      <c r="AA647" s="15" t="s">
        <v>1628</v>
      </c>
    </row>
    <row r="648" spans="1:27" ht="33" customHeight="1">
      <c r="A648" s="8" t="s">
        <v>2982</v>
      </c>
      <c r="B648" s="9">
        <v>540</v>
      </c>
      <c r="C648" s="8" t="s">
        <v>2983</v>
      </c>
      <c r="D648" s="8" t="s">
        <v>2984</v>
      </c>
      <c r="E648" s="8" t="s">
        <v>1695</v>
      </c>
      <c r="F648" s="8" t="s">
        <v>497</v>
      </c>
      <c r="G648" s="8" t="s">
        <v>307</v>
      </c>
      <c r="H648" s="8"/>
      <c r="I648" s="14" t="s">
        <v>1642</v>
      </c>
      <c r="J648" s="15"/>
      <c r="K648" s="8" t="s">
        <v>1696</v>
      </c>
      <c r="L648" s="8"/>
      <c r="M648" s="6" t="s">
        <v>1643</v>
      </c>
      <c r="N648" s="6" t="s">
        <v>1644</v>
      </c>
      <c r="O648" s="7">
        <f>SUMIFS('05_상품별배치367'!$K$7:$K$373,'05_상품별배치367'!$E$7:$E$373,A648,'05_상품별배치367'!$H$7:$H$373,"본진")</f>
        <v>0</v>
      </c>
      <c r="P648" s="7">
        <f>SUMIFS('05_상품별배치367'!$K$7:$K$373,'05_상품별배치367'!$E$7:$E$373,A648,'05_상품별배치367'!$H$7:$H$373,"추가 진열")</f>
        <v>0</v>
      </c>
      <c r="Q648" s="7">
        <f>O648+P648</f>
        <v>0</v>
      </c>
      <c r="R648" s="7">
        <v>1</v>
      </c>
      <c r="S648" s="6" t="s">
        <v>2857</v>
      </c>
      <c r="T648" s="6" t="s">
        <v>1637</v>
      </c>
      <c r="U648" s="6"/>
      <c r="V648" s="16"/>
      <c r="W648" s="16"/>
      <c r="X648" s="16"/>
      <c r="Y648" s="6" t="s">
        <v>1627</v>
      </c>
      <c r="Z648" s="15"/>
      <c r="AA648" s="15" t="s">
        <v>1628</v>
      </c>
    </row>
    <row r="649" spans="1:27" ht="33" customHeight="1">
      <c r="A649" s="6" t="s">
        <v>1567</v>
      </c>
      <c r="B649" s="7">
        <v>1945</v>
      </c>
      <c r="C649" s="6" t="s">
        <v>1566</v>
      </c>
      <c r="D649" s="6" t="s">
        <v>3042</v>
      </c>
      <c r="E649" s="6" t="s">
        <v>2134</v>
      </c>
      <c r="F649" s="6" t="s">
        <v>156</v>
      </c>
      <c r="G649" s="6" t="s">
        <v>386</v>
      </c>
      <c r="H649" s="6" t="s">
        <v>1289</v>
      </c>
      <c r="I649" s="14" t="s">
        <v>1621</v>
      </c>
      <c r="J649" s="15"/>
      <c r="K649" s="6" t="s">
        <v>1976</v>
      </c>
      <c r="L649" s="6" t="s">
        <v>3828</v>
      </c>
      <c r="M649" s="6" t="s">
        <v>1623</v>
      </c>
      <c r="N649" s="6" t="s">
        <v>1624</v>
      </c>
      <c r="O649" s="7">
        <f>SUMIFS('05_상품별배치367'!$K$7:$K$373,'05_상품별배치367'!$E$7:$E$373,A649,'05_상품별배치367'!$H$7:$H$373,"본진")</f>
        <v>1</v>
      </c>
      <c r="P649" s="7">
        <f>SUMIFS('05_상품별배치367'!$K$7:$K$373,'05_상품별배치367'!$E$7:$E$373,A649,'05_상품별배치367'!$H$7:$H$373,"추가 진열")</f>
        <v>1</v>
      </c>
      <c r="Q649" s="7">
        <f>O649+P649</f>
        <v>2</v>
      </c>
      <c r="R649" s="7">
        <v>1</v>
      </c>
      <c r="S649" s="6" t="s">
        <v>1625</v>
      </c>
      <c r="T649" s="6" t="s">
        <v>5961</v>
      </c>
      <c r="U649" s="6"/>
      <c r="V649" s="16"/>
      <c r="W649" s="16"/>
      <c r="X649" s="16"/>
      <c r="Y649" s="6" t="s">
        <v>1627</v>
      </c>
      <c r="Z649" s="15"/>
      <c r="AA649" s="15" t="s">
        <v>1628</v>
      </c>
    </row>
    <row r="650" spans="1:27" ht="33" customHeight="1">
      <c r="A650" s="6" t="s">
        <v>5968</v>
      </c>
      <c r="B650" s="7">
        <v>1935</v>
      </c>
      <c r="C650" s="6" t="s">
        <v>5969</v>
      </c>
      <c r="D650" s="6" t="s">
        <v>2856</v>
      </c>
      <c r="E650" s="6" t="s">
        <v>2134</v>
      </c>
      <c r="F650" s="6" t="s">
        <v>1081</v>
      </c>
      <c r="G650" s="6" t="s">
        <v>290</v>
      </c>
      <c r="H650" s="6"/>
      <c r="I650" s="14" t="s">
        <v>1642</v>
      </c>
      <c r="J650" s="15"/>
      <c r="K650" s="6" t="s">
        <v>1976</v>
      </c>
      <c r="L650" s="6" t="s">
        <v>3828</v>
      </c>
      <c r="M650" s="6" t="s">
        <v>1643</v>
      </c>
      <c r="N650" s="6" t="s">
        <v>1644</v>
      </c>
      <c r="O650" s="7">
        <f>SUMIFS('05_상품별배치367'!$K$7:$K$373,'05_상품별배치367'!$E$7:$E$373,A650,'05_상품별배치367'!$H$7:$H$373,"본진")</f>
        <v>0</v>
      </c>
      <c r="P650" s="7">
        <f>SUMIFS('05_상품별배치367'!$K$7:$K$373,'05_상품별배치367'!$E$7:$E$373,A650,'05_상품별배치367'!$H$7:$H$373,"추가 진열")</f>
        <v>0</v>
      </c>
      <c r="Q650" s="7">
        <f>O650+P650</f>
        <v>0</v>
      </c>
      <c r="R650" s="7">
        <v>1</v>
      </c>
      <c r="S650" s="6" t="s">
        <v>2135</v>
      </c>
      <c r="T650" s="6" t="s">
        <v>5961</v>
      </c>
      <c r="U650" s="6"/>
      <c r="V650" s="16"/>
      <c r="W650" s="16"/>
      <c r="X650" s="16"/>
      <c r="Y650" s="6" t="s">
        <v>1627</v>
      </c>
      <c r="Z650" s="15"/>
      <c r="AA650" s="15" t="s">
        <v>1628</v>
      </c>
    </row>
    <row r="651" spans="1:27" ht="33" customHeight="1">
      <c r="A651" s="6" t="s">
        <v>5992</v>
      </c>
      <c r="B651" s="7">
        <v>1947</v>
      </c>
      <c r="C651" s="6" t="s">
        <v>5993</v>
      </c>
      <c r="D651" s="6" t="s">
        <v>5994</v>
      </c>
      <c r="E651" s="6" t="s">
        <v>2134</v>
      </c>
      <c r="F651" s="6" t="s">
        <v>156</v>
      </c>
      <c r="G651" s="6" t="s">
        <v>386</v>
      </c>
      <c r="H651" s="6" t="s">
        <v>1293</v>
      </c>
      <c r="I651" s="14" t="s">
        <v>1633</v>
      </c>
      <c r="J651" s="15"/>
      <c r="K651" s="6" t="s">
        <v>1976</v>
      </c>
      <c r="L651" s="6" t="s">
        <v>3828</v>
      </c>
      <c r="M651" s="6" t="s">
        <v>1635</v>
      </c>
      <c r="N651" s="6" t="s">
        <v>1624</v>
      </c>
      <c r="O651" s="7">
        <f>SUMIFS('05_상품별배치367'!$K$7:$K$373,'05_상품별배치367'!$E$7:$E$373,A651,'05_상품별배치367'!$H$7:$H$373,"본진")</f>
        <v>1</v>
      </c>
      <c r="P651" s="7">
        <f>SUMIFS('05_상품별배치367'!$K$7:$K$373,'05_상품별배치367'!$E$7:$E$373,A651,'05_상품별배치367'!$H$7:$H$373,"추가 진열")</f>
        <v>0</v>
      </c>
      <c r="Q651" s="7">
        <f>O651+P651</f>
        <v>1</v>
      </c>
      <c r="R651" s="7">
        <v>1</v>
      </c>
      <c r="S651" s="6" t="s">
        <v>1636</v>
      </c>
      <c r="T651" s="6" t="s">
        <v>5961</v>
      </c>
      <c r="U651" s="6"/>
      <c r="V651" s="16"/>
      <c r="W651" s="16"/>
      <c r="X651" s="16"/>
      <c r="Y651" s="6" t="s">
        <v>1655</v>
      </c>
      <c r="Z651" s="15"/>
      <c r="AA651" s="15" t="s">
        <v>1628</v>
      </c>
    </row>
    <row r="652" spans="1:27" ht="33" customHeight="1">
      <c r="A652" s="6" t="s">
        <v>5959</v>
      </c>
      <c r="B652" s="7">
        <v>1931</v>
      </c>
      <c r="C652" s="6" t="s">
        <v>5960</v>
      </c>
      <c r="D652" s="6" t="s">
        <v>2133</v>
      </c>
      <c r="E652" s="6" t="s">
        <v>1986</v>
      </c>
      <c r="F652" s="6" t="s">
        <v>493</v>
      </c>
      <c r="G652" s="6" t="s">
        <v>299</v>
      </c>
      <c r="H652" s="6"/>
      <c r="I652" s="14" t="s">
        <v>1642</v>
      </c>
      <c r="J652" s="15"/>
      <c r="K652" s="6" t="s">
        <v>1976</v>
      </c>
      <c r="L652" s="6" t="s">
        <v>3828</v>
      </c>
      <c r="M652" s="6" t="s">
        <v>1643</v>
      </c>
      <c r="N652" s="6" t="s">
        <v>1644</v>
      </c>
      <c r="O652" s="7">
        <f>SUMIFS('05_상품별배치367'!$K$7:$K$373,'05_상품별배치367'!$E$7:$E$373,A652,'05_상품별배치367'!$H$7:$H$373,"본진")</f>
        <v>0</v>
      </c>
      <c r="P652" s="7">
        <f>SUMIFS('05_상품별배치367'!$K$7:$K$373,'05_상품별배치367'!$E$7:$E$373,A652,'05_상품별배치367'!$H$7:$H$373,"추가 진열")</f>
        <v>0</v>
      </c>
      <c r="Q652" s="7">
        <f>O652+P652</f>
        <v>0</v>
      </c>
      <c r="R652" s="7">
        <v>1</v>
      </c>
      <c r="S652" s="6" t="s">
        <v>3084</v>
      </c>
      <c r="T652" s="6" t="s">
        <v>5961</v>
      </c>
      <c r="U652" s="6"/>
      <c r="V652" s="16"/>
      <c r="W652" s="16"/>
      <c r="X652" s="16"/>
      <c r="Y652" s="6" t="s">
        <v>1627</v>
      </c>
      <c r="Z652" s="15"/>
      <c r="AA652" s="15" t="s">
        <v>1628</v>
      </c>
    </row>
    <row r="653" spans="1:27" ht="33" customHeight="1">
      <c r="A653" s="6" t="s">
        <v>7074</v>
      </c>
      <c r="B653" s="7">
        <v>2441</v>
      </c>
      <c r="C653" s="6" t="s">
        <v>7075</v>
      </c>
      <c r="D653" s="6" t="s">
        <v>3807</v>
      </c>
      <c r="E653" s="6" t="s">
        <v>1641</v>
      </c>
      <c r="F653" s="6" t="s">
        <v>1806</v>
      </c>
      <c r="G653" s="6" t="s">
        <v>1668</v>
      </c>
      <c r="H653" s="6"/>
      <c r="I653" s="14" t="s">
        <v>1807</v>
      </c>
      <c r="J653" s="15"/>
      <c r="K653" s="6" t="s">
        <v>1634</v>
      </c>
      <c r="L653" s="6" t="s">
        <v>2001</v>
      </c>
      <c r="M653" s="6" t="s">
        <v>1809</v>
      </c>
      <c r="N653" s="6" t="s">
        <v>1624</v>
      </c>
      <c r="O653" s="7">
        <f>SUMIFS('05_상품별배치367'!$K$7:$K$373,'05_상품별배치367'!$E$7:$E$373,A653,'05_상품별배치367'!$H$7:$H$373,"본진")</f>
        <v>0</v>
      </c>
      <c r="P653" s="7">
        <f>SUMIFS('05_상품별배치367'!$K$7:$K$373,'05_상품별배치367'!$E$7:$E$373,A653,'05_상품별배치367'!$H$7:$H$373,"추가 진열")</f>
        <v>0</v>
      </c>
      <c r="Q653" s="7">
        <f>O653+P653</f>
        <v>0</v>
      </c>
      <c r="R653" s="7">
        <v>0</v>
      </c>
      <c r="S653" s="6" t="s">
        <v>1810</v>
      </c>
      <c r="T653" s="6" t="s">
        <v>1637</v>
      </c>
      <c r="U653" s="6"/>
      <c r="V653" s="16"/>
      <c r="W653" s="16"/>
      <c r="X653" s="16"/>
      <c r="Y653" s="6" t="s">
        <v>1627</v>
      </c>
      <c r="Z653" s="15"/>
      <c r="AA653" s="15" t="s">
        <v>1628</v>
      </c>
    </row>
    <row r="654" spans="1:27" ht="33" customHeight="1">
      <c r="A654" s="6" t="s">
        <v>4616</v>
      </c>
      <c r="B654" s="7">
        <v>1295</v>
      </c>
      <c r="C654" s="6" t="s">
        <v>4617</v>
      </c>
      <c r="D654" s="6" t="s">
        <v>3055</v>
      </c>
      <c r="E654" s="6" t="s">
        <v>2134</v>
      </c>
      <c r="F654" s="6" t="s">
        <v>163</v>
      </c>
      <c r="G654" s="6" t="s">
        <v>414</v>
      </c>
      <c r="H654" s="6"/>
      <c r="I654" s="14" t="s">
        <v>1642</v>
      </c>
      <c r="J654" s="15"/>
      <c r="K654" s="6" t="s">
        <v>1976</v>
      </c>
      <c r="L654" s="6"/>
      <c r="M654" s="6" t="s">
        <v>1643</v>
      </c>
      <c r="N654" s="6" t="s">
        <v>1644</v>
      </c>
      <c r="O654" s="7">
        <f>SUMIFS('05_상품별배치367'!$K$7:$K$373,'05_상품별배치367'!$E$7:$E$373,A654,'05_상품별배치367'!$H$7:$H$373,"본진")</f>
        <v>0</v>
      </c>
      <c r="P654" s="7">
        <f>SUMIFS('05_상품별배치367'!$K$7:$K$373,'05_상품별배치367'!$E$7:$E$373,A654,'05_상품별배치367'!$H$7:$H$373,"추가 진열")</f>
        <v>0</v>
      </c>
      <c r="Q654" s="7">
        <f>O654+P654</f>
        <v>0</v>
      </c>
      <c r="R654" s="7">
        <v>1</v>
      </c>
      <c r="S654" s="6" t="s">
        <v>3048</v>
      </c>
      <c r="T654" s="6" t="s">
        <v>1637</v>
      </c>
      <c r="U654" s="6"/>
      <c r="V654" s="16"/>
      <c r="W654" s="16"/>
      <c r="X654" s="16"/>
      <c r="Y654" s="6" t="s">
        <v>1627</v>
      </c>
      <c r="Z654" s="15"/>
      <c r="AA654" s="15" t="s">
        <v>1628</v>
      </c>
    </row>
    <row r="655" spans="1:27" ht="33" customHeight="1">
      <c r="A655" s="8" t="s">
        <v>4614</v>
      </c>
      <c r="B655" s="9">
        <v>1294</v>
      </c>
      <c r="C655" s="8" t="s">
        <v>4615</v>
      </c>
      <c r="D655" s="8" t="s">
        <v>2845</v>
      </c>
      <c r="E655" s="8" t="s">
        <v>1986</v>
      </c>
      <c r="F655" s="8" t="s">
        <v>913</v>
      </c>
      <c r="G655" s="8" t="s">
        <v>201</v>
      </c>
      <c r="H655" s="8"/>
      <c r="I655" s="14" t="s">
        <v>1642</v>
      </c>
      <c r="J655" s="15"/>
      <c r="K655" s="8" t="s">
        <v>1976</v>
      </c>
      <c r="L655" s="8"/>
      <c r="M655" s="6" t="s">
        <v>1643</v>
      </c>
      <c r="N655" s="6" t="s">
        <v>1644</v>
      </c>
      <c r="O655" s="7">
        <f>SUMIFS('05_상품별배치367'!$K$7:$K$373,'05_상품별배치367'!$E$7:$E$373,A655,'05_상품별배치367'!$H$7:$H$373,"본진")</f>
        <v>0</v>
      </c>
      <c r="P655" s="7">
        <f>SUMIFS('05_상품별배치367'!$K$7:$K$373,'05_상품별배치367'!$E$7:$E$373,A655,'05_상품별배치367'!$H$7:$H$373,"추가 진열")</f>
        <v>0</v>
      </c>
      <c r="Q655" s="7">
        <f>O655+P655</f>
        <v>0</v>
      </c>
      <c r="R655" s="7">
        <v>1</v>
      </c>
      <c r="S655" s="6" t="s">
        <v>2907</v>
      </c>
      <c r="T655" s="6" t="s">
        <v>1637</v>
      </c>
      <c r="U655" s="6"/>
      <c r="V655" s="16"/>
      <c r="W655" s="16"/>
      <c r="X655" s="16"/>
      <c r="Y655" s="6" t="s">
        <v>1627</v>
      </c>
      <c r="Z655" s="15"/>
      <c r="AA655" s="15" t="s">
        <v>1628</v>
      </c>
    </row>
    <row r="656" spans="1:27" ht="33" customHeight="1">
      <c r="A656" s="8" t="s">
        <v>4618</v>
      </c>
      <c r="B656" s="9">
        <v>1296</v>
      </c>
      <c r="C656" s="8" t="s">
        <v>4619</v>
      </c>
      <c r="D656" s="8" t="s">
        <v>2856</v>
      </c>
      <c r="E656" s="8" t="s">
        <v>2134</v>
      </c>
      <c r="F656" s="8" t="s">
        <v>161</v>
      </c>
      <c r="G656" s="8" t="s">
        <v>395</v>
      </c>
      <c r="H656" s="8"/>
      <c r="I656" s="14" t="s">
        <v>1642</v>
      </c>
      <c r="J656" s="15"/>
      <c r="K656" s="8" t="s">
        <v>1976</v>
      </c>
      <c r="L656" s="8"/>
      <c r="M656" s="6" t="s">
        <v>1643</v>
      </c>
      <c r="N656" s="6" t="s">
        <v>1644</v>
      </c>
      <c r="O656" s="7">
        <f>SUMIFS('05_상품별배치367'!$K$7:$K$373,'05_상품별배치367'!$E$7:$E$373,A656,'05_상품별배치367'!$H$7:$H$373,"본진")</f>
        <v>0</v>
      </c>
      <c r="P656" s="7">
        <f>SUMIFS('05_상품별배치367'!$K$7:$K$373,'05_상품별배치367'!$E$7:$E$373,A656,'05_상품별배치367'!$H$7:$H$373,"추가 진열")</f>
        <v>0</v>
      </c>
      <c r="Q656" s="7">
        <f>O656+P656</f>
        <v>0</v>
      </c>
      <c r="R656" s="7">
        <v>1</v>
      </c>
      <c r="S656" s="6" t="s">
        <v>3070</v>
      </c>
      <c r="T656" s="6" t="s">
        <v>1637</v>
      </c>
      <c r="U656" s="6"/>
      <c r="V656" s="16"/>
      <c r="W656" s="16"/>
      <c r="X656" s="16"/>
      <c r="Y656" s="6" t="s">
        <v>1627</v>
      </c>
      <c r="Z656" s="15"/>
      <c r="AA656" s="15" t="s">
        <v>1628</v>
      </c>
    </row>
    <row r="657" spans="1:27" ht="33" customHeight="1">
      <c r="A657" s="6" t="s">
        <v>4620</v>
      </c>
      <c r="B657" s="7">
        <v>1297</v>
      </c>
      <c r="C657" s="6" t="s">
        <v>4621</v>
      </c>
      <c r="D657" s="6" t="s">
        <v>2913</v>
      </c>
      <c r="E657" s="6" t="s">
        <v>2134</v>
      </c>
      <c r="F657" s="6" t="s">
        <v>2933</v>
      </c>
      <c r="G657" s="6" t="s">
        <v>1668</v>
      </c>
      <c r="H657" s="6"/>
      <c r="I657" s="14" t="s">
        <v>1807</v>
      </c>
      <c r="J657" s="15"/>
      <c r="K657" s="6" t="s">
        <v>1976</v>
      </c>
      <c r="L657" s="6" t="s">
        <v>2032</v>
      </c>
      <c r="M657" s="6" t="s">
        <v>1809</v>
      </c>
      <c r="N657" s="6" t="s">
        <v>1644</v>
      </c>
      <c r="O657" s="7">
        <f>SUMIFS('05_상품별배치367'!$K$7:$K$373,'05_상품별배치367'!$E$7:$E$373,A657,'05_상품별배치367'!$H$7:$H$373,"본진")</f>
        <v>0</v>
      </c>
      <c r="P657" s="7">
        <f>SUMIFS('05_상품별배치367'!$K$7:$K$373,'05_상품별배치367'!$E$7:$E$373,A657,'05_상품별배치367'!$H$7:$H$373,"추가 진열")</f>
        <v>0</v>
      </c>
      <c r="Q657" s="7">
        <f>O657+P657</f>
        <v>0</v>
      </c>
      <c r="R657" s="7">
        <v>0</v>
      </c>
      <c r="S657" s="6" t="s">
        <v>1810</v>
      </c>
      <c r="T657" s="6" t="s">
        <v>1637</v>
      </c>
      <c r="U657" s="6"/>
      <c r="V657" s="16"/>
      <c r="W657" s="16"/>
      <c r="X657" s="16"/>
      <c r="Y657" s="6" t="s">
        <v>1627</v>
      </c>
      <c r="Z657" s="15"/>
      <c r="AA657" s="15" t="s">
        <v>1628</v>
      </c>
    </row>
    <row r="658" spans="1:27" ht="33" customHeight="1">
      <c r="A658" s="6" t="s">
        <v>5997</v>
      </c>
      <c r="B658" s="7">
        <v>1949</v>
      </c>
      <c r="C658" s="6" t="s">
        <v>5998</v>
      </c>
      <c r="D658" s="6" t="s">
        <v>5979</v>
      </c>
      <c r="E658" s="6" t="s">
        <v>1641</v>
      </c>
      <c r="F658" s="6" t="s">
        <v>694</v>
      </c>
      <c r="G658" s="6" t="s">
        <v>99</v>
      </c>
      <c r="H658" s="6"/>
      <c r="I658" s="14" t="s">
        <v>1642</v>
      </c>
      <c r="J658" s="15"/>
      <c r="K658" s="6" t="s">
        <v>1634</v>
      </c>
      <c r="L658" s="6" t="s">
        <v>3828</v>
      </c>
      <c r="M658" s="6" t="s">
        <v>1643</v>
      </c>
      <c r="N658" s="6" t="s">
        <v>1624</v>
      </c>
      <c r="O658" s="7">
        <f>SUMIFS('05_상품별배치367'!$K$7:$K$373,'05_상품별배치367'!$E$7:$E$373,A658,'05_상품별배치367'!$H$7:$H$373,"본진")</f>
        <v>0</v>
      </c>
      <c r="P658" s="7">
        <f>SUMIFS('05_상품별배치367'!$K$7:$K$373,'05_상품별배치367'!$E$7:$E$373,A658,'05_상품별배치367'!$H$7:$H$373,"추가 진열")</f>
        <v>0</v>
      </c>
      <c r="Q658" s="7">
        <f>O658+P658</f>
        <v>0</v>
      </c>
      <c r="R658" s="7">
        <v>1</v>
      </c>
      <c r="S658" s="6" t="s">
        <v>5964</v>
      </c>
      <c r="T658" s="6" t="s">
        <v>1637</v>
      </c>
      <c r="U658" s="6"/>
      <c r="V658" s="16"/>
      <c r="W658" s="16"/>
      <c r="X658" s="16"/>
      <c r="Y658" s="6" t="s">
        <v>1627</v>
      </c>
      <c r="Z658" s="15"/>
      <c r="AA658" s="15" t="s">
        <v>1628</v>
      </c>
    </row>
    <row r="659" spans="1:27" ht="33" customHeight="1">
      <c r="A659" s="6" t="s">
        <v>4186</v>
      </c>
      <c r="B659" s="7">
        <v>1089</v>
      </c>
      <c r="C659" s="6" t="s">
        <v>4187</v>
      </c>
      <c r="D659" s="6" t="s">
        <v>4188</v>
      </c>
      <c r="E659" s="6" t="s">
        <v>2134</v>
      </c>
      <c r="F659" s="6" t="s">
        <v>1263</v>
      </c>
      <c r="G659" s="6" t="s">
        <v>376</v>
      </c>
      <c r="H659" s="6"/>
      <c r="I659" s="14" t="s">
        <v>1642</v>
      </c>
      <c r="J659" s="15"/>
      <c r="K659" s="6" t="s">
        <v>1976</v>
      </c>
      <c r="L659" s="6"/>
      <c r="M659" s="6" t="s">
        <v>1643</v>
      </c>
      <c r="N659" s="6" t="s">
        <v>1644</v>
      </c>
      <c r="O659" s="7">
        <f>SUMIFS('05_상품별배치367'!$K$7:$K$373,'05_상품별배치367'!$E$7:$E$373,A659,'05_상품별배치367'!$H$7:$H$373,"본진")</f>
        <v>0</v>
      </c>
      <c r="P659" s="7">
        <f>SUMIFS('05_상품별배치367'!$K$7:$K$373,'05_상품별배치367'!$E$7:$E$373,A659,'05_상품별배치367'!$H$7:$H$373,"추가 진열")</f>
        <v>0</v>
      </c>
      <c r="Q659" s="7">
        <f>O659+P659</f>
        <v>0</v>
      </c>
      <c r="R659" s="7">
        <v>1</v>
      </c>
      <c r="S659" s="6" t="s">
        <v>3016</v>
      </c>
      <c r="T659" s="6" t="s">
        <v>1637</v>
      </c>
      <c r="U659" s="6"/>
      <c r="V659" s="16"/>
      <c r="W659" s="16"/>
      <c r="X659" s="16"/>
      <c r="Y659" s="6" t="s">
        <v>1627</v>
      </c>
      <c r="Z659" s="15"/>
      <c r="AA659" s="15" t="s">
        <v>1628</v>
      </c>
    </row>
    <row r="660" spans="1:27" ht="33" customHeight="1">
      <c r="A660" s="6" t="s">
        <v>4192</v>
      </c>
      <c r="B660" s="7">
        <v>1091</v>
      </c>
      <c r="C660" s="6" t="s">
        <v>4193</v>
      </c>
      <c r="D660" s="6" t="s">
        <v>4194</v>
      </c>
      <c r="E660" s="6" t="s">
        <v>2134</v>
      </c>
      <c r="F660" s="6" t="s">
        <v>842</v>
      </c>
      <c r="G660" s="6" t="s">
        <v>164</v>
      </c>
      <c r="H660" s="6"/>
      <c r="I660" s="14" t="s">
        <v>1642</v>
      </c>
      <c r="J660" s="15"/>
      <c r="K660" s="6" t="s">
        <v>1976</v>
      </c>
      <c r="L660" s="6"/>
      <c r="M660" s="6" t="s">
        <v>1643</v>
      </c>
      <c r="N660" s="6" t="s">
        <v>1644</v>
      </c>
      <c r="O660" s="7">
        <f>SUMIFS('05_상품별배치367'!$K$7:$K$373,'05_상품별배치367'!$E$7:$E$373,A660,'05_상품별배치367'!$H$7:$H$373,"본진")</f>
        <v>0</v>
      </c>
      <c r="P660" s="7">
        <f>SUMIFS('05_상품별배치367'!$K$7:$K$373,'05_상품별배치367'!$E$7:$E$373,A660,'05_상품별배치367'!$H$7:$H$373,"추가 진열")</f>
        <v>0</v>
      </c>
      <c r="Q660" s="7">
        <f>O660+P660</f>
        <v>0</v>
      </c>
      <c r="R660" s="7">
        <v>1</v>
      </c>
      <c r="S660" s="6" t="s">
        <v>3009</v>
      </c>
      <c r="T660" s="6" t="s">
        <v>1637</v>
      </c>
      <c r="U660" s="6"/>
      <c r="V660" s="16"/>
      <c r="W660" s="16"/>
      <c r="X660" s="16"/>
      <c r="Y660" s="6" t="s">
        <v>1655</v>
      </c>
      <c r="Z660" s="15"/>
      <c r="AA660" s="15" t="s">
        <v>1628</v>
      </c>
    </row>
    <row r="661" spans="1:27" ht="33" customHeight="1">
      <c r="A661" s="8" t="s">
        <v>4189</v>
      </c>
      <c r="B661" s="9">
        <v>1090</v>
      </c>
      <c r="C661" s="8" t="s">
        <v>4190</v>
      </c>
      <c r="D661" s="8" t="s">
        <v>4191</v>
      </c>
      <c r="E661" s="8" t="s">
        <v>1986</v>
      </c>
      <c r="F661" s="8" t="s">
        <v>1276</v>
      </c>
      <c r="G661" s="8" t="s">
        <v>1987</v>
      </c>
      <c r="H661" s="8"/>
      <c r="I661" s="14" t="s">
        <v>1642</v>
      </c>
      <c r="J661" s="15"/>
      <c r="K661" s="8" t="s">
        <v>1976</v>
      </c>
      <c r="L661" s="8"/>
      <c r="M661" s="6" t="s">
        <v>1643</v>
      </c>
      <c r="N661" s="6" t="s">
        <v>1644</v>
      </c>
      <c r="O661" s="7">
        <f>SUMIFS('05_상품별배치367'!$K$7:$K$373,'05_상품별배치367'!$E$7:$E$373,A661,'05_상품별배치367'!$H$7:$H$373,"본진")</f>
        <v>0</v>
      </c>
      <c r="P661" s="7">
        <f>SUMIFS('05_상품별배치367'!$K$7:$K$373,'05_상품별배치367'!$E$7:$E$373,A661,'05_상품별배치367'!$H$7:$H$373,"추가 진열")</f>
        <v>0</v>
      </c>
      <c r="Q661" s="7">
        <f>O661+P661</f>
        <v>0</v>
      </c>
      <c r="R661" s="7">
        <v>1</v>
      </c>
      <c r="S661" s="6" t="s">
        <v>1988</v>
      </c>
      <c r="T661" s="6" t="s">
        <v>1637</v>
      </c>
      <c r="U661" s="6"/>
      <c r="V661" s="16"/>
      <c r="W661" s="16"/>
      <c r="X661" s="16"/>
      <c r="Y661" s="6" t="s">
        <v>1627</v>
      </c>
      <c r="Z661" s="15"/>
      <c r="AA661" s="15" t="s">
        <v>1628</v>
      </c>
    </row>
    <row r="662" spans="1:27" ht="33" customHeight="1">
      <c r="A662" s="6" t="s">
        <v>4180</v>
      </c>
      <c r="B662" s="7">
        <v>1087</v>
      </c>
      <c r="C662" s="6" t="s">
        <v>4181</v>
      </c>
      <c r="D662" s="6" t="s">
        <v>4182</v>
      </c>
      <c r="E662" s="6" t="s">
        <v>1986</v>
      </c>
      <c r="F662" s="6" t="s">
        <v>493</v>
      </c>
      <c r="G662" s="6" t="s">
        <v>299</v>
      </c>
      <c r="H662" s="6"/>
      <c r="I662" s="14" t="s">
        <v>1642</v>
      </c>
      <c r="J662" s="15"/>
      <c r="K662" s="6" t="s">
        <v>1976</v>
      </c>
      <c r="L662" s="6"/>
      <c r="M662" s="6" t="s">
        <v>1643</v>
      </c>
      <c r="N662" s="6" t="s">
        <v>1644</v>
      </c>
      <c r="O662" s="7">
        <f>SUMIFS('05_상품별배치367'!$K$7:$K$373,'05_상품별배치367'!$E$7:$E$373,A662,'05_상품별배치367'!$H$7:$H$373,"본진")</f>
        <v>0</v>
      </c>
      <c r="P662" s="7">
        <f>SUMIFS('05_상품별배치367'!$K$7:$K$373,'05_상품별배치367'!$E$7:$E$373,A662,'05_상품별배치367'!$H$7:$H$373,"추가 진열")</f>
        <v>0</v>
      </c>
      <c r="Q662" s="7">
        <f>O662+P662</f>
        <v>0</v>
      </c>
      <c r="R662" s="7">
        <v>1</v>
      </c>
      <c r="S662" s="6" t="s">
        <v>3084</v>
      </c>
      <c r="T662" s="6" t="s">
        <v>1637</v>
      </c>
      <c r="U662" s="6"/>
      <c r="V662" s="16"/>
      <c r="W662" s="16"/>
      <c r="X662" s="16"/>
      <c r="Y662" s="6" t="s">
        <v>1627</v>
      </c>
      <c r="Z662" s="15"/>
      <c r="AA662" s="15" t="s">
        <v>1628</v>
      </c>
    </row>
    <row r="663" spans="1:27" ht="33" customHeight="1">
      <c r="A663" s="8" t="s">
        <v>4183</v>
      </c>
      <c r="B663" s="9">
        <v>1088</v>
      </c>
      <c r="C663" s="8" t="s">
        <v>4184</v>
      </c>
      <c r="D663" s="8" t="s">
        <v>4185</v>
      </c>
      <c r="E663" s="8" t="s">
        <v>2134</v>
      </c>
      <c r="F663" s="8" t="s">
        <v>156</v>
      </c>
      <c r="G663" s="8" t="s">
        <v>3239</v>
      </c>
      <c r="H663" s="8"/>
      <c r="I663" s="14" t="s">
        <v>1642</v>
      </c>
      <c r="J663" s="15"/>
      <c r="K663" s="8" t="s">
        <v>1976</v>
      </c>
      <c r="L663" s="8"/>
      <c r="M663" s="6" t="s">
        <v>1643</v>
      </c>
      <c r="N663" s="6" t="s">
        <v>1644</v>
      </c>
      <c r="O663" s="7">
        <f>SUMIFS('05_상품별배치367'!$K$7:$K$373,'05_상품별배치367'!$E$7:$E$373,A663,'05_상품별배치367'!$H$7:$H$373,"본진")</f>
        <v>0</v>
      </c>
      <c r="P663" s="7">
        <f>SUMIFS('05_상품별배치367'!$K$7:$K$373,'05_상품별배치367'!$E$7:$E$373,A663,'05_상품별배치367'!$H$7:$H$373,"추가 진열")</f>
        <v>0</v>
      </c>
      <c r="Q663" s="7">
        <f>O663+P663</f>
        <v>0</v>
      </c>
      <c r="R663" s="7">
        <v>1</v>
      </c>
      <c r="S663" s="6" t="s">
        <v>3240</v>
      </c>
      <c r="T663" s="6" t="s">
        <v>1637</v>
      </c>
      <c r="U663" s="6"/>
      <c r="V663" s="16"/>
      <c r="W663" s="16"/>
      <c r="X663" s="16"/>
      <c r="Y663" s="6" t="s">
        <v>1627</v>
      </c>
      <c r="Z663" s="15"/>
      <c r="AA663" s="15" t="s">
        <v>1628</v>
      </c>
    </row>
    <row r="664" spans="1:27" ht="33" customHeight="1">
      <c r="A664" s="6" t="s">
        <v>3909</v>
      </c>
      <c r="B664" s="7">
        <v>965</v>
      </c>
      <c r="C664" s="6" t="s">
        <v>3910</v>
      </c>
      <c r="D664" s="6" t="s">
        <v>3911</v>
      </c>
      <c r="E664" s="6" t="s">
        <v>2134</v>
      </c>
      <c r="F664" s="6" t="s">
        <v>2933</v>
      </c>
      <c r="G664" s="6" t="s">
        <v>1668</v>
      </c>
      <c r="H664" s="6"/>
      <c r="I664" s="14" t="s">
        <v>1807</v>
      </c>
      <c r="J664" s="15"/>
      <c r="K664" s="6" t="s">
        <v>1976</v>
      </c>
      <c r="L664" s="6" t="s">
        <v>2032</v>
      </c>
      <c r="M664" s="6" t="s">
        <v>1809</v>
      </c>
      <c r="N664" s="6" t="s">
        <v>1624</v>
      </c>
      <c r="O664" s="7">
        <f>SUMIFS('05_상품별배치367'!$K$7:$K$373,'05_상품별배치367'!$E$7:$E$373,A664,'05_상품별배치367'!$H$7:$H$373,"본진")</f>
        <v>0</v>
      </c>
      <c r="P664" s="7">
        <f>SUMIFS('05_상품별배치367'!$K$7:$K$373,'05_상품별배치367'!$E$7:$E$373,A664,'05_상품별배치367'!$H$7:$H$373,"추가 진열")</f>
        <v>0</v>
      </c>
      <c r="Q664" s="7">
        <f>O664+P664</f>
        <v>0</v>
      </c>
      <c r="R664" s="7">
        <v>0</v>
      </c>
      <c r="S664" s="6" t="s">
        <v>1810</v>
      </c>
      <c r="T664" s="6" t="s">
        <v>1637</v>
      </c>
      <c r="U664" s="6"/>
      <c r="V664" s="16"/>
      <c r="W664" s="16"/>
      <c r="X664" s="16"/>
      <c r="Y664" s="6" t="s">
        <v>1655</v>
      </c>
      <c r="Z664" s="15"/>
      <c r="AA664" s="15" t="s">
        <v>1628</v>
      </c>
    </row>
    <row r="665" spans="1:27" ht="33" customHeight="1">
      <c r="A665" s="8" t="s">
        <v>3907</v>
      </c>
      <c r="B665" s="9">
        <v>964</v>
      </c>
      <c r="C665" s="8" t="s">
        <v>3908</v>
      </c>
      <c r="D665" s="8" t="s">
        <v>2856</v>
      </c>
      <c r="E665" s="8" t="s">
        <v>2134</v>
      </c>
      <c r="F665" s="8" t="s">
        <v>2933</v>
      </c>
      <c r="G665" s="8" t="s">
        <v>1668</v>
      </c>
      <c r="H665" s="8"/>
      <c r="I665" s="14" t="s">
        <v>1807</v>
      </c>
      <c r="J665" s="15"/>
      <c r="K665" s="8" t="s">
        <v>1976</v>
      </c>
      <c r="L665" s="8" t="s">
        <v>2032</v>
      </c>
      <c r="M665" s="6" t="s">
        <v>1809</v>
      </c>
      <c r="N665" s="6" t="s">
        <v>1624</v>
      </c>
      <c r="O665" s="7">
        <f>SUMIFS('05_상품별배치367'!$K$7:$K$373,'05_상품별배치367'!$E$7:$E$373,A665,'05_상품별배치367'!$H$7:$H$373,"본진")</f>
        <v>0</v>
      </c>
      <c r="P665" s="7">
        <f>SUMIFS('05_상품별배치367'!$K$7:$K$373,'05_상품별배치367'!$E$7:$E$373,A665,'05_상품별배치367'!$H$7:$H$373,"추가 진열")</f>
        <v>0</v>
      </c>
      <c r="Q665" s="7">
        <f>O665+P665</f>
        <v>0</v>
      </c>
      <c r="R665" s="7">
        <v>0</v>
      </c>
      <c r="S665" s="6" t="s">
        <v>1810</v>
      </c>
      <c r="T665" s="6" t="s">
        <v>1637</v>
      </c>
      <c r="U665" s="6"/>
      <c r="V665" s="16"/>
      <c r="W665" s="16"/>
      <c r="X665" s="16"/>
      <c r="Y665" s="6" t="s">
        <v>1627</v>
      </c>
      <c r="Z665" s="15"/>
      <c r="AA665" s="15" t="s">
        <v>1628</v>
      </c>
    </row>
    <row r="666" spans="1:27" ht="33" customHeight="1">
      <c r="A666" s="8" t="s">
        <v>3745</v>
      </c>
      <c r="B666" s="9">
        <v>890</v>
      </c>
      <c r="C666" s="8" t="s">
        <v>3746</v>
      </c>
      <c r="D666" s="8" t="s">
        <v>2133</v>
      </c>
      <c r="E666" s="8" t="s">
        <v>2134</v>
      </c>
      <c r="F666" s="8" t="s">
        <v>163</v>
      </c>
      <c r="G666" s="8" t="s">
        <v>414</v>
      </c>
      <c r="H666" s="8"/>
      <c r="I666" s="14" t="s">
        <v>1642</v>
      </c>
      <c r="J666" s="15"/>
      <c r="K666" s="8" t="s">
        <v>1976</v>
      </c>
      <c r="L666" s="8"/>
      <c r="M666" s="6" t="s">
        <v>1643</v>
      </c>
      <c r="N666" s="6" t="s">
        <v>1644</v>
      </c>
      <c r="O666" s="7">
        <f>SUMIFS('05_상품별배치367'!$K$7:$K$373,'05_상품별배치367'!$E$7:$E$373,A666,'05_상품별배치367'!$H$7:$H$373,"본진")</f>
        <v>0</v>
      </c>
      <c r="P666" s="7">
        <f>SUMIFS('05_상품별배치367'!$K$7:$K$373,'05_상품별배치367'!$E$7:$E$373,A666,'05_상품별배치367'!$H$7:$H$373,"추가 진열")</f>
        <v>0</v>
      </c>
      <c r="Q666" s="7">
        <f>O666+P666</f>
        <v>0</v>
      </c>
      <c r="R666" s="7">
        <v>1</v>
      </c>
      <c r="S666" s="6" t="s">
        <v>3048</v>
      </c>
      <c r="T666" s="6" t="s">
        <v>1637</v>
      </c>
      <c r="U666" s="6"/>
      <c r="V666" s="16"/>
      <c r="W666" s="16"/>
      <c r="X666" s="16"/>
      <c r="Y666" s="6" t="s">
        <v>1627</v>
      </c>
      <c r="Z666" s="15"/>
      <c r="AA666" s="15" t="s">
        <v>1628</v>
      </c>
    </row>
    <row r="667" spans="1:27" ht="33" customHeight="1">
      <c r="A667" s="6" t="s">
        <v>3747</v>
      </c>
      <c r="B667" s="7">
        <v>891</v>
      </c>
      <c r="C667" s="6" t="s">
        <v>3748</v>
      </c>
      <c r="D667" s="6" t="s">
        <v>3164</v>
      </c>
      <c r="E667" s="6" t="s">
        <v>2134</v>
      </c>
      <c r="F667" s="6" t="s">
        <v>481</v>
      </c>
      <c r="G667" s="6" t="s">
        <v>193</v>
      </c>
      <c r="H667" s="6"/>
      <c r="I667" s="14" t="s">
        <v>1642</v>
      </c>
      <c r="J667" s="15"/>
      <c r="K667" s="6" t="s">
        <v>1976</v>
      </c>
      <c r="L667" s="6"/>
      <c r="M667" s="6" t="s">
        <v>1643</v>
      </c>
      <c r="N667" s="6" t="s">
        <v>1644</v>
      </c>
      <c r="O667" s="7">
        <f>SUMIFS('05_상품별배치367'!$K$7:$K$373,'05_상품별배치367'!$E$7:$E$373,A667,'05_상품별배치367'!$H$7:$H$373,"본진")</f>
        <v>0</v>
      </c>
      <c r="P667" s="7">
        <f>SUMIFS('05_상품별배치367'!$K$7:$K$373,'05_상품별배치367'!$E$7:$E$373,A667,'05_상품별배치367'!$H$7:$H$373,"추가 진열")</f>
        <v>0</v>
      </c>
      <c r="Q667" s="7">
        <f>O667+P667</f>
        <v>0</v>
      </c>
      <c r="R667" s="7">
        <v>1</v>
      </c>
      <c r="S667" s="6" t="s">
        <v>3000</v>
      </c>
      <c r="T667" s="6" t="s">
        <v>1637</v>
      </c>
      <c r="U667" s="6"/>
      <c r="V667" s="16"/>
      <c r="W667" s="16"/>
      <c r="X667" s="16"/>
      <c r="Y667" s="6" t="s">
        <v>1627</v>
      </c>
      <c r="Z667" s="15"/>
      <c r="AA667" s="15" t="s">
        <v>1628</v>
      </c>
    </row>
    <row r="668" spans="1:27" ht="33" customHeight="1">
      <c r="A668" s="8" t="s">
        <v>3753</v>
      </c>
      <c r="B668" s="9">
        <v>894</v>
      </c>
      <c r="C668" s="8" t="s">
        <v>3754</v>
      </c>
      <c r="D668" s="8" t="s">
        <v>3338</v>
      </c>
      <c r="E668" s="8" t="s">
        <v>1986</v>
      </c>
      <c r="F668" s="8" t="s">
        <v>493</v>
      </c>
      <c r="G668" s="8" t="s">
        <v>299</v>
      </c>
      <c r="H668" s="8"/>
      <c r="I668" s="14" t="s">
        <v>1642</v>
      </c>
      <c r="J668" s="15"/>
      <c r="K668" s="8" t="s">
        <v>1976</v>
      </c>
      <c r="L668" s="8"/>
      <c r="M668" s="6" t="s">
        <v>1643</v>
      </c>
      <c r="N668" s="6" t="s">
        <v>1644</v>
      </c>
      <c r="O668" s="7">
        <f>SUMIFS('05_상품별배치367'!$K$7:$K$373,'05_상품별배치367'!$E$7:$E$373,A668,'05_상품별배치367'!$H$7:$H$373,"본진")</f>
        <v>0</v>
      </c>
      <c r="P668" s="7">
        <f>SUMIFS('05_상품별배치367'!$K$7:$K$373,'05_상품별배치367'!$E$7:$E$373,A668,'05_상품별배치367'!$H$7:$H$373,"추가 진열")</f>
        <v>0</v>
      </c>
      <c r="Q668" s="7">
        <f>O668+P668</f>
        <v>0</v>
      </c>
      <c r="R668" s="7">
        <v>1</v>
      </c>
      <c r="S668" s="6" t="s">
        <v>3084</v>
      </c>
      <c r="T668" s="6" t="s">
        <v>1637</v>
      </c>
      <c r="U668" s="6"/>
      <c r="V668" s="16"/>
      <c r="W668" s="16"/>
      <c r="X668" s="16"/>
      <c r="Y668" s="6" t="s">
        <v>1627</v>
      </c>
      <c r="Z668" s="15"/>
      <c r="AA668" s="15" t="s">
        <v>1628</v>
      </c>
    </row>
    <row r="669" spans="1:27" ht="33" customHeight="1">
      <c r="A669" s="6" t="s">
        <v>3755</v>
      </c>
      <c r="B669" s="7">
        <v>895</v>
      </c>
      <c r="C669" s="6" t="s">
        <v>3756</v>
      </c>
      <c r="D669" s="6" t="s">
        <v>2741</v>
      </c>
      <c r="E669" s="6" t="s">
        <v>1986</v>
      </c>
      <c r="F669" s="6" t="s">
        <v>913</v>
      </c>
      <c r="G669" s="6" t="s">
        <v>201</v>
      </c>
      <c r="H669" s="6"/>
      <c r="I669" s="14" t="s">
        <v>1642</v>
      </c>
      <c r="J669" s="15"/>
      <c r="K669" s="6" t="s">
        <v>1976</v>
      </c>
      <c r="L669" s="6"/>
      <c r="M669" s="6" t="s">
        <v>1643</v>
      </c>
      <c r="N669" s="6" t="s">
        <v>1644</v>
      </c>
      <c r="O669" s="7">
        <f>SUMIFS('05_상품별배치367'!$K$7:$K$373,'05_상품별배치367'!$E$7:$E$373,A669,'05_상품별배치367'!$H$7:$H$373,"본진")</f>
        <v>0</v>
      </c>
      <c r="P669" s="7">
        <f>SUMIFS('05_상품별배치367'!$K$7:$K$373,'05_상품별배치367'!$E$7:$E$373,A669,'05_상품별배치367'!$H$7:$H$373,"추가 진열")</f>
        <v>0</v>
      </c>
      <c r="Q669" s="7">
        <f>O669+P669</f>
        <v>0</v>
      </c>
      <c r="R669" s="7">
        <v>1</v>
      </c>
      <c r="S669" s="6" t="s">
        <v>2907</v>
      </c>
      <c r="T669" s="6" t="s">
        <v>1637</v>
      </c>
      <c r="U669" s="6"/>
      <c r="V669" s="16"/>
      <c r="W669" s="16"/>
      <c r="X669" s="16"/>
      <c r="Y669" s="6" t="s">
        <v>1627</v>
      </c>
      <c r="Z669" s="15"/>
      <c r="AA669" s="15" t="s">
        <v>1628</v>
      </c>
    </row>
    <row r="670" spans="1:27" ht="33" customHeight="1">
      <c r="A670" s="6" t="s">
        <v>3743</v>
      </c>
      <c r="B670" s="7">
        <v>889</v>
      </c>
      <c r="C670" s="6" t="s">
        <v>3744</v>
      </c>
      <c r="D670" s="6" t="s">
        <v>2680</v>
      </c>
      <c r="E670" s="6" t="s">
        <v>2134</v>
      </c>
      <c r="F670" s="6" t="s">
        <v>163</v>
      </c>
      <c r="G670" s="6" t="s">
        <v>414</v>
      </c>
      <c r="H670" s="6"/>
      <c r="I670" s="14" t="s">
        <v>1642</v>
      </c>
      <c r="J670" s="15"/>
      <c r="K670" s="6" t="s">
        <v>1976</v>
      </c>
      <c r="L670" s="6"/>
      <c r="M670" s="6" t="s">
        <v>1643</v>
      </c>
      <c r="N670" s="6" t="s">
        <v>1644</v>
      </c>
      <c r="O670" s="7">
        <f>SUMIFS('05_상품별배치367'!$K$7:$K$373,'05_상품별배치367'!$E$7:$E$373,A670,'05_상품별배치367'!$H$7:$H$373,"본진")</f>
        <v>0</v>
      </c>
      <c r="P670" s="7">
        <f>SUMIFS('05_상품별배치367'!$K$7:$K$373,'05_상품별배치367'!$E$7:$E$373,A670,'05_상품별배치367'!$H$7:$H$373,"추가 진열")</f>
        <v>0</v>
      </c>
      <c r="Q670" s="7">
        <f>O670+P670</f>
        <v>0</v>
      </c>
      <c r="R670" s="7">
        <v>1</v>
      </c>
      <c r="S670" s="6" t="s">
        <v>3048</v>
      </c>
      <c r="T670" s="6" t="s">
        <v>1637</v>
      </c>
      <c r="U670" s="6"/>
      <c r="V670" s="16"/>
      <c r="W670" s="16"/>
      <c r="X670" s="16"/>
      <c r="Y670" s="6" t="s">
        <v>1627</v>
      </c>
      <c r="Z670" s="15"/>
      <c r="AA670" s="15" t="s">
        <v>1628</v>
      </c>
    </row>
    <row r="671" spans="1:27" ht="33" customHeight="1">
      <c r="A671" s="6" t="s">
        <v>3751</v>
      </c>
      <c r="B671" s="7">
        <v>893</v>
      </c>
      <c r="C671" s="6" t="s">
        <v>3752</v>
      </c>
      <c r="D671" s="6" t="s">
        <v>1851</v>
      </c>
      <c r="E671" s="6" t="s">
        <v>2134</v>
      </c>
      <c r="F671" s="6" t="s">
        <v>161</v>
      </c>
      <c r="G671" s="6" t="s">
        <v>395</v>
      </c>
      <c r="H671" s="6"/>
      <c r="I671" s="14" t="s">
        <v>1642</v>
      </c>
      <c r="J671" s="15"/>
      <c r="K671" s="6" t="s">
        <v>1976</v>
      </c>
      <c r="L671" s="6"/>
      <c r="M671" s="6" t="s">
        <v>1643</v>
      </c>
      <c r="N671" s="6" t="s">
        <v>1644</v>
      </c>
      <c r="O671" s="7">
        <f>SUMIFS('05_상품별배치367'!$K$7:$K$373,'05_상품별배치367'!$E$7:$E$373,A671,'05_상품별배치367'!$H$7:$H$373,"본진")</f>
        <v>0</v>
      </c>
      <c r="P671" s="7">
        <f>SUMIFS('05_상품별배치367'!$K$7:$K$373,'05_상품별배치367'!$E$7:$E$373,A671,'05_상품별배치367'!$H$7:$H$373,"추가 진열")</f>
        <v>0</v>
      </c>
      <c r="Q671" s="7">
        <f>O671+P671</f>
        <v>0</v>
      </c>
      <c r="R671" s="7">
        <v>1</v>
      </c>
      <c r="S671" s="6" t="s">
        <v>3070</v>
      </c>
      <c r="T671" s="6" t="s">
        <v>1637</v>
      </c>
      <c r="U671" s="6"/>
      <c r="V671" s="16"/>
      <c r="W671" s="16"/>
      <c r="X671" s="16"/>
      <c r="Y671" s="6" t="s">
        <v>1627</v>
      </c>
      <c r="Z671" s="15"/>
      <c r="AA671" s="15" t="s">
        <v>1628</v>
      </c>
    </row>
    <row r="672" spans="1:27" ht="33" customHeight="1">
      <c r="A672" s="8" t="s">
        <v>3749</v>
      </c>
      <c r="B672" s="9">
        <v>892</v>
      </c>
      <c r="C672" s="8" t="s">
        <v>3750</v>
      </c>
      <c r="D672" s="8" t="s">
        <v>2913</v>
      </c>
      <c r="E672" s="8" t="s">
        <v>2134</v>
      </c>
      <c r="F672" s="8" t="s">
        <v>162</v>
      </c>
      <c r="G672" s="8" t="s">
        <v>404</v>
      </c>
      <c r="H672" s="8"/>
      <c r="I672" s="14" t="s">
        <v>1642</v>
      </c>
      <c r="J672" s="15"/>
      <c r="K672" s="8" t="s">
        <v>1976</v>
      </c>
      <c r="L672" s="8"/>
      <c r="M672" s="6" t="s">
        <v>1643</v>
      </c>
      <c r="N672" s="6" t="s">
        <v>1644</v>
      </c>
      <c r="O672" s="7">
        <f>SUMIFS('05_상품별배치367'!$K$7:$K$373,'05_상품별배치367'!$E$7:$E$373,A672,'05_상품별배치367'!$H$7:$H$373,"본진")</f>
        <v>0</v>
      </c>
      <c r="P672" s="7">
        <f>SUMIFS('05_상품별배치367'!$K$7:$K$373,'05_상품별배치367'!$E$7:$E$373,A672,'05_상품별배치367'!$H$7:$H$373,"추가 진열")</f>
        <v>0</v>
      </c>
      <c r="Q672" s="7">
        <f>O672+P672</f>
        <v>0</v>
      </c>
      <c r="R672" s="7">
        <v>1</v>
      </c>
      <c r="S672" s="6" t="s">
        <v>2996</v>
      </c>
      <c r="T672" s="6" t="s">
        <v>1637</v>
      </c>
      <c r="U672" s="6"/>
      <c r="V672" s="16"/>
      <c r="W672" s="16"/>
      <c r="X672" s="16"/>
      <c r="Y672" s="6" t="s">
        <v>1627</v>
      </c>
      <c r="Z672" s="15"/>
      <c r="AA672" s="15" t="s">
        <v>1628</v>
      </c>
    </row>
    <row r="673" spans="1:27" ht="33" customHeight="1">
      <c r="A673" s="8" t="s">
        <v>3757</v>
      </c>
      <c r="B673" s="9">
        <v>896</v>
      </c>
      <c r="C673" s="8" t="s">
        <v>3758</v>
      </c>
      <c r="D673" s="8" t="s">
        <v>3384</v>
      </c>
      <c r="E673" s="8" t="s">
        <v>2134</v>
      </c>
      <c r="F673" s="8" t="s">
        <v>481</v>
      </c>
      <c r="G673" s="8" t="s">
        <v>193</v>
      </c>
      <c r="H673" s="8"/>
      <c r="I673" s="14" t="s">
        <v>1642</v>
      </c>
      <c r="J673" s="15"/>
      <c r="K673" s="8" t="s">
        <v>1976</v>
      </c>
      <c r="L673" s="8"/>
      <c r="M673" s="6" t="s">
        <v>1643</v>
      </c>
      <c r="N673" s="6" t="s">
        <v>1644</v>
      </c>
      <c r="O673" s="7">
        <f>SUMIFS('05_상품별배치367'!$K$7:$K$373,'05_상품별배치367'!$E$7:$E$373,A673,'05_상품별배치367'!$H$7:$H$373,"본진")</f>
        <v>0</v>
      </c>
      <c r="P673" s="7">
        <f>SUMIFS('05_상품별배치367'!$K$7:$K$373,'05_상품별배치367'!$E$7:$E$373,A673,'05_상품별배치367'!$H$7:$H$373,"추가 진열")</f>
        <v>0</v>
      </c>
      <c r="Q673" s="7">
        <f>O673+P673</f>
        <v>0</v>
      </c>
      <c r="R673" s="7">
        <v>1</v>
      </c>
      <c r="S673" s="6" t="s">
        <v>3000</v>
      </c>
      <c r="T673" s="6" t="s">
        <v>1637</v>
      </c>
      <c r="U673" s="6"/>
      <c r="V673" s="16"/>
      <c r="W673" s="16"/>
      <c r="X673" s="16"/>
      <c r="Y673" s="6" t="s">
        <v>1627</v>
      </c>
      <c r="Z673" s="15"/>
      <c r="AA673" s="15" t="s">
        <v>1628</v>
      </c>
    </row>
    <row r="674" spans="1:27" ht="33" customHeight="1">
      <c r="A674" s="6" t="s">
        <v>5892</v>
      </c>
      <c r="B674" s="7">
        <v>1901</v>
      </c>
      <c r="C674" s="6" t="s">
        <v>5893</v>
      </c>
      <c r="D674" s="6" t="s">
        <v>5894</v>
      </c>
      <c r="E674" s="6" t="s">
        <v>1641</v>
      </c>
      <c r="F674" s="6" t="s">
        <v>699</v>
      </c>
      <c r="G674" s="6" t="s">
        <v>99</v>
      </c>
      <c r="H674" s="6" t="s">
        <v>703</v>
      </c>
      <c r="I674" s="14" t="s">
        <v>1621</v>
      </c>
      <c r="J674" s="15"/>
      <c r="K674" s="6" t="s">
        <v>1634</v>
      </c>
      <c r="L674" s="6" t="s">
        <v>3828</v>
      </c>
      <c r="M674" s="6" t="s">
        <v>1623</v>
      </c>
      <c r="N674" s="6" t="s">
        <v>1624</v>
      </c>
      <c r="O674" s="7">
        <f>SUMIFS('05_상품별배치367'!$K$7:$K$373,'05_상품별배치367'!$E$7:$E$373,A674,'05_상품별배치367'!$H$7:$H$373,"본진")</f>
        <v>1</v>
      </c>
      <c r="P674" s="7">
        <f>SUMIFS('05_상품별배치367'!$K$7:$K$373,'05_상품별배치367'!$E$7:$E$373,A674,'05_상품별배치367'!$H$7:$H$373,"추가 진열")</f>
        <v>0</v>
      </c>
      <c r="Q674" s="7">
        <f>O674+P674</f>
        <v>1</v>
      </c>
      <c r="R674" s="7">
        <v>1</v>
      </c>
      <c r="S674" s="6" t="s">
        <v>1625</v>
      </c>
      <c r="T674" s="6" t="s">
        <v>1637</v>
      </c>
      <c r="U674" s="6"/>
      <c r="V674" s="16"/>
      <c r="W674" s="16"/>
      <c r="X674" s="16"/>
      <c r="Y674" s="6" t="s">
        <v>1627</v>
      </c>
      <c r="Z674" s="15"/>
      <c r="AA674" s="15" t="s">
        <v>1628</v>
      </c>
    </row>
    <row r="675" spans="1:27" ht="33" customHeight="1">
      <c r="A675" s="6" t="s">
        <v>6037</v>
      </c>
      <c r="B675" s="7">
        <v>1967</v>
      </c>
      <c r="C675" s="6" t="s">
        <v>6038</v>
      </c>
      <c r="D675" s="6" t="s">
        <v>6039</v>
      </c>
      <c r="E675" s="6" t="s">
        <v>1814</v>
      </c>
      <c r="F675" s="6" t="s">
        <v>1359</v>
      </c>
      <c r="G675" s="6" t="s">
        <v>431</v>
      </c>
      <c r="H675" s="6"/>
      <c r="I675" s="14" t="s">
        <v>1642</v>
      </c>
      <c r="J675" s="15"/>
      <c r="K675" s="6" t="s">
        <v>1634</v>
      </c>
      <c r="L675" s="6" t="s">
        <v>3828</v>
      </c>
      <c r="M675" s="6" t="s">
        <v>1643</v>
      </c>
      <c r="N675" s="6" t="s">
        <v>1624</v>
      </c>
      <c r="O675" s="7">
        <f>SUMIFS('05_상품별배치367'!$K$7:$K$373,'05_상품별배치367'!$E$7:$E$373,A675,'05_상품별배치367'!$H$7:$H$373,"본진")</f>
        <v>0</v>
      </c>
      <c r="P675" s="7">
        <f>SUMIFS('05_상품별배치367'!$K$7:$K$373,'05_상품별배치367'!$E$7:$E$373,A675,'05_상품별배치367'!$H$7:$H$373,"추가 진열")</f>
        <v>0</v>
      </c>
      <c r="Q675" s="7">
        <f>O675+P675</f>
        <v>0</v>
      </c>
      <c r="R675" s="7">
        <v>1</v>
      </c>
      <c r="S675" s="6" t="s">
        <v>1815</v>
      </c>
      <c r="T675" s="6" t="s">
        <v>1637</v>
      </c>
      <c r="U675" s="6"/>
      <c r="V675" s="16"/>
      <c r="W675" s="16"/>
      <c r="X675" s="16"/>
      <c r="Y675" s="6" t="s">
        <v>1627</v>
      </c>
      <c r="Z675" s="15"/>
      <c r="AA675" s="15" t="s">
        <v>1628</v>
      </c>
    </row>
    <row r="676" spans="1:27" ht="33" customHeight="1">
      <c r="A676" s="8" t="s">
        <v>3912</v>
      </c>
      <c r="B676" s="9">
        <v>966</v>
      </c>
      <c r="C676" s="8" t="s">
        <v>3913</v>
      </c>
      <c r="D676" s="8" t="s">
        <v>2133</v>
      </c>
      <c r="E676" s="8" t="s">
        <v>2134</v>
      </c>
      <c r="F676" s="8" t="s">
        <v>2933</v>
      </c>
      <c r="G676" s="8" t="s">
        <v>1668</v>
      </c>
      <c r="H676" s="8"/>
      <c r="I676" s="14" t="s">
        <v>1807</v>
      </c>
      <c r="J676" s="15"/>
      <c r="K676" s="8" t="s">
        <v>1976</v>
      </c>
      <c r="L676" s="8" t="s">
        <v>2032</v>
      </c>
      <c r="M676" s="6" t="s">
        <v>1809</v>
      </c>
      <c r="N676" s="6" t="s">
        <v>1644</v>
      </c>
      <c r="O676" s="7">
        <f>SUMIFS('05_상품별배치367'!$K$7:$K$373,'05_상품별배치367'!$E$7:$E$373,A676,'05_상품별배치367'!$H$7:$H$373,"본진")</f>
        <v>0</v>
      </c>
      <c r="P676" s="7">
        <f>SUMIFS('05_상품별배치367'!$K$7:$K$373,'05_상품별배치367'!$E$7:$E$373,A676,'05_상품별배치367'!$H$7:$H$373,"추가 진열")</f>
        <v>0</v>
      </c>
      <c r="Q676" s="7">
        <f>O676+P676</f>
        <v>0</v>
      </c>
      <c r="R676" s="7">
        <v>0</v>
      </c>
      <c r="S676" s="6" t="s">
        <v>1810</v>
      </c>
      <c r="T676" s="6" t="s">
        <v>1637</v>
      </c>
      <c r="U676" s="6"/>
      <c r="V676" s="16"/>
      <c r="W676" s="16"/>
      <c r="X676" s="16"/>
      <c r="Y676" s="6" t="s">
        <v>1627</v>
      </c>
      <c r="Z676" s="15"/>
      <c r="AA676" s="15" t="s">
        <v>1628</v>
      </c>
    </row>
    <row r="677" spans="1:27" ht="33" customHeight="1">
      <c r="A677" s="8" t="s">
        <v>3916</v>
      </c>
      <c r="B677" s="9">
        <v>968</v>
      </c>
      <c r="C677" s="8" t="s">
        <v>3917</v>
      </c>
      <c r="D677" s="8" t="s">
        <v>2133</v>
      </c>
      <c r="E677" s="8" t="s">
        <v>2134</v>
      </c>
      <c r="F677" s="8" t="s">
        <v>1081</v>
      </c>
      <c r="G677" s="8" t="s">
        <v>290</v>
      </c>
      <c r="H677" s="8"/>
      <c r="I677" s="14" t="s">
        <v>1642</v>
      </c>
      <c r="J677" s="15"/>
      <c r="K677" s="8" t="s">
        <v>1976</v>
      </c>
      <c r="L677" s="8"/>
      <c r="M677" s="6" t="s">
        <v>1643</v>
      </c>
      <c r="N677" s="6" t="s">
        <v>1644</v>
      </c>
      <c r="O677" s="7">
        <f>SUMIFS('05_상품별배치367'!$K$7:$K$373,'05_상품별배치367'!$E$7:$E$373,A677,'05_상품별배치367'!$H$7:$H$373,"본진")</f>
        <v>0</v>
      </c>
      <c r="P677" s="7">
        <f>SUMIFS('05_상품별배치367'!$K$7:$K$373,'05_상품별배치367'!$E$7:$E$373,A677,'05_상품별배치367'!$H$7:$H$373,"추가 진열")</f>
        <v>0</v>
      </c>
      <c r="Q677" s="7">
        <f>O677+P677</f>
        <v>0</v>
      </c>
      <c r="R677" s="7">
        <v>1</v>
      </c>
      <c r="S677" s="6" t="s">
        <v>2135</v>
      </c>
      <c r="T677" s="6" t="s">
        <v>1637</v>
      </c>
      <c r="U677" s="6"/>
      <c r="V677" s="16"/>
      <c r="W677" s="16"/>
      <c r="X677" s="16"/>
      <c r="Y677" s="6" t="s">
        <v>1627</v>
      </c>
      <c r="Z677" s="15"/>
      <c r="AA677" s="15" t="s">
        <v>1628</v>
      </c>
    </row>
    <row r="678" spans="1:27" ht="33" customHeight="1">
      <c r="A678" s="6" t="s">
        <v>3914</v>
      </c>
      <c r="B678" s="7">
        <v>967</v>
      </c>
      <c r="C678" s="6" t="s">
        <v>3915</v>
      </c>
      <c r="D678" s="6" t="s">
        <v>2133</v>
      </c>
      <c r="E678" s="6" t="s">
        <v>2134</v>
      </c>
      <c r="F678" s="6" t="s">
        <v>2933</v>
      </c>
      <c r="G678" s="6" t="s">
        <v>1668</v>
      </c>
      <c r="H678" s="6"/>
      <c r="I678" s="14" t="s">
        <v>1807</v>
      </c>
      <c r="J678" s="15"/>
      <c r="K678" s="6" t="s">
        <v>1976</v>
      </c>
      <c r="L678" s="6" t="s">
        <v>2032</v>
      </c>
      <c r="M678" s="6" t="s">
        <v>1809</v>
      </c>
      <c r="N678" s="6" t="s">
        <v>1644</v>
      </c>
      <c r="O678" s="7">
        <f>SUMIFS('05_상품별배치367'!$K$7:$K$373,'05_상품별배치367'!$E$7:$E$373,A678,'05_상품별배치367'!$H$7:$H$373,"본진")</f>
        <v>0</v>
      </c>
      <c r="P678" s="7">
        <f>SUMIFS('05_상품별배치367'!$K$7:$K$373,'05_상품별배치367'!$E$7:$E$373,A678,'05_상품별배치367'!$H$7:$H$373,"추가 진열")</f>
        <v>0</v>
      </c>
      <c r="Q678" s="7">
        <f>O678+P678</f>
        <v>0</v>
      </c>
      <c r="R678" s="7">
        <v>0</v>
      </c>
      <c r="S678" s="6" t="s">
        <v>1810</v>
      </c>
      <c r="T678" s="6" t="s">
        <v>1637</v>
      </c>
      <c r="U678" s="6"/>
      <c r="V678" s="16"/>
      <c r="W678" s="16"/>
      <c r="X678" s="16"/>
      <c r="Y678" s="6" t="s">
        <v>1627</v>
      </c>
      <c r="Z678" s="15"/>
      <c r="AA678" s="15" t="s">
        <v>1628</v>
      </c>
    </row>
    <row r="679" spans="1:27" ht="33" customHeight="1">
      <c r="A679" s="6" t="s">
        <v>6940</v>
      </c>
      <c r="B679" s="7">
        <v>2379</v>
      </c>
      <c r="C679" s="6" t="s">
        <v>6941</v>
      </c>
      <c r="D679" s="6" t="s">
        <v>6175</v>
      </c>
      <c r="E679" s="6" t="s">
        <v>1641</v>
      </c>
      <c r="F679" s="6" t="s">
        <v>679</v>
      </c>
      <c r="G679" s="6" t="s">
        <v>91</v>
      </c>
      <c r="H679" s="6" t="s">
        <v>678</v>
      </c>
      <c r="I679" s="14" t="s">
        <v>1633</v>
      </c>
      <c r="J679" s="15"/>
      <c r="K679" s="6" t="s">
        <v>1634</v>
      </c>
      <c r="L679" s="6" t="s">
        <v>3828</v>
      </c>
      <c r="M679" s="6" t="s">
        <v>1635</v>
      </c>
      <c r="N679" s="6" t="s">
        <v>1624</v>
      </c>
      <c r="O679" s="7">
        <f>SUMIFS('05_상품별배치367'!$K$7:$K$373,'05_상품별배치367'!$E$7:$E$373,A679,'05_상품별배치367'!$H$7:$H$373,"본진")</f>
        <v>1</v>
      </c>
      <c r="P679" s="7">
        <f>SUMIFS('05_상품별배치367'!$K$7:$K$373,'05_상품별배치367'!$E$7:$E$373,A679,'05_상품별배치367'!$H$7:$H$373,"추가 진열")</f>
        <v>0</v>
      </c>
      <c r="Q679" s="7">
        <f>O679+P679</f>
        <v>1</v>
      </c>
      <c r="R679" s="7">
        <v>1</v>
      </c>
      <c r="S679" s="6" t="s">
        <v>1636</v>
      </c>
      <c r="T679" s="6" t="s">
        <v>1637</v>
      </c>
      <c r="U679" s="6"/>
      <c r="V679" s="16"/>
      <c r="W679" s="16"/>
      <c r="X679" s="16"/>
      <c r="Y679" s="6" t="s">
        <v>1627</v>
      </c>
      <c r="Z679" s="15"/>
      <c r="AA679" s="15" t="s">
        <v>1628</v>
      </c>
    </row>
    <row r="680" spans="1:27" ht="33" customHeight="1">
      <c r="A680" s="6" t="s">
        <v>1818</v>
      </c>
      <c r="B680" s="7">
        <v>67</v>
      </c>
      <c r="C680" s="6" t="s">
        <v>1819</v>
      </c>
      <c r="D680" s="6" t="s">
        <v>1820</v>
      </c>
      <c r="E680" s="6" t="s">
        <v>1641</v>
      </c>
      <c r="F680" s="6" t="s">
        <v>699</v>
      </c>
      <c r="G680" s="6" t="s">
        <v>99</v>
      </c>
      <c r="H680" s="6"/>
      <c r="I680" s="14" t="s">
        <v>1642</v>
      </c>
      <c r="J680" s="15"/>
      <c r="K680" s="6" t="s">
        <v>1634</v>
      </c>
      <c r="L680" s="6"/>
      <c r="M680" s="6" t="s">
        <v>1643</v>
      </c>
      <c r="N680" s="6" t="s">
        <v>1644</v>
      </c>
      <c r="O680" s="7">
        <f>SUMIFS('05_상품별배치367'!$K$7:$K$373,'05_상품별배치367'!$E$7:$E$373,A680,'05_상품별배치367'!$H$7:$H$373,"본진")</f>
        <v>0</v>
      </c>
      <c r="P680" s="7">
        <f>SUMIFS('05_상품별배치367'!$K$7:$K$373,'05_상품별배치367'!$E$7:$E$373,A680,'05_상품별배치367'!$H$7:$H$373,"추가 진열")</f>
        <v>0</v>
      </c>
      <c r="Q680" s="7">
        <f>O680+P680</f>
        <v>0</v>
      </c>
      <c r="R680" s="7">
        <v>1</v>
      </c>
      <c r="S680" s="6" t="s">
        <v>1659</v>
      </c>
      <c r="T680" s="6" t="s">
        <v>1637</v>
      </c>
      <c r="U680" s="6"/>
      <c r="V680" s="16"/>
      <c r="W680" s="16"/>
      <c r="X680" s="16"/>
      <c r="Y680" s="6" t="s">
        <v>1627</v>
      </c>
      <c r="Z680" s="15"/>
      <c r="AA680" s="15" t="s">
        <v>1628</v>
      </c>
    </row>
    <row r="681" spans="1:27" ht="33" customHeight="1">
      <c r="A681" s="8" t="s">
        <v>1656</v>
      </c>
      <c r="B681" s="9">
        <v>8</v>
      </c>
      <c r="C681" s="8" t="s">
        <v>1657</v>
      </c>
      <c r="D681" s="8" t="s">
        <v>1658</v>
      </c>
      <c r="E681" s="8" t="s">
        <v>1641</v>
      </c>
      <c r="F681" s="8" t="s">
        <v>699</v>
      </c>
      <c r="G681" s="8" t="s">
        <v>99</v>
      </c>
      <c r="H681" s="8"/>
      <c r="I681" s="14" t="s">
        <v>1642</v>
      </c>
      <c r="J681" s="15"/>
      <c r="K681" s="8" t="s">
        <v>1634</v>
      </c>
      <c r="L681" s="8"/>
      <c r="M681" s="6" t="s">
        <v>1643</v>
      </c>
      <c r="N681" s="6" t="s">
        <v>1644</v>
      </c>
      <c r="O681" s="7">
        <f>SUMIFS('05_상품별배치367'!$K$7:$K$373,'05_상품별배치367'!$E$7:$E$373,A681,'05_상품별배치367'!$H$7:$H$373,"본진")</f>
        <v>0</v>
      </c>
      <c r="P681" s="7">
        <f>SUMIFS('05_상품별배치367'!$K$7:$K$373,'05_상품별배치367'!$E$7:$E$373,A681,'05_상품별배치367'!$H$7:$H$373,"추가 진열")</f>
        <v>0</v>
      </c>
      <c r="Q681" s="7">
        <f>O681+P681</f>
        <v>0</v>
      </c>
      <c r="R681" s="7">
        <v>1</v>
      </c>
      <c r="S681" s="6" t="s">
        <v>1659</v>
      </c>
      <c r="T681" s="6" t="s">
        <v>1637</v>
      </c>
      <c r="U681" s="6"/>
      <c r="V681" s="16"/>
      <c r="W681" s="16"/>
      <c r="X681" s="16"/>
      <c r="Y681" s="6" t="s">
        <v>1627</v>
      </c>
      <c r="Z681" s="15"/>
      <c r="AA681" s="15" t="s">
        <v>1628</v>
      </c>
    </row>
    <row r="682" spans="1:27" ht="33" customHeight="1">
      <c r="A682" s="6" t="s">
        <v>5693</v>
      </c>
      <c r="B682" s="7">
        <v>1803</v>
      </c>
      <c r="C682" s="6" t="s">
        <v>5694</v>
      </c>
      <c r="D682" s="6" t="s">
        <v>2133</v>
      </c>
      <c r="E682" s="6" t="s">
        <v>2134</v>
      </c>
      <c r="F682" s="6" t="s">
        <v>1263</v>
      </c>
      <c r="G682" s="6" t="s">
        <v>376</v>
      </c>
      <c r="H682" s="6"/>
      <c r="I682" s="14" t="s">
        <v>1642</v>
      </c>
      <c r="J682" s="15"/>
      <c r="K682" s="6" t="s">
        <v>1976</v>
      </c>
      <c r="L682" s="6"/>
      <c r="M682" s="6" t="s">
        <v>1643</v>
      </c>
      <c r="N682" s="6" t="s">
        <v>1644</v>
      </c>
      <c r="O682" s="7">
        <f>SUMIFS('05_상품별배치367'!$K$7:$K$373,'05_상품별배치367'!$E$7:$E$373,A682,'05_상품별배치367'!$H$7:$H$373,"본진")</f>
        <v>0</v>
      </c>
      <c r="P682" s="7">
        <f>SUMIFS('05_상품별배치367'!$K$7:$K$373,'05_상품별배치367'!$E$7:$E$373,A682,'05_상품별배치367'!$H$7:$H$373,"추가 진열")</f>
        <v>0</v>
      </c>
      <c r="Q682" s="7">
        <f>O682+P682</f>
        <v>0</v>
      </c>
      <c r="R682" s="7">
        <v>1</v>
      </c>
      <c r="S682" s="6" t="s">
        <v>3016</v>
      </c>
      <c r="T682" s="6" t="s">
        <v>1637</v>
      </c>
      <c r="U682" s="6"/>
      <c r="V682" s="16"/>
      <c r="W682" s="16"/>
      <c r="X682" s="16"/>
      <c r="Y682" s="6" t="s">
        <v>1627</v>
      </c>
      <c r="Z682" s="15"/>
      <c r="AA682" s="15" t="s">
        <v>1628</v>
      </c>
    </row>
    <row r="683" spans="1:27" ht="33" customHeight="1">
      <c r="A683" s="8" t="s">
        <v>5695</v>
      </c>
      <c r="B683" s="9">
        <v>1804</v>
      </c>
      <c r="C683" s="8" t="s">
        <v>5696</v>
      </c>
      <c r="D683" s="8" t="s">
        <v>2856</v>
      </c>
      <c r="E683" s="8" t="s">
        <v>2134</v>
      </c>
      <c r="F683" s="8" t="s">
        <v>2933</v>
      </c>
      <c r="G683" s="8" t="s">
        <v>1668</v>
      </c>
      <c r="H683" s="8"/>
      <c r="I683" s="14" t="s">
        <v>1807</v>
      </c>
      <c r="J683" s="15"/>
      <c r="K683" s="8" t="s">
        <v>1976</v>
      </c>
      <c r="L683" s="8" t="s">
        <v>2032</v>
      </c>
      <c r="M683" s="6" t="s">
        <v>1809</v>
      </c>
      <c r="N683" s="6" t="s">
        <v>1644</v>
      </c>
      <c r="O683" s="7">
        <f>SUMIFS('05_상품별배치367'!$K$7:$K$373,'05_상품별배치367'!$E$7:$E$373,A683,'05_상품별배치367'!$H$7:$H$373,"본진")</f>
        <v>0</v>
      </c>
      <c r="P683" s="7">
        <f>SUMIFS('05_상품별배치367'!$K$7:$K$373,'05_상품별배치367'!$E$7:$E$373,A683,'05_상품별배치367'!$H$7:$H$373,"추가 진열")</f>
        <v>0</v>
      </c>
      <c r="Q683" s="7">
        <f>O683+P683</f>
        <v>0</v>
      </c>
      <c r="R683" s="7">
        <v>0</v>
      </c>
      <c r="S683" s="6" t="s">
        <v>1810</v>
      </c>
      <c r="T683" s="6" t="s">
        <v>1637</v>
      </c>
      <c r="U683" s="6"/>
      <c r="V683" s="16"/>
      <c r="W683" s="16"/>
      <c r="X683" s="16"/>
      <c r="Y683" s="6" t="s">
        <v>1627</v>
      </c>
      <c r="Z683" s="15"/>
      <c r="AA683" s="15" t="s">
        <v>1628</v>
      </c>
    </row>
    <row r="684" spans="1:27" ht="33" customHeight="1">
      <c r="A684" s="6" t="s">
        <v>5697</v>
      </c>
      <c r="B684" s="7">
        <v>1805</v>
      </c>
      <c r="C684" s="6" t="s">
        <v>5698</v>
      </c>
      <c r="D684" s="6" t="s">
        <v>2133</v>
      </c>
      <c r="E684" s="6" t="s">
        <v>2134</v>
      </c>
      <c r="F684" s="6" t="s">
        <v>161</v>
      </c>
      <c r="G684" s="6" t="s">
        <v>395</v>
      </c>
      <c r="H684" s="6"/>
      <c r="I684" s="14" t="s">
        <v>1642</v>
      </c>
      <c r="J684" s="15"/>
      <c r="K684" s="6" t="s">
        <v>1976</v>
      </c>
      <c r="L684" s="6"/>
      <c r="M684" s="6" t="s">
        <v>1643</v>
      </c>
      <c r="N684" s="6" t="s">
        <v>1644</v>
      </c>
      <c r="O684" s="7">
        <f>SUMIFS('05_상품별배치367'!$K$7:$K$373,'05_상품별배치367'!$E$7:$E$373,A684,'05_상품별배치367'!$H$7:$H$373,"본진")</f>
        <v>0</v>
      </c>
      <c r="P684" s="7">
        <f>SUMIFS('05_상품별배치367'!$K$7:$K$373,'05_상품별배치367'!$E$7:$E$373,A684,'05_상품별배치367'!$H$7:$H$373,"추가 진열")</f>
        <v>0</v>
      </c>
      <c r="Q684" s="7">
        <f>O684+P684</f>
        <v>0</v>
      </c>
      <c r="R684" s="7">
        <v>1</v>
      </c>
      <c r="S684" s="6" t="s">
        <v>3070</v>
      </c>
      <c r="T684" s="6" t="s">
        <v>1637</v>
      </c>
      <c r="U684" s="6"/>
      <c r="V684" s="16"/>
      <c r="W684" s="16"/>
      <c r="X684" s="16"/>
      <c r="Y684" s="6" t="s">
        <v>1627</v>
      </c>
      <c r="Z684" s="15"/>
      <c r="AA684" s="15" t="s">
        <v>1628</v>
      </c>
    </row>
    <row r="685" spans="1:27" ht="33" customHeight="1">
      <c r="A685" s="6" t="s">
        <v>5564</v>
      </c>
      <c r="B685" s="7">
        <v>1747</v>
      </c>
      <c r="C685" s="6" t="s">
        <v>5565</v>
      </c>
      <c r="D685" s="6" t="s">
        <v>2856</v>
      </c>
      <c r="E685" s="6" t="s">
        <v>2134</v>
      </c>
      <c r="F685" s="6" t="s">
        <v>2933</v>
      </c>
      <c r="G685" s="6" t="s">
        <v>1668</v>
      </c>
      <c r="H685" s="6"/>
      <c r="I685" s="14" t="s">
        <v>1807</v>
      </c>
      <c r="J685" s="15"/>
      <c r="K685" s="6" t="s">
        <v>1976</v>
      </c>
      <c r="L685" s="6" t="s">
        <v>2032</v>
      </c>
      <c r="M685" s="6" t="s">
        <v>1809</v>
      </c>
      <c r="N685" s="6" t="s">
        <v>1644</v>
      </c>
      <c r="O685" s="7">
        <f>SUMIFS('05_상품별배치367'!$K$7:$K$373,'05_상품별배치367'!$E$7:$E$373,A685,'05_상품별배치367'!$H$7:$H$373,"본진")</f>
        <v>0</v>
      </c>
      <c r="P685" s="7">
        <f>SUMIFS('05_상품별배치367'!$K$7:$K$373,'05_상품별배치367'!$E$7:$E$373,A685,'05_상품별배치367'!$H$7:$H$373,"추가 진열")</f>
        <v>0</v>
      </c>
      <c r="Q685" s="7">
        <f>O685+P685</f>
        <v>0</v>
      </c>
      <c r="R685" s="7">
        <v>0</v>
      </c>
      <c r="S685" s="6" t="s">
        <v>1810</v>
      </c>
      <c r="T685" s="6" t="s">
        <v>1637</v>
      </c>
      <c r="U685" s="6"/>
      <c r="V685" s="16"/>
      <c r="W685" s="16"/>
      <c r="X685" s="16"/>
      <c r="Y685" s="6" t="s">
        <v>1627</v>
      </c>
      <c r="Z685" s="15"/>
      <c r="AA685" s="15" t="s">
        <v>1628</v>
      </c>
    </row>
    <row r="686" spans="1:27" ht="33" customHeight="1">
      <c r="A686" s="6" t="s">
        <v>5572</v>
      </c>
      <c r="B686" s="7">
        <v>1751</v>
      </c>
      <c r="C686" s="6" t="s">
        <v>5573</v>
      </c>
      <c r="D686" s="6" t="s">
        <v>2856</v>
      </c>
      <c r="E686" s="6" t="s">
        <v>2134</v>
      </c>
      <c r="F686" s="6" t="s">
        <v>2933</v>
      </c>
      <c r="G686" s="6" t="s">
        <v>1668</v>
      </c>
      <c r="H686" s="6"/>
      <c r="I686" s="14" t="s">
        <v>1807</v>
      </c>
      <c r="J686" s="15"/>
      <c r="K686" s="6" t="s">
        <v>1976</v>
      </c>
      <c r="L686" s="6" t="s">
        <v>2032</v>
      </c>
      <c r="M686" s="6" t="s">
        <v>1809</v>
      </c>
      <c r="N686" s="6" t="s">
        <v>1644</v>
      </c>
      <c r="O686" s="7">
        <f>SUMIFS('05_상품별배치367'!$K$7:$K$373,'05_상품별배치367'!$E$7:$E$373,A686,'05_상품별배치367'!$H$7:$H$373,"본진")</f>
        <v>0</v>
      </c>
      <c r="P686" s="7">
        <f>SUMIFS('05_상품별배치367'!$K$7:$K$373,'05_상품별배치367'!$E$7:$E$373,A686,'05_상품별배치367'!$H$7:$H$373,"추가 진열")</f>
        <v>0</v>
      </c>
      <c r="Q686" s="7">
        <f>O686+P686</f>
        <v>0</v>
      </c>
      <c r="R686" s="7">
        <v>0</v>
      </c>
      <c r="S686" s="6" t="s">
        <v>1810</v>
      </c>
      <c r="T686" s="6" t="s">
        <v>1637</v>
      </c>
      <c r="U686" s="6"/>
      <c r="V686" s="16"/>
      <c r="W686" s="16"/>
      <c r="X686" s="16"/>
      <c r="Y686" s="6" t="s">
        <v>1627</v>
      </c>
      <c r="Z686" s="15"/>
      <c r="AA686" s="15" t="s">
        <v>1628</v>
      </c>
    </row>
    <row r="687" spans="1:27" ht="33" customHeight="1">
      <c r="A687" s="6" t="s">
        <v>5568</v>
      </c>
      <c r="B687" s="7">
        <v>1749</v>
      </c>
      <c r="C687" s="6" t="s">
        <v>5569</v>
      </c>
      <c r="D687" s="6" t="s">
        <v>2856</v>
      </c>
      <c r="E687" s="6" t="s">
        <v>2134</v>
      </c>
      <c r="F687" s="6" t="s">
        <v>2933</v>
      </c>
      <c r="G687" s="6" t="s">
        <v>1668</v>
      </c>
      <c r="H687" s="6"/>
      <c r="I687" s="14" t="s">
        <v>1807</v>
      </c>
      <c r="J687" s="15"/>
      <c r="K687" s="6" t="s">
        <v>1976</v>
      </c>
      <c r="L687" s="6" t="s">
        <v>2032</v>
      </c>
      <c r="M687" s="6" t="s">
        <v>1809</v>
      </c>
      <c r="N687" s="6" t="s">
        <v>1644</v>
      </c>
      <c r="O687" s="7">
        <f>SUMIFS('05_상품별배치367'!$K$7:$K$373,'05_상품별배치367'!$E$7:$E$373,A687,'05_상품별배치367'!$H$7:$H$373,"본진")</f>
        <v>0</v>
      </c>
      <c r="P687" s="7">
        <f>SUMIFS('05_상품별배치367'!$K$7:$K$373,'05_상품별배치367'!$E$7:$E$373,A687,'05_상품별배치367'!$H$7:$H$373,"추가 진열")</f>
        <v>0</v>
      </c>
      <c r="Q687" s="7">
        <f>O687+P687</f>
        <v>0</v>
      </c>
      <c r="R687" s="7">
        <v>0</v>
      </c>
      <c r="S687" s="6" t="s">
        <v>1810</v>
      </c>
      <c r="T687" s="6" t="s">
        <v>1637</v>
      </c>
      <c r="U687" s="6"/>
      <c r="V687" s="16"/>
      <c r="W687" s="16"/>
      <c r="X687" s="16"/>
      <c r="Y687" s="6" t="s">
        <v>1627</v>
      </c>
      <c r="Z687" s="15"/>
      <c r="AA687" s="15" t="s">
        <v>1628</v>
      </c>
    </row>
    <row r="688" spans="1:27" ht="33" customHeight="1">
      <c r="A688" s="8" t="s">
        <v>5562</v>
      </c>
      <c r="B688" s="9">
        <v>1746</v>
      </c>
      <c r="C688" s="8" t="s">
        <v>5563</v>
      </c>
      <c r="D688" s="8" t="s">
        <v>2856</v>
      </c>
      <c r="E688" s="8" t="s">
        <v>2134</v>
      </c>
      <c r="F688" s="8" t="s">
        <v>1263</v>
      </c>
      <c r="G688" s="8" t="s">
        <v>376</v>
      </c>
      <c r="H688" s="8"/>
      <c r="I688" s="14" t="s">
        <v>1642</v>
      </c>
      <c r="J688" s="15"/>
      <c r="K688" s="8" t="s">
        <v>1976</v>
      </c>
      <c r="L688" s="8"/>
      <c r="M688" s="6" t="s">
        <v>1643</v>
      </c>
      <c r="N688" s="6" t="s">
        <v>1644</v>
      </c>
      <c r="O688" s="7">
        <f>SUMIFS('05_상품별배치367'!$K$7:$K$373,'05_상품별배치367'!$E$7:$E$373,A688,'05_상품별배치367'!$H$7:$H$373,"본진")</f>
        <v>0</v>
      </c>
      <c r="P688" s="7">
        <f>SUMIFS('05_상품별배치367'!$K$7:$K$373,'05_상품별배치367'!$E$7:$E$373,A688,'05_상품별배치367'!$H$7:$H$373,"추가 진열")</f>
        <v>0</v>
      </c>
      <c r="Q688" s="7">
        <f>O688+P688</f>
        <v>0</v>
      </c>
      <c r="R688" s="7">
        <v>1</v>
      </c>
      <c r="S688" s="6" t="s">
        <v>3016</v>
      </c>
      <c r="T688" s="6" t="s">
        <v>1637</v>
      </c>
      <c r="U688" s="6"/>
      <c r="V688" s="16"/>
      <c r="W688" s="16"/>
      <c r="X688" s="16"/>
      <c r="Y688" s="6" t="s">
        <v>1627</v>
      </c>
      <c r="Z688" s="15"/>
      <c r="AA688" s="15" t="s">
        <v>1628</v>
      </c>
    </row>
    <row r="689" spans="1:27" ht="33" customHeight="1">
      <c r="A689" s="8" t="s">
        <v>5570</v>
      </c>
      <c r="B689" s="9">
        <v>1750</v>
      </c>
      <c r="C689" s="8" t="s">
        <v>5571</v>
      </c>
      <c r="D689" s="8" t="s">
        <v>2856</v>
      </c>
      <c r="E689" s="8" t="s">
        <v>2134</v>
      </c>
      <c r="F689" s="8" t="s">
        <v>842</v>
      </c>
      <c r="G689" s="8" t="s">
        <v>164</v>
      </c>
      <c r="H689" s="8"/>
      <c r="I689" s="14" t="s">
        <v>1642</v>
      </c>
      <c r="J689" s="15"/>
      <c r="K689" s="8" t="s">
        <v>1976</v>
      </c>
      <c r="L689" s="8"/>
      <c r="M689" s="6" t="s">
        <v>1643</v>
      </c>
      <c r="N689" s="6" t="s">
        <v>1644</v>
      </c>
      <c r="O689" s="7">
        <f>SUMIFS('05_상품별배치367'!$K$7:$K$373,'05_상품별배치367'!$E$7:$E$373,A689,'05_상품별배치367'!$H$7:$H$373,"본진")</f>
        <v>0</v>
      </c>
      <c r="P689" s="7">
        <f>SUMIFS('05_상품별배치367'!$K$7:$K$373,'05_상품별배치367'!$E$7:$E$373,A689,'05_상품별배치367'!$H$7:$H$373,"추가 진열")</f>
        <v>0</v>
      </c>
      <c r="Q689" s="7">
        <f>O689+P689</f>
        <v>0</v>
      </c>
      <c r="R689" s="7">
        <v>1</v>
      </c>
      <c r="S689" s="6" t="s">
        <v>3009</v>
      </c>
      <c r="T689" s="6" t="s">
        <v>1637</v>
      </c>
      <c r="U689" s="6"/>
      <c r="V689" s="16"/>
      <c r="W689" s="16"/>
      <c r="X689" s="16"/>
      <c r="Y689" s="6" t="s">
        <v>1627</v>
      </c>
      <c r="Z689" s="15"/>
      <c r="AA689" s="15" t="s">
        <v>1628</v>
      </c>
    </row>
    <row r="690" spans="1:27" ht="33" customHeight="1">
      <c r="A690" s="8" t="s">
        <v>5574</v>
      </c>
      <c r="B690" s="9">
        <v>1752</v>
      </c>
      <c r="C690" s="8" t="s">
        <v>5575</v>
      </c>
      <c r="D690" s="8" t="s">
        <v>2856</v>
      </c>
      <c r="E690" s="8" t="s">
        <v>2134</v>
      </c>
      <c r="F690" s="8" t="s">
        <v>2933</v>
      </c>
      <c r="G690" s="8" t="s">
        <v>1668</v>
      </c>
      <c r="H690" s="8"/>
      <c r="I690" s="14" t="s">
        <v>1807</v>
      </c>
      <c r="J690" s="15"/>
      <c r="K690" s="8" t="s">
        <v>1976</v>
      </c>
      <c r="L690" s="8" t="s">
        <v>2032</v>
      </c>
      <c r="M690" s="6" t="s">
        <v>1809</v>
      </c>
      <c r="N690" s="6" t="s">
        <v>1644</v>
      </c>
      <c r="O690" s="7">
        <f>SUMIFS('05_상품별배치367'!$K$7:$K$373,'05_상품별배치367'!$E$7:$E$373,A690,'05_상품별배치367'!$H$7:$H$373,"본진")</f>
        <v>0</v>
      </c>
      <c r="P690" s="7">
        <f>SUMIFS('05_상품별배치367'!$K$7:$K$373,'05_상품별배치367'!$E$7:$E$373,A690,'05_상품별배치367'!$H$7:$H$373,"추가 진열")</f>
        <v>0</v>
      </c>
      <c r="Q690" s="7">
        <f>O690+P690</f>
        <v>0</v>
      </c>
      <c r="R690" s="7">
        <v>0</v>
      </c>
      <c r="S690" s="6" t="s">
        <v>1810</v>
      </c>
      <c r="T690" s="6" t="s">
        <v>1637</v>
      </c>
      <c r="U690" s="6"/>
      <c r="V690" s="16"/>
      <c r="W690" s="16"/>
      <c r="X690" s="16"/>
      <c r="Y690" s="6" t="s">
        <v>1627</v>
      </c>
      <c r="Z690" s="15"/>
      <c r="AA690" s="15" t="s">
        <v>1628</v>
      </c>
    </row>
    <row r="691" spans="1:27" ht="33" customHeight="1">
      <c r="A691" s="6" t="s">
        <v>5560</v>
      </c>
      <c r="B691" s="7">
        <v>1745</v>
      </c>
      <c r="C691" s="6" t="s">
        <v>5561</v>
      </c>
      <c r="D691" s="6" t="s">
        <v>2133</v>
      </c>
      <c r="E691" s="6" t="s">
        <v>2134</v>
      </c>
      <c r="F691" s="6" t="s">
        <v>1263</v>
      </c>
      <c r="G691" s="6" t="s">
        <v>376</v>
      </c>
      <c r="H691" s="6"/>
      <c r="I691" s="14" t="s">
        <v>1642</v>
      </c>
      <c r="J691" s="15"/>
      <c r="K691" s="6" t="s">
        <v>1976</v>
      </c>
      <c r="L691" s="6"/>
      <c r="M691" s="6" t="s">
        <v>1643</v>
      </c>
      <c r="N691" s="6" t="s">
        <v>1644</v>
      </c>
      <c r="O691" s="7">
        <f>SUMIFS('05_상품별배치367'!$K$7:$K$373,'05_상품별배치367'!$E$7:$E$373,A691,'05_상품별배치367'!$H$7:$H$373,"본진")</f>
        <v>0</v>
      </c>
      <c r="P691" s="7">
        <f>SUMIFS('05_상품별배치367'!$K$7:$K$373,'05_상품별배치367'!$E$7:$E$373,A691,'05_상품별배치367'!$H$7:$H$373,"추가 진열")</f>
        <v>0</v>
      </c>
      <c r="Q691" s="7">
        <f>O691+P691</f>
        <v>0</v>
      </c>
      <c r="R691" s="7">
        <v>1</v>
      </c>
      <c r="S691" s="6" t="s">
        <v>3016</v>
      </c>
      <c r="T691" s="6" t="s">
        <v>1637</v>
      </c>
      <c r="U691" s="6"/>
      <c r="V691" s="16"/>
      <c r="W691" s="16"/>
      <c r="X691" s="16"/>
      <c r="Y691" s="6" t="s">
        <v>1627</v>
      </c>
      <c r="Z691" s="15"/>
      <c r="AA691" s="15" t="s">
        <v>1628</v>
      </c>
    </row>
    <row r="692" spans="1:27" ht="33" customHeight="1">
      <c r="A692" s="8" t="s">
        <v>5558</v>
      </c>
      <c r="B692" s="9">
        <v>1744</v>
      </c>
      <c r="C692" s="8" t="s">
        <v>5559</v>
      </c>
      <c r="D692" s="8" t="s">
        <v>2133</v>
      </c>
      <c r="E692" s="8" t="s">
        <v>2134</v>
      </c>
      <c r="F692" s="8" t="s">
        <v>2933</v>
      </c>
      <c r="G692" s="8" t="s">
        <v>1668</v>
      </c>
      <c r="H692" s="8"/>
      <c r="I692" s="14" t="s">
        <v>1807</v>
      </c>
      <c r="J692" s="15"/>
      <c r="K692" s="8" t="s">
        <v>1976</v>
      </c>
      <c r="L692" s="8" t="s">
        <v>2032</v>
      </c>
      <c r="M692" s="6" t="s">
        <v>1809</v>
      </c>
      <c r="N692" s="6" t="s">
        <v>1644</v>
      </c>
      <c r="O692" s="7">
        <f>SUMIFS('05_상품별배치367'!$K$7:$K$373,'05_상품별배치367'!$E$7:$E$373,A692,'05_상품별배치367'!$H$7:$H$373,"본진")</f>
        <v>0</v>
      </c>
      <c r="P692" s="7">
        <f>SUMIFS('05_상품별배치367'!$K$7:$K$373,'05_상품별배치367'!$E$7:$E$373,A692,'05_상품별배치367'!$H$7:$H$373,"추가 진열")</f>
        <v>0</v>
      </c>
      <c r="Q692" s="7">
        <f>O692+P692</f>
        <v>0</v>
      </c>
      <c r="R692" s="7">
        <v>0</v>
      </c>
      <c r="S692" s="6" t="s">
        <v>1810</v>
      </c>
      <c r="T692" s="6" t="s">
        <v>1637</v>
      </c>
      <c r="U692" s="6"/>
      <c r="V692" s="16"/>
      <c r="W692" s="16"/>
      <c r="X692" s="16"/>
      <c r="Y692" s="6" t="s">
        <v>1627</v>
      </c>
      <c r="Z692" s="15"/>
      <c r="AA692" s="15" t="s">
        <v>1628</v>
      </c>
    </row>
    <row r="693" spans="1:27" ht="33" customHeight="1">
      <c r="A693" s="6" t="s">
        <v>5556</v>
      </c>
      <c r="B693" s="7">
        <v>1743</v>
      </c>
      <c r="C693" s="6" t="s">
        <v>5557</v>
      </c>
      <c r="D693" s="6" t="s">
        <v>2133</v>
      </c>
      <c r="E693" s="6" t="s">
        <v>2134</v>
      </c>
      <c r="F693" s="6" t="s">
        <v>2933</v>
      </c>
      <c r="G693" s="6" t="s">
        <v>1668</v>
      </c>
      <c r="H693" s="6"/>
      <c r="I693" s="14" t="s">
        <v>1807</v>
      </c>
      <c r="J693" s="15"/>
      <c r="K693" s="6" t="s">
        <v>1976</v>
      </c>
      <c r="L693" s="6" t="s">
        <v>2032</v>
      </c>
      <c r="M693" s="6" t="s">
        <v>1809</v>
      </c>
      <c r="N693" s="6" t="s">
        <v>1644</v>
      </c>
      <c r="O693" s="7">
        <f>SUMIFS('05_상품별배치367'!$K$7:$K$373,'05_상품별배치367'!$E$7:$E$373,A693,'05_상품별배치367'!$H$7:$H$373,"본진")</f>
        <v>0</v>
      </c>
      <c r="P693" s="7">
        <f>SUMIFS('05_상품별배치367'!$K$7:$K$373,'05_상품별배치367'!$E$7:$E$373,A693,'05_상품별배치367'!$H$7:$H$373,"추가 진열")</f>
        <v>0</v>
      </c>
      <c r="Q693" s="7">
        <f>O693+P693</f>
        <v>0</v>
      </c>
      <c r="R693" s="7">
        <v>0</v>
      </c>
      <c r="S693" s="6" t="s">
        <v>1810</v>
      </c>
      <c r="T693" s="6" t="s">
        <v>1637</v>
      </c>
      <c r="U693" s="6"/>
      <c r="V693" s="16"/>
      <c r="W693" s="16"/>
      <c r="X693" s="16"/>
      <c r="Y693" s="6" t="s">
        <v>1627</v>
      </c>
      <c r="Z693" s="15"/>
      <c r="AA693" s="15" t="s">
        <v>1628</v>
      </c>
    </row>
    <row r="694" spans="1:27" ht="33" customHeight="1">
      <c r="A694" s="8" t="s">
        <v>5566</v>
      </c>
      <c r="B694" s="9">
        <v>1748</v>
      </c>
      <c r="C694" s="8" t="s">
        <v>5567</v>
      </c>
      <c r="D694" s="8" t="s">
        <v>2856</v>
      </c>
      <c r="E694" s="8" t="s">
        <v>2134</v>
      </c>
      <c r="F694" s="8" t="s">
        <v>575</v>
      </c>
      <c r="G694" s="8" t="s">
        <v>38</v>
      </c>
      <c r="H694" s="8"/>
      <c r="I694" s="14" t="s">
        <v>1642</v>
      </c>
      <c r="J694" s="15"/>
      <c r="K694" s="8" t="s">
        <v>1976</v>
      </c>
      <c r="L694" s="8"/>
      <c r="M694" s="6" t="s">
        <v>1643</v>
      </c>
      <c r="N694" s="6" t="s">
        <v>1644</v>
      </c>
      <c r="O694" s="7">
        <f>SUMIFS('05_상품별배치367'!$K$7:$K$373,'05_상품별배치367'!$E$7:$E$373,A694,'05_상품별배치367'!$H$7:$H$373,"본진")</f>
        <v>0</v>
      </c>
      <c r="P694" s="7">
        <f>SUMIFS('05_상품별배치367'!$K$7:$K$373,'05_상품별배치367'!$E$7:$E$373,A694,'05_상품별배치367'!$H$7:$H$373,"추가 진열")</f>
        <v>0</v>
      </c>
      <c r="Q694" s="7">
        <f>O694+P694</f>
        <v>0</v>
      </c>
      <c r="R694" s="7">
        <v>1</v>
      </c>
      <c r="S694" s="6" t="s">
        <v>3615</v>
      </c>
      <c r="T694" s="6" t="s">
        <v>1637</v>
      </c>
      <c r="U694" s="6"/>
      <c r="V694" s="16"/>
      <c r="W694" s="16"/>
      <c r="X694" s="16"/>
      <c r="Y694" s="6" t="s">
        <v>1627</v>
      </c>
      <c r="Z694" s="15"/>
      <c r="AA694" s="15" t="s">
        <v>1628</v>
      </c>
    </row>
    <row r="695" spans="1:27" ht="33" customHeight="1">
      <c r="A695" s="8" t="s">
        <v>5554</v>
      </c>
      <c r="B695" s="9">
        <v>1742</v>
      </c>
      <c r="C695" s="8" t="s">
        <v>5555</v>
      </c>
      <c r="D695" s="8" t="s">
        <v>1851</v>
      </c>
      <c r="E695" s="8" t="s">
        <v>2134</v>
      </c>
      <c r="F695" s="8" t="s">
        <v>2933</v>
      </c>
      <c r="G695" s="8" t="s">
        <v>1668</v>
      </c>
      <c r="H695" s="8"/>
      <c r="I695" s="14" t="s">
        <v>1807</v>
      </c>
      <c r="J695" s="15"/>
      <c r="K695" s="8" t="s">
        <v>1976</v>
      </c>
      <c r="L695" s="8" t="s">
        <v>2032</v>
      </c>
      <c r="M695" s="6" t="s">
        <v>1809</v>
      </c>
      <c r="N695" s="6" t="s">
        <v>1644</v>
      </c>
      <c r="O695" s="7">
        <f>SUMIFS('05_상품별배치367'!$K$7:$K$373,'05_상품별배치367'!$E$7:$E$373,A695,'05_상품별배치367'!$H$7:$H$373,"본진")</f>
        <v>0</v>
      </c>
      <c r="P695" s="7">
        <f>SUMIFS('05_상품별배치367'!$K$7:$K$373,'05_상품별배치367'!$E$7:$E$373,A695,'05_상품별배치367'!$H$7:$H$373,"추가 진열")</f>
        <v>0</v>
      </c>
      <c r="Q695" s="7">
        <f>O695+P695</f>
        <v>0</v>
      </c>
      <c r="R695" s="7">
        <v>0</v>
      </c>
      <c r="S695" s="6" t="s">
        <v>1810</v>
      </c>
      <c r="T695" s="6" t="s">
        <v>1637</v>
      </c>
      <c r="U695" s="6"/>
      <c r="V695" s="16"/>
      <c r="W695" s="16"/>
      <c r="X695" s="16"/>
      <c r="Y695" s="6" t="s">
        <v>1627</v>
      </c>
      <c r="Z695" s="15"/>
      <c r="AA695" s="15" t="s">
        <v>1628</v>
      </c>
    </row>
    <row r="696" spans="1:27" ht="33" customHeight="1">
      <c r="A696" s="6" t="s">
        <v>7151</v>
      </c>
      <c r="B696" s="7">
        <v>2479</v>
      </c>
      <c r="C696" s="6" t="s">
        <v>7152</v>
      </c>
      <c r="D696" s="6" t="s">
        <v>6669</v>
      </c>
      <c r="E696" s="6" t="s">
        <v>1695</v>
      </c>
      <c r="F696" s="6" t="s">
        <v>497</v>
      </c>
      <c r="G696" s="6" t="s">
        <v>307</v>
      </c>
      <c r="H696" s="6" t="s">
        <v>1124</v>
      </c>
      <c r="I696" s="14" t="s">
        <v>1633</v>
      </c>
      <c r="J696" s="15"/>
      <c r="K696" s="6" t="s">
        <v>1696</v>
      </c>
      <c r="L696" s="6" t="s">
        <v>3828</v>
      </c>
      <c r="M696" s="6" t="s">
        <v>1635</v>
      </c>
      <c r="N696" s="6" t="s">
        <v>1624</v>
      </c>
      <c r="O696" s="7">
        <f>SUMIFS('05_상품별배치367'!$K$7:$K$373,'05_상품별배치367'!$E$7:$E$373,A696,'05_상품별배치367'!$H$7:$H$373,"본진")</f>
        <v>1</v>
      </c>
      <c r="P696" s="7">
        <f>SUMIFS('05_상품별배치367'!$K$7:$K$373,'05_상품별배치367'!$E$7:$E$373,A696,'05_상품별배치367'!$H$7:$H$373,"추가 진열")</f>
        <v>0</v>
      </c>
      <c r="Q696" s="7">
        <f>O696+P696</f>
        <v>1</v>
      </c>
      <c r="R696" s="7">
        <v>1</v>
      </c>
      <c r="S696" s="6" t="s">
        <v>1636</v>
      </c>
      <c r="T696" s="6" t="s">
        <v>1637</v>
      </c>
      <c r="U696" s="6"/>
      <c r="V696" s="16"/>
      <c r="W696" s="16"/>
      <c r="X696" s="16"/>
      <c r="Y696" s="6" t="s">
        <v>1627</v>
      </c>
      <c r="Z696" s="15"/>
      <c r="AA696" s="15" t="s">
        <v>1628</v>
      </c>
    </row>
    <row r="697" spans="1:27" ht="33" customHeight="1">
      <c r="A697" s="6" t="s">
        <v>7155</v>
      </c>
      <c r="B697" s="7">
        <v>2481</v>
      </c>
      <c r="C697" s="6" t="s">
        <v>7156</v>
      </c>
      <c r="D697" s="6" t="s">
        <v>2612</v>
      </c>
      <c r="E697" s="6" t="s">
        <v>1695</v>
      </c>
      <c r="F697" s="6" t="s">
        <v>2846</v>
      </c>
      <c r="G697" s="6" t="s">
        <v>1668</v>
      </c>
      <c r="H697" s="6"/>
      <c r="I697" s="14" t="s">
        <v>1669</v>
      </c>
      <c r="J697" s="15"/>
      <c r="K697" s="6" t="s">
        <v>1696</v>
      </c>
      <c r="L697" s="6" t="s">
        <v>3828</v>
      </c>
      <c r="M697" s="6" t="s">
        <v>1671</v>
      </c>
      <c r="N697" s="6" t="s">
        <v>1644</v>
      </c>
      <c r="O697" s="7">
        <f>SUMIFS('05_상품별배치367'!$K$7:$K$373,'05_상품별배치367'!$E$7:$E$373,A697,'05_상품별배치367'!$H$7:$H$373,"본진")</f>
        <v>0</v>
      </c>
      <c r="P697" s="7">
        <f>SUMIFS('05_상품별배치367'!$K$7:$K$373,'05_상품별배치367'!$E$7:$E$373,A697,'05_상품별배치367'!$H$7:$H$373,"추가 진열")</f>
        <v>0</v>
      </c>
      <c r="Q697" s="7">
        <f>O697+P697</f>
        <v>0</v>
      </c>
      <c r="R697" s="7">
        <v>0</v>
      </c>
      <c r="S697" s="6" t="s">
        <v>1672</v>
      </c>
      <c r="T697" s="6" t="s">
        <v>1637</v>
      </c>
      <c r="U697" s="6"/>
      <c r="V697" s="16"/>
      <c r="W697" s="16"/>
      <c r="X697" s="16"/>
      <c r="Y697" s="6" t="s">
        <v>1627</v>
      </c>
      <c r="Z697" s="15"/>
      <c r="AA697" s="15" t="s">
        <v>1628</v>
      </c>
    </row>
    <row r="698" spans="1:27" ht="33" customHeight="1">
      <c r="A698" s="6" t="s">
        <v>1680</v>
      </c>
      <c r="B698" s="7">
        <v>13</v>
      </c>
      <c r="C698" s="6" t="s">
        <v>1681</v>
      </c>
      <c r="D698" s="6" t="s">
        <v>1682</v>
      </c>
      <c r="E698" s="6" t="s">
        <v>1620</v>
      </c>
      <c r="F698" s="6" t="s">
        <v>1234</v>
      </c>
      <c r="G698" s="6" t="s">
        <v>358</v>
      </c>
      <c r="H698" s="6"/>
      <c r="I698" s="14" t="s">
        <v>1642</v>
      </c>
      <c r="J698" s="15"/>
      <c r="K698" s="6" t="s">
        <v>1622</v>
      </c>
      <c r="L698" s="6"/>
      <c r="M698" s="6" t="s">
        <v>1643</v>
      </c>
      <c r="N698" s="6" t="s">
        <v>1644</v>
      </c>
      <c r="O698" s="7">
        <f>SUMIFS('05_상품별배치367'!$K$7:$K$373,'05_상품별배치367'!$E$7:$E$373,A698,'05_상품별배치367'!$H$7:$H$373,"본진")</f>
        <v>0</v>
      </c>
      <c r="P698" s="7">
        <f>SUMIFS('05_상품별배치367'!$K$7:$K$373,'05_상품별배치367'!$E$7:$E$373,A698,'05_상품별배치367'!$H$7:$H$373,"추가 진열")</f>
        <v>0</v>
      </c>
      <c r="Q698" s="7">
        <f>O698+P698</f>
        <v>0</v>
      </c>
      <c r="R698" s="7">
        <v>1</v>
      </c>
      <c r="S698" s="6" t="s">
        <v>1683</v>
      </c>
      <c r="T698" s="6" t="s">
        <v>1637</v>
      </c>
      <c r="U698" s="6"/>
      <c r="V698" s="16"/>
      <c r="W698" s="16"/>
      <c r="X698" s="16"/>
      <c r="Y698" s="6" t="s">
        <v>1627</v>
      </c>
      <c r="Z698" s="15"/>
      <c r="AA698" s="15" t="s">
        <v>1628</v>
      </c>
    </row>
    <row r="699" spans="1:27" ht="33" customHeight="1">
      <c r="A699" s="6" t="s">
        <v>6336</v>
      </c>
      <c r="B699" s="7">
        <v>2091</v>
      </c>
      <c r="C699" s="6" t="s">
        <v>6337</v>
      </c>
      <c r="D699" s="6" t="s">
        <v>6338</v>
      </c>
      <c r="E699" s="6" t="s">
        <v>1695</v>
      </c>
      <c r="F699" s="6" t="s">
        <v>1129</v>
      </c>
      <c r="G699" s="6" t="s">
        <v>307</v>
      </c>
      <c r="H699" s="6" t="s">
        <v>1128</v>
      </c>
      <c r="I699" s="14" t="s">
        <v>1633</v>
      </c>
      <c r="J699" s="15"/>
      <c r="K699" s="6" t="s">
        <v>1696</v>
      </c>
      <c r="L699" s="6"/>
      <c r="M699" s="6" t="s">
        <v>1635</v>
      </c>
      <c r="N699" s="6" t="s">
        <v>1624</v>
      </c>
      <c r="O699" s="7">
        <f>SUMIFS('05_상품별배치367'!$K$7:$K$373,'05_상품별배치367'!$E$7:$E$373,A699,'05_상품별배치367'!$H$7:$H$373,"본진")</f>
        <v>1</v>
      </c>
      <c r="P699" s="7">
        <f>SUMIFS('05_상품별배치367'!$K$7:$K$373,'05_상품별배치367'!$E$7:$E$373,A699,'05_상품별배치367'!$H$7:$H$373,"추가 진열")</f>
        <v>0</v>
      </c>
      <c r="Q699" s="7">
        <f>O699+P699</f>
        <v>1</v>
      </c>
      <c r="R699" s="7">
        <v>1</v>
      </c>
      <c r="S699" s="6" t="s">
        <v>1636</v>
      </c>
      <c r="T699" s="6" t="s">
        <v>1637</v>
      </c>
      <c r="U699" s="6"/>
      <c r="V699" s="16"/>
      <c r="W699" s="16"/>
      <c r="X699" s="16"/>
      <c r="Y699" s="6" t="s">
        <v>1627</v>
      </c>
      <c r="Z699" s="15"/>
      <c r="AA699" s="15" t="s">
        <v>1628</v>
      </c>
    </row>
    <row r="700" spans="1:27" ht="33" customHeight="1">
      <c r="A700" s="8" t="s">
        <v>6339</v>
      </c>
      <c r="B700" s="9">
        <v>2092</v>
      </c>
      <c r="C700" s="8" t="s">
        <v>6340</v>
      </c>
      <c r="D700" s="8" t="s">
        <v>3130</v>
      </c>
      <c r="E700" s="8" t="s">
        <v>1695</v>
      </c>
      <c r="F700" s="8" t="s">
        <v>2846</v>
      </c>
      <c r="G700" s="8" t="s">
        <v>1668</v>
      </c>
      <c r="H700" s="8"/>
      <c r="I700" s="14" t="s">
        <v>1669</v>
      </c>
      <c r="J700" s="15"/>
      <c r="K700" s="8" t="s">
        <v>1696</v>
      </c>
      <c r="L700" s="8"/>
      <c r="M700" s="6" t="s">
        <v>1671</v>
      </c>
      <c r="N700" s="6" t="s">
        <v>1644</v>
      </c>
      <c r="O700" s="7">
        <f>SUMIFS('05_상품별배치367'!$K$7:$K$373,'05_상품별배치367'!$E$7:$E$373,A700,'05_상품별배치367'!$H$7:$H$373,"본진")</f>
        <v>0</v>
      </c>
      <c r="P700" s="7">
        <f>SUMIFS('05_상품별배치367'!$K$7:$K$373,'05_상품별배치367'!$E$7:$E$373,A700,'05_상품별배치367'!$H$7:$H$373,"추가 진열")</f>
        <v>0</v>
      </c>
      <c r="Q700" s="7">
        <f>O700+P700</f>
        <v>0</v>
      </c>
      <c r="R700" s="7">
        <v>0</v>
      </c>
      <c r="S700" s="6" t="s">
        <v>1672</v>
      </c>
      <c r="T700" s="6" t="s">
        <v>1637</v>
      </c>
      <c r="U700" s="6"/>
      <c r="V700" s="16"/>
      <c r="W700" s="16"/>
      <c r="X700" s="16"/>
      <c r="Y700" s="6" t="s">
        <v>1627</v>
      </c>
      <c r="Z700" s="15"/>
      <c r="AA700" s="15" t="s">
        <v>1628</v>
      </c>
    </row>
    <row r="701" spans="1:27" ht="33" customHeight="1">
      <c r="A701" s="6" t="s">
        <v>6341</v>
      </c>
      <c r="B701" s="7">
        <v>2093</v>
      </c>
      <c r="C701" s="6" t="s">
        <v>6342</v>
      </c>
      <c r="D701" s="6" t="s">
        <v>2899</v>
      </c>
      <c r="E701" s="6" t="s">
        <v>1695</v>
      </c>
      <c r="F701" s="6" t="s">
        <v>1129</v>
      </c>
      <c r="G701" s="6" t="s">
        <v>307</v>
      </c>
      <c r="H701" s="6"/>
      <c r="I701" s="14" t="s">
        <v>1642</v>
      </c>
      <c r="J701" s="15"/>
      <c r="K701" s="6" t="s">
        <v>1696</v>
      </c>
      <c r="L701" s="6"/>
      <c r="M701" s="6" t="s">
        <v>1643</v>
      </c>
      <c r="N701" s="6" t="s">
        <v>1644</v>
      </c>
      <c r="O701" s="7">
        <f>SUMIFS('05_상품별배치367'!$K$7:$K$373,'05_상품별배치367'!$E$7:$E$373,A701,'05_상품별배치367'!$H$7:$H$373,"본진")</f>
        <v>0</v>
      </c>
      <c r="P701" s="7">
        <f>SUMIFS('05_상품별배치367'!$K$7:$K$373,'05_상품별배치367'!$E$7:$E$373,A701,'05_상품별배치367'!$H$7:$H$373,"추가 진열")</f>
        <v>0</v>
      </c>
      <c r="Q701" s="7">
        <f>O701+P701</f>
        <v>0</v>
      </c>
      <c r="R701" s="7">
        <v>1</v>
      </c>
      <c r="S701" s="6" t="s">
        <v>2850</v>
      </c>
      <c r="T701" s="6" t="s">
        <v>1637</v>
      </c>
      <c r="U701" s="6"/>
      <c r="V701" s="16"/>
      <c r="W701" s="16"/>
      <c r="X701" s="16"/>
      <c r="Y701" s="6" t="s">
        <v>1627</v>
      </c>
      <c r="Z701" s="15"/>
      <c r="AA701" s="15" t="s">
        <v>1628</v>
      </c>
    </row>
    <row r="702" spans="1:27" ht="33" customHeight="1">
      <c r="A702" s="8" t="s">
        <v>6343</v>
      </c>
      <c r="B702" s="9">
        <v>2094</v>
      </c>
      <c r="C702" s="8" t="s">
        <v>6344</v>
      </c>
      <c r="D702" s="8" t="s">
        <v>2899</v>
      </c>
      <c r="E702" s="8" t="s">
        <v>1695</v>
      </c>
      <c r="F702" s="8" t="s">
        <v>1129</v>
      </c>
      <c r="G702" s="8" t="s">
        <v>307</v>
      </c>
      <c r="H702" s="8"/>
      <c r="I702" s="14" t="s">
        <v>1642</v>
      </c>
      <c r="J702" s="15"/>
      <c r="K702" s="8" t="s">
        <v>1696</v>
      </c>
      <c r="L702" s="8"/>
      <c r="M702" s="6" t="s">
        <v>1643</v>
      </c>
      <c r="N702" s="6" t="s">
        <v>1644</v>
      </c>
      <c r="O702" s="7">
        <f>SUMIFS('05_상품별배치367'!$K$7:$K$373,'05_상품별배치367'!$E$7:$E$373,A702,'05_상품별배치367'!$H$7:$H$373,"본진")</f>
        <v>0</v>
      </c>
      <c r="P702" s="7">
        <f>SUMIFS('05_상품별배치367'!$K$7:$K$373,'05_상품별배치367'!$E$7:$E$373,A702,'05_상품별배치367'!$H$7:$H$373,"추가 진열")</f>
        <v>0</v>
      </c>
      <c r="Q702" s="7">
        <f>O702+P702</f>
        <v>0</v>
      </c>
      <c r="R702" s="7">
        <v>1</v>
      </c>
      <c r="S702" s="6" t="s">
        <v>2850</v>
      </c>
      <c r="T702" s="6" t="s">
        <v>1637</v>
      </c>
      <c r="U702" s="6"/>
      <c r="V702" s="16"/>
      <c r="W702" s="16"/>
      <c r="X702" s="16"/>
      <c r="Y702" s="6" t="s">
        <v>1627</v>
      </c>
      <c r="Z702" s="15"/>
      <c r="AA702" s="15" t="s">
        <v>1628</v>
      </c>
    </row>
    <row r="703" spans="1:27" ht="33" customHeight="1">
      <c r="A703" s="6" t="s">
        <v>6345</v>
      </c>
      <c r="B703" s="7">
        <v>2095</v>
      </c>
      <c r="C703" s="6" t="s">
        <v>6346</v>
      </c>
      <c r="D703" s="6" t="s">
        <v>1851</v>
      </c>
      <c r="E703" s="6" t="s">
        <v>1695</v>
      </c>
      <c r="F703" s="6" t="s">
        <v>497</v>
      </c>
      <c r="G703" s="6" t="s">
        <v>307</v>
      </c>
      <c r="H703" s="6"/>
      <c r="I703" s="14" t="s">
        <v>1642</v>
      </c>
      <c r="J703" s="15"/>
      <c r="K703" s="6" t="s">
        <v>1696</v>
      </c>
      <c r="L703" s="6"/>
      <c r="M703" s="6" t="s">
        <v>1643</v>
      </c>
      <c r="N703" s="6" t="s">
        <v>1644</v>
      </c>
      <c r="O703" s="7">
        <f>SUMIFS('05_상품별배치367'!$K$7:$K$373,'05_상품별배치367'!$E$7:$E$373,A703,'05_상품별배치367'!$H$7:$H$373,"본진")</f>
        <v>0</v>
      </c>
      <c r="P703" s="7">
        <f>SUMIFS('05_상품별배치367'!$K$7:$K$373,'05_상품별배치367'!$E$7:$E$373,A703,'05_상품별배치367'!$H$7:$H$373,"추가 진열")</f>
        <v>0</v>
      </c>
      <c r="Q703" s="7">
        <f>O703+P703</f>
        <v>0</v>
      </c>
      <c r="R703" s="7">
        <v>1</v>
      </c>
      <c r="S703" s="6" t="s">
        <v>2857</v>
      </c>
      <c r="T703" s="6" t="s">
        <v>1637</v>
      </c>
      <c r="U703" s="6"/>
      <c r="V703" s="16"/>
      <c r="W703" s="16"/>
      <c r="X703" s="16"/>
      <c r="Y703" s="6" t="s">
        <v>1627</v>
      </c>
      <c r="Z703" s="15"/>
      <c r="AA703" s="15" t="s">
        <v>1628</v>
      </c>
    </row>
    <row r="704" spans="1:27" ht="33" customHeight="1">
      <c r="A704" s="8" t="s">
        <v>6347</v>
      </c>
      <c r="B704" s="9">
        <v>2096</v>
      </c>
      <c r="C704" s="8" t="s">
        <v>6348</v>
      </c>
      <c r="D704" s="8" t="s">
        <v>3030</v>
      </c>
      <c r="E704" s="8" t="s">
        <v>1695</v>
      </c>
      <c r="F704" s="8" t="s">
        <v>2846</v>
      </c>
      <c r="G704" s="8" t="s">
        <v>1668</v>
      </c>
      <c r="H704" s="8"/>
      <c r="I704" s="14" t="s">
        <v>1669</v>
      </c>
      <c r="J704" s="15"/>
      <c r="K704" s="8" t="s">
        <v>1696</v>
      </c>
      <c r="L704" s="8"/>
      <c r="M704" s="6" t="s">
        <v>1671</v>
      </c>
      <c r="N704" s="6" t="s">
        <v>1644</v>
      </c>
      <c r="O704" s="7">
        <f>SUMIFS('05_상품별배치367'!$K$7:$K$373,'05_상품별배치367'!$E$7:$E$373,A704,'05_상품별배치367'!$H$7:$H$373,"본진")</f>
        <v>0</v>
      </c>
      <c r="P704" s="7">
        <f>SUMIFS('05_상품별배치367'!$K$7:$K$373,'05_상품별배치367'!$E$7:$E$373,A704,'05_상품별배치367'!$H$7:$H$373,"추가 진열")</f>
        <v>0</v>
      </c>
      <c r="Q704" s="7">
        <f>O704+P704</f>
        <v>0</v>
      </c>
      <c r="R704" s="7">
        <v>0</v>
      </c>
      <c r="S704" s="6" t="s">
        <v>1672</v>
      </c>
      <c r="T704" s="6" t="s">
        <v>1637</v>
      </c>
      <c r="U704" s="6"/>
      <c r="V704" s="16"/>
      <c r="W704" s="16"/>
      <c r="X704" s="16"/>
      <c r="Y704" s="6" t="s">
        <v>1627</v>
      </c>
      <c r="Z704" s="15"/>
      <c r="AA704" s="15" t="s">
        <v>1628</v>
      </c>
    </row>
    <row r="705" spans="1:27" ht="33" customHeight="1">
      <c r="A705" s="6" t="s">
        <v>6349</v>
      </c>
      <c r="B705" s="7">
        <v>2097</v>
      </c>
      <c r="C705" s="6" t="s">
        <v>6350</v>
      </c>
      <c r="D705" s="6" t="s">
        <v>5958</v>
      </c>
      <c r="E705" s="6" t="s">
        <v>1620</v>
      </c>
      <c r="F705" s="6" t="s">
        <v>505</v>
      </c>
      <c r="G705" s="6" t="s">
        <v>358</v>
      </c>
      <c r="H705" s="6"/>
      <c r="I705" s="14" t="s">
        <v>1642</v>
      </c>
      <c r="J705" s="15"/>
      <c r="K705" s="6" t="s">
        <v>1622</v>
      </c>
      <c r="L705" s="6"/>
      <c r="M705" s="6" t="s">
        <v>1643</v>
      </c>
      <c r="N705" s="6" t="s">
        <v>1644</v>
      </c>
      <c r="O705" s="7">
        <f>SUMIFS('05_상품별배치367'!$K$7:$K$373,'05_상품별배치367'!$E$7:$E$373,A705,'05_상품별배치367'!$H$7:$H$373,"본진")</f>
        <v>0</v>
      </c>
      <c r="P705" s="7">
        <f>SUMIFS('05_상품별배치367'!$K$7:$K$373,'05_상품별배치367'!$E$7:$E$373,A705,'05_상품별배치367'!$H$7:$H$373,"추가 진열")</f>
        <v>0</v>
      </c>
      <c r="Q705" s="7">
        <f>O705+P705</f>
        <v>0</v>
      </c>
      <c r="R705" s="7">
        <v>1</v>
      </c>
      <c r="S705" s="6" t="s">
        <v>1793</v>
      </c>
      <c r="T705" s="6" t="s">
        <v>1637</v>
      </c>
      <c r="U705" s="6"/>
      <c r="V705" s="16"/>
      <c r="W705" s="16"/>
      <c r="X705" s="16"/>
      <c r="Y705" s="6" t="s">
        <v>1627</v>
      </c>
      <c r="Z705" s="15"/>
      <c r="AA705" s="15" t="s">
        <v>1628</v>
      </c>
    </row>
    <row r="706" spans="1:27" ht="33" customHeight="1">
      <c r="A706" s="8" t="s">
        <v>6351</v>
      </c>
      <c r="B706" s="9">
        <v>2098</v>
      </c>
      <c r="C706" s="8" t="s">
        <v>6352</v>
      </c>
      <c r="D706" s="8" t="s">
        <v>3558</v>
      </c>
      <c r="E706" s="8" t="s">
        <v>1620</v>
      </c>
      <c r="F706" s="8" t="s">
        <v>505</v>
      </c>
      <c r="G706" s="8" t="s">
        <v>358</v>
      </c>
      <c r="H706" s="8"/>
      <c r="I706" s="14" t="s">
        <v>1642</v>
      </c>
      <c r="J706" s="15"/>
      <c r="K706" s="8" t="s">
        <v>1622</v>
      </c>
      <c r="L706" s="8"/>
      <c r="M706" s="6" t="s">
        <v>1643</v>
      </c>
      <c r="N706" s="6" t="s">
        <v>1644</v>
      </c>
      <c r="O706" s="7">
        <f>SUMIFS('05_상품별배치367'!$K$7:$K$373,'05_상품별배치367'!$E$7:$E$373,A706,'05_상품별배치367'!$H$7:$H$373,"본진")</f>
        <v>0</v>
      </c>
      <c r="P706" s="7">
        <f>SUMIFS('05_상품별배치367'!$K$7:$K$373,'05_상품별배치367'!$E$7:$E$373,A706,'05_상품별배치367'!$H$7:$H$373,"추가 진열")</f>
        <v>0</v>
      </c>
      <c r="Q706" s="7">
        <f>O706+P706</f>
        <v>0</v>
      </c>
      <c r="R706" s="7">
        <v>1</v>
      </c>
      <c r="S706" s="6" t="s">
        <v>1793</v>
      </c>
      <c r="T706" s="6" t="s">
        <v>1637</v>
      </c>
      <c r="U706" s="6"/>
      <c r="V706" s="16"/>
      <c r="W706" s="16"/>
      <c r="X706" s="16"/>
      <c r="Y706" s="6" t="s">
        <v>1627</v>
      </c>
      <c r="Z706" s="15"/>
      <c r="AA706" s="15" t="s">
        <v>1628</v>
      </c>
    </row>
    <row r="707" spans="1:27" ht="33" customHeight="1">
      <c r="A707" s="6" t="s">
        <v>6353</v>
      </c>
      <c r="B707" s="7">
        <v>2099</v>
      </c>
      <c r="C707" s="6" t="s">
        <v>6354</v>
      </c>
      <c r="D707" s="6" t="s">
        <v>2343</v>
      </c>
      <c r="E707" s="6" t="s">
        <v>1620</v>
      </c>
      <c r="F707" s="6" t="s">
        <v>505</v>
      </c>
      <c r="G707" s="6" t="s">
        <v>358</v>
      </c>
      <c r="H707" s="6"/>
      <c r="I707" s="14" t="s">
        <v>1642</v>
      </c>
      <c r="J707" s="15"/>
      <c r="K707" s="6" t="s">
        <v>1622</v>
      </c>
      <c r="L707" s="6"/>
      <c r="M707" s="6" t="s">
        <v>1643</v>
      </c>
      <c r="N707" s="6" t="s">
        <v>1644</v>
      </c>
      <c r="O707" s="7">
        <f>SUMIFS('05_상품별배치367'!$K$7:$K$373,'05_상품별배치367'!$E$7:$E$373,A707,'05_상품별배치367'!$H$7:$H$373,"본진")</f>
        <v>0</v>
      </c>
      <c r="P707" s="7">
        <f>SUMIFS('05_상품별배치367'!$K$7:$K$373,'05_상품별배치367'!$E$7:$E$373,A707,'05_상품별배치367'!$H$7:$H$373,"추가 진열")</f>
        <v>0</v>
      </c>
      <c r="Q707" s="7">
        <f>O707+P707</f>
        <v>0</v>
      </c>
      <c r="R707" s="7">
        <v>1</v>
      </c>
      <c r="S707" s="6" t="s">
        <v>1793</v>
      </c>
      <c r="T707" s="6" t="s">
        <v>1637</v>
      </c>
      <c r="U707" s="6"/>
      <c r="V707" s="16"/>
      <c r="W707" s="16"/>
      <c r="X707" s="16"/>
      <c r="Y707" s="6" t="s">
        <v>1655</v>
      </c>
      <c r="Z707" s="15"/>
      <c r="AA707" s="15" t="s">
        <v>1628</v>
      </c>
    </row>
    <row r="708" spans="1:27" ht="33" customHeight="1">
      <c r="A708" s="6" t="s">
        <v>1660</v>
      </c>
      <c r="B708" s="7">
        <v>9</v>
      </c>
      <c r="C708" s="6" t="s">
        <v>1661</v>
      </c>
      <c r="D708" s="6" t="s">
        <v>1662</v>
      </c>
      <c r="E708" s="6" t="s">
        <v>1641</v>
      </c>
      <c r="F708" s="6" t="s">
        <v>699</v>
      </c>
      <c r="G708" s="6" t="s">
        <v>99</v>
      </c>
      <c r="H708" s="6"/>
      <c r="I708" s="14" t="s">
        <v>1642</v>
      </c>
      <c r="J708" s="15"/>
      <c r="K708" s="6" t="s">
        <v>1634</v>
      </c>
      <c r="L708" s="6"/>
      <c r="M708" s="6" t="s">
        <v>1643</v>
      </c>
      <c r="N708" s="6" t="s">
        <v>1644</v>
      </c>
      <c r="O708" s="7">
        <f>SUMIFS('05_상품별배치367'!$K$7:$K$373,'05_상품별배치367'!$E$7:$E$373,A708,'05_상품별배치367'!$H$7:$H$373,"본진")</f>
        <v>0</v>
      </c>
      <c r="P708" s="7">
        <f>SUMIFS('05_상품별배치367'!$K$7:$K$373,'05_상품별배치367'!$E$7:$E$373,A708,'05_상품별배치367'!$H$7:$H$373,"추가 진열")</f>
        <v>0</v>
      </c>
      <c r="Q708" s="7">
        <f>O708+P708</f>
        <v>0</v>
      </c>
      <c r="R708" s="7">
        <v>1</v>
      </c>
      <c r="S708" s="6" t="s">
        <v>1659</v>
      </c>
      <c r="T708" s="6" t="s">
        <v>1637</v>
      </c>
      <c r="U708" s="6"/>
      <c r="V708" s="16"/>
      <c r="W708" s="16"/>
      <c r="X708" s="16"/>
      <c r="Y708" s="6" t="s">
        <v>1627</v>
      </c>
      <c r="Z708" s="15"/>
      <c r="AA708" s="15" t="s">
        <v>1628</v>
      </c>
    </row>
    <row r="709" spans="1:27" ht="33" customHeight="1">
      <c r="A709" s="8" t="s">
        <v>7194</v>
      </c>
      <c r="B709" s="9">
        <v>2500</v>
      </c>
      <c r="C709" s="8" t="s">
        <v>7195</v>
      </c>
      <c r="D709" s="8" t="s">
        <v>2133</v>
      </c>
      <c r="E709" s="8" t="s">
        <v>2134</v>
      </c>
      <c r="F709" s="8" t="s">
        <v>2933</v>
      </c>
      <c r="G709" s="8" t="s">
        <v>1668</v>
      </c>
      <c r="H709" s="8"/>
      <c r="I709" s="14" t="s">
        <v>1807</v>
      </c>
      <c r="J709" s="15"/>
      <c r="K709" s="8" t="s">
        <v>1976</v>
      </c>
      <c r="L709" s="8" t="s">
        <v>6125</v>
      </c>
      <c r="M709" s="6" t="s">
        <v>1809</v>
      </c>
      <c r="N709" s="6" t="s">
        <v>1624</v>
      </c>
      <c r="O709" s="7">
        <f>SUMIFS('05_상품별배치367'!$K$7:$K$373,'05_상품별배치367'!$E$7:$E$373,A709,'05_상품별배치367'!$H$7:$H$373,"본진")</f>
        <v>0</v>
      </c>
      <c r="P709" s="7">
        <f>SUMIFS('05_상품별배치367'!$K$7:$K$373,'05_상품별배치367'!$E$7:$E$373,A709,'05_상품별배치367'!$H$7:$H$373,"추가 진열")</f>
        <v>0</v>
      </c>
      <c r="Q709" s="7">
        <f>O709+P709</f>
        <v>0</v>
      </c>
      <c r="R709" s="7">
        <v>0</v>
      </c>
      <c r="S709" s="6" t="s">
        <v>1810</v>
      </c>
      <c r="T709" s="6" t="s">
        <v>1637</v>
      </c>
      <c r="U709" s="6"/>
      <c r="V709" s="16"/>
      <c r="W709" s="16"/>
      <c r="X709" s="16"/>
      <c r="Y709" s="6" t="s">
        <v>1627</v>
      </c>
      <c r="Z709" s="15"/>
      <c r="AA709" s="15" t="s">
        <v>1628</v>
      </c>
    </row>
    <row r="710" spans="1:27" ht="33" customHeight="1">
      <c r="A710" s="8" t="s">
        <v>1629</v>
      </c>
      <c r="B710" s="9">
        <v>4</v>
      </c>
      <c r="C710" s="8" t="s">
        <v>1630</v>
      </c>
      <c r="D710" s="8" t="s">
        <v>1631</v>
      </c>
      <c r="E710" s="8" t="s">
        <v>1632</v>
      </c>
      <c r="F710" s="8" t="s">
        <v>563</v>
      </c>
      <c r="G710" s="8" t="s">
        <v>25</v>
      </c>
      <c r="H710" s="8" t="s">
        <v>562</v>
      </c>
      <c r="I710" s="14" t="s">
        <v>1633</v>
      </c>
      <c r="J710" s="15"/>
      <c r="K710" s="8" t="s">
        <v>1634</v>
      </c>
      <c r="L710" s="8"/>
      <c r="M710" s="6" t="s">
        <v>1635</v>
      </c>
      <c r="N710" s="6" t="s">
        <v>1624</v>
      </c>
      <c r="O710" s="7">
        <f>SUMIFS('05_상품별배치367'!$K$7:$K$373,'05_상품별배치367'!$E$7:$E$373,A710,'05_상품별배치367'!$H$7:$H$373,"본진")</f>
        <v>1</v>
      </c>
      <c r="P710" s="7">
        <f>SUMIFS('05_상품별배치367'!$K$7:$K$373,'05_상품별배치367'!$E$7:$E$373,A710,'05_상품별배치367'!$H$7:$H$373,"추가 진열")</f>
        <v>0</v>
      </c>
      <c r="Q710" s="7">
        <f>O710+P710</f>
        <v>1</v>
      </c>
      <c r="R710" s="7">
        <v>1</v>
      </c>
      <c r="S710" s="6" t="s">
        <v>1636</v>
      </c>
      <c r="T710" s="6" t="s">
        <v>1637</v>
      </c>
      <c r="U710" s="6"/>
      <c r="V710" s="16"/>
      <c r="W710" s="16"/>
      <c r="X710" s="16"/>
      <c r="Y710" s="6" t="s">
        <v>1627</v>
      </c>
      <c r="Z710" s="15"/>
      <c r="AA710" s="15" t="s">
        <v>1628</v>
      </c>
    </row>
    <row r="711" spans="1:27" ht="33" customHeight="1">
      <c r="A711" s="6" t="s">
        <v>6128</v>
      </c>
      <c r="B711" s="7">
        <v>2005</v>
      </c>
      <c r="C711" s="6" t="s">
        <v>6129</v>
      </c>
      <c r="D711" s="6" t="s">
        <v>6130</v>
      </c>
      <c r="E711" s="6" t="s">
        <v>1641</v>
      </c>
      <c r="F711" s="6" t="s">
        <v>1769</v>
      </c>
      <c r="G711" s="6" t="s">
        <v>59</v>
      </c>
      <c r="H711" s="6"/>
      <c r="I711" s="14" t="s">
        <v>1642</v>
      </c>
      <c r="J711" s="15"/>
      <c r="K711" s="6" t="s">
        <v>1634</v>
      </c>
      <c r="L711" s="6" t="s">
        <v>3828</v>
      </c>
      <c r="M711" s="6" t="s">
        <v>1643</v>
      </c>
      <c r="N711" s="6" t="s">
        <v>1624</v>
      </c>
      <c r="O711" s="7">
        <f>SUMIFS('05_상품별배치367'!$K$7:$K$373,'05_상품별배치367'!$E$7:$E$373,A711,'05_상품별배치367'!$H$7:$H$373,"본진")</f>
        <v>0</v>
      </c>
      <c r="P711" s="7">
        <f>SUMIFS('05_상품별배치367'!$K$7:$K$373,'05_상품별배치367'!$E$7:$E$373,A711,'05_상품별배치367'!$H$7:$H$373,"추가 진열")</f>
        <v>0</v>
      </c>
      <c r="Q711" s="7">
        <f>O711+P711</f>
        <v>0</v>
      </c>
      <c r="R711" s="7">
        <v>1</v>
      </c>
      <c r="S711" s="6" t="s">
        <v>1770</v>
      </c>
      <c r="T711" s="6" t="s">
        <v>1637</v>
      </c>
      <c r="U711" s="6"/>
      <c r="V711" s="16"/>
      <c r="W711" s="16"/>
      <c r="X711" s="16"/>
      <c r="Y711" s="6" t="s">
        <v>1627</v>
      </c>
      <c r="Z711" s="15"/>
      <c r="AA711" s="15" t="s">
        <v>1628</v>
      </c>
    </row>
    <row r="712" spans="1:27" ht="33" customHeight="1">
      <c r="A712" s="6" t="s">
        <v>7120</v>
      </c>
      <c r="B712" s="7">
        <v>2465</v>
      </c>
      <c r="C712" s="6" t="s">
        <v>7121</v>
      </c>
      <c r="D712" s="6" t="s">
        <v>7122</v>
      </c>
      <c r="E712" s="6" t="s">
        <v>1641</v>
      </c>
      <c r="F712" s="6" t="s">
        <v>1769</v>
      </c>
      <c r="G712" s="6" t="s">
        <v>59</v>
      </c>
      <c r="H712" s="6"/>
      <c r="I712" s="14" t="s">
        <v>1642</v>
      </c>
      <c r="J712" s="15"/>
      <c r="K712" s="6" t="s">
        <v>1634</v>
      </c>
      <c r="L712" s="6" t="s">
        <v>3828</v>
      </c>
      <c r="M712" s="6" t="s">
        <v>1643</v>
      </c>
      <c r="N712" s="6" t="s">
        <v>1624</v>
      </c>
      <c r="O712" s="7">
        <f>SUMIFS('05_상품별배치367'!$K$7:$K$373,'05_상품별배치367'!$E$7:$E$373,A712,'05_상품별배치367'!$H$7:$H$373,"본진")</f>
        <v>0</v>
      </c>
      <c r="P712" s="7">
        <f>SUMIFS('05_상품별배치367'!$K$7:$K$373,'05_상품별배치367'!$E$7:$E$373,A712,'05_상품별배치367'!$H$7:$H$373,"추가 진열")</f>
        <v>0</v>
      </c>
      <c r="Q712" s="7">
        <f>O712+P712</f>
        <v>0</v>
      </c>
      <c r="R712" s="7">
        <v>1</v>
      </c>
      <c r="S712" s="6" t="s">
        <v>1770</v>
      </c>
      <c r="T712" s="6" t="s">
        <v>1637</v>
      </c>
      <c r="U712" s="6"/>
      <c r="V712" s="16"/>
      <c r="W712" s="16"/>
      <c r="X712" s="16"/>
      <c r="Y712" s="6" t="s">
        <v>1627</v>
      </c>
      <c r="Z712" s="15"/>
      <c r="AA712" s="15" t="s">
        <v>1628</v>
      </c>
    </row>
    <row r="713" spans="1:27" ht="33" customHeight="1">
      <c r="A713" s="6" t="s">
        <v>3763</v>
      </c>
      <c r="B713" s="7">
        <v>899</v>
      </c>
      <c r="C713" s="6" t="s">
        <v>3764</v>
      </c>
      <c r="D713" s="6" t="s">
        <v>2913</v>
      </c>
      <c r="E713" s="6" t="s">
        <v>2134</v>
      </c>
      <c r="F713" s="6" t="s">
        <v>161</v>
      </c>
      <c r="G713" s="6" t="s">
        <v>395</v>
      </c>
      <c r="H713" s="6"/>
      <c r="I713" s="14" t="s">
        <v>1642</v>
      </c>
      <c r="J713" s="15"/>
      <c r="K713" s="6" t="s">
        <v>1976</v>
      </c>
      <c r="L713" s="6"/>
      <c r="M713" s="6" t="s">
        <v>1643</v>
      </c>
      <c r="N713" s="6" t="s">
        <v>1644</v>
      </c>
      <c r="O713" s="7">
        <f>SUMIFS('05_상품별배치367'!$K$7:$K$373,'05_상품별배치367'!$E$7:$E$373,A713,'05_상품별배치367'!$H$7:$H$373,"본진")</f>
        <v>0</v>
      </c>
      <c r="P713" s="7">
        <f>SUMIFS('05_상품별배치367'!$K$7:$K$373,'05_상품별배치367'!$E$7:$E$373,A713,'05_상품별배치367'!$H$7:$H$373,"추가 진열")</f>
        <v>0</v>
      </c>
      <c r="Q713" s="7">
        <f>O713+P713</f>
        <v>0</v>
      </c>
      <c r="R713" s="7">
        <v>1</v>
      </c>
      <c r="S713" s="6" t="s">
        <v>3070</v>
      </c>
      <c r="T713" s="6" t="s">
        <v>1637</v>
      </c>
      <c r="U713" s="6"/>
      <c r="V713" s="16"/>
      <c r="W713" s="16"/>
      <c r="X713" s="16"/>
      <c r="Y713" s="6" t="s">
        <v>1627</v>
      </c>
      <c r="Z713" s="15"/>
      <c r="AA713" s="15" t="s">
        <v>1628</v>
      </c>
    </row>
    <row r="714" spans="1:27" ht="33" customHeight="1">
      <c r="A714" s="6" t="s">
        <v>3759</v>
      </c>
      <c r="B714" s="7">
        <v>897</v>
      </c>
      <c r="C714" s="6" t="s">
        <v>3760</v>
      </c>
      <c r="D714" s="6" t="s">
        <v>2856</v>
      </c>
      <c r="E714" s="6" t="s">
        <v>2134</v>
      </c>
      <c r="F714" s="6" t="s">
        <v>162</v>
      </c>
      <c r="G714" s="6" t="s">
        <v>404</v>
      </c>
      <c r="H714" s="6"/>
      <c r="I714" s="14" t="s">
        <v>1642</v>
      </c>
      <c r="J714" s="15"/>
      <c r="K714" s="6" t="s">
        <v>1976</v>
      </c>
      <c r="L714" s="6"/>
      <c r="M714" s="6" t="s">
        <v>1643</v>
      </c>
      <c r="N714" s="6" t="s">
        <v>1644</v>
      </c>
      <c r="O714" s="7">
        <f>SUMIFS('05_상품별배치367'!$K$7:$K$373,'05_상품별배치367'!$E$7:$E$373,A714,'05_상품별배치367'!$H$7:$H$373,"본진")</f>
        <v>0</v>
      </c>
      <c r="P714" s="7">
        <f>SUMIFS('05_상품별배치367'!$K$7:$K$373,'05_상품별배치367'!$E$7:$E$373,A714,'05_상품별배치367'!$H$7:$H$373,"추가 진열")</f>
        <v>0</v>
      </c>
      <c r="Q714" s="7">
        <f>O714+P714</f>
        <v>0</v>
      </c>
      <c r="R714" s="7">
        <v>1</v>
      </c>
      <c r="S714" s="6" t="s">
        <v>2996</v>
      </c>
      <c r="T714" s="6" t="s">
        <v>1637</v>
      </c>
      <c r="U714" s="6"/>
      <c r="V714" s="16"/>
      <c r="W714" s="16"/>
      <c r="X714" s="16"/>
      <c r="Y714" s="6" t="s">
        <v>1627</v>
      </c>
      <c r="Z714" s="15"/>
      <c r="AA714" s="15" t="s">
        <v>1628</v>
      </c>
    </row>
    <row r="715" spans="1:27" ht="33" customHeight="1">
      <c r="A715" s="8" t="s">
        <v>3761</v>
      </c>
      <c r="B715" s="9">
        <v>898</v>
      </c>
      <c r="C715" s="8" t="s">
        <v>3762</v>
      </c>
      <c r="D715" s="8" t="s">
        <v>2913</v>
      </c>
      <c r="E715" s="8" t="s">
        <v>2134</v>
      </c>
      <c r="F715" s="8" t="s">
        <v>162</v>
      </c>
      <c r="G715" s="8" t="s">
        <v>404</v>
      </c>
      <c r="H715" s="8"/>
      <c r="I715" s="14" t="s">
        <v>1642</v>
      </c>
      <c r="J715" s="15"/>
      <c r="K715" s="8" t="s">
        <v>1976</v>
      </c>
      <c r="L715" s="8"/>
      <c r="M715" s="6" t="s">
        <v>1643</v>
      </c>
      <c r="N715" s="6" t="s">
        <v>1644</v>
      </c>
      <c r="O715" s="7">
        <f>SUMIFS('05_상품별배치367'!$K$7:$K$373,'05_상품별배치367'!$E$7:$E$373,A715,'05_상품별배치367'!$H$7:$H$373,"본진")</f>
        <v>0</v>
      </c>
      <c r="P715" s="7">
        <f>SUMIFS('05_상품별배치367'!$K$7:$K$373,'05_상품별배치367'!$E$7:$E$373,A715,'05_상품별배치367'!$H$7:$H$373,"추가 진열")</f>
        <v>0</v>
      </c>
      <c r="Q715" s="7">
        <f>O715+P715</f>
        <v>0</v>
      </c>
      <c r="R715" s="7">
        <v>1</v>
      </c>
      <c r="S715" s="6" t="s">
        <v>2996</v>
      </c>
      <c r="T715" s="6" t="s">
        <v>1637</v>
      </c>
      <c r="U715" s="6"/>
      <c r="V715" s="16"/>
      <c r="W715" s="16"/>
      <c r="X715" s="16"/>
      <c r="Y715" s="6" t="s">
        <v>1627</v>
      </c>
      <c r="Z715" s="15"/>
      <c r="AA715" s="15" t="s">
        <v>1628</v>
      </c>
    </row>
    <row r="716" spans="1:27" ht="33" customHeight="1">
      <c r="A716" s="8" t="s">
        <v>3765</v>
      </c>
      <c r="B716" s="9">
        <v>900</v>
      </c>
      <c r="C716" s="8" t="s">
        <v>3766</v>
      </c>
      <c r="D716" s="8" t="s">
        <v>1658</v>
      </c>
      <c r="E716" s="8" t="s">
        <v>2134</v>
      </c>
      <c r="F716" s="8" t="s">
        <v>162</v>
      </c>
      <c r="G716" s="8" t="s">
        <v>404</v>
      </c>
      <c r="H716" s="8"/>
      <c r="I716" s="14" t="s">
        <v>1642</v>
      </c>
      <c r="J716" s="15"/>
      <c r="K716" s="8" t="s">
        <v>1976</v>
      </c>
      <c r="L716" s="8"/>
      <c r="M716" s="6" t="s">
        <v>1643</v>
      </c>
      <c r="N716" s="6" t="s">
        <v>1644</v>
      </c>
      <c r="O716" s="7">
        <f>SUMIFS('05_상품별배치367'!$K$7:$K$373,'05_상품별배치367'!$E$7:$E$373,A716,'05_상품별배치367'!$H$7:$H$373,"본진")</f>
        <v>0</v>
      </c>
      <c r="P716" s="7">
        <f>SUMIFS('05_상품별배치367'!$K$7:$K$373,'05_상품별배치367'!$E$7:$E$373,A716,'05_상품별배치367'!$H$7:$H$373,"추가 진열")</f>
        <v>0</v>
      </c>
      <c r="Q716" s="7">
        <f>O716+P716</f>
        <v>0</v>
      </c>
      <c r="R716" s="7">
        <v>1</v>
      </c>
      <c r="S716" s="6" t="s">
        <v>2996</v>
      </c>
      <c r="T716" s="6" t="s">
        <v>1637</v>
      </c>
      <c r="U716" s="6"/>
      <c r="V716" s="16"/>
      <c r="W716" s="16"/>
      <c r="X716" s="16"/>
      <c r="Y716" s="6" t="s">
        <v>1627</v>
      </c>
      <c r="Z716" s="15"/>
      <c r="AA716" s="15" t="s">
        <v>1628</v>
      </c>
    </row>
    <row r="717" spans="1:27" ht="33" customHeight="1">
      <c r="A717" s="6" t="s">
        <v>3767</v>
      </c>
      <c r="B717" s="7">
        <v>901</v>
      </c>
      <c r="C717" s="6" t="s">
        <v>3768</v>
      </c>
      <c r="D717" s="6" t="s">
        <v>2007</v>
      </c>
      <c r="E717" s="6" t="s">
        <v>2134</v>
      </c>
      <c r="F717" s="6" t="s">
        <v>162</v>
      </c>
      <c r="G717" s="6" t="s">
        <v>404</v>
      </c>
      <c r="H717" s="6"/>
      <c r="I717" s="14" t="s">
        <v>1642</v>
      </c>
      <c r="J717" s="15"/>
      <c r="K717" s="6" t="s">
        <v>1976</v>
      </c>
      <c r="L717" s="6"/>
      <c r="M717" s="6" t="s">
        <v>1643</v>
      </c>
      <c r="N717" s="6" t="s">
        <v>1644</v>
      </c>
      <c r="O717" s="7">
        <f>SUMIFS('05_상품별배치367'!$K$7:$K$373,'05_상품별배치367'!$E$7:$E$373,A717,'05_상품별배치367'!$H$7:$H$373,"본진")</f>
        <v>0</v>
      </c>
      <c r="P717" s="7">
        <f>SUMIFS('05_상품별배치367'!$K$7:$K$373,'05_상품별배치367'!$E$7:$E$373,A717,'05_상품별배치367'!$H$7:$H$373,"추가 진열")</f>
        <v>0</v>
      </c>
      <c r="Q717" s="7">
        <f>O717+P717</f>
        <v>0</v>
      </c>
      <c r="R717" s="7">
        <v>1</v>
      </c>
      <c r="S717" s="6" t="s">
        <v>2996</v>
      </c>
      <c r="T717" s="6" t="s">
        <v>1637</v>
      </c>
      <c r="U717" s="6"/>
      <c r="V717" s="16"/>
      <c r="W717" s="16"/>
      <c r="X717" s="16"/>
      <c r="Y717" s="6" t="s">
        <v>1627</v>
      </c>
      <c r="Z717" s="15"/>
      <c r="AA717" s="15" t="s">
        <v>1628</v>
      </c>
    </row>
    <row r="718" spans="1:27" ht="33" customHeight="1">
      <c r="A718" s="8" t="s">
        <v>5582</v>
      </c>
      <c r="B718" s="9">
        <v>1756</v>
      </c>
      <c r="C718" s="8" t="s">
        <v>5583</v>
      </c>
      <c r="D718" s="8" t="s">
        <v>1649</v>
      </c>
      <c r="E718" s="8" t="s">
        <v>2134</v>
      </c>
      <c r="F718" s="8" t="s">
        <v>842</v>
      </c>
      <c r="G718" s="8" t="s">
        <v>164</v>
      </c>
      <c r="H718" s="8"/>
      <c r="I718" s="14" t="s">
        <v>1642</v>
      </c>
      <c r="J718" s="15"/>
      <c r="K718" s="8" t="s">
        <v>1976</v>
      </c>
      <c r="L718" s="8"/>
      <c r="M718" s="6" t="s">
        <v>1643</v>
      </c>
      <c r="N718" s="6" t="s">
        <v>1644</v>
      </c>
      <c r="O718" s="7">
        <f>SUMIFS('05_상품별배치367'!$K$7:$K$373,'05_상품별배치367'!$E$7:$E$373,A718,'05_상품별배치367'!$H$7:$H$373,"본진")</f>
        <v>0</v>
      </c>
      <c r="P718" s="7">
        <f>SUMIFS('05_상품별배치367'!$K$7:$K$373,'05_상품별배치367'!$E$7:$E$373,A718,'05_상품별배치367'!$H$7:$H$373,"추가 진열")</f>
        <v>0</v>
      </c>
      <c r="Q718" s="7">
        <f>O718+P718</f>
        <v>0</v>
      </c>
      <c r="R718" s="7">
        <v>1</v>
      </c>
      <c r="S718" s="6" t="s">
        <v>3009</v>
      </c>
      <c r="T718" s="6" t="s">
        <v>1637</v>
      </c>
      <c r="U718" s="6"/>
      <c r="V718" s="16"/>
      <c r="W718" s="16"/>
      <c r="X718" s="16"/>
      <c r="Y718" s="6" t="s">
        <v>1627</v>
      </c>
      <c r="Z718" s="15"/>
      <c r="AA718" s="15" t="s">
        <v>1628</v>
      </c>
    </row>
    <row r="719" spans="1:27" ht="33" customHeight="1">
      <c r="A719" s="6" t="s">
        <v>5580</v>
      </c>
      <c r="B719" s="7">
        <v>1755</v>
      </c>
      <c r="C719" s="6" t="s">
        <v>5581</v>
      </c>
      <c r="D719" s="6" t="s">
        <v>1649</v>
      </c>
      <c r="E719" s="6" t="s">
        <v>2134</v>
      </c>
      <c r="F719" s="6" t="s">
        <v>1263</v>
      </c>
      <c r="G719" s="6" t="s">
        <v>376</v>
      </c>
      <c r="H719" s="6"/>
      <c r="I719" s="14" t="s">
        <v>1642</v>
      </c>
      <c r="J719" s="15"/>
      <c r="K719" s="6" t="s">
        <v>1976</v>
      </c>
      <c r="L719" s="6"/>
      <c r="M719" s="6" t="s">
        <v>1643</v>
      </c>
      <c r="N719" s="6" t="s">
        <v>1644</v>
      </c>
      <c r="O719" s="7">
        <f>SUMIFS('05_상품별배치367'!$K$7:$K$373,'05_상품별배치367'!$E$7:$E$373,A719,'05_상품별배치367'!$H$7:$H$373,"본진")</f>
        <v>0</v>
      </c>
      <c r="P719" s="7">
        <f>SUMIFS('05_상품별배치367'!$K$7:$K$373,'05_상품별배치367'!$E$7:$E$373,A719,'05_상품별배치367'!$H$7:$H$373,"추가 진열")</f>
        <v>0</v>
      </c>
      <c r="Q719" s="7">
        <f>O719+P719</f>
        <v>0</v>
      </c>
      <c r="R719" s="7">
        <v>1</v>
      </c>
      <c r="S719" s="6" t="s">
        <v>3016</v>
      </c>
      <c r="T719" s="6" t="s">
        <v>1637</v>
      </c>
      <c r="U719" s="6"/>
      <c r="V719" s="16"/>
      <c r="W719" s="16"/>
      <c r="X719" s="16"/>
      <c r="Y719" s="6" t="s">
        <v>1627</v>
      </c>
      <c r="Z719" s="15"/>
      <c r="AA719" s="15" t="s">
        <v>1628</v>
      </c>
    </row>
    <row r="720" spans="1:27" ht="33" customHeight="1">
      <c r="A720" s="6" t="s">
        <v>5576</v>
      </c>
      <c r="B720" s="7">
        <v>1753</v>
      </c>
      <c r="C720" s="6" t="s">
        <v>5577</v>
      </c>
      <c r="D720" s="6" t="s">
        <v>1649</v>
      </c>
      <c r="E720" s="6" t="s">
        <v>2134</v>
      </c>
      <c r="F720" s="6" t="s">
        <v>162</v>
      </c>
      <c r="G720" s="6" t="s">
        <v>404</v>
      </c>
      <c r="H720" s="6"/>
      <c r="I720" s="14" t="s">
        <v>1642</v>
      </c>
      <c r="J720" s="15"/>
      <c r="K720" s="6" t="s">
        <v>1976</v>
      </c>
      <c r="L720" s="6"/>
      <c r="M720" s="6" t="s">
        <v>1643</v>
      </c>
      <c r="N720" s="6" t="s">
        <v>1644</v>
      </c>
      <c r="O720" s="7">
        <f>SUMIFS('05_상품별배치367'!$K$7:$K$373,'05_상품별배치367'!$E$7:$E$373,A720,'05_상품별배치367'!$H$7:$H$373,"본진")</f>
        <v>0</v>
      </c>
      <c r="P720" s="7">
        <f>SUMIFS('05_상품별배치367'!$K$7:$K$373,'05_상품별배치367'!$E$7:$E$373,A720,'05_상품별배치367'!$H$7:$H$373,"추가 진열")</f>
        <v>0</v>
      </c>
      <c r="Q720" s="7">
        <f>O720+P720</f>
        <v>0</v>
      </c>
      <c r="R720" s="7">
        <v>1</v>
      </c>
      <c r="S720" s="6" t="s">
        <v>2996</v>
      </c>
      <c r="T720" s="6" t="s">
        <v>1637</v>
      </c>
      <c r="U720" s="6"/>
      <c r="V720" s="16"/>
      <c r="W720" s="16"/>
      <c r="X720" s="16"/>
      <c r="Y720" s="6" t="s">
        <v>1627</v>
      </c>
      <c r="Z720" s="15"/>
      <c r="AA720" s="15" t="s">
        <v>1628</v>
      </c>
    </row>
    <row r="721" spans="1:27" ht="33" customHeight="1">
      <c r="A721" s="8" t="s">
        <v>5578</v>
      </c>
      <c r="B721" s="9">
        <v>1754</v>
      </c>
      <c r="C721" s="8" t="s">
        <v>5579</v>
      </c>
      <c r="D721" s="8" t="s">
        <v>1649</v>
      </c>
      <c r="E721" s="8" t="s">
        <v>2134</v>
      </c>
      <c r="F721" s="8" t="s">
        <v>156</v>
      </c>
      <c r="G721" s="8" t="s">
        <v>3239</v>
      </c>
      <c r="H721" s="8"/>
      <c r="I721" s="14" t="s">
        <v>1642</v>
      </c>
      <c r="J721" s="15"/>
      <c r="K721" s="8" t="s">
        <v>1976</v>
      </c>
      <c r="L721" s="8"/>
      <c r="M721" s="6" t="s">
        <v>1643</v>
      </c>
      <c r="N721" s="6" t="s">
        <v>1644</v>
      </c>
      <c r="O721" s="7">
        <f>SUMIFS('05_상품별배치367'!$K$7:$K$373,'05_상품별배치367'!$E$7:$E$373,A721,'05_상품별배치367'!$H$7:$H$373,"본진")</f>
        <v>0</v>
      </c>
      <c r="P721" s="7">
        <f>SUMIFS('05_상품별배치367'!$K$7:$K$373,'05_상품별배치367'!$E$7:$E$373,A721,'05_상품별배치367'!$H$7:$H$373,"추가 진열")</f>
        <v>0</v>
      </c>
      <c r="Q721" s="7">
        <f>O721+P721</f>
        <v>0</v>
      </c>
      <c r="R721" s="7">
        <v>1</v>
      </c>
      <c r="S721" s="6" t="s">
        <v>3240</v>
      </c>
      <c r="T721" s="6" t="s">
        <v>1637</v>
      </c>
      <c r="U721" s="6"/>
      <c r="V721" s="16"/>
      <c r="W721" s="16"/>
      <c r="X721" s="16"/>
      <c r="Y721" s="6" t="s">
        <v>1627</v>
      </c>
      <c r="Z721" s="15"/>
      <c r="AA721" s="15" t="s">
        <v>1628</v>
      </c>
    </row>
    <row r="722" spans="1:27" ht="33" customHeight="1">
      <c r="A722" s="8" t="s">
        <v>2095</v>
      </c>
      <c r="B722" s="9">
        <v>168</v>
      </c>
      <c r="C722" s="8" t="s">
        <v>2096</v>
      </c>
      <c r="D722" s="8" t="s">
        <v>2094</v>
      </c>
      <c r="E722" s="8" t="s">
        <v>1666</v>
      </c>
      <c r="F722" s="8" t="s">
        <v>1852</v>
      </c>
      <c r="G722" s="8" t="s">
        <v>1853</v>
      </c>
      <c r="H722" s="8"/>
      <c r="I722" s="14" t="s">
        <v>1669</v>
      </c>
      <c r="J722" s="15"/>
      <c r="K722" s="8" t="s">
        <v>1670</v>
      </c>
      <c r="L722" s="8"/>
      <c r="M722" s="6" t="s">
        <v>1671</v>
      </c>
      <c r="N722" s="6" t="s">
        <v>1644</v>
      </c>
      <c r="O722" s="7">
        <f>SUMIFS('05_상품별배치367'!$K$7:$K$373,'05_상품별배치367'!$E$7:$E$373,A722,'05_상품별배치367'!$H$7:$H$373,"본진")</f>
        <v>0</v>
      </c>
      <c r="P722" s="7">
        <f>SUMIFS('05_상품별배치367'!$K$7:$K$373,'05_상품별배치367'!$E$7:$E$373,A722,'05_상품별배치367'!$H$7:$H$373,"추가 진열")</f>
        <v>0</v>
      </c>
      <c r="Q722" s="7">
        <f>O722+P722</f>
        <v>0</v>
      </c>
      <c r="R722" s="7">
        <v>0</v>
      </c>
      <c r="S722" s="6" t="s">
        <v>1672</v>
      </c>
      <c r="T722" s="6" t="s">
        <v>1637</v>
      </c>
      <c r="U722" s="6"/>
      <c r="V722" s="16"/>
      <c r="W722" s="16"/>
      <c r="X722" s="16"/>
      <c r="Y722" s="6" t="s">
        <v>1655</v>
      </c>
      <c r="Z722" s="15"/>
      <c r="AA722" s="15" t="s">
        <v>1628</v>
      </c>
    </row>
    <row r="723" spans="1:27" ht="33" customHeight="1">
      <c r="A723" s="6" t="s">
        <v>2097</v>
      </c>
      <c r="B723" s="7">
        <v>169</v>
      </c>
      <c r="C723" s="6" t="s">
        <v>2098</v>
      </c>
      <c r="D723" s="6" t="s">
        <v>2094</v>
      </c>
      <c r="E723" s="6" t="s">
        <v>1666</v>
      </c>
      <c r="F723" s="6" t="s">
        <v>1852</v>
      </c>
      <c r="G723" s="6" t="s">
        <v>1853</v>
      </c>
      <c r="H723" s="6"/>
      <c r="I723" s="14" t="s">
        <v>1669</v>
      </c>
      <c r="J723" s="15"/>
      <c r="K723" s="6" t="s">
        <v>1670</v>
      </c>
      <c r="L723" s="6"/>
      <c r="M723" s="6" t="s">
        <v>1671</v>
      </c>
      <c r="N723" s="6" t="s">
        <v>1644</v>
      </c>
      <c r="O723" s="7">
        <f>SUMIFS('05_상품별배치367'!$K$7:$K$373,'05_상품별배치367'!$E$7:$E$373,A723,'05_상품별배치367'!$H$7:$H$373,"본진")</f>
        <v>0</v>
      </c>
      <c r="P723" s="7">
        <f>SUMIFS('05_상품별배치367'!$K$7:$K$373,'05_상품별배치367'!$E$7:$E$373,A723,'05_상품별배치367'!$H$7:$H$373,"추가 진열")</f>
        <v>0</v>
      </c>
      <c r="Q723" s="7">
        <f>O723+P723</f>
        <v>0</v>
      </c>
      <c r="R723" s="7">
        <v>0</v>
      </c>
      <c r="S723" s="6" t="s">
        <v>1672</v>
      </c>
      <c r="T723" s="6" t="s">
        <v>1637</v>
      </c>
      <c r="U723" s="6"/>
      <c r="V723" s="16"/>
      <c r="W723" s="16"/>
      <c r="X723" s="16"/>
      <c r="Y723" s="6" t="s">
        <v>1655</v>
      </c>
      <c r="Z723" s="15"/>
      <c r="AA723" s="15" t="s">
        <v>1628</v>
      </c>
    </row>
    <row r="724" spans="1:27" ht="33" customHeight="1">
      <c r="A724" s="8" t="s">
        <v>2099</v>
      </c>
      <c r="B724" s="9">
        <v>170</v>
      </c>
      <c r="C724" s="8" t="s">
        <v>2100</v>
      </c>
      <c r="D724" s="8" t="s">
        <v>2094</v>
      </c>
      <c r="E724" s="8" t="s">
        <v>1666</v>
      </c>
      <c r="F724" s="8" t="s">
        <v>1852</v>
      </c>
      <c r="G724" s="8" t="s">
        <v>1853</v>
      </c>
      <c r="H724" s="8"/>
      <c r="I724" s="14" t="s">
        <v>1669</v>
      </c>
      <c r="J724" s="15"/>
      <c r="K724" s="8" t="s">
        <v>1670</v>
      </c>
      <c r="L724" s="8"/>
      <c r="M724" s="6" t="s">
        <v>1671</v>
      </c>
      <c r="N724" s="6" t="s">
        <v>1644</v>
      </c>
      <c r="O724" s="7">
        <f>SUMIFS('05_상품별배치367'!$K$7:$K$373,'05_상품별배치367'!$E$7:$E$373,A724,'05_상품별배치367'!$H$7:$H$373,"본진")</f>
        <v>0</v>
      </c>
      <c r="P724" s="7">
        <f>SUMIFS('05_상품별배치367'!$K$7:$K$373,'05_상품별배치367'!$E$7:$E$373,A724,'05_상품별배치367'!$H$7:$H$373,"추가 진열")</f>
        <v>0</v>
      </c>
      <c r="Q724" s="7">
        <f>O724+P724</f>
        <v>0</v>
      </c>
      <c r="R724" s="7">
        <v>0</v>
      </c>
      <c r="S724" s="6" t="s">
        <v>1672</v>
      </c>
      <c r="T724" s="6" t="s">
        <v>1637</v>
      </c>
      <c r="U724" s="6"/>
      <c r="V724" s="16"/>
      <c r="W724" s="16"/>
      <c r="X724" s="16"/>
      <c r="Y724" s="6" t="s">
        <v>1655</v>
      </c>
      <c r="Z724" s="15"/>
      <c r="AA724" s="15" t="s">
        <v>1628</v>
      </c>
    </row>
    <row r="725" spans="1:27" ht="33" customHeight="1">
      <c r="A725" s="6" t="s">
        <v>2092</v>
      </c>
      <c r="B725" s="7">
        <v>167</v>
      </c>
      <c r="C725" s="6" t="s">
        <v>2093</v>
      </c>
      <c r="D725" s="6" t="s">
        <v>2094</v>
      </c>
      <c r="E725" s="6" t="s">
        <v>1666</v>
      </c>
      <c r="F725" s="6" t="s">
        <v>1852</v>
      </c>
      <c r="G725" s="6" t="s">
        <v>1853</v>
      </c>
      <c r="H725" s="6"/>
      <c r="I725" s="14" t="s">
        <v>1669</v>
      </c>
      <c r="J725" s="15"/>
      <c r="K725" s="6" t="s">
        <v>1670</v>
      </c>
      <c r="L725" s="6"/>
      <c r="M725" s="6" t="s">
        <v>1671</v>
      </c>
      <c r="N725" s="6" t="s">
        <v>1644</v>
      </c>
      <c r="O725" s="7">
        <f>SUMIFS('05_상품별배치367'!$K$7:$K$373,'05_상품별배치367'!$E$7:$E$373,A725,'05_상품별배치367'!$H$7:$H$373,"본진")</f>
        <v>0</v>
      </c>
      <c r="P725" s="7">
        <f>SUMIFS('05_상품별배치367'!$K$7:$K$373,'05_상품별배치367'!$E$7:$E$373,A725,'05_상품별배치367'!$H$7:$H$373,"추가 진열")</f>
        <v>0</v>
      </c>
      <c r="Q725" s="7">
        <f>O725+P725</f>
        <v>0</v>
      </c>
      <c r="R725" s="7">
        <v>0</v>
      </c>
      <c r="S725" s="6" t="s">
        <v>1672</v>
      </c>
      <c r="T725" s="6" t="s">
        <v>1637</v>
      </c>
      <c r="U725" s="6"/>
      <c r="V725" s="16"/>
      <c r="W725" s="16"/>
      <c r="X725" s="16"/>
      <c r="Y725" s="6" t="s">
        <v>1655</v>
      </c>
      <c r="Z725" s="15"/>
      <c r="AA725" s="15" t="s">
        <v>1628</v>
      </c>
    </row>
    <row r="726" spans="1:27" ht="33" customHeight="1">
      <c r="A726" s="8" t="s">
        <v>6018</v>
      </c>
      <c r="B726" s="9">
        <v>1958</v>
      </c>
      <c r="C726" s="8" t="s">
        <v>6019</v>
      </c>
      <c r="D726" s="8" t="s">
        <v>6020</v>
      </c>
      <c r="E726" s="8" t="s">
        <v>1814</v>
      </c>
      <c r="F726" s="8" t="s">
        <v>1359</v>
      </c>
      <c r="G726" s="8" t="s">
        <v>431</v>
      </c>
      <c r="H726" s="8" t="s">
        <v>1363</v>
      </c>
      <c r="I726" s="14" t="s">
        <v>1621</v>
      </c>
      <c r="J726" s="15"/>
      <c r="K726" s="8" t="s">
        <v>1634</v>
      </c>
      <c r="L726" s="8" t="s">
        <v>3828</v>
      </c>
      <c r="M726" s="6" t="s">
        <v>1623</v>
      </c>
      <c r="N726" s="6" t="s">
        <v>1624</v>
      </c>
      <c r="O726" s="7">
        <f>SUMIFS('05_상품별배치367'!$K$7:$K$373,'05_상품별배치367'!$E$7:$E$373,A726,'05_상품별배치367'!$H$7:$H$373,"본진")</f>
        <v>2</v>
      </c>
      <c r="P726" s="7">
        <f>SUMIFS('05_상품별배치367'!$K$7:$K$373,'05_상품별배치367'!$E$7:$E$373,A726,'05_상품별배치367'!$H$7:$H$373,"추가 진열")</f>
        <v>0</v>
      </c>
      <c r="Q726" s="7">
        <f>O726+P726</f>
        <v>2</v>
      </c>
      <c r="R726" s="7">
        <v>2</v>
      </c>
      <c r="S726" s="6" t="s">
        <v>1625</v>
      </c>
      <c r="T726" s="6" t="s">
        <v>1637</v>
      </c>
      <c r="U726" s="6"/>
      <c r="V726" s="16"/>
      <c r="W726" s="16"/>
      <c r="X726" s="16"/>
      <c r="Y726" s="6" t="s">
        <v>1655</v>
      </c>
      <c r="Z726" s="15"/>
      <c r="AA726" s="15" t="s">
        <v>1628</v>
      </c>
    </row>
    <row r="727" spans="1:27" ht="33" customHeight="1">
      <c r="A727" s="6" t="s">
        <v>4815</v>
      </c>
      <c r="B727" s="7">
        <v>1391</v>
      </c>
      <c r="C727" s="6" t="s">
        <v>4816</v>
      </c>
      <c r="D727" s="6" t="s">
        <v>2133</v>
      </c>
      <c r="E727" s="6" t="s">
        <v>2134</v>
      </c>
      <c r="F727" s="6" t="s">
        <v>1263</v>
      </c>
      <c r="G727" s="6" t="s">
        <v>376</v>
      </c>
      <c r="H727" s="6"/>
      <c r="I727" s="14" t="s">
        <v>1642</v>
      </c>
      <c r="J727" s="15"/>
      <c r="K727" s="6" t="s">
        <v>1976</v>
      </c>
      <c r="L727" s="6"/>
      <c r="M727" s="6" t="s">
        <v>1643</v>
      </c>
      <c r="N727" s="6" t="s">
        <v>1644</v>
      </c>
      <c r="O727" s="7">
        <f>SUMIFS('05_상품별배치367'!$K$7:$K$373,'05_상품별배치367'!$E$7:$E$373,A727,'05_상품별배치367'!$H$7:$H$373,"본진")</f>
        <v>0</v>
      </c>
      <c r="P727" s="7">
        <f>SUMIFS('05_상품별배치367'!$K$7:$K$373,'05_상품별배치367'!$E$7:$E$373,A727,'05_상품별배치367'!$H$7:$H$373,"추가 진열")</f>
        <v>0</v>
      </c>
      <c r="Q727" s="7">
        <f>O727+P727</f>
        <v>0</v>
      </c>
      <c r="R727" s="7">
        <v>1</v>
      </c>
      <c r="S727" s="6" t="s">
        <v>3016</v>
      </c>
      <c r="T727" s="6" t="s">
        <v>1637</v>
      </c>
      <c r="U727" s="6"/>
      <c r="V727" s="16"/>
      <c r="W727" s="16"/>
      <c r="X727" s="16"/>
      <c r="Y727" s="6" t="s">
        <v>1627</v>
      </c>
      <c r="Z727" s="15"/>
      <c r="AA727" s="15" t="s">
        <v>1628</v>
      </c>
    </row>
    <row r="728" spans="1:27" ht="33" customHeight="1">
      <c r="A728" s="8" t="s">
        <v>4817</v>
      </c>
      <c r="B728" s="9">
        <v>1392</v>
      </c>
      <c r="C728" s="8" t="s">
        <v>4818</v>
      </c>
      <c r="D728" s="8" t="s">
        <v>4389</v>
      </c>
      <c r="E728" s="8" t="s">
        <v>2134</v>
      </c>
      <c r="F728" s="8" t="s">
        <v>1263</v>
      </c>
      <c r="G728" s="8" t="s">
        <v>376</v>
      </c>
      <c r="H728" s="8"/>
      <c r="I728" s="14" t="s">
        <v>1642</v>
      </c>
      <c r="J728" s="15"/>
      <c r="K728" s="8" t="s">
        <v>1976</v>
      </c>
      <c r="L728" s="8"/>
      <c r="M728" s="6" t="s">
        <v>1643</v>
      </c>
      <c r="N728" s="6" t="s">
        <v>1644</v>
      </c>
      <c r="O728" s="7">
        <f>SUMIFS('05_상품별배치367'!$K$7:$K$373,'05_상품별배치367'!$E$7:$E$373,A728,'05_상품별배치367'!$H$7:$H$373,"본진")</f>
        <v>0</v>
      </c>
      <c r="P728" s="7">
        <f>SUMIFS('05_상품별배치367'!$K$7:$K$373,'05_상품별배치367'!$E$7:$E$373,A728,'05_상품별배치367'!$H$7:$H$373,"추가 진열")</f>
        <v>0</v>
      </c>
      <c r="Q728" s="7">
        <f>O728+P728</f>
        <v>0</v>
      </c>
      <c r="R728" s="7">
        <v>1</v>
      </c>
      <c r="S728" s="6" t="s">
        <v>3016</v>
      </c>
      <c r="T728" s="6" t="s">
        <v>1637</v>
      </c>
      <c r="U728" s="6"/>
      <c r="V728" s="16"/>
      <c r="W728" s="16"/>
      <c r="X728" s="16"/>
      <c r="Y728" s="6" t="s">
        <v>1627</v>
      </c>
      <c r="Z728" s="15"/>
      <c r="AA728" s="15" t="s">
        <v>1628</v>
      </c>
    </row>
    <row r="729" spans="1:27" ht="33" customHeight="1">
      <c r="A729" s="6" t="s">
        <v>4819</v>
      </c>
      <c r="B729" s="7">
        <v>1393</v>
      </c>
      <c r="C729" s="6" t="s">
        <v>4820</v>
      </c>
      <c r="D729" s="6" t="s">
        <v>4821</v>
      </c>
      <c r="E729" s="6" t="s">
        <v>2134</v>
      </c>
      <c r="F729" s="6" t="s">
        <v>2933</v>
      </c>
      <c r="G729" s="6" t="s">
        <v>1668</v>
      </c>
      <c r="H729" s="6"/>
      <c r="I729" s="14" t="s">
        <v>1807</v>
      </c>
      <c r="J729" s="15"/>
      <c r="K729" s="6" t="s">
        <v>1976</v>
      </c>
      <c r="L729" s="6" t="s">
        <v>2032</v>
      </c>
      <c r="M729" s="6" t="s">
        <v>1809</v>
      </c>
      <c r="N729" s="6" t="s">
        <v>1644</v>
      </c>
      <c r="O729" s="7">
        <f>SUMIFS('05_상품별배치367'!$K$7:$K$373,'05_상품별배치367'!$E$7:$E$373,A729,'05_상품별배치367'!$H$7:$H$373,"본진")</f>
        <v>0</v>
      </c>
      <c r="P729" s="7">
        <f>SUMIFS('05_상품별배치367'!$K$7:$K$373,'05_상품별배치367'!$E$7:$E$373,A729,'05_상품별배치367'!$H$7:$H$373,"추가 진열")</f>
        <v>0</v>
      </c>
      <c r="Q729" s="7">
        <f>O729+P729</f>
        <v>0</v>
      </c>
      <c r="R729" s="7">
        <v>0</v>
      </c>
      <c r="S729" s="6" t="s">
        <v>1810</v>
      </c>
      <c r="T729" s="6" t="s">
        <v>1637</v>
      </c>
      <c r="U729" s="6"/>
      <c r="V729" s="16"/>
      <c r="W729" s="16"/>
      <c r="X729" s="16"/>
      <c r="Y729" s="6" t="s">
        <v>1655</v>
      </c>
      <c r="Z729" s="15"/>
      <c r="AA729" s="15" t="s">
        <v>1628</v>
      </c>
    </row>
    <row r="730" spans="1:27" ht="33" customHeight="1">
      <c r="A730" s="8" t="s">
        <v>4822</v>
      </c>
      <c r="B730" s="9">
        <v>1394</v>
      </c>
      <c r="C730" s="8" t="s">
        <v>4823</v>
      </c>
      <c r="D730" s="8" t="s">
        <v>2133</v>
      </c>
      <c r="E730" s="8" t="s">
        <v>1986</v>
      </c>
      <c r="F730" s="8" t="s">
        <v>493</v>
      </c>
      <c r="G730" s="8" t="s">
        <v>299</v>
      </c>
      <c r="H730" s="8"/>
      <c r="I730" s="14" t="s">
        <v>1642</v>
      </c>
      <c r="J730" s="15"/>
      <c r="K730" s="8" t="s">
        <v>1976</v>
      </c>
      <c r="L730" s="8"/>
      <c r="M730" s="6" t="s">
        <v>1643</v>
      </c>
      <c r="N730" s="6" t="s">
        <v>1644</v>
      </c>
      <c r="O730" s="7">
        <f>SUMIFS('05_상품별배치367'!$K$7:$K$373,'05_상품별배치367'!$E$7:$E$373,A730,'05_상품별배치367'!$H$7:$H$373,"본진")</f>
        <v>0</v>
      </c>
      <c r="P730" s="7">
        <f>SUMIFS('05_상품별배치367'!$K$7:$K$373,'05_상품별배치367'!$E$7:$E$373,A730,'05_상품별배치367'!$H$7:$H$373,"추가 진열")</f>
        <v>0</v>
      </c>
      <c r="Q730" s="7">
        <f>O730+P730</f>
        <v>0</v>
      </c>
      <c r="R730" s="7">
        <v>1</v>
      </c>
      <c r="S730" s="6" t="s">
        <v>3084</v>
      </c>
      <c r="T730" s="6" t="s">
        <v>1637</v>
      </c>
      <c r="U730" s="6"/>
      <c r="V730" s="16"/>
      <c r="W730" s="16"/>
      <c r="X730" s="16"/>
      <c r="Y730" s="6" t="s">
        <v>1627</v>
      </c>
      <c r="Z730" s="15"/>
      <c r="AA730" s="15" t="s">
        <v>1628</v>
      </c>
    </row>
    <row r="731" spans="1:27" ht="33" customHeight="1">
      <c r="A731" s="6" t="s">
        <v>6809</v>
      </c>
      <c r="B731" s="7">
        <v>2311</v>
      </c>
      <c r="C731" s="6" t="s">
        <v>6810</v>
      </c>
      <c r="D731" s="6" t="s">
        <v>6811</v>
      </c>
      <c r="E731" s="6" t="s">
        <v>1695</v>
      </c>
      <c r="F731" s="6" t="s">
        <v>1143</v>
      </c>
      <c r="G731" s="6" t="s">
        <v>315</v>
      </c>
      <c r="H731" s="6" t="s">
        <v>1147</v>
      </c>
      <c r="I731" s="14" t="s">
        <v>1633</v>
      </c>
      <c r="J731" s="15"/>
      <c r="K731" s="6" t="s">
        <v>1696</v>
      </c>
      <c r="L731" s="6" t="s">
        <v>3828</v>
      </c>
      <c r="M731" s="6" t="s">
        <v>1635</v>
      </c>
      <c r="N731" s="6" t="s">
        <v>1624</v>
      </c>
      <c r="O731" s="7">
        <f>SUMIFS('05_상품별배치367'!$K$7:$K$373,'05_상품별배치367'!$E$7:$E$373,A731,'05_상품별배치367'!$H$7:$H$373,"본진")</f>
        <v>1</v>
      </c>
      <c r="P731" s="7">
        <f>SUMIFS('05_상품별배치367'!$K$7:$K$373,'05_상품별배치367'!$E$7:$E$373,A731,'05_상품별배치367'!$H$7:$H$373,"추가 진열")</f>
        <v>0</v>
      </c>
      <c r="Q731" s="7">
        <f>O731+P731</f>
        <v>1</v>
      </c>
      <c r="R731" s="7">
        <v>1</v>
      </c>
      <c r="S731" s="6" t="s">
        <v>1636</v>
      </c>
      <c r="T731" s="6" t="s">
        <v>1637</v>
      </c>
      <c r="U731" s="6"/>
      <c r="V731" s="16"/>
      <c r="W731" s="16"/>
      <c r="X731" s="16"/>
      <c r="Y731" s="6" t="s">
        <v>1627</v>
      </c>
      <c r="Z731" s="15"/>
      <c r="AA731" s="15" t="s">
        <v>1628</v>
      </c>
    </row>
    <row r="732" spans="1:27" ht="33" customHeight="1">
      <c r="A732" s="8" t="s">
        <v>6812</v>
      </c>
      <c r="B732" s="9">
        <v>2312</v>
      </c>
      <c r="C732" s="8" t="s">
        <v>6813</v>
      </c>
      <c r="D732" s="8" t="s">
        <v>6814</v>
      </c>
      <c r="E732" s="8" t="s">
        <v>1695</v>
      </c>
      <c r="F732" s="8" t="s">
        <v>1143</v>
      </c>
      <c r="G732" s="8" t="s">
        <v>315</v>
      </c>
      <c r="H732" s="8"/>
      <c r="I732" s="14" t="s">
        <v>1642</v>
      </c>
      <c r="J732" s="15"/>
      <c r="K732" s="8" t="s">
        <v>1696</v>
      </c>
      <c r="L732" s="8" t="s">
        <v>3828</v>
      </c>
      <c r="M732" s="6" t="s">
        <v>1643</v>
      </c>
      <c r="N732" s="6" t="s">
        <v>1644</v>
      </c>
      <c r="O732" s="7">
        <f>SUMIFS('05_상품별배치367'!$K$7:$K$373,'05_상품별배치367'!$E$7:$E$373,A732,'05_상품별배치367'!$H$7:$H$373,"본진")</f>
        <v>0</v>
      </c>
      <c r="P732" s="7">
        <f>SUMIFS('05_상품별배치367'!$K$7:$K$373,'05_상품별배치367'!$E$7:$E$373,A732,'05_상품별배치367'!$H$7:$H$373,"추가 진열")</f>
        <v>0</v>
      </c>
      <c r="Q732" s="7">
        <f>O732+P732</f>
        <v>0</v>
      </c>
      <c r="R732" s="7">
        <v>1</v>
      </c>
      <c r="S732" s="6" t="s">
        <v>1859</v>
      </c>
      <c r="T732" s="6" t="s">
        <v>1637</v>
      </c>
      <c r="U732" s="6"/>
      <c r="V732" s="16"/>
      <c r="W732" s="16"/>
      <c r="X732" s="16"/>
      <c r="Y732" s="6" t="s">
        <v>1627</v>
      </c>
      <c r="Z732" s="15"/>
      <c r="AA732" s="15" t="s">
        <v>1628</v>
      </c>
    </row>
    <row r="733" spans="1:27" ht="33" customHeight="1">
      <c r="A733" s="6" t="s">
        <v>6815</v>
      </c>
      <c r="B733" s="7">
        <v>2313</v>
      </c>
      <c r="C733" s="6" t="s">
        <v>6816</v>
      </c>
      <c r="D733" s="6" t="s">
        <v>4921</v>
      </c>
      <c r="E733" s="6" t="s">
        <v>1695</v>
      </c>
      <c r="F733" s="6" t="s">
        <v>1143</v>
      </c>
      <c r="G733" s="6" t="s">
        <v>315</v>
      </c>
      <c r="H733" s="6"/>
      <c r="I733" s="14" t="s">
        <v>1642</v>
      </c>
      <c r="J733" s="15"/>
      <c r="K733" s="6" t="s">
        <v>1696</v>
      </c>
      <c r="L733" s="6" t="s">
        <v>3828</v>
      </c>
      <c r="M733" s="6" t="s">
        <v>1643</v>
      </c>
      <c r="N733" s="6" t="s">
        <v>1644</v>
      </c>
      <c r="O733" s="7">
        <f>SUMIFS('05_상품별배치367'!$K$7:$K$373,'05_상품별배치367'!$E$7:$E$373,A733,'05_상품별배치367'!$H$7:$H$373,"본진")</f>
        <v>0</v>
      </c>
      <c r="P733" s="7">
        <f>SUMIFS('05_상품별배치367'!$K$7:$K$373,'05_상품별배치367'!$E$7:$E$373,A733,'05_상품별배치367'!$H$7:$H$373,"추가 진열")</f>
        <v>0</v>
      </c>
      <c r="Q733" s="7">
        <f>O733+P733</f>
        <v>0</v>
      </c>
      <c r="R733" s="7">
        <v>1</v>
      </c>
      <c r="S733" s="6" t="s">
        <v>1859</v>
      </c>
      <c r="T733" s="6" t="s">
        <v>1637</v>
      </c>
      <c r="U733" s="6"/>
      <c r="V733" s="16"/>
      <c r="W733" s="16"/>
      <c r="X733" s="16"/>
      <c r="Y733" s="6" t="s">
        <v>1627</v>
      </c>
      <c r="Z733" s="15"/>
      <c r="AA733" s="15" t="s">
        <v>1628</v>
      </c>
    </row>
    <row r="734" spans="1:27" ht="33" customHeight="1">
      <c r="A734" s="8" t="s">
        <v>6817</v>
      </c>
      <c r="B734" s="9">
        <v>2314</v>
      </c>
      <c r="C734" s="8" t="s">
        <v>6818</v>
      </c>
      <c r="D734" s="8" t="s">
        <v>4921</v>
      </c>
      <c r="E734" s="8" t="s">
        <v>1695</v>
      </c>
      <c r="F734" s="8" t="s">
        <v>1143</v>
      </c>
      <c r="G734" s="8" t="s">
        <v>315</v>
      </c>
      <c r="H734" s="8"/>
      <c r="I734" s="14" t="s">
        <v>1642</v>
      </c>
      <c r="J734" s="15"/>
      <c r="K734" s="8" t="s">
        <v>1696</v>
      </c>
      <c r="L734" s="8" t="s">
        <v>3828</v>
      </c>
      <c r="M734" s="6" t="s">
        <v>1643</v>
      </c>
      <c r="N734" s="6" t="s">
        <v>1644</v>
      </c>
      <c r="O734" s="7">
        <f>SUMIFS('05_상품별배치367'!$K$7:$K$373,'05_상품별배치367'!$E$7:$E$373,A734,'05_상품별배치367'!$H$7:$H$373,"본진")</f>
        <v>0</v>
      </c>
      <c r="P734" s="7">
        <f>SUMIFS('05_상품별배치367'!$K$7:$K$373,'05_상품별배치367'!$E$7:$E$373,A734,'05_상품별배치367'!$H$7:$H$373,"추가 진열")</f>
        <v>0</v>
      </c>
      <c r="Q734" s="7">
        <f>O734+P734</f>
        <v>0</v>
      </c>
      <c r="R734" s="7">
        <v>1</v>
      </c>
      <c r="S734" s="6" t="s">
        <v>1859</v>
      </c>
      <c r="T734" s="6" t="s">
        <v>1637</v>
      </c>
      <c r="U734" s="6"/>
      <c r="V734" s="16"/>
      <c r="W734" s="16"/>
      <c r="X734" s="16"/>
      <c r="Y734" s="6" t="s">
        <v>1627</v>
      </c>
      <c r="Z734" s="15"/>
      <c r="AA734" s="15" t="s">
        <v>1628</v>
      </c>
    </row>
    <row r="735" spans="1:27" ht="33" customHeight="1">
      <c r="A735" s="8" t="s">
        <v>3802</v>
      </c>
      <c r="B735" s="9">
        <v>916</v>
      </c>
      <c r="C735" s="8" t="s">
        <v>3803</v>
      </c>
      <c r="D735" s="8" t="s">
        <v>3804</v>
      </c>
      <c r="E735" s="8" t="s">
        <v>2134</v>
      </c>
      <c r="F735" s="8" t="s">
        <v>2933</v>
      </c>
      <c r="G735" s="8" t="s">
        <v>1668</v>
      </c>
      <c r="H735" s="8"/>
      <c r="I735" s="14" t="s">
        <v>1807</v>
      </c>
      <c r="J735" s="15"/>
      <c r="K735" s="8" t="s">
        <v>1976</v>
      </c>
      <c r="L735" s="8" t="s">
        <v>2032</v>
      </c>
      <c r="M735" s="6" t="s">
        <v>1809</v>
      </c>
      <c r="N735" s="6" t="s">
        <v>1644</v>
      </c>
      <c r="O735" s="7">
        <f>SUMIFS('05_상품별배치367'!$K$7:$K$373,'05_상품별배치367'!$E$7:$E$373,A735,'05_상품별배치367'!$H$7:$H$373,"본진")</f>
        <v>0</v>
      </c>
      <c r="P735" s="7">
        <f>SUMIFS('05_상품별배치367'!$K$7:$K$373,'05_상품별배치367'!$E$7:$E$373,A735,'05_상품별배치367'!$H$7:$H$373,"추가 진열")</f>
        <v>0</v>
      </c>
      <c r="Q735" s="7">
        <f>O735+P735</f>
        <v>0</v>
      </c>
      <c r="R735" s="7">
        <v>0</v>
      </c>
      <c r="S735" s="6" t="s">
        <v>1810</v>
      </c>
      <c r="T735" s="6" t="s">
        <v>1637</v>
      </c>
      <c r="U735" s="6"/>
      <c r="V735" s="16"/>
      <c r="W735" s="16"/>
      <c r="X735" s="16"/>
      <c r="Y735" s="6" t="s">
        <v>1627</v>
      </c>
      <c r="Z735" s="15"/>
      <c r="AA735" s="15" t="s">
        <v>1628</v>
      </c>
    </row>
    <row r="736" spans="1:27" ht="33" customHeight="1">
      <c r="A736" s="8" t="s">
        <v>3808</v>
      </c>
      <c r="B736" s="9">
        <v>918</v>
      </c>
      <c r="C736" s="8" t="s">
        <v>3809</v>
      </c>
      <c r="D736" s="8" t="s">
        <v>3810</v>
      </c>
      <c r="E736" s="8" t="s">
        <v>2134</v>
      </c>
      <c r="F736" s="8" t="s">
        <v>163</v>
      </c>
      <c r="G736" s="8" t="s">
        <v>414</v>
      </c>
      <c r="H736" s="8"/>
      <c r="I736" s="14" t="s">
        <v>1642</v>
      </c>
      <c r="J736" s="15"/>
      <c r="K736" s="8" t="s">
        <v>1976</v>
      </c>
      <c r="L736" s="8"/>
      <c r="M736" s="6" t="s">
        <v>1643</v>
      </c>
      <c r="N736" s="6" t="s">
        <v>1644</v>
      </c>
      <c r="O736" s="7">
        <f>SUMIFS('05_상품별배치367'!$K$7:$K$373,'05_상품별배치367'!$E$7:$E$373,A736,'05_상품별배치367'!$H$7:$H$373,"본진")</f>
        <v>0</v>
      </c>
      <c r="P736" s="7">
        <f>SUMIFS('05_상품별배치367'!$K$7:$K$373,'05_상품별배치367'!$E$7:$E$373,A736,'05_상품별배치367'!$H$7:$H$373,"추가 진열")</f>
        <v>0</v>
      </c>
      <c r="Q736" s="7">
        <f>O736+P736</f>
        <v>0</v>
      </c>
      <c r="R736" s="7">
        <v>1</v>
      </c>
      <c r="S736" s="6" t="s">
        <v>3048</v>
      </c>
      <c r="T736" s="6" t="s">
        <v>1637</v>
      </c>
      <c r="U736" s="6"/>
      <c r="V736" s="16"/>
      <c r="W736" s="16"/>
      <c r="X736" s="16"/>
      <c r="Y736" s="6" t="s">
        <v>1627</v>
      </c>
      <c r="Z736" s="15"/>
      <c r="AA736" s="15" t="s">
        <v>1628</v>
      </c>
    </row>
    <row r="737" spans="1:27" ht="33" customHeight="1">
      <c r="A737" s="6" t="s">
        <v>3805</v>
      </c>
      <c r="B737" s="7">
        <v>917</v>
      </c>
      <c r="C737" s="6" t="s">
        <v>3806</v>
      </c>
      <c r="D737" s="6" t="s">
        <v>3807</v>
      </c>
      <c r="E737" s="6" t="s">
        <v>2134</v>
      </c>
      <c r="F737" s="6" t="s">
        <v>163</v>
      </c>
      <c r="G737" s="6" t="s">
        <v>414</v>
      </c>
      <c r="H737" s="6"/>
      <c r="I737" s="14" t="s">
        <v>1642</v>
      </c>
      <c r="J737" s="15"/>
      <c r="K737" s="6" t="s">
        <v>1976</v>
      </c>
      <c r="L737" s="6"/>
      <c r="M737" s="6" t="s">
        <v>1643</v>
      </c>
      <c r="N737" s="6" t="s">
        <v>1644</v>
      </c>
      <c r="O737" s="7">
        <f>SUMIFS('05_상품별배치367'!$K$7:$K$373,'05_상품별배치367'!$E$7:$E$373,A737,'05_상품별배치367'!$H$7:$H$373,"본진")</f>
        <v>0</v>
      </c>
      <c r="P737" s="7">
        <f>SUMIFS('05_상품별배치367'!$K$7:$K$373,'05_상품별배치367'!$E$7:$E$373,A737,'05_상품별배치367'!$H$7:$H$373,"추가 진열")</f>
        <v>0</v>
      </c>
      <c r="Q737" s="7">
        <f>O737+P737</f>
        <v>0</v>
      </c>
      <c r="R737" s="7">
        <v>1</v>
      </c>
      <c r="S737" s="6" t="s">
        <v>3048</v>
      </c>
      <c r="T737" s="6" t="s">
        <v>1637</v>
      </c>
      <c r="U737" s="6"/>
      <c r="V737" s="16"/>
      <c r="W737" s="16"/>
      <c r="X737" s="16"/>
      <c r="Y737" s="6" t="s">
        <v>1627</v>
      </c>
      <c r="Z737" s="15"/>
      <c r="AA737" s="15" t="s">
        <v>1628</v>
      </c>
    </row>
    <row r="738" spans="1:27" ht="33" customHeight="1">
      <c r="A738" s="6" t="s">
        <v>3811</v>
      </c>
      <c r="B738" s="7">
        <v>919</v>
      </c>
      <c r="C738" s="6" t="s">
        <v>3812</v>
      </c>
      <c r="D738" s="6" t="s">
        <v>3813</v>
      </c>
      <c r="E738" s="6" t="s">
        <v>1695</v>
      </c>
      <c r="F738" s="6" t="s">
        <v>482</v>
      </c>
      <c r="G738" s="6" t="s">
        <v>272</v>
      </c>
      <c r="H738" s="6"/>
      <c r="I738" s="14" t="s">
        <v>1642</v>
      </c>
      <c r="J738" s="15"/>
      <c r="K738" s="6" t="s">
        <v>1696</v>
      </c>
      <c r="L738" s="6"/>
      <c r="M738" s="6" t="s">
        <v>1643</v>
      </c>
      <c r="N738" s="6" t="s">
        <v>1644</v>
      </c>
      <c r="O738" s="7">
        <f>SUMIFS('05_상품별배치367'!$K$7:$K$373,'05_상품별배치367'!$E$7:$E$373,A738,'05_상품별배치367'!$H$7:$H$373,"본진")</f>
        <v>0</v>
      </c>
      <c r="P738" s="7">
        <f>SUMIFS('05_상품별배치367'!$K$7:$K$373,'05_상품별배치367'!$E$7:$E$373,A738,'05_상품별배치367'!$H$7:$H$373,"추가 진열")</f>
        <v>0</v>
      </c>
      <c r="Q738" s="7">
        <f>O738+P738</f>
        <v>0</v>
      </c>
      <c r="R738" s="7">
        <v>1</v>
      </c>
      <c r="S738" s="6" t="s">
        <v>1942</v>
      </c>
      <c r="T738" s="6" t="s">
        <v>1637</v>
      </c>
      <c r="U738" s="6"/>
      <c r="V738" s="16"/>
      <c r="W738" s="16"/>
      <c r="X738" s="16"/>
      <c r="Y738" s="6" t="s">
        <v>1627</v>
      </c>
      <c r="Z738" s="15"/>
      <c r="AA738" s="15" t="s">
        <v>1628</v>
      </c>
    </row>
    <row r="739" spans="1:27" ht="33" customHeight="1">
      <c r="A739" s="8" t="s">
        <v>5975</v>
      </c>
      <c r="B739" s="9">
        <v>1938</v>
      </c>
      <c r="C739" s="8" t="s">
        <v>5976</v>
      </c>
      <c r="D739" s="8" t="s">
        <v>3042</v>
      </c>
      <c r="E739" s="8" t="s">
        <v>2134</v>
      </c>
      <c r="F739" s="8" t="s">
        <v>156</v>
      </c>
      <c r="G739" s="8" t="s">
        <v>3239</v>
      </c>
      <c r="H739" s="8"/>
      <c r="I739" s="14" t="s">
        <v>1642</v>
      </c>
      <c r="J739" s="15"/>
      <c r="K739" s="8" t="s">
        <v>1976</v>
      </c>
      <c r="L739" s="8" t="s">
        <v>3828</v>
      </c>
      <c r="M739" s="6" t="s">
        <v>1643</v>
      </c>
      <c r="N739" s="6" t="s">
        <v>1624</v>
      </c>
      <c r="O739" s="7">
        <f>SUMIFS('05_상품별배치367'!$K$7:$K$373,'05_상품별배치367'!$E$7:$E$373,A739,'05_상품별배치367'!$H$7:$H$373,"본진")</f>
        <v>0</v>
      </c>
      <c r="P739" s="7">
        <f>SUMIFS('05_상품별배치367'!$K$7:$K$373,'05_상품별배치367'!$E$7:$E$373,A739,'05_상품별배치367'!$H$7:$H$373,"추가 진열")</f>
        <v>0</v>
      </c>
      <c r="Q739" s="7">
        <f>O739+P739</f>
        <v>0</v>
      </c>
      <c r="R739" s="7">
        <v>1</v>
      </c>
      <c r="S739" s="6" t="s">
        <v>3240</v>
      </c>
      <c r="T739" s="6" t="s">
        <v>1637</v>
      </c>
      <c r="U739" s="6"/>
      <c r="V739" s="16"/>
      <c r="W739" s="16"/>
      <c r="X739" s="16"/>
      <c r="Y739" s="6" t="s">
        <v>1627</v>
      </c>
      <c r="Z739" s="15"/>
      <c r="AA739" s="15" t="s">
        <v>1628</v>
      </c>
    </row>
    <row r="740" spans="1:27" ht="33" customHeight="1">
      <c r="A740" s="8" t="s">
        <v>6840</v>
      </c>
      <c r="B740" s="9">
        <v>2324</v>
      </c>
      <c r="C740" s="8" t="s">
        <v>6841</v>
      </c>
      <c r="D740" s="8" t="s">
        <v>1876</v>
      </c>
      <c r="E740" s="8" t="s">
        <v>2134</v>
      </c>
      <c r="F740" s="8" t="s">
        <v>156</v>
      </c>
      <c r="G740" s="8" t="s">
        <v>386</v>
      </c>
      <c r="H740" s="8"/>
      <c r="I740" s="14" t="s">
        <v>1642</v>
      </c>
      <c r="J740" s="15"/>
      <c r="K740" s="8" t="s">
        <v>1976</v>
      </c>
      <c r="L740" s="8" t="s">
        <v>3828</v>
      </c>
      <c r="M740" s="6" t="s">
        <v>1643</v>
      </c>
      <c r="N740" s="6" t="s">
        <v>1624</v>
      </c>
      <c r="O740" s="7">
        <f>SUMIFS('05_상품별배치367'!$K$7:$K$373,'05_상품별배치367'!$E$7:$E$373,A740,'05_상품별배치367'!$H$7:$H$373,"본진")</f>
        <v>0</v>
      </c>
      <c r="P740" s="7">
        <f>SUMIFS('05_상품별배치367'!$K$7:$K$373,'05_상품별배치367'!$E$7:$E$373,A740,'05_상품별배치367'!$H$7:$H$373,"추가 진열")</f>
        <v>0</v>
      </c>
      <c r="Q740" s="7">
        <f>O740+P740</f>
        <v>0</v>
      </c>
      <c r="R740" s="7">
        <v>1</v>
      </c>
      <c r="S740" s="6" t="s">
        <v>3240</v>
      </c>
      <c r="T740" s="6" t="s">
        <v>6837</v>
      </c>
      <c r="U740" s="6"/>
      <c r="V740" s="16"/>
      <c r="W740" s="16"/>
      <c r="X740" s="16"/>
      <c r="Y740" s="6" t="s">
        <v>1627</v>
      </c>
      <c r="Z740" s="15"/>
      <c r="AA740" s="15" t="s">
        <v>1628</v>
      </c>
    </row>
    <row r="741" spans="1:27" ht="33" customHeight="1">
      <c r="A741" s="8" t="s">
        <v>6848</v>
      </c>
      <c r="B741" s="9">
        <v>2334</v>
      </c>
      <c r="C741" s="8" t="s">
        <v>6849</v>
      </c>
      <c r="D741" s="8" t="s">
        <v>3106</v>
      </c>
      <c r="E741" s="8" t="s">
        <v>2134</v>
      </c>
      <c r="F741" s="8" t="s">
        <v>156</v>
      </c>
      <c r="G741" s="8" t="s">
        <v>386</v>
      </c>
      <c r="H741" s="8"/>
      <c r="I741" s="14" t="s">
        <v>1642</v>
      </c>
      <c r="J741" s="15"/>
      <c r="K741" s="8" t="s">
        <v>1976</v>
      </c>
      <c r="L741" s="8" t="s">
        <v>3828</v>
      </c>
      <c r="M741" s="6" t="s">
        <v>1643</v>
      </c>
      <c r="N741" s="6" t="s">
        <v>1624</v>
      </c>
      <c r="O741" s="7">
        <f>SUMIFS('05_상품별배치367'!$K$7:$K$373,'05_상품별배치367'!$E$7:$E$373,A741,'05_상품별배치367'!$H$7:$H$373,"본진")</f>
        <v>0</v>
      </c>
      <c r="P741" s="7">
        <f>SUMIFS('05_상품별배치367'!$K$7:$K$373,'05_상품별배치367'!$E$7:$E$373,A741,'05_상품별배치367'!$H$7:$H$373,"추가 진열")</f>
        <v>0</v>
      </c>
      <c r="Q741" s="7">
        <f>O741+P741</f>
        <v>0</v>
      </c>
      <c r="R741" s="7">
        <v>1</v>
      </c>
      <c r="S741" s="6" t="s">
        <v>3240</v>
      </c>
      <c r="T741" s="6" t="s">
        <v>6837</v>
      </c>
      <c r="U741" s="6"/>
      <c r="V741" s="16"/>
      <c r="W741" s="16"/>
      <c r="X741" s="16"/>
      <c r="Y741" s="6" t="s">
        <v>1627</v>
      </c>
      <c r="Z741" s="15"/>
      <c r="AA741" s="15" t="s">
        <v>1628</v>
      </c>
    </row>
    <row r="742" spans="1:27" ht="33" customHeight="1">
      <c r="A742" s="8" t="s">
        <v>823</v>
      </c>
      <c r="B742" s="9">
        <v>2322</v>
      </c>
      <c r="C742" s="8" t="s">
        <v>822</v>
      </c>
      <c r="D742" s="8" t="s">
        <v>6836</v>
      </c>
      <c r="E742" s="8" t="s">
        <v>2134</v>
      </c>
      <c r="F742" s="8" t="s">
        <v>156</v>
      </c>
      <c r="G742" s="8" t="s">
        <v>386</v>
      </c>
      <c r="H742" s="8" t="s">
        <v>1293</v>
      </c>
      <c r="I742" s="14" t="s">
        <v>1633</v>
      </c>
      <c r="J742" s="15"/>
      <c r="K742" s="8" t="s">
        <v>1976</v>
      </c>
      <c r="L742" s="8" t="s">
        <v>3828</v>
      </c>
      <c r="M742" s="6" t="s">
        <v>1635</v>
      </c>
      <c r="N742" s="6" t="s">
        <v>1624</v>
      </c>
      <c r="O742" s="7">
        <f>SUMIFS('05_상품별배치367'!$K$7:$K$373,'05_상품별배치367'!$E$7:$E$373,A742,'05_상품별배치367'!$H$7:$H$373,"본진")</f>
        <v>1</v>
      </c>
      <c r="P742" s="7">
        <f>SUMIFS('05_상품별배치367'!$K$7:$K$373,'05_상품별배치367'!$E$7:$E$373,A742,'05_상품별배치367'!$H$7:$H$373,"추가 진열")</f>
        <v>1</v>
      </c>
      <c r="Q742" s="7">
        <f>O742+P742</f>
        <v>2</v>
      </c>
      <c r="R742" s="7">
        <v>1</v>
      </c>
      <c r="S742" s="6" t="s">
        <v>1636</v>
      </c>
      <c r="T742" s="6" t="s">
        <v>6837</v>
      </c>
      <c r="U742" s="6"/>
      <c r="V742" s="16"/>
      <c r="W742" s="16"/>
      <c r="X742" s="16"/>
      <c r="Y742" s="6" t="s">
        <v>1655</v>
      </c>
      <c r="Z742" s="15"/>
      <c r="AA742" s="15" t="s">
        <v>1628</v>
      </c>
    </row>
    <row r="743" spans="1:27" ht="33" customHeight="1">
      <c r="A743" s="6" t="s">
        <v>6838</v>
      </c>
      <c r="B743" s="7">
        <v>2323</v>
      </c>
      <c r="C743" s="6" t="s">
        <v>6839</v>
      </c>
      <c r="D743" s="6" t="s">
        <v>2856</v>
      </c>
      <c r="E743" s="6" t="s">
        <v>2134</v>
      </c>
      <c r="F743" s="6" t="s">
        <v>156</v>
      </c>
      <c r="G743" s="6" t="s">
        <v>386</v>
      </c>
      <c r="H743" s="6" t="s">
        <v>1285</v>
      </c>
      <c r="I743" s="14" t="s">
        <v>1633</v>
      </c>
      <c r="J743" s="15"/>
      <c r="K743" s="6" t="s">
        <v>1976</v>
      </c>
      <c r="L743" s="6" t="s">
        <v>3828</v>
      </c>
      <c r="M743" s="6" t="s">
        <v>1635</v>
      </c>
      <c r="N743" s="6" t="s">
        <v>1624</v>
      </c>
      <c r="O743" s="7">
        <f>SUMIFS('05_상품별배치367'!$K$7:$K$373,'05_상품별배치367'!$E$7:$E$373,A743,'05_상품별배치367'!$H$7:$H$373,"본진")</f>
        <v>1</v>
      </c>
      <c r="P743" s="7">
        <f>SUMIFS('05_상품별배치367'!$K$7:$K$373,'05_상품별배치367'!$E$7:$E$373,A743,'05_상품별배치367'!$H$7:$H$373,"추가 진열")</f>
        <v>0</v>
      </c>
      <c r="Q743" s="7">
        <f>O743+P743</f>
        <v>1</v>
      </c>
      <c r="R743" s="7">
        <v>1</v>
      </c>
      <c r="S743" s="6" t="s">
        <v>1636</v>
      </c>
      <c r="T743" s="6" t="s">
        <v>6837</v>
      </c>
      <c r="U743" s="6"/>
      <c r="V743" s="16"/>
      <c r="W743" s="16"/>
      <c r="X743" s="16"/>
      <c r="Y743" s="6" t="s">
        <v>1627</v>
      </c>
      <c r="Z743" s="15"/>
      <c r="AA743" s="15" t="s">
        <v>1628</v>
      </c>
    </row>
    <row r="744" spans="1:27" ht="33" customHeight="1">
      <c r="A744" s="6" t="s">
        <v>1563</v>
      </c>
      <c r="B744" s="7">
        <v>2331</v>
      </c>
      <c r="C744" s="6" t="s">
        <v>1562</v>
      </c>
      <c r="D744" s="6" t="s">
        <v>2133</v>
      </c>
      <c r="E744" s="6" t="s">
        <v>2134</v>
      </c>
      <c r="F744" s="6" t="s">
        <v>156</v>
      </c>
      <c r="G744" s="6" t="s">
        <v>386</v>
      </c>
      <c r="H744" s="6" t="s">
        <v>1289</v>
      </c>
      <c r="I744" s="14" t="s">
        <v>1621</v>
      </c>
      <c r="J744" s="15"/>
      <c r="K744" s="6" t="s">
        <v>1976</v>
      </c>
      <c r="L744" s="6" t="s">
        <v>3828</v>
      </c>
      <c r="M744" s="6" t="s">
        <v>1623</v>
      </c>
      <c r="N744" s="6" t="s">
        <v>1624</v>
      </c>
      <c r="O744" s="7">
        <f>SUMIFS('05_상품별배치367'!$K$7:$K$373,'05_상품별배치367'!$E$7:$E$373,A744,'05_상품별배치367'!$H$7:$H$373,"본진")</f>
        <v>2</v>
      </c>
      <c r="P744" s="7">
        <f>SUMIFS('05_상품별배치367'!$K$7:$K$373,'05_상품별배치367'!$E$7:$E$373,A744,'05_상품별배치367'!$H$7:$H$373,"추가 진열")</f>
        <v>1</v>
      </c>
      <c r="Q744" s="7">
        <f>O744+P744</f>
        <v>3</v>
      </c>
      <c r="R744" s="7">
        <v>2</v>
      </c>
      <c r="S744" s="6" t="s">
        <v>1625</v>
      </c>
      <c r="T744" s="6" t="s">
        <v>6837</v>
      </c>
      <c r="U744" s="6"/>
      <c r="V744" s="16"/>
      <c r="W744" s="16"/>
      <c r="X744" s="16"/>
      <c r="Y744" s="6" t="s">
        <v>1627</v>
      </c>
      <c r="Z744" s="15"/>
      <c r="AA744" s="15" t="s">
        <v>1628</v>
      </c>
    </row>
    <row r="745" spans="1:27" ht="33" customHeight="1">
      <c r="A745" s="8" t="s">
        <v>558</v>
      </c>
      <c r="B745" s="9">
        <v>2354</v>
      </c>
      <c r="C745" s="8" t="s">
        <v>557</v>
      </c>
      <c r="D745" s="8" t="s">
        <v>1724</v>
      </c>
      <c r="E745" s="8" t="s">
        <v>1632</v>
      </c>
      <c r="F745" s="8" t="s">
        <v>31</v>
      </c>
      <c r="G745" s="8" t="s">
        <v>25</v>
      </c>
      <c r="H745" s="8" t="s">
        <v>556</v>
      </c>
      <c r="I745" s="14" t="s">
        <v>1621</v>
      </c>
      <c r="J745" s="15"/>
      <c r="K745" s="8" t="s">
        <v>5762</v>
      </c>
      <c r="L745" s="8" t="s">
        <v>6886</v>
      </c>
      <c r="M745" s="6" t="s">
        <v>1623</v>
      </c>
      <c r="N745" s="6" t="s">
        <v>1624</v>
      </c>
      <c r="O745" s="7">
        <f>SUMIFS('05_상품별배치367'!$K$7:$K$373,'05_상품별배치367'!$E$7:$E$373,A745,'05_상품별배치367'!$H$7:$H$373,"본진")</f>
        <v>2</v>
      </c>
      <c r="P745" s="7">
        <f>SUMIFS('05_상품별배치367'!$K$7:$K$373,'05_상품별배치367'!$E$7:$E$373,A745,'05_상품별배치367'!$H$7:$H$373,"추가 진열")</f>
        <v>0</v>
      </c>
      <c r="Q745" s="7">
        <f>O745+P745</f>
        <v>2</v>
      </c>
      <c r="R745" s="7">
        <v>2</v>
      </c>
      <c r="S745" s="6" t="s">
        <v>1625</v>
      </c>
      <c r="T745" s="6" t="s">
        <v>5784</v>
      </c>
      <c r="U745" s="6"/>
      <c r="V745" s="16"/>
      <c r="W745" s="16"/>
      <c r="X745" s="16"/>
      <c r="Y745" s="6" t="s">
        <v>6887</v>
      </c>
      <c r="Z745" s="15"/>
      <c r="AA745" s="15" t="s">
        <v>1628</v>
      </c>
    </row>
    <row r="746" spans="1:27" ht="33" customHeight="1">
      <c r="A746" s="6" t="s">
        <v>819</v>
      </c>
      <c r="B746" s="7">
        <v>1847</v>
      </c>
      <c r="C746" s="6" t="s">
        <v>818</v>
      </c>
      <c r="D746" s="6"/>
      <c r="E746" s="6" t="s">
        <v>2134</v>
      </c>
      <c r="F746" s="6" t="s">
        <v>156</v>
      </c>
      <c r="G746" s="6" t="s">
        <v>386</v>
      </c>
      <c r="H746" s="6" t="s">
        <v>1285</v>
      </c>
      <c r="I746" s="14" t="s">
        <v>1621</v>
      </c>
      <c r="J746" s="15"/>
      <c r="K746" s="6" t="s">
        <v>5783</v>
      </c>
      <c r="L746" s="6" t="s">
        <v>5771</v>
      </c>
      <c r="M746" s="6" t="s">
        <v>1623</v>
      </c>
      <c r="N746" s="6" t="s">
        <v>1624</v>
      </c>
      <c r="O746" s="7">
        <f>SUMIFS('05_상품별배치367'!$K$7:$K$373,'05_상품별배치367'!$E$7:$E$373,A746,'05_상품별배치367'!$H$7:$H$373,"본진")</f>
        <v>2</v>
      </c>
      <c r="P746" s="7">
        <f>SUMIFS('05_상품별배치367'!$K$7:$K$373,'05_상품별배치367'!$E$7:$E$373,A746,'05_상품별배치367'!$H$7:$H$373,"추가 진열")</f>
        <v>1</v>
      </c>
      <c r="Q746" s="7">
        <f>O746+P746</f>
        <v>3</v>
      </c>
      <c r="R746" s="7">
        <v>2</v>
      </c>
      <c r="S746" s="6" t="s">
        <v>1625</v>
      </c>
      <c r="T746" s="6" t="s">
        <v>5784</v>
      </c>
      <c r="U746" s="6"/>
      <c r="V746" s="16"/>
      <c r="W746" s="16"/>
      <c r="X746" s="16"/>
      <c r="Y746" s="6" t="s">
        <v>5772</v>
      </c>
      <c r="Z746" s="15"/>
      <c r="AA746" s="15" t="s">
        <v>1628</v>
      </c>
    </row>
    <row r="747" spans="1:27" ht="33" customHeight="1">
      <c r="A747" s="6" t="s">
        <v>6833</v>
      </c>
      <c r="B747" s="7">
        <v>2321</v>
      </c>
      <c r="C747" s="6" t="s">
        <v>6834</v>
      </c>
      <c r="D747" s="6" t="s">
        <v>6835</v>
      </c>
      <c r="E747" s="6" t="s">
        <v>1620</v>
      </c>
      <c r="F747" s="6" t="s">
        <v>151</v>
      </c>
      <c r="G747" s="6" t="s">
        <v>349</v>
      </c>
      <c r="H747" s="6"/>
      <c r="I747" s="14" t="s">
        <v>1642</v>
      </c>
      <c r="J747" s="15"/>
      <c r="K747" s="6" t="s">
        <v>1622</v>
      </c>
      <c r="L747" s="6" t="s">
        <v>3828</v>
      </c>
      <c r="M747" s="6" t="s">
        <v>1643</v>
      </c>
      <c r="N747" s="6" t="s">
        <v>1624</v>
      </c>
      <c r="O747" s="7">
        <f>SUMIFS('05_상품별배치367'!$K$7:$K$373,'05_상품별배치367'!$E$7:$E$373,A747,'05_상품별배치367'!$H$7:$H$373,"본진")</f>
        <v>0</v>
      </c>
      <c r="P747" s="7">
        <f>SUMIFS('05_상품별배치367'!$K$7:$K$373,'05_상품별배치367'!$E$7:$E$373,A747,'05_상품별배치367'!$H$7:$H$373,"추가 진열")</f>
        <v>0</v>
      </c>
      <c r="Q747" s="7">
        <f>O747+P747</f>
        <v>0</v>
      </c>
      <c r="R747" s="7">
        <v>1</v>
      </c>
      <c r="S747" s="6" t="s">
        <v>1676</v>
      </c>
      <c r="T747" s="6" t="s">
        <v>1637</v>
      </c>
      <c r="U747" s="6"/>
      <c r="V747" s="16"/>
      <c r="W747" s="16"/>
      <c r="X747" s="16"/>
      <c r="Y747" s="6" t="s">
        <v>1655</v>
      </c>
      <c r="Z747" s="15"/>
      <c r="AA747" s="15" t="s">
        <v>1628</v>
      </c>
    </row>
    <row r="748" spans="1:27" ht="33" customHeight="1">
      <c r="A748" s="8" t="s">
        <v>6826</v>
      </c>
      <c r="B748" s="9">
        <v>2318</v>
      </c>
      <c r="C748" s="8" t="s">
        <v>6827</v>
      </c>
      <c r="D748" s="8" t="s">
        <v>5618</v>
      </c>
      <c r="E748" s="8" t="s">
        <v>1981</v>
      </c>
      <c r="F748" s="8" t="s">
        <v>570</v>
      </c>
      <c r="G748" s="8" t="s">
        <v>25</v>
      </c>
      <c r="H748" s="8" t="s">
        <v>569</v>
      </c>
      <c r="I748" s="14" t="s">
        <v>1633</v>
      </c>
      <c r="J748" s="15"/>
      <c r="K748" s="8" t="s">
        <v>6828</v>
      </c>
      <c r="L748" s="8" t="s">
        <v>3828</v>
      </c>
      <c r="M748" s="6" t="s">
        <v>1635</v>
      </c>
      <c r="N748" s="6" t="s">
        <v>1624</v>
      </c>
      <c r="O748" s="7">
        <f>SUMIFS('05_상품별배치367'!$K$7:$K$373,'05_상품별배치367'!$E$7:$E$373,A748,'05_상품별배치367'!$H$7:$H$373,"본진")</f>
        <v>1</v>
      </c>
      <c r="P748" s="7">
        <f>SUMIFS('05_상품별배치367'!$K$7:$K$373,'05_상품별배치367'!$E$7:$E$373,A748,'05_상품별배치367'!$H$7:$H$373,"추가 진열")</f>
        <v>0</v>
      </c>
      <c r="Q748" s="7">
        <f>O748+P748</f>
        <v>1</v>
      </c>
      <c r="R748" s="7">
        <v>1</v>
      </c>
      <c r="S748" s="6" t="s">
        <v>1636</v>
      </c>
      <c r="T748" s="6" t="s">
        <v>5784</v>
      </c>
      <c r="U748" s="6"/>
      <c r="V748" s="16"/>
      <c r="W748" s="16"/>
      <c r="X748" s="16"/>
      <c r="Y748" s="6" t="s">
        <v>1627</v>
      </c>
      <c r="Z748" s="15"/>
      <c r="AA748" s="15" t="s">
        <v>1628</v>
      </c>
    </row>
    <row r="749" spans="1:27" ht="33" customHeight="1">
      <c r="A749" s="8" t="s">
        <v>602</v>
      </c>
      <c r="B749" s="9">
        <v>2326</v>
      </c>
      <c r="C749" s="8" t="s">
        <v>601</v>
      </c>
      <c r="D749" s="8" t="s">
        <v>3600</v>
      </c>
      <c r="E749" s="8" t="s">
        <v>1814</v>
      </c>
      <c r="F749" s="8" t="s">
        <v>514</v>
      </c>
      <c r="G749" s="8" t="s">
        <v>423</v>
      </c>
      <c r="H749" s="8" t="s">
        <v>1353</v>
      </c>
      <c r="I749" s="14" t="s">
        <v>1621</v>
      </c>
      <c r="J749" s="15"/>
      <c r="K749" s="8" t="s">
        <v>1976</v>
      </c>
      <c r="L749" s="8" t="s">
        <v>3828</v>
      </c>
      <c r="M749" s="6" t="s">
        <v>1623</v>
      </c>
      <c r="N749" s="6" t="s">
        <v>1624</v>
      </c>
      <c r="O749" s="7">
        <f>SUMIFS('05_상품별배치367'!$K$7:$K$373,'05_상품별배치367'!$E$7:$E$373,A749,'05_상품별배치367'!$H$7:$H$373,"본진")</f>
        <v>1</v>
      </c>
      <c r="P749" s="7">
        <f>SUMIFS('05_상품별배치367'!$K$7:$K$373,'05_상품별배치367'!$E$7:$E$373,A749,'05_상품별배치367'!$H$7:$H$373,"추가 진열")</f>
        <v>1</v>
      </c>
      <c r="Q749" s="7">
        <f>O749+P749</f>
        <v>2</v>
      </c>
      <c r="R749" s="7">
        <v>1</v>
      </c>
      <c r="S749" s="6" t="s">
        <v>1625</v>
      </c>
      <c r="T749" s="6" t="s">
        <v>6823</v>
      </c>
      <c r="U749" s="6"/>
      <c r="V749" s="16"/>
      <c r="W749" s="16"/>
      <c r="X749" s="16"/>
      <c r="Y749" s="6" t="s">
        <v>1627</v>
      </c>
      <c r="Z749" s="15"/>
      <c r="AA749" s="15" t="s">
        <v>1628</v>
      </c>
    </row>
    <row r="750" spans="1:27" ht="33" customHeight="1">
      <c r="A750" s="8" t="s">
        <v>6831</v>
      </c>
      <c r="B750" s="9">
        <v>2320</v>
      </c>
      <c r="C750" s="8" t="s">
        <v>6832</v>
      </c>
      <c r="D750" s="8" t="s">
        <v>4640</v>
      </c>
      <c r="E750" s="8" t="s">
        <v>1997</v>
      </c>
      <c r="F750" s="8" t="s">
        <v>1998</v>
      </c>
      <c r="G750" s="8" t="s">
        <v>1668</v>
      </c>
      <c r="H750" s="8"/>
      <c r="I750" s="14" t="s">
        <v>1999</v>
      </c>
      <c r="J750" s="15"/>
      <c r="K750" s="8" t="s">
        <v>2000</v>
      </c>
      <c r="L750" s="8" t="s">
        <v>2001</v>
      </c>
      <c r="M750" s="6" t="s">
        <v>1671</v>
      </c>
      <c r="N750" s="6" t="s">
        <v>1644</v>
      </c>
      <c r="O750" s="7">
        <f>SUMIFS('05_상품별배치367'!$K$7:$K$373,'05_상품별배치367'!$E$7:$E$373,A750,'05_상품별배치367'!$H$7:$H$373,"본진")</f>
        <v>0</v>
      </c>
      <c r="P750" s="7">
        <f>SUMIFS('05_상품별배치367'!$K$7:$K$373,'05_상품별배치367'!$E$7:$E$373,A750,'05_상품별배치367'!$H$7:$H$373,"추가 진열")</f>
        <v>0</v>
      </c>
      <c r="Q750" s="7">
        <f>O750+P750</f>
        <v>0</v>
      </c>
      <c r="R750" s="7">
        <v>0</v>
      </c>
      <c r="S750" s="6" t="s">
        <v>2002</v>
      </c>
      <c r="T750" s="6" t="s">
        <v>6823</v>
      </c>
      <c r="U750" s="6"/>
      <c r="V750" s="16"/>
      <c r="W750" s="16"/>
      <c r="X750" s="16"/>
      <c r="Y750" s="6" t="s">
        <v>1627</v>
      </c>
      <c r="Z750" s="15"/>
      <c r="AA750" s="15" t="s">
        <v>1628</v>
      </c>
    </row>
    <row r="751" spans="1:27" ht="33" customHeight="1">
      <c r="A751" s="6" t="s">
        <v>6829</v>
      </c>
      <c r="B751" s="7">
        <v>2319</v>
      </c>
      <c r="C751" s="6" t="s">
        <v>6830</v>
      </c>
      <c r="D751" s="6" t="s">
        <v>4640</v>
      </c>
      <c r="E751" s="6" t="s">
        <v>1997</v>
      </c>
      <c r="F751" s="6" t="s">
        <v>1998</v>
      </c>
      <c r="G751" s="6" t="s">
        <v>1668</v>
      </c>
      <c r="H751" s="6"/>
      <c r="I751" s="14" t="s">
        <v>1999</v>
      </c>
      <c r="J751" s="15"/>
      <c r="K751" s="6" t="s">
        <v>2000</v>
      </c>
      <c r="L751" s="6" t="s">
        <v>2001</v>
      </c>
      <c r="M751" s="6" t="s">
        <v>1671</v>
      </c>
      <c r="N751" s="6" t="s">
        <v>1644</v>
      </c>
      <c r="O751" s="7">
        <f>SUMIFS('05_상품별배치367'!$K$7:$K$373,'05_상품별배치367'!$E$7:$E$373,A751,'05_상품별배치367'!$H$7:$H$373,"본진")</f>
        <v>0</v>
      </c>
      <c r="P751" s="7">
        <f>SUMIFS('05_상품별배치367'!$K$7:$K$373,'05_상품별배치367'!$E$7:$E$373,A751,'05_상품별배치367'!$H$7:$H$373,"추가 진열")</f>
        <v>0</v>
      </c>
      <c r="Q751" s="7">
        <f>O751+P751</f>
        <v>0</v>
      </c>
      <c r="R751" s="7">
        <v>0</v>
      </c>
      <c r="S751" s="6" t="s">
        <v>2002</v>
      </c>
      <c r="T751" s="6" t="s">
        <v>6823</v>
      </c>
      <c r="U751" s="6"/>
      <c r="V751" s="16"/>
      <c r="W751" s="16"/>
      <c r="X751" s="16"/>
      <c r="Y751" s="6" t="s">
        <v>1627</v>
      </c>
      <c r="Z751" s="15"/>
      <c r="AA751" s="15" t="s">
        <v>1628</v>
      </c>
    </row>
    <row r="752" spans="1:27" ht="33" customHeight="1">
      <c r="A752" s="6" t="s">
        <v>6824</v>
      </c>
      <c r="B752" s="7">
        <v>2317</v>
      </c>
      <c r="C752" s="6" t="s">
        <v>6825</v>
      </c>
      <c r="D752" s="6"/>
      <c r="E752" s="6" t="s">
        <v>1997</v>
      </c>
      <c r="F752" s="6" t="s">
        <v>1998</v>
      </c>
      <c r="G752" s="6" t="s">
        <v>1668</v>
      </c>
      <c r="H752" s="6"/>
      <c r="I752" s="14" t="s">
        <v>1999</v>
      </c>
      <c r="J752" s="15"/>
      <c r="K752" s="6" t="s">
        <v>2000</v>
      </c>
      <c r="L752" s="6" t="s">
        <v>6297</v>
      </c>
      <c r="M752" s="6" t="s">
        <v>1671</v>
      </c>
      <c r="N752" s="6" t="s">
        <v>1644</v>
      </c>
      <c r="O752" s="7">
        <f>SUMIFS('05_상품별배치367'!$K$7:$K$373,'05_상품별배치367'!$E$7:$E$373,A752,'05_상품별배치367'!$H$7:$H$373,"본진")</f>
        <v>0</v>
      </c>
      <c r="P752" s="7">
        <f>SUMIFS('05_상품별배치367'!$K$7:$K$373,'05_상품별배치367'!$E$7:$E$373,A752,'05_상품별배치367'!$H$7:$H$373,"추가 진열")</f>
        <v>0</v>
      </c>
      <c r="Q752" s="7">
        <f>O752+P752</f>
        <v>0</v>
      </c>
      <c r="R752" s="7">
        <v>0</v>
      </c>
      <c r="S752" s="6" t="s">
        <v>2002</v>
      </c>
      <c r="T752" s="6" t="s">
        <v>6823</v>
      </c>
      <c r="U752" s="6"/>
      <c r="V752" s="16"/>
      <c r="W752" s="16"/>
      <c r="X752" s="16"/>
      <c r="Y752" s="6" t="s">
        <v>5772</v>
      </c>
      <c r="Z752" s="15"/>
      <c r="AA752" s="15" t="s">
        <v>1628</v>
      </c>
    </row>
    <row r="753" spans="1:27" ht="33" customHeight="1">
      <c r="A753" s="6" t="s">
        <v>1514</v>
      </c>
      <c r="B753" s="7">
        <v>2333</v>
      </c>
      <c r="C753" s="6" t="s">
        <v>1513</v>
      </c>
      <c r="D753" s="6" t="s">
        <v>2133</v>
      </c>
      <c r="E753" s="6" t="s">
        <v>1986</v>
      </c>
      <c r="F753" s="6" t="s">
        <v>493</v>
      </c>
      <c r="G753" s="6" t="s">
        <v>299</v>
      </c>
      <c r="H753" s="6" t="s">
        <v>1099</v>
      </c>
      <c r="I753" s="14" t="s">
        <v>1621</v>
      </c>
      <c r="J753" s="15"/>
      <c r="K753" s="6" t="s">
        <v>1976</v>
      </c>
      <c r="L753" s="6" t="s">
        <v>3828</v>
      </c>
      <c r="M753" s="6" t="s">
        <v>1623</v>
      </c>
      <c r="N753" s="6" t="s">
        <v>1624</v>
      </c>
      <c r="O753" s="7">
        <f>SUMIFS('05_상품별배치367'!$K$7:$K$373,'05_상품별배치367'!$E$7:$E$373,A753,'05_상품별배치367'!$H$7:$H$373,"본진")</f>
        <v>1</v>
      </c>
      <c r="P753" s="7">
        <f>SUMIFS('05_상품별배치367'!$K$7:$K$373,'05_상품별배치367'!$E$7:$E$373,A753,'05_상품별배치367'!$H$7:$H$373,"추가 진열")</f>
        <v>1</v>
      </c>
      <c r="Q753" s="7">
        <f>O753+P753</f>
        <v>2</v>
      </c>
      <c r="R753" s="7">
        <v>1</v>
      </c>
      <c r="S753" s="6" t="s">
        <v>1625</v>
      </c>
      <c r="T753" s="6" t="s">
        <v>6823</v>
      </c>
      <c r="U753" s="6"/>
      <c r="V753" s="16"/>
      <c r="W753" s="16"/>
      <c r="X753" s="16"/>
      <c r="Y753" s="6" t="s">
        <v>1627</v>
      </c>
      <c r="Z753" s="15"/>
      <c r="AA753" s="15" t="s">
        <v>1628</v>
      </c>
    </row>
    <row r="754" spans="1:27" ht="33" customHeight="1">
      <c r="A754" s="8" t="s">
        <v>4706</v>
      </c>
      <c r="B754" s="9">
        <v>1338</v>
      </c>
      <c r="C754" s="8" t="s">
        <v>4707</v>
      </c>
      <c r="D754" s="8" t="s">
        <v>1851</v>
      </c>
      <c r="E754" s="8" t="s">
        <v>1986</v>
      </c>
      <c r="F754" s="8" t="s">
        <v>913</v>
      </c>
      <c r="G754" s="8" t="s">
        <v>201</v>
      </c>
      <c r="H754" s="8"/>
      <c r="I754" s="14" t="s">
        <v>1642</v>
      </c>
      <c r="J754" s="15"/>
      <c r="K754" s="8" t="s">
        <v>1976</v>
      </c>
      <c r="L754" s="8"/>
      <c r="M754" s="6" t="s">
        <v>1643</v>
      </c>
      <c r="N754" s="6" t="s">
        <v>1644</v>
      </c>
      <c r="O754" s="7">
        <f>SUMIFS('05_상품별배치367'!$K$7:$K$373,'05_상품별배치367'!$E$7:$E$373,A754,'05_상품별배치367'!$H$7:$H$373,"본진")</f>
        <v>0</v>
      </c>
      <c r="P754" s="7">
        <f>SUMIFS('05_상품별배치367'!$K$7:$K$373,'05_상품별배치367'!$E$7:$E$373,A754,'05_상품별배치367'!$H$7:$H$373,"추가 진열")</f>
        <v>0</v>
      </c>
      <c r="Q754" s="7">
        <f>O754+P754</f>
        <v>0</v>
      </c>
      <c r="R754" s="7">
        <v>1</v>
      </c>
      <c r="S754" s="6" t="s">
        <v>2907</v>
      </c>
      <c r="T754" s="6" t="s">
        <v>1637</v>
      </c>
      <c r="U754" s="6"/>
      <c r="V754" s="16"/>
      <c r="W754" s="16"/>
      <c r="X754" s="16"/>
      <c r="Y754" s="6" t="s">
        <v>1627</v>
      </c>
      <c r="Z754" s="15"/>
      <c r="AA754" s="15" t="s">
        <v>1628</v>
      </c>
    </row>
    <row r="755" spans="1:27" ht="33" customHeight="1">
      <c r="A755" s="6" t="s">
        <v>4704</v>
      </c>
      <c r="B755" s="7">
        <v>1337</v>
      </c>
      <c r="C755" s="6" t="s">
        <v>4705</v>
      </c>
      <c r="D755" s="6" t="s">
        <v>2856</v>
      </c>
      <c r="E755" s="6" t="s">
        <v>2134</v>
      </c>
      <c r="F755" s="6" t="s">
        <v>2933</v>
      </c>
      <c r="G755" s="6" t="s">
        <v>1668</v>
      </c>
      <c r="H755" s="6"/>
      <c r="I755" s="14" t="s">
        <v>1807</v>
      </c>
      <c r="J755" s="15"/>
      <c r="K755" s="6" t="s">
        <v>1976</v>
      </c>
      <c r="L755" s="6" t="s">
        <v>2032</v>
      </c>
      <c r="M755" s="6" t="s">
        <v>1809</v>
      </c>
      <c r="N755" s="6" t="s">
        <v>1644</v>
      </c>
      <c r="O755" s="7">
        <f>SUMIFS('05_상품별배치367'!$K$7:$K$373,'05_상품별배치367'!$E$7:$E$373,A755,'05_상품별배치367'!$H$7:$H$373,"본진")</f>
        <v>0</v>
      </c>
      <c r="P755" s="7">
        <f>SUMIFS('05_상품별배치367'!$K$7:$K$373,'05_상품별배치367'!$E$7:$E$373,A755,'05_상품별배치367'!$H$7:$H$373,"추가 진열")</f>
        <v>0</v>
      </c>
      <c r="Q755" s="7">
        <f>O755+P755</f>
        <v>0</v>
      </c>
      <c r="R755" s="7">
        <v>0</v>
      </c>
      <c r="S755" s="6" t="s">
        <v>1810</v>
      </c>
      <c r="T755" s="6" t="s">
        <v>1637</v>
      </c>
      <c r="U755" s="6"/>
      <c r="V755" s="16"/>
      <c r="W755" s="16"/>
      <c r="X755" s="16"/>
      <c r="Y755" s="6" t="s">
        <v>1627</v>
      </c>
      <c r="Z755" s="15"/>
      <c r="AA755" s="15" t="s">
        <v>1628</v>
      </c>
    </row>
    <row r="756" spans="1:27" ht="33" customHeight="1">
      <c r="A756" s="6" t="s">
        <v>4708</v>
      </c>
      <c r="B756" s="7">
        <v>1339</v>
      </c>
      <c r="C756" s="6" t="s">
        <v>4709</v>
      </c>
      <c r="D756" s="6" t="s">
        <v>2701</v>
      </c>
      <c r="E756" s="6" t="s">
        <v>2134</v>
      </c>
      <c r="F756" s="6" t="s">
        <v>2933</v>
      </c>
      <c r="G756" s="6" t="s">
        <v>1668</v>
      </c>
      <c r="H756" s="6"/>
      <c r="I756" s="14" t="s">
        <v>1807</v>
      </c>
      <c r="J756" s="15"/>
      <c r="K756" s="6" t="s">
        <v>1976</v>
      </c>
      <c r="L756" s="6" t="s">
        <v>2032</v>
      </c>
      <c r="M756" s="6" t="s">
        <v>1809</v>
      </c>
      <c r="N756" s="6" t="s">
        <v>1644</v>
      </c>
      <c r="O756" s="7">
        <f>SUMIFS('05_상품별배치367'!$K$7:$K$373,'05_상품별배치367'!$E$7:$E$373,A756,'05_상품별배치367'!$H$7:$H$373,"본진")</f>
        <v>0</v>
      </c>
      <c r="P756" s="7">
        <f>SUMIFS('05_상품별배치367'!$K$7:$K$373,'05_상품별배치367'!$E$7:$E$373,A756,'05_상품별배치367'!$H$7:$H$373,"추가 진열")</f>
        <v>0</v>
      </c>
      <c r="Q756" s="7">
        <f>O756+P756</f>
        <v>0</v>
      </c>
      <c r="R756" s="7">
        <v>0</v>
      </c>
      <c r="S756" s="6" t="s">
        <v>1810</v>
      </c>
      <c r="T756" s="6" t="s">
        <v>1637</v>
      </c>
      <c r="U756" s="6"/>
      <c r="V756" s="16"/>
      <c r="W756" s="16"/>
      <c r="X756" s="16"/>
      <c r="Y756" s="6" t="s">
        <v>1627</v>
      </c>
      <c r="Z756" s="15"/>
      <c r="AA756" s="15" t="s">
        <v>1628</v>
      </c>
    </row>
    <row r="757" spans="1:27" ht="33" customHeight="1">
      <c r="A757" s="8" t="s">
        <v>4710</v>
      </c>
      <c r="B757" s="9">
        <v>1340</v>
      </c>
      <c r="C757" s="8" t="s">
        <v>4711</v>
      </c>
      <c r="D757" s="8" t="s">
        <v>3008</v>
      </c>
      <c r="E757" s="8" t="s">
        <v>1986</v>
      </c>
      <c r="F757" s="8" t="s">
        <v>493</v>
      </c>
      <c r="G757" s="8" t="s">
        <v>299</v>
      </c>
      <c r="H757" s="8"/>
      <c r="I757" s="14" t="s">
        <v>1642</v>
      </c>
      <c r="J757" s="15"/>
      <c r="K757" s="8" t="s">
        <v>1976</v>
      </c>
      <c r="L757" s="8"/>
      <c r="M757" s="6" t="s">
        <v>1643</v>
      </c>
      <c r="N757" s="6" t="s">
        <v>1644</v>
      </c>
      <c r="O757" s="7">
        <f>SUMIFS('05_상품별배치367'!$K$7:$K$373,'05_상품별배치367'!$E$7:$E$373,A757,'05_상품별배치367'!$H$7:$H$373,"본진")</f>
        <v>0</v>
      </c>
      <c r="P757" s="7">
        <f>SUMIFS('05_상품별배치367'!$K$7:$K$373,'05_상품별배치367'!$E$7:$E$373,A757,'05_상품별배치367'!$H$7:$H$373,"추가 진열")</f>
        <v>0</v>
      </c>
      <c r="Q757" s="7">
        <f>O757+P757</f>
        <v>0</v>
      </c>
      <c r="R757" s="7">
        <v>1</v>
      </c>
      <c r="S757" s="6" t="s">
        <v>3084</v>
      </c>
      <c r="T757" s="6" t="s">
        <v>1637</v>
      </c>
      <c r="U757" s="6"/>
      <c r="V757" s="16"/>
      <c r="W757" s="16"/>
      <c r="X757" s="16"/>
      <c r="Y757" s="6" t="s">
        <v>1627</v>
      </c>
      <c r="Z757" s="15"/>
      <c r="AA757" s="15" t="s">
        <v>1628</v>
      </c>
    </row>
    <row r="758" spans="1:27" ht="33" customHeight="1">
      <c r="A758" s="8" t="s">
        <v>3266</v>
      </c>
      <c r="B758" s="9">
        <v>668</v>
      </c>
      <c r="C758" s="8" t="s">
        <v>3267</v>
      </c>
      <c r="D758" s="8" t="s">
        <v>3268</v>
      </c>
      <c r="E758" s="8" t="s">
        <v>2134</v>
      </c>
      <c r="F758" s="8" t="s">
        <v>1263</v>
      </c>
      <c r="G758" s="8" t="s">
        <v>376</v>
      </c>
      <c r="H758" s="8"/>
      <c r="I758" s="14" t="s">
        <v>1642</v>
      </c>
      <c r="J758" s="15"/>
      <c r="K758" s="8" t="s">
        <v>1976</v>
      </c>
      <c r="L758" s="8"/>
      <c r="M758" s="6" t="s">
        <v>1643</v>
      </c>
      <c r="N758" s="6" t="s">
        <v>1644</v>
      </c>
      <c r="O758" s="7">
        <f>SUMIFS('05_상품별배치367'!$K$7:$K$373,'05_상품별배치367'!$E$7:$E$373,A758,'05_상품별배치367'!$H$7:$H$373,"본진")</f>
        <v>0</v>
      </c>
      <c r="P758" s="7">
        <f>SUMIFS('05_상품별배치367'!$K$7:$K$373,'05_상품별배치367'!$E$7:$E$373,A758,'05_상품별배치367'!$H$7:$H$373,"추가 진열")</f>
        <v>0</v>
      </c>
      <c r="Q758" s="7">
        <f>O758+P758</f>
        <v>0</v>
      </c>
      <c r="R758" s="7">
        <v>1</v>
      </c>
      <c r="S758" s="6" t="s">
        <v>3016</v>
      </c>
      <c r="T758" s="6" t="s">
        <v>1637</v>
      </c>
      <c r="U758" s="6"/>
      <c r="V758" s="16"/>
      <c r="W758" s="16"/>
      <c r="X758" s="16"/>
      <c r="Y758" s="6" t="s">
        <v>1655</v>
      </c>
      <c r="Z758" s="15"/>
      <c r="AA758" s="15" t="s">
        <v>1628</v>
      </c>
    </row>
    <row r="759" spans="1:27" ht="33" customHeight="1">
      <c r="A759" s="6" t="s">
        <v>3282</v>
      </c>
      <c r="B759" s="7">
        <v>675</v>
      </c>
      <c r="C759" s="6" t="s">
        <v>3283</v>
      </c>
      <c r="D759" s="6" t="s">
        <v>3164</v>
      </c>
      <c r="E759" s="6" t="s">
        <v>1986</v>
      </c>
      <c r="F759" s="6" t="s">
        <v>493</v>
      </c>
      <c r="G759" s="6" t="s">
        <v>299</v>
      </c>
      <c r="H759" s="6"/>
      <c r="I759" s="14" t="s">
        <v>1642</v>
      </c>
      <c r="J759" s="15"/>
      <c r="K759" s="6" t="s">
        <v>1976</v>
      </c>
      <c r="L759" s="6"/>
      <c r="M759" s="6" t="s">
        <v>1643</v>
      </c>
      <c r="N759" s="6" t="s">
        <v>1644</v>
      </c>
      <c r="O759" s="7">
        <f>SUMIFS('05_상품별배치367'!$K$7:$K$373,'05_상품별배치367'!$E$7:$E$373,A759,'05_상품별배치367'!$H$7:$H$373,"본진")</f>
        <v>0</v>
      </c>
      <c r="P759" s="7">
        <f>SUMIFS('05_상품별배치367'!$K$7:$K$373,'05_상품별배치367'!$E$7:$E$373,A759,'05_상품별배치367'!$H$7:$H$373,"추가 진열")</f>
        <v>0</v>
      </c>
      <c r="Q759" s="7">
        <f>O759+P759</f>
        <v>0</v>
      </c>
      <c r="R759" s="7">
        <v>1</v>
      </c>
      <c r="S759" s="6" t="s">
        <v>3084</v>
      </c>
      <c r="T759" s="6" t="s">
        <v>1637</v>
      </c>
      <c r="U759" s="6"/>
      <c r="V759" s="16"/>
      <c r="W759" s="16"/>
      <c r="X759" s="16"/>
      <c r="Y759" s="6" t="s">
        <v>1627</v>
      </c>
      <c r="Z759" s="15"/>
      <c r="AA759" s="15" t="s">
        <v>1628</v>
      </c>
    </row>
    <row r="760" spans="1:27" ht="33" customHeight="1">
      <c r="A760" s="6" t="s">
        <v>3273</v>
      </c>
      <c r="B760" s="7">
        <v>671</v>
      </c>
      <c r="C760" s="6" t="s">
        <v>3274</v>
      </c>
      <c r="D760" s="6" t="s">
        <v>1937</v>
      </c>
      <c r="E760" s="6" t="s">
        <v>2134</v>
      </c>
      <c r="F760" s="6" t="s">
        <v>2933</v>
      </c>
      <c r="G760" s="6" t="s">
        <v>1668</v>
      </c>
      <c r="H760" s="6"/>
      <c r="I760" s="14" t="s">
        <v>1807</v>
      </c>
      <c r="J760" s="15"/>
      <c r="K760" s="6" t="s">
        <v>1976</v>
      </c>
      <c r="L760" s="6" t="s">
        <v>2032</v>
      </c>
      <c r="M760" s="6" t="s">
        <v>1809</v>
      </c>
      <c r="N760" s="6" t="s">
        <v>1644</v>
      </c>
      <c r="O760" s="7">
        <f>SUMIFS('05_상품별배치367'!$K$7:$K$373,'05_상품별배치367'!$E$7:$E$373,A760,'05_상품별배치367'!$H$7:$H$373,"본진")</f>
        <v>0</v>
      </c>
      <c r="P760" s="7">
        <f>SUMIFS('05_상품별배치367'!$K$7:$K$373,'05_상품별배치367'!$E$7:$E$373,A760,'05_상품별배치367'!$H$7:$H$373,"추가 진열")</f>
        <v>0</v>
      </c>
      <c r="Q760" s="7">
        <f>O760+P760</f>
        <v>0</v>
      </c>
      <c r="R760" s="7">
        <v>0</v>
      </c>
      <c r="S760" s="6" t="s">
        <v>1810</v>
      </c>
      <c r="T760" s="6" t="s">
        <v>1637</v>
      </c>
      <c r="U760" s="6"/>
      <c r="V760" s="16"/>
      <c r="W760" s="16"/>
      <c r="X760" s="16"/>
      <c r="Y760" s="6" t="s">
        <v>1627</v>
      </c>
      <c r="Z760" s="15"/>
      <c r="AA760" s="15" t="s">
        <v>1628</v>
      </c>
    </row>
    <row r="761" spans="1:27" ht="33" customHeight="1">
      <c r="A761" s="6" t="s">
        <v>3263</v>
      </c>
      <c r="B761" s="7">
        <v>667</v>
      </c>
      <c r="C761" s="6" t="s">
        <v>3264</v>
      </c>
      <c r="D761" s="6" t="s">
        <v>3265</v>
      </c>
      <c r="E761" s="6" t="s">
        <v>1814</v>
      </c>
      <c r="F761" s="6" t="s">
        <v>1376</v>
      </c>
      <c r="G761" s="6" t="s">
        <v>431</v>
      </c>
      <c r="H761" s="6"/>
      <c r="I761" s="14" t="s">
        <v>1642</v>
      </c>
      <c r="J761" s="15"/>
      <c r="K761" s="6" t="s">
        <v>1976</v>
      </c>
      <c r="L761" s="6"/>
      <c r="M761" s="6" t="s">
        <v>1643</v>
      </c>
      <c r="N761" s="6" t="s">
        <v>1644</v>
      </c>
      <c r="O761" s="7">
        <f>SUMIFS('05_상품별배치367'!$K$7:$K$373,'05_상품별배치367'!$E$7:$E$373,A761,'05_상품별배치367'!$H$7:$H$373,"본진")</f>
        <v>0</v>
      </c>
      <c r="P761" s="7">
        <f>SUMIFS('05_상품별배치367'!$K$7:$K$373,'05_상품별배치367'!$E$7:$E$373,A761,'05_상품별배치367'!$H$7:$H$373,"추가 진열")</f>
        <v>0</v>
      </c>
      <c r="Q761" s="7">
        <f>O761+P761</f>
        <v>0</v>
      </c>
      <c r="R761" s="7">
        <v>1</v>
      </c>
      <c r="S761" s="6" t="s">
        <v>1978</v>
      </c>
      <c r="T761" s="6" t="s">
        <v>1637</v>
      </c>
      <c r="U761" s="6"/>
      <c r="V761" s="16"/>
      <c r="W761" s="16"/>
      <c r="X761" s="16"/>
      <c r="Y761" s="6" t="s">
        <v>1655</v>
      </c>
      <c r="Z761" s="15"/>
      <c r="AA761" s="15" t="s">
        <v>1628</v>
      </c>
    </row>
    <row r="762" spans="1:27" ht="33" customHeight="1">
      <c r="A762" s="8" t="s">
        <v>3280</v>
      </c>
      <c r="B762" s="9">
        <v>674</v>
      </c>
      <c r="C762" s="8" t="s">
        <v>3281</v>
      </c>
      <c r="D762" s="8" t="s">
        <v>3279</v>
      </c>
      <c r="E762" s="8" t="s">
        <v>1986</v>
      </c>
      <c r="F762" s="8" t="s">
        <v>493</v>
      </c>
      <c r="G762" s="8" t="s">
        <v>299</v>
      </c>
      <c r="H762" s="8"/>
      <c r="I762" s="14" t="s">
        <v>1642</v>
      </c>
      <c r="J762" s="15"/>
      <c r="K762" s="8" t="s">
        <v>1976</v>
      </c>
      <c r="L762" s="8"/>
      <c r="M762" s="6" t="s">
        <v>1643</v>
      </c>
      <c r="N762" s="6" t="s">
        <v>1644</v>
      </c>
      <c r="O762" s="7">
        <f>SUMIFS('05_상품별배치367'!$K$7:$K$373,'05_상품별배치367'!$E$7:$E$373,A762,'05_상품별배치367'!$H$7:$H$373,"본진")</f>
        <v>0</v>
      </c>
      <c r="P762" s="7">
        <f>SUMIFS('05_상품별배치367'!$K$7:$K$373,'05_상품별배치367'!$E$7:$E$373,A762,'05_상품별배치367'!$H$7:$H$373,"추가 진열")</f>
        <v>0</v>
      </c>
      <c r="Q762" s="7">
        <f>O762+P762</f>
        <v>0</v>
      </c>
      <c r="R762" s="7">
        <v>1</v>
      </c>
      <c r="S762" s="6" t="s">
        <v>3084</v>
      </c>
      <c r="T762" s="6" t="s">
        <v>1637</v>
      </c>
      <c r="U762" s="6"/>
      <c r="V762" s="16"/>
      <c r="W762" s="16"/>
      <c r="X762" s="16"/>
      <c r="Y762" s="6" t="s">
        <v>1627</v>
      </c>
      <c r="Z762" s="15"/>
      <c r="AA762" s="15" t="s">
        <v>1628</v>
      </c>
    </row>
    <row r="763" spans="1:27" ht="33" customHeight="1">
      <c r="A763" s="6" t="s">
        <v>3277</v>
      </c>
      <c r="B763" s="7">
        <v>673</v>
      </c>
      <c r="C763" s="6" t="s">
        <v>3278</v>
      </c>
      <c r="D763" s="6" t="s">
        <v>3279</v>
      </c>
      <c r="E763" s="6" t="s">
        <v>1986</v>
      </c>
      <c r="F763" s="6" t="s">
        <v>493</v>
      </c>
      <c r="G763" s="6" t="s">
        <v>299</v>
      </c>
      <c r="H763" s="6"/>
      <c r="I763" s="14" t="s">
        <v>1642</v>
      </c>
      <c r="J763" s="15"/>
      <c r="K763" s="6" t="s">
        <v>1976</v>
      </c>
      <c r="L763" s="6"/>
      <c r="M763" s="6" t="s">
        <v>1643</v>
      </c>
      <c r="N763" s="6" t="s">
        <v>1644</v>
      </c>
      <c r="O763" s="7">
        <f>SUMIFS('05_상품별배치367'!$K$7:$K$373,'05_상품별배치367'!$E$7:$E$373,A763,'05_상품별배치367'!$H$7:$H$373,"본진")</f>
        <v>0</v>
      </c>
      <c r="P763" s="7">
        <f>SUMIFS('05_상품별배치367'!$K$7:$K$373,'05_상품별배치367'!$E$7:$E$373,A763,'05_상품별배치367'!$H$7:$H$373,"추가 진열")</f>
        <v>0</v>
      </c>
      <c r="Q763" s="7">
        <f>O763+P763</f>
        <v>0</v>
      </c>
      <c r="R763" s="7">
        <v>1</v>
      </c>
      <c r="S763" s="6" t="s">
        <v>3084</v>
      </c>
      <c r="T763" s="6" t="s">
        <v>1637</v>
      </c>
      <c r="U763" s="6"/>
      <c r="V763" s="16"/>
      <c r="W763" s="16"/>
      <c r="X763" s="16"/>
      <c r="Y763" s="6" t="s">
        <v>1627</v>
      </c>
      <c r="Z763" s="15"/>
      <c r="AA763" s="15" t="s">
        <v>1628</v>
      </c>
    </row>
    <row r="764" spans="1:27" ht="33" customHeight="1">
      <c r="A764" s="6" t="s">
        <v>3255</v>
      </c>
      <c r="B764" s="7">
        <v>663</v>
      </c>
      <c r="C764" s="6" t="s">
        <v>3256</v>
      </c>
      <c r="D764" s="6" t="s">
        <v>1851</v>
      </c>
      <c r="E764" s="6" t="s">
        <v>2134</v>
      </c>
      <c r="F764" s="6" t="s">
        <v>1263</v>
      </c>
      <c r="G764" s="6" t="s">
        <v>376</v>
      </c>
      <c r="H764" s="6"/>
      <c r="I764" s="14" t="s">
        <v>1642</v>
      </c>
      <c r="J764" s="15"/>
      <c r="K764" s="6" t="s">
        <v>1976</v>
      </c>
      <c r="L764" s="6"/>
      <c r="M764" s="6" t="s">
        <v>1643</v>
      </c>
      <c r="N764" s="6" t="s">
        <v>1644</v>
      </c>
      <c r="O764" s="7">
        <f>SUMIFS('05_상품별배치367'!$K$7:$K$373,'05_상품별배치367'!$E$7:$E$373,A764,'05_상품별배치367'!$H$7:$H$373,"본진")</f>
        <v>0</v>
      </c>
      <c r="P764" s="7">
        <f>SUMIFS('05_상품별배치367'!$K$7:$K$373,'05_상품별배치367'!$E$7:$E$373,A764,'05_상품별배치367'!$H$7:$H$373,"추가 진열")</f>
        <v>0</v>
      </c>
      <c r="Q764" s="7">
        <f>O764+P764</f>
        <v>0</v>
      </c>
      <c r="R764" s="7">
        <v>1</v>
      </c>
      <c r="S764" s="6" t="s">
        <v>3016</v>
      </c>
      <c r="T764" s="6" t="s">
        <v>1637</v>
      </c>
      <c r="U764" s="6"/>
      <c r="V764" s="16"/>
      <c r="W764" s="16"/>
      <c r="X764" s="16"/>
      <c r="Y764" s="6" t="s">
        <v>1627</v>
      </c>
      <c r="Z764" s="15"/>
      <c r="AA764" s="15" t="s">
        <v>1628</v>
      </c>
    </row>
    <row r="765" spans="1:27" ht="33" customHeight="1">
      <c r="A765" s="8" t="s">
        <v>3257</v>
      </c>
      <c r="B765" s="9">
        <v>664</v>
      </c>
      <c r="C765" s="8" t="s">
        <v>3258</v>
      </c>
      <c r="D765" s="8" t="s">
        <v>2928</v>
      </c>
      <c r="E765" s="8" t="s">
        <v>2134</v>
      </c>
      <c r="F765" s="8" t="s">
        <v>1263</v>
      </c>
      <c r="G765" s="8" t="s">
        <v>376</v>
      </c>
      <c r="H765" s="8"/>
      <c r="I765" s="14" t="s">
        <v>1642</v>
      </c>
      <c r="J765" s="15"/>
      <c r="K765" s="8" t="s">
        <v>1976</v>
      </c>
      <c r="L765" s="8"/>
      <c r="M765" s="6" t="s">
        <v>1643</v>
      </c>
      <c r="N765" s="6" t="s">
        <v>1644</v>
      </c>
      <c r="O765" s="7">
        <f>SUMIFS('05_상품별배치367'!$K$7:$K$373,'05_상품별배치367'!$E$7:$E$373,A765,'05_상품별배치367'!$H$7:$H$373,"본진")</f>
        <v>0</v>
      </c>
      <c r="P765" s="7">
        <f>SUMIFS('05_상품별배치367'!$K$7:$K$373,'05_상품별배치367'!$E$7:$E$373,A765,'05_상품별배치367'!$H$7:$H$373,"추가 진열")</f>
        <v>0</v>
      </c>
      <c r="Q765" s="7">
        <f>O765+P765</f>
        <v>0</v>
      </c>
      <c r="R765" s="7">
        <v>1</v>
      </c>
      <c r="S765" s="6" t="s">
        <v>3016</v>
      </c>
      <c r="T765" s="6" t="s">
        <v>1637</v>
      </c>
      <c r="U765" s="6"/>
      <c r="V765" s="16"/>
      <c r="W765" s="16"/>
      <c r="X765" s="16"/>
      <c r="Y765" s="6" t="s">
        <v>1627</v>
      </c>
      <c r="Z765" s="15"/>
      <c r="AA765" s="15" t="s">
        <v>1628</v>
      </c>
    </row>
    <row r="766" spans="1:27" ht="33" customHeight="1">
      <c r="A766" s="6" t="s">
        <v>3259</v>
      </c>
      <c r="B766" s="7">
        <v>665</v>
      </c>
      <c r="C766" s="6" t="s">
        <v>3260</v>
      </c>
      <c r="D766" s="6" t="s">
        <v>2701</v>
      </c>
      <c r="E766" s="6" t="s">
        <v>2134</v>
      </c>
      <c r="F766" s="6" t="s">
        <v>1263</v>
      </c>
      <c r="G766" s="6" t="s">
        <v>376</v>
      </c>
      <c r="H766" s="6"/>
      <c r="I766" s="14" t="s">
        <v>1642</v>
      </c>
      <c r="J766" s="15"/>
      <c r="K766" s="6" t="s">
        <v>1976</v>
      </c>
      <c r="L766" s="6"/>
      <c r="M766" s="6" t="s">
        <v>1643</v>
      </c>
      <c r="N766" s="6" t="s">
        <v>1644</v>
      </c>
      <c r="O766" s="7">
        <f>SUMIFS('05_상품별배치367'!$K$7:$K$373,'05_상품별배치367'!$E$7:$E$373,A766,'05_상품별배치367'!$H$7:$H$373,"본진")</f>
        <v>0</v>
      </c>
      <c r="P766" s="7">
        <f>SUMIFS('05_상품별배치367'!$K$7:$K$373,'05_상품별배치367'!$E$7:$E$373,A766,'05_상품별배치367'!$H$7:$H$373,"추가 진열")</f>
        <v>0</v>
      </c>
      <c r="Q766" s="7">
        <f>O766+P766</f>
        <v>0</v>
      </c>
      <c r="R766" s="7">
        <v>1</v>
      </c>
      <c r="S766" s="6" t="s">
        <v>3016</v>
      </c>
      <c r="T766" s="6" t="s">
        <v>1637</v>
      </c>
      <c r="U766" s="6"/>
      <c r="V766" s="16"/>
      <c r="W766" s="16"/>
      <c r="X766" s="16"/>
      <c r="Y766" s="6" t="s">
        <v>1627</v>
      </c>
      <c r="Z766" s="15"/>
      <c r="AA766" s="15" t="s">
        <v>1628</v>
      </c>
    </row>
    <row r="767" spans="1:27" ht="33" customHeight="1">
      <c r="A767" s="8" t="s">
        <v>3261</v>
      </c>
      <c r="B767" s="9">
        <v>666</v>
      </c>
      <c r="C767" s="8" t="s">
        <v>3262</v>
      </c>
      <c r="D767" s="8" t="s">
        <v>1876</v>
      </c>
      <c r="E767" s="8" t="s">
        <v>1986</v>
      </c>
      <c r="F767" s="8" t="s">
        <v>913</v>
      </c>
      <c r="G767" s="8" t="s">
        <v>201</v>
      </c>
      <c r="H767" s="8"/>
      <c r="I767" s="14" t="s">
        <v>1642</v>
      </c>
      <c r="J767" s="15"/>
      <c r="K767" s="8" t="s">
        <v>1976</v>
      </c>
      <c r="L767" s="8"/>
      <c r="M767" s="6" t="s">
        <v>1643</v>
      </c>
      <c r="N767" s="6" t="s">
        <v>1644</v>
      </c>
      <c r="O767" s="7">
        <f>SUMIFS('05_상품별배치367'!$K$7:$K$373,'05_상품별배치367'!$E$7:$E$373,A767,'05_상품별배치367'!$H$7:$H$373,"본진")</f>
        <v>0</v>
      </c>
      <c r="P767" s="7">
        <f>SUMIFS('05_상품별배치367'!$K$7:$K$373,'05_상품별배치367'!$E$7:$E$373,A767,'05_상품별배치367'!$H$7:$H$373,"추가 진열")</f>
        <v>0</v>
      </c>
      <c r="Q767" s="7">
        <f>O767+P767</f>
        <v>0</v>
      </c>
      <c r="R767" s="7">
        <v>1</v>
      </c>
      <c r="S767" s="6" t="s">
        <v>2907</v>
      </c>
      <c r="T767" s="6" t="s">
        <v>1637</v>
      </c>
      <c r="U767" s="6"/>
      <c r="V767" s="16"/>
      <c r="W767" s="16"/>
      <c r="X767" s="16"/>
      <c r="Y767" s="6" t="s">
        <v>1627</v>
      </c>
      <c r="Z767" s="15"/>
      <c r="AA767" s="15" t="s">
        <v>1628</v>
      </c>
    </row>
    <row r="768" spans="1:27" ht="33" customHeight="1">
      <c r="A768" s="8" t="s">
        <v>3271</v>
      </c>
      <c r="B768" s="9">
        <v>670</v>
      </c>
      <c r="C768" s="8" t="s">
        <v>3272</v>
      </c>
      <c r="D768" s="8" t="s">
        <v>2572</v>
      </c>
      <c r="E768" s="8" t="s">
        <v>2134</v>
      </c>
      <c r="F768" s="8" t="s">
        <v>1081</v>
      </c>
      <c r="G768" s="8" t="s">
        <v>290</v>
      </c>
      <c r="H768" s="8"/>
      <c r="I768" s="14" t="s">
        <v>1642</v>
      </c>
      <c r="J768" s="15"/>
      <c r="K768" s="8" t="s">
        <v>1976</v>
      </c>
      <c r="L768" s="8"/>
      <c r="M768" s="6" t="s">
        <v>1643</v>
      </c>
      <c r="N768" s="6" t="s">
        <v>1644</v>
      </c>
      <c r="O768" s="7">
        <f>SUMIFS('05_상품별배치367'!$K$7:$K$373,'05_상품별배치367'!$E$7:$E$373,A768,'05_상품별배치367'!$H$7:$H$373,"본진")</f>
        <v>0</v>
      </c>
      <c r="P768" s="7">
        <f>SUMIFS('05_상품별배치367'!$K$7:$K$373,'05_상품별배치367'!$E$7:$E$373,A768,'05_상품별배치367'!$H$7:$H$373,"추가 진열")</f>
        <v>0</v>
      </c>
      <c r="Q768" s="7">
        <f>O768+P768</f>
        <v>0</v>
      </c>
      <c r="R768" s="7">
        <v>1</v>
      </c>
      <c r="S768" s="6" t="s">
        <v>2135</v>
      </c>
      <c r="T768" s="6" t="s">
        <v>1637</v>
      </c>
      <c r="U768" s="6"/>
      <c r="V768" s="16"/>
      <c r="W768" s="16"/>
      <c r="X768" s="16"/>
      <c r="Y768" s="6" t="s">
        <v>1627</v>
      </c>
      <c r="Z768" s="15"/>
      <c r="AA768" s="15" t="s">
        <v>1628</v>
      </c>
    </row>
    <row r="769" spans="1:27" ht="33" customHeight="1">
      <c r="A769" s="6" t="s">
        <v>3269</v>
      </c>
      <c r="B769" s="7">
        <v>669</v>
      </c>
      <c r="C769" s="6" t="s">
        <v>3270</v>
      </c>
      <c r="D769" s="6" t="s">
        <v>3042</v>
      </c>
      <c r="E769" s="6" t="s">
        <v>2134</v>
      </c>
      <c r="F769" s="6" t="s">
        <v>1081</v>
      </c>
      <c r="G769" s="6" t="s">
        <v>290</v>
      </c>
      <c r="H769" s="6"/>
      <c r="I769" s="14" t="s">
        <v>1642</v>
      </c>
      <c r="J769" s="15"/>
      <c r="K769" s="6" t="s">
        <v>1976</v>
      </c>
      <c r="L769" s="6"/>
      <c r="M769" s="6" t="s">
        <v>1643</v>
      </c>
      <c r="N769" s="6" t="s">
        <v>1644</v>
      </c>
      <c r="O769" s="7">
        <f>SUMIFS('05_상품별배치367'!$K$7:$K$373,'05_상품별배치367'!$E$7:$E$373,A769,'05_상품별배치367'!$H$7:$H$373,"본진")</f>
        <v>0</v>
      </c>
      <c r="P769" s="7">
        <f>SUMIFS('05_상품별배치367'!$K$7:$K$373,'05_상품별배치367'!$E$7:$E$373,A769,'05_상품별배치367'!$H$7:$H$373,"추가 진열")</f>
        <v>0</v>
      </c>
      <c r="Q769" s="7">
        <f>O769+P769</f>
        <v>0</v>
      </c>
      <c r="R769" s="7">
        <v>1</v>
      </c>
      <c r="S769" s="6" t="s">
        <v>2135</v>
      </c>
      <c r="T769" s="6" t="s">
        <v>1637</v>
      </c>
      <c r="U769" s="6"/>
      <c r="V769" s="16"/>
      <c r="W769" s="16"/>
      <c r="X769" s="16"/>
      <c r="Y769" s="6" t="s">
        <v>1627</v>
      </c>
      <c r="Z769" s="15"/>
      <c r="AA769" s="15" t="s">
        <v>1628</v>
      </c>
    </row>
    <row r="770" spans="1:27" ht="33" customHeight="1">
      <c r="A770" s="6" t="s">
        <v>2847</v>
      </c>
      <c r="B770" s="7">
        <v>481</v>
      </c>
      <c r="C770" s="6" t="s">
        <v>2848</v>
      </c>
      <c r="D770" s="6" t="s">
        <v>2849</v>
      </c>
      <c r="E770" s="6" t="s">
        <v>1695</v>
      </c>
      <c r="F770" s="6" t="s">
        <v>1129</v>
      </c>
      <c r="G770" s="6" t="s">
        <v>307</v>
      </c>
      <c r="H770" s="6"/>
      <c r="I770" s="14" t="s">
        <v>1642</v>
      </c>
      <c r="J770" s="15"/>
      <c r="K770" s="6" t="s">
        <v>1696</v>
      </c>
      <c r="L770" s="6"/>
      <c r="M770" s="6" t="s">
        <v>1643</v>
      </c>
      <c r="N770" s="6" t="s">
        <v>1644</v>
      </c>
      <c r="O770" s="7">
        <f>SUMIFS('05_상품별배치367'!$K$7:$K$373,'05_상품별배치367'!$E$7:$E$373,A770,'05_상품별배치367'!$H$7:$H$373,"본진")</f>
        <v>0</v>
      </c>
      <c r="P770" s="7">
        <f>SUMIFS('05_상품별배치367'!$K$7:$K$373,'05_상품별배치367'!$E$7:$E$373,A770,'05_상품별배치367'!$H$7:$H$373,"추가 진열")</f>
        <v>0</v>
      </c>
      <c r="Q770" s="7">
        <f>O770+P770</f>
        <v>0</v>
      </c>
      <c r="R770" s="7">
        <v>1</v>
      </c>
      <c r="S770" s="6" t="s">
        <v>2850</v>
      </c>
      <c r="T770" s="6" t="s">
        <v>1637</v>
      </c>
      <c r="U770" s="6"/>
      <c r="V770" s="16"/>
      <c r="W770" s="16"/>
      <c r="X770" s="16"/>
      <c r="Y770" s="6" t="s">
        <v>1627</v>
      </c>
      <c r="Z770" s="15"/>
      <c r="AA770" s="15" t="s">
        <v>1628</v>
      </c>
    </row>
    <row r="771" spans="1:27" ht="33" customHeight="1">
      <c r="A771" s="8" t="s">
        <v>2843</v>
      </c>
      <c r="B771" s="9">
        <v>480</v>
      </c>
      <c r="C771" s="8" t="s">
        <v>2844</v>
      </c>
      <c r="D771" s="8" t="s">
        <v>2845</v>
      </c>
      <c r="E771" s="8" t="s">
        <v>1695</v>
      </c>
      <c r="F771" s="8" t="s">
        <v>2846</v>
      </c>
      <c r="G771" s="8" t="s">
        <v>1668</v>
      </c>
      <c r="H771" s="8"/>
      <c r="I771" s="14" t="s">
        <v>1669</v>
      </c>
      <c r="J771" s="15"/>
      <c r="K771" s="8" t="s">
        <v>1696</v>
      </c>
      <c r="L771" s="8"/>
      <c r="M771" s="6" t="s">
        <v>1671</v>
      </c>
      <c r="N771" s="6" t="s">
        <v>1644</v>
      </c>
      <c r="O771" s="7">
        <f>SUMIFS('05_상품별배치367'!$K$7:$K$373,'05_상품별배치367'!$E$7:$E$373,A771,'05_상품별배치367'!$H$7:$H$373,"본진")</f>
        <v>0</v>
      </c>
      <c r="P771" s="7">
        <f>SUMIFS('05_상품별배치367'!$K$7:$K$373,'05_상품별배치367'!$E$7:$E$373,A771,'05_상품별배치367'!$H$7:$H$373,"추가 진열")</f>
        <v>0</v>
      </c>
      <c r="Q771" s="7">
        <f>O771+P771</f>
        <v>0</v>
      </c>
      <c r="R771" s="7">
        <v>0</v>
      </c>
      <c r="S771" s="6" t="s">
        <v>1672</v>
      </c>
      <c r="T771" s="6" t="s">
        <v>1637</v>
      </c>
      <c r="U771" s="6"/>
      <c r="V771" s="16"/>
      <c r="W771" s="16"/>
      <c r="X771" s="16"/>
      <c r="Y771" s="6" t="s">
        <v>1627</v>
      </c>
      <c r="Z771" s="15"/>
      <c r="AA771" s="15" t="s">
        <v>1628</v>
      </c>
    </row>
    <row r="772" spans="1:27" ht="33" customHeight="1">
      <c r="A772" s="8" t="s">
        <v>3275</v>
      </c>
      <c r="B772" s="9">
        <v>672</v>
      </c>
      <c r="C772" s="8" t="s">
        <v>3276</v>
      </c>
      <c r="D772" s="8" t="s">
        <v>2133</v>
      </c>
      <c r="E772" s="8" t="s">
        <v>2134</v>
      </c>
      <c r="F772" s="8" t="s">
        <v>163</v>
      </c>
      <c r="G772" s="8" t="s">
        <v>414</v>
      </c>
      <c r="H772" s="8"/>
      <c r="I772" s="14" t="s">
        <v>1642</v>
      </c>
      <c r="J772" s="15"/>
      <c r="K772" s="8" t="s">
        <v>1976</v>
      </c>
      <c r="L772" s="8"/>
      <c r="M772" s="6" t="s">
        <v>1643</v>
      </c>
      <c r="N772" s="6" t="s">
        <v>1644</v>
      </c>
      <c r="O772" s="7">
        <f>SUMIFS('05_상품별배치367'!$K$7:$K$373,'05_상품별배치367'!$E$7:$E$373,A772,'05_상품별배치367'!$H$7:$H$373,"본진")</f>
        <v>0</v>
      </c>
      <c r="P772" s="7">
        <f>SUMIFS('05_상품별배치367'!$K$7:$K$373,'05_상품별배치367'!$E$7:$E$373,A772,'05_상품별배치367'!$H$7:$H$373,"추가 진열")</f>
        <v>0</v>
      </c>
      <c r="Q772" s="7">
        <f>O772+P772</f>
        <v>0</v>
      </c>
      <c r="R772" s="7">
        <v>1</v>
      </c>
      <c r="S772" s="6" t="s">
        <v>3048</v>
      </c>
      <c r="T772" s="6" t="s">
        <v>1637</v>
      </c>
      <c r="U772" s="6"/>
      <c r="V772" s="16"/>
      <c r="W772" s="16"/>
      <c r="X772" s="16"/>
      <c r="Y772" s="6" t="s">
        <v>1627</v>
      </c>
      <c r="Z772" s="15"/>
      <c r="AA772" s="15" t="s">
        <v>1628</v>
      </c>
    </row>
    <row r="773" spans="1:27" ht="33" customHeight="1">
      <c r="A773" s="8" t="s">
        <v>4759</v>
      </c>
      <c r="B773" s="9">
        <v>1364</v>
      </c>
      <c r="C773" s="8" t="s">
        <v>4760</v>
      </c>
      <c r="D773" s="8" t="s">
        <v>4653</v>
      </c>
      <c r="E773" s="8" t="s">
        <v>2134</v>
      </c>
      <c r="F773" s="8" t="s">
        <v>1263</v>
      </c>
      <c r="G773" s="8" t="s">
        <v>376</v>
      </c>
      <c r="H773" s="8"/>
      <c r="I773" s="14" t="s">
        <v>1642</v>
      </c>
      <c r="J773" s="15"/>
      <c r="K773" s="8" t="s">
        <v>1976</v>
      </c>
      <c r="L773" s="8"/>
      <c r="M773" s="6" t="s">
        <v>1643</v>
      </c>
      <c r="N773" s="6" t="s">
        <v>1644</v>
      </c>
      <c r="O773" s="7">
        <f>SUMIFS('05_상품별배치367'!$K$7:$K$373,'05_상품별배치367'!$E$7:$E$373,A773,'05_상품별배치367'!$H$7:$H$373,"본진")</f>
        <v>0</v>
      </c>
      <c r="P773" s="7">
        <f>SUMIFS('05_상품별배치367'!$K$7:$K$373,'05_상품별배치367'!$E$7:$E$373,A773,'05_상품별배치367'!$H$7:$H$373,"추가 진열")</f>
        <v>0</v>
      </c>
      <c r="Q773" s="7">
        <f>O773+P773</f>
        <v>0</v>
      </c>
      <c r="R773" s="7">
        <v>1</v>
      </c>
      <c r="S773" s="6" t="s">
        <v>3016</v>
      </c>
      <c r="T773" s="6" t="s">
        <v>1637</v>
      </c>
      <c r="U773" s="6"/>
      <c r="V773" s="16"/>
      <c r="W773" s="16"/>
      <c r="X773" s="16"/>
      <c r="Y773" s="6" t="s">
        <v>1627</v>
      </c>
      <c r="Z773" s="15"/>
      <c r="AA773" s="15" t="s">
        <v>1628</v>
      </c>
    </row>
    <row r="774" spans="1:27" ht="33" customHeight="1">
      <c r="A774" s="8" t="s">
        <v>4751</v>
      </c>
      <c r="B774" s="9">
        <v>1360</v>
      </c>
      <c r="C774" s="8" t="s">
        <v>4752</v>
      </c>
      <c r="D774" s="8" t="s">
        <v>2856</v>
      </c>
      <c r="E774" s="8" t="s">
        <v>2134</v>
      </c>
      <c r="F774" s="8" t="s">
        <v>1263</v>
      </c>
      <c r="G774" s="8" t="s">
        <v>376</v>
      </c>
      <c r="H774" s="8"/>
      <c r="I774" s="14" t="s">
        <v>1642</v>
      </c>
      <c r="J774" s="15"/>
      <c r="K774" s="8" t="s">
        <v>1976</v>
      </c>
      <c r="L774" s="8"/>
      <c r="M774" s="6" t="s">
        <v>1643</v>
      </c>
      <c r="N774" s="6" t="s">
        <v>1644</v>
      </c>
      <c r="O774" s="7">
        <f>SUMIFS('05_상품별배치367'!$K$7:$K$373,'05_상품별배치367'!$E$7:$E$373,A774,'05_상품별배치367'!$H$7:$H$373,"본진")</f>
        <v>0</v>
      </c>
      <c r="P774" s="7">
        <f>SUMIFS('05_상품별배치367'!$K$7:$K$373,'05_상품별배치367'!$E$7:$E$373,A774,'05_상품별배치367'!$H$7:$H$373,"추가 진열")</f>
        <v>0</v>
      </c>
      <c r="Q774" s="7">
        <f>O774+P774</f>
        <v>0</v>
      </c>
      <c r="R774" s="7">
        <v>1</v>
      </c>
      <c r="S774" s="6" t="s">
        <v>3016</v>
      </c>
      <c r="T774" s="6" t="s">
        <v>1637</v>
      </c>
      <c r="U774" s="6"/>
      <c r="V774" s="16"/>
      <c r="W774" s="16"/>
      <c r="X774" s="16"/>
      <c r="Y774" s="6" t="s">
        <v>1627</v>
      </c>
      <c r="Z774" s="15"/>
      <c r="AA774" s="15" t="s">
        <v>1628</v>
      </c>
    </row>
    <row r="775" spans="1:27" ht="33" customHeight="1">
      <c r="A775" s="6" t="s">
        <v>4753</v>
      </c>
      <c r="B775" s="7">
        <v>1361</v>
      </c>
      <c r="C775" s="6" t="s">
        <v>4754</v>
      </c>
      <c r="D775" s="6" t="s">
        <v>2856</v>
      </c>
      <c r="E775" s="6" t="s">
        <v>2134</v>
      </c>
      <c r="F775" s="6" t="s">
        <v>1263</v>
      </c>
      <c r="G775" s="6" t="s">
        <v>376</v>
      </c>
      <c r="H775" s="6"/>
      <c r="I775" s="14" t="s">
        <v>1642</v>
      </c>
      <c r="J775" s="15"/>
      <c r="K775" s="6" t="s">
        <v>1976</v>
      </c>
      <c r="L775" s="6"/>
      <c r="M775" s="6" t="s">
        <v>1643</v>
      </c>
      <c r="N775" s="6" t="s">
        <v>1644</v>
      </c>
      <c r="O775" s="7">
        <f>SUMIFS('05_상품별배치367'!$K$7:$K$373,'05_상품별배치367'!$E$7:$E$373,A775,'05_상품별배치367'!$H$7:$H$373,"본진")</f>
        <v>0</v>
      </c>
      <c r="P775" s="7">
        <f>SUMIFS('05_상품별배치367'!$K$7:$K$373,'05_상품별배치367'!$E$7:$E$373,A775,'05_상품별배치367'!$H$7:$H$373,"추가 진열")</f>
        <v>0</v>
      </c>
      <c r="Q775" s="7">
        <f>O775+P775</f>
        <v>0</v>
      </c>
      <c r="R775" s="7">
        <v>1</v>
      </c>
      <c r="S775" s="6" t="s">
        <v>3016</v>
      </c>
      <c r="T775" s="6" t="s">
        <v>1637</v>
      </c>
      <c r="U775" s="6"/>
      <c r="V775" s="16"/>
      <c r="W775" s="16"/>
      <c r="X775" s="16"/>
      <c r="Y775" s="6" t="s">
        <v>1627</v>
      </c>
      <c r="Z775" s="15"/>
      <c r="AA775" s="15" t="s">
        <v>1628</v>
      </c>
    </row>
    <row r="776" spans="1:27" ht="33" customHeight="1">
      <c r="A776" s="8" t="s">
        <v>4755</v>
      </c>
      <c r="B776" s="9">
        <v>1362</v>
      </c>
      <c r="C776" s="8" t="s">
        <v>4756</v>
      </c>
      <c r="D776" s="8" t="s">
        <v>2133</v>
      </c>
      <c r="E776" s="8" t="s">
        <v>2134</v>
      </c>
      <c r="F776" s="8" t="s">
        <v>1263</v>
      </c>
      <c r="G776" s="8" t="s">
        <v>376</v>
      </c>
      <c r="H776" s="8"/>
      <c r="I776" s="14" t="s">
        <v>1642</v>
      </c>
      <c r="J776" s="15"/>
      <c r="K776" s="8" t="s">
        <v>1976</v>
      </c>
      <c r="L776" s="8"/>
      <c r="M776" s="6" t="s">
        <v>1643</v>
      </c>
      <c r="N776" s="6" t="s">
        <v>1644</v>
      </c>
      <c r="O776" s="7">
        <f>SUMIFS('05_상품별배치367'!$K$7:$K$373,'05_상품별배치367'!$E$7:$E$373,A776,'05_상품별배치367'!$H$7:$H$373,"본진")</f>
        <v>0</v>
      </c>
      <c r="P776" s="7">
        <f>SUMIFS('05_상품별배치367'!$K$7:$K$373,'05_상품별배치367'!$E$7:$E$373,A776,'05_상품별배치367'!$H$7:$H$373,"추가 진열")</f>
        <v>0</v>
      </c>
      <c r="Q776" s="7">
        <f>O776+P776</f>
        <v>0</v>
      </c>
      <c r="R776" s="7">
        <v>1</v>
      </c>
      <c r="S776" s="6" t="s">
        <v>3016</v>
      </c>
      <c r="T776" s="6" t="s">
        <v>1637</v>
      </c>
      <c r="U776" s="6"/>
      <c r="V776" s="16"/>
      <c r="W776" s="16"/>
      <c r="X776" s="16"/>
      <c r="Y776" s="6" t="s">
        <v>1627</v>
      </c>
      <c r="Z776" s="15"/>
      <c r="AA776" s="15" t="s">
        <v>1628</v>
      </c>
    </row>
    <row r="777" spans="1:27" ht="33" customHeight="1">
      <c r="A777" s="6" t="s">
        <v>4757</v>
      </c>
      <c r="B777" s="7">
        <v>1363</v>
      </c>
      <c r="C777" s="6" t="s">
        <v>4758</v>
      </c>
      <c r="D777" s="6" t="s">
        <v>2133</v>
      </c>
      <c r="E777" s="6" t="s">
        <v>2134</v>
      </c>
      <c r="F777" s="6" t="s">
        <v>1263</v>
      </c>
      <c r="G777" s="6" t="s">
        <v>376</v>
      </c>
      <c r="H777" s="6"/>
      <c r="I777" s="14" t="s">
        <v>1642</v>
      </c>
      <c r="J777" s="15"/>
      <c r="K777" s="6" t="s">
        <v>1976</v>
      </c>
      <c r="L777" s="6"/>
      <c r="M777" s="6" t="s">
        <v>1643</v>
      </c>
      <c r="N777" s="6" t="s">
        <v>1644</v>
      </c>
      <c r="O777" s="7">
        <f>SUMIFS('05_상품별배치367'!$K$7:$K$373,'05_상품별배치367'!$E$7:$E$373,A777,'05_상품별배치367'!$H$7:$H$373,"본진")</f>
        <v>0</v>
      </c>
      <c r="P777" s="7">
        <f>SUMIFS('05_상품별배치367'!$K$7:$K$373,'05_상품별배치367'!$E$7:$E$373,A777,'05_상품별배치367'!$H$7:$H$373,"추가 진열")</f>
        <v>0</v>
      </c>
      <c r="Q777" s="7">
        <f>O777+P777</f>
        <v>0</v>
      </c>
      <c r="R777" s="7">
        <v>1</v>
      </c>
      <c r="S777" s="6" t="s">
        <v>3016</v>
      </c>
      <c r="T777" s="6" t="s">
        <v>1637</v>
      </c>
      <c r="U777" s="6"/>
      <c r="V777" s="16"/>
      <c r="W777" s="16"/>
      <c r="X777" s="16"/>
      <c r="Y777" s="6" t="s">
        <v>1627</v>
      </c>
      <c r="Z777" s="15"/>
      <c r="AA777" s="15" t="s">
        <v>1628</v>
      </c>
    </row>
    <row r="778" spans="1:27" ht="33" customHeight="1">
      <c r="A778" s="8" t="s">
        <v>2804</v>
      </c>
      <c r="B778" s="9">
        <v>462</v>
      </c>
      <c r="C778" s="8" t="s">
        <v>2805</v>
      </c>
      <c r="D778" s="8" t="s">
        <v>2795</v>
      </c>
      <c r="E778" s="8" t="s">
        <v>1743</v>
      </c>
      <c r="F778" s="8" t="s">
        <v>2784</v>
      </c>
      <c r="G778" s="8" t="s">
        <v>1668</v>
      </c>
      <c r="H778" s="8"/>
      <c r="I778" s="14" t="s">
        <v>1807</v>
      </c>
      <c r="J778" s="6"/>
      <c r="K778" s="8" t="s">
        <v>1696</v>
      </c>
      <c r="L778" s="8" t="s">
        <v>1808</v>
      </c>
      <c r="M778" s="6" t="s">
        <v>1809</v>
      </c>
      <c r="N778" s="6" t="s">
        <v>1624</v>
      </c>
      <c r="O778" s="7">
        <f>SUMIFS('05_상품별배치367'!$K$7:$K$373,'05_상품별배치367'!$E$7:$E$373,A778,'05_상품별배치367'!$H$7:$H$373,"본진")</f>
        <v>0</v>
      </c>
      <c r="P778" s="7">
        <f>SUMIFS('05_상품별배치367'!$K$7:$K$373,'05_상품별배치367'!$E$7:$E$373,A778,'05_상품별배치367'!$H$7:$H$373,"추가 진열")</f>
        <v>0</v>
      </c>
      <c r="Q778" s="7">
        <f>O778+P778</f>
        <v>0</v>
      </c>
      <c r="R778" s="7">
        <v>0</v>
      </c>
      <c r="S778" s="6" t="s">
        <v>1810</v>
      </c>
      <c r="T778" s="6" t="s">
        <v>1637</v>
      </c>
      <c r="U778" s="6"/>
      <c r="V778" s="16"/>
      <c r="W778" s="16"/>
      <c r="X778" s="16"/>
      <c r="Y778" s="6" t="s">
        <v>1627</v>
      </c>
      <c r="Z778" s="15"/>
      <c r="AA778" s="15" t="s">
        <v>1628</v>
      </c>
    </row>
    <row r="779" spans="1:27" ht="33" customHeight="1">
      <c r="A779" s="8" t="s">
        <v>2808</v>
      </c>
      <c r="B779" s="9">
        <v>464</v>
      </c>
      <c r="C779" s="8" t="s">
        <v>2809</v>
      </c>
      <c r="D779" s="8" t="s">
        <v>2810</v>
      </c>
      <c r="E779" s="8" t="s">
        <v>1743</v>
      </c>
      <c r="F779" s="8" t="s">
        <v>2784</v>
      </c>
      <c r="G779" s="8" t="s">
        <v>1668</v>
      </c>
      <c r="H779" s="8"/>
      <c r="I779" s="14" t="s">
        <v>1807</v>
      </c>
      <c r="J779" s="6"/>
      <c r="K779" s="8" t="s">
        <v>1696</v>
      </c>
      <c r="L779" s="8" t="s">
        <v>1808</v>
      </c>
      <c r="M779" s="6" t="s">
        <v>1809</v>
      </c>
      <c r="N779" s="6" t="s">
        <v>1644</v>
      </c>
      <c r="O779" s="7">
        <f>SUMIFS('05_상품별배치367'!$K$7:$K$373,'05_상품별배치367'!$E$7:$E$373,A779,'05_상품별배치367'!$H$7:$H$373,"본진")</f>
        <v>0</v>
      </c>
      <c r="P779" s="7">
        <f>SUMIFS('05_상품별배치367'!$K$7:$K$373,'05_상품별배치367'!$E$7:$E$373,A779,'05_상품별배치367'!$H$7:$H$373,"추가 진열")</f>
        <v>0</v>
      </c>
      <c r="Q779" s="7">
        <f>O779+P779</f>
        <v>0</v>
      </c>
      <c r="R779" s="7">
        <v>0</v>
      </c>
      <c r="S779" s="6" t="s">
        <v>1810</v>
      </c>
      <c r="T779" s="6" t="s">
        <v>1637</v>
      </c>
      <c r="U779" s="6"/>
      <c r="V779" s="16"/>
      <c r="W779" s="16"/>
      <c r="X779" s="16"/>
      <c r="Y779" s="6" t="s">
        <v>1627</v>
      </c>
      <c r="Z779" s="15"/>
      <c r="AA779" s="15" t="s">
        <v>1628</v>
      </c>
    </row>
    <row r="780" spans="1:27" ht="33" customHeight="1">
      <c r="A780" s="8" t="s">
        <v>2796</v>
      </c>
      <c r="B780" s="9">
        <v>458</v>
      </c>
      <c r="C780" s="8" t="s">
        <v>2797</v>
      </c>
      <c r="D780" s="8" t="s">
        <v>1662</v>
      </c>
      <c r="E780" s="8" t="s">
        <v>1743</v>
      </c>
      <c r="F780" s="8" t="s">
        <v>2784</v>
      </c>
      <c r="G780" s="8" t="s">
        <v>1668</v>
      </c>
      <c r="H780" s="8"/>
      <c r="I780" s="14" t="s">
        <v>1807</v>
      </c>
      <c r="J780" s="6"/>
      <c r="K780" s="8" t="s">
        <v>1696</v>
      </c>
      <c r="L780" s="8" t="s">
        <v>1808</v>
      </c>
      <c r="M780" s="6" t="s">
        <v>1809</v>
      </c>
      <c r="N780" s="6" t="s">
        <v>1644</v>
      </c>
      <c r="O780" s="7">
        <f>SUMIFS('05_상품별배치367'!$K$7:$K$373,'05_상품별배치367'!$E$7:$E$373,A780,'05_상품별배치367'!$H$7:$H$373,"본진")</f>
        <v>0</v>
      </c>
      <c r="P780" s="7">
        <f>SUMIFS('05_상품별배치367'!$K$7:$K$373,'05_상품별배치367'!$E$7:$E$373,A780,'05_상품별배치367'!$H$7:$H$373,"추가 진열")</f>
        <v>0</v>
      </c>
      <c r="Q780" s="7">
        <f>O780+P780</f>
        <v>0</v>
      </c>
      <c r="R780" s="7">
        <v>0</v>
      </c>
      <c r="S780" s="6" t="s">
        <v>1810</v>
      </c>
      <c r="T780" s="6" t="s">
        <v>1637</v>
      </c>
      <c r="U780" s="6"/>
      <c r="V780" s="16"/>
      <c r="W780" s="16"/>
      <c r="X780" s="16"/>
      <c r="Y780" s="6" t="s">
        <v>1627</v>
      </c>
      <c r="Z780" s="15"/>
      <c r="AA780" s="15" t="s">
        <v>1628</v>
      </c>
    </row>
    <row r="781" spans="1:27" ht="33" customHeight="1">
      <c r="A781" s="6" t="s">
        <v>2793</v>
      </c>
      <c r="B781" s="7">
        <v>457</v>
      </c>
      <c r="C781" s="6" t="s">
        <v>2794</v>
      </c>
      <c r="D781" s="6" t="s">
        <v>2795</v>
      </c>
      <c r="E781" s="6" t="s">
        <v>1743</v>
      </c>
      <c r="F781" s="6" t="s">
        <v>2784</v>
      </c>
      <c r="G781" s="6" t="s">
        <v>1668</v>
      </c>
      <c r="H781" s="6"/>
      <c r="I781" s="14" t="s">
        <v>1807</v>
      </c>
      <c r="J781" s="6"/>
      <c r="K781" s="6" t="s">
        <v>1696</v>
      </c>
      <c r="L781" s="6" t="s">
        <v>1808</v>
      </c>
      <c r="M781" s="6" t="s">
        <v>1809</v>
      </c>
      <c r="N781" s="6" t="s">
        <v>1644</v>
      </c>
      <c r="O781" s="7">
        <f>SUMIFS('05_상품별배치367'!$K$7:$K$373,'05_상품별배치367'!$E$7:$E$373,A781,'05_상품별배치367'!$H$7:$H$373,"본진")</f>
        <v>0</v>
      </c>
      <c r="P781" s="7">
        <f>SUMIFS('05_상품별배치367'!$K$7:$K$373,'05_상품별배치367'!$E$7:$E$373,A781,'05_상품별배치367'!$H$7:$H$373,"추가 진열")</f>
        <v>0</v>
      </c>
      <c r="Q781" s="7">
        <f>O781+P781</f>
        <v>0</v>
      </c>
      <c r="R781" s="7">
        <v>0</v>
      </c>
      <c r="S781" s="6" t="s">
        <v>1810</v>
      </c>
      <c r="T781" s="6" t="s">
        <v>1637</v>
      </c>
      <c r="U781" s="6"/>
      <c r="V781" s="16"/>
      <c r="W781" s="16"/>
      <c r="X781" s="16"/>
      <c r="Y781" s="6" t="s">
        <v>1627</v>
      </c>
      <c r="Z781" s="15"/>
      <c r="AA781" s="15" t="s">
        <v>1628</v>
      </c>
    </row>
    <row r="782" spans="1:27" ht="33" customHeight="1">
      <c r="A782" s="8" t="s">
        <v>2800</v>
      </c>
      <c r="B782" s="9">
        <v>460</v>
      </c>
      <c r="C782" s="8" t="s">
        <v>2801</v>
      </c>
      <c r="D782" s="8" t="s">
        <v>2795</v>
      </c>
      <c r="E782" s="8" t="s">
        <v>1743</v>
      </c>
      <c r="F782" s="8" t="s">
        <v>2784</v>
      </c>
      <c r="G782" s="8" t="s">
        <v>1668</v>
      </c>
      <c r="H782" s="8"/>
      <c r="I782" s="14" t="s">
        <v>1807</v>
      </c>
      <c r="J782" s="6"/>
      <c r="K782" s="8" t="s">
        <v>1696</v>
      </c>
      <c r="L782" s="8" t="s">
        <v>1808</v>
      </c>
      <c r="M782" s="6" t="s">
        <v>1809</v>
      </c>
      <c r="N782" s="6" t="s">
        <v>1644</v>
      </c>
      <c r="O782" s="7">
        <f>SUMIFS('05_상품별배치367'!$K$7:$K$373,'05_상품별배치367'!$E$7:$E$373,A782,'05_상품별배치367'!$H$7:$H$373,"본진")</f>
        <v>0</v>
      </c>
      <c r="P782" s="7">
        <f>SUMIFS('05_상품별배치367'!$K$7:$K$373,'05_상품별배치367'!$E$7:$E$373,A782,'05_상품별배치367'!$H$7:$H$373,"추가 진열")</f>
        <v>0</v>
      </c>
      <c r="Q782" s="7">
        <f>O782+P782</f>
        <v>0</v>
      </c>
      <c r="R782" s="7">
        <v>0</v>
      </c>
      <c r="S782" s="6" t="s">
        <v>1810</v>
      </c>
      <c r="T782" s="6" t="s">
        <v>1637</v>
      </c>
      <c r="U782" s="6"/>
      <c r="V782" s="16"/>
      <c r="W782" s="16"/>
      <c r="X782" s="16"/>
      <c r="Y782" s="6" t="s">
        <v>1627</v>
      </c>
      <c r="Z782" s="15"/>
      <c r="AA782" s="15" t="s">
        <v>1628</v>
      </c>
    </row>
    <row r="783" spans="1:27" ht="33" customHeight="1">
      <c r="A783" s="6" t="s">
        <v>2798</v>
      </c>
      <c r="B783" s="7">
        <v>459</v>
      </c>
      <c r="C783" s="6" t="s">
        <v>2799</v>
      </c>
      <c r="D783" s="6" t="s">
        <v>2795</v>
      </c>
      <c r="E783" s="6" t="s">
        <v>1743</v>
      </c>
      <c r="F783" s="6" t="s">
        <v>2784</v>
      </c>
      <c r="G783" s="6" t="s">
        <v>1668</v>
      </c>
      <c r="H783" s="6"/>
      <c r="I783" s="14" t="s">
        <v>1807</v>
      </c>
      <c r="J783" s="6"/>
      <c r="K783" s="6" t="s">
        <v>1696</v>
      </c>
      <c r="L783" s="6" t="s">
        <v>1808</v>
      </c>
      <c r="M783" s="6" t="s">
        <v>1809</v>
      </c>
      <c r="N783" s="6" t="s">
        <v>1644</v>
      </c>
      <c r="O783" s="7">
        <f>SUMIFS('05_상품별배치367'!$K$7:$K$373,'05_상품별배치367'!$E$7:$E$373,A783,'05_상품별배치367'!$H$7:$H$373,"본진")</f>
        <v>0</v>
      </c>
      <c r="P783" s="7">
        <f>SUMIFS('05_상품별배치367'!$K$7:$K$373,'05_상품별배치367'!$E$7:$E$373,A783,'05_상품별배치367'!$H$7:$H$373,"추가 진열")</f>
        <v>0</v>
      </c>
      <c r="Q783" s="7">
        <f>O783+P783</f>
        <v>0</v>
      </c>
      <c r="R783" s="7">
        <v>0</v>
      </c>
      <c r="S783" s="6" t="s">
        <v>1810</v>
      </c>
      <c r="T783" s="6" t="s">
        <v>1637</v>
      </c>
      <c r="U783" s="6"/>
      <c r="V783" s="16"/>
      <c r="W783" s="16"/>
      <c r="X783" s="16"/>
      <c r="Y783" s="6" t="s">
        <v>1627</v>
      </c>
      <c r="Z783" s="15"/>
      <c r="AA783" s="15" t="s">
        <v>1628</v>
      </c>
    </row>
    <row r="784" spans="1:27" ht="33" customHeight="1">
      <c r="A784" s="6" t="s">
        <v>2802</v>
      </c>
      <c r="B784" s="7">
        <v>461</v>
      </c>
      <c r="C784" s="6" t="s">
        <v>2803</v>
      </c>
      <c r="D784" s="6" t="s">
        <v>2795</v>
      </c>
      <c r="E784" s="6" t="s">
        <v>1743</v>
      </c>
      <c r="F784" s="6" t="s">
        <v>2784</v>
      </c>
      <c r="G784" s="6" t="s">
        <v>1668</v>
      </c>
      <c r="H784" s="6"/>
      <c r="I784" s="14" t="s">
        <v>1807</v>
      </c>
      <c r="J784" s="6"/>
      <c r="K784" s="6" t="s">
        <v>1696</v>
      </c>
      <c r="L784" s="6" t="s">
        <v>1808</v>
      </c>
      <c r="M784" s="6" t="s">
        <v>1809</v>
      </c>
      <c r="N784" s="6" t="s">
        <v>1644</v>
      </c>
      <c r="O784" s="7">
        <f>SUMIFS('05_상품별배치367'!$K$7:$K$373,'05_상품별배치367'!$E$7:$E$373,A784,'05_상품별배치367'!$H$7:$H$373,"본진")</f>
        <v>0</v>
      </c>
      <c r="P784" s="7">
        <f>SUMIFS('05_상품별배치367'!$K$7:$K$373,'05_상품별배치367'!$E$7:$E$373,A784,'05_상품별배치367'!$H$7:$H$373,"추가 진열")</f>
        <v>0</v>
      </c>
      <c r="Q784" s="7">
        <f>O784+P784</f>
        <v>0</v>
      </c>
      <c r="R784" s="7">
        <v>0</v>
      </c>
      <c r="S784" s="6" t="s">
        <v>1810</v>
      </c>
      <c r="T784" s="6" t="s">
        <v>1637</v>
      </c>
      <c r="U784" s="6"/>
      <c r="V784" s="16"/>
      <c r="W784" s="16"/>
      <c r="X784" s="16"/>
      <c r="Y784" s="6" t="s">
        <v>1627</v>
      </c>
      <c r="Z784" s="15"/>
      <c r="AA784" s="15" t="s">
        <v>1628</v>
      </c>
    </row>
    <row r="785" spans="1:27" ht="33" customHeight="1">
      <c r="A785" s="6" t="s">
        <v>2806</v>
      </c>
      <c r="B785" s="7">
        <v>463</v>
      </c>
      <c r="C785" s="6" t="s">
        <v>2807</v>
      </c>
      <c r="D785" s="6" t="s">
        <v>2795</v>
      </c>
      <c r="E785" s="6" t="s">
        <v>1743</v>
      </c>
      <c r="F785" s="6" t="s">
        <v>2784</v>
      </c>
      <c r="G785" s="6" t="s">
        <v>1668</v>
      </c>
      <c r="H785" s="6"/>
      <c r="I785" s="14" t="s">
        <v>1807</v>
      </c>
      <c r="J785" s="6"/>
      <c r="K785" s="6" t="s">
        <v>1696</v>
      </c>
      <c r="L785" s="6" t="s">
        <v>1808</v>
      </c>
      <c r="M785" s="6" t="s">
        <v>1809</v>
      </c>
      <c r="N785" s="6" t="s">
        <v>1644</v>
      </c>
      <c r="O785" s="7">
        <f>SUMIFS('05_상품별배치367'!$K$7:$K$373,'05_상품별배치367'!$E$7:$E$373,A785,'05_상품별배치367'!$H$7:$H$373,"본진")</f>
        <v>0</v>
      </c>
      <c r="P785" s="7">
        <f>SUMIFS('05_상품별배치367'!$K$7:$K$373,'05_상품별배치367'!$E$7:$E$373,A785,'05_상품별배치367'!$H$7:$H$373,"추가 진열")</f>
        <v>0</v>
      </c>
      <c r="Q785" s="7">
        <f>O785+P785</f>
        <v>0</v>
      </c>
      <c r="R785" s="7">
        <v>0</v>
      </c>
      <c r="S785" s="6" t="s">
        <v>1810</v>
      </c>
      <c r="T785" s="6" t="s">
        <v>1637</v>
      </c>
      <c r="U785" s="6"/>
      <c r="V785" s="16"/>
      <c r="W785" s="16"/>
      <c r="X785" s="16"/>
      <c r="Y785" s="6" t="s">
        <v>1627</v>
      </c>
      <c r="Z785" s="15"/>
      <c r="AA785" s="15" t="s">
        <v>1628</v>
      </c>
    </row>
    <row r="786" spans="1:27" ht="33" customHeight="1">
      <c r="A786" s="8" t="s">
        <v>6980</v>
      </c>
      <c r="B786" s="9">
        <v>2398</v>
      </c>
      <c r="C786" s="8" t="s">
        <v>6981</v>
      </c>
      <c r="D786" s="8" t="s">
        <v>6982</v>
      </c>
      <c r="E786" s="8" t="s">
        <v>1620</v>
      </c>
      <c r="F786" s="8" t="s">
        <v>65</v>
      </c>
      <c r="G786" s="8" t="s">
        <v>59</v>
      </c>
      <c r="H786" s="8" t="s">
        <v>611</v>
      </c>
      <c r="I786" s="14" t="s">
        <v>1621</v>
      </c>
      <c r="J786" s="15"/>
      <c r="K786" s="8" t="s">
        <v>1622</v>
      </c>
      <c r="L786" s="8" t="s">
        <v>3828</v>
      </c>
      <c r="M786" s="6" t="s">
        <v>1623</v>
      </c>
      <c r="N786" s="6" t="s">
        <v>1624</v>
      </c>
      <c r="O786" s="7">
        <f>SUMIFS('05_상품별배치367'!$K$7:$K$373,'05_상품별배치367'!$E$7:$E$373,A786,'05_상품별배치367'!$H$7:$H$373,"본진")</f>
        <v>1</v>
      </c>
      <c r="P786" s="7">
        <f>SUMIFS('05_상품별배치367'!$K$7:$K$373,'05_상품별배치367'!$E$7:$E$373,A786,'05_상품별배치367'!$H$7:$H$373,"추가 진열")</f>
        <v>0</v>
      </c>
      <c r="Q786" s="7">
        <f>O786+P786</f>
        <v>1</v>
      </c>
      <c r="R786" s="7">
        <v>1</v>
      </c>
      <c r="S786" s="6" t="s">
        <v>1625</v>
      </c>
      <c r="T786" s="6" t="s">
        <v>1637</v>
      </c>
      <c r="U786" s="6"/>
      <c r="V786" s="16"/>
      <c r="W786" s="16"/>
      <c r="X786" s="16"/>
      <c r="Y786" s="6" t="s">
        <v>1655</v>
      </c>
      <c r="Z786" s="15"/>
      <c r="AA786" s="15" t="s">
        <v>1628</v>
      </c>
    </row>
    <row r="787" spans="1:27" ht="33" customHeight="1">
      <c r="A787" s="6" t="s">
        <v>6983</v>
      </c>
      <c r="B787" s="7">
        <v>2399</v>
      </c>
      <c r="C787" s="6" t="s">
        <v>6984</v>
      </c>
      <c r="D787" s="6" t="s">
        <v>6985</v>
      </c>
      <c r="E787" s="6" t="s">
        <v>1620</v>
      </c>
      <c r="F787" s="6" t="s">
        <v>65</v>
      </c>
      <c r="G787" s="6" t="s">
        <v>59</v>
      </c>
      <c r="H787" s="6" t="s">
        <v>607</v>
      </c>
      <c r="I787" s="14" t="s">
        <v>1642</v>
      </c>
      <c r="J787" s="15"/>
      <c r="K787" s="6" t="s">
        <v>1622</v>
      </c>
      <c r="L787" s="6" t="s">
        <v>3828</v>
      </c>
      <c r="M787" s="6" t="s">
        <v>1643</v>
      </c>
      <c r="N787" s="6" t="s">
        <v>1624</v>
      </c>
      <c r="O787" s="7">
        <f>SUMIFS('05_상품별배치367'!$K$7:$K$373,'05_상품별배치367'!$E$7:$E$373,A787,'05_상품별배치367'!$H$7:$H$373,"본진")</f>
        <v>0</v>
      </c>
      <c r="P787" s="7">
        <f>SUMIFS('05_상품별배치367'!$K$7:$K$373,'05_상품별배치367'!$E$7:$E$373,A787,'05_상품별배치367'!$H$7:$H$373,"추가 진열")</f>
        <v>0</v>
      </c>
      <c r="Q787" s="7">
        <f>O787+P787</f>
        <v>0</v>
      </c>
      <c r="R787" s="7">
        <v>1</v>
      </c>
      <c r="S787" s="6" t="s">
        <v>2326</v>
      </c>
      <c r="T787" s="6" t="s">
        <v>1637</v>
      </c>
      <c r="U787" s="6"/>
      <c r="V787" s="16"/>
      <c r="W787" s="16"/>
      <c r="X787" s="16"/>
      <c r="Y787" s="6" t="s">
        <v>1655</v>
      </c>
      <c r="Z787" s="15"/>
      <c r="AA787" s="15" t="s">
        <v>1628</v>
      </c>
    </row>
    <row r="788" spans="1:27" ht="33" customHeight="1">
      <c r="A788" s="8" t="s">
        <v>1778</v>
      </c>
      <c r="B788" s="9">
        <v>54</v>
      </c>
      <c r="C788" s="8" t="s">
        <v>1779</v>
      </c>
      <c r="D788" s="8" t="s">
        <v>1780</v>
      </c>
      <c r="E788" s="8" t="s">
        <v>1620</v>
      </c>
      <c r="F788" s="8" t="s">
        <v>65</v>
      </c>
      <c r="G788" s="8" t="s">
        <v>59</v>
      </c>
      <c r="H788" s="8" t="s">
        <v>611</v>
      </c>
      <c r="I788" s="14" t="s">
        <v>1633</v>
      </c>
      <c r="J788" s="15"/>
      <c r="K788" s="8" t="s">
        <v>1622</v>
      </c>
      <c r="L788" s="8"/>
      <c r="M788" s="6" t="s">
        <v>1635</v>
      </c>
      <c r="N788" s="6" t="s">
        <v>1624</v>
      </c>
      <c r="O788" s="7">
        <f>SUMIFS('05_상품별배치367'!$K$7:$K$373,'05_상품별배치367'!$E$7:$E$373,A788,'05_상품별배치367'!$H$7:$H$373,"본진")</f>
        <v>1</v>
      </c>
      <c r="P788" s="7">
        <f>SUMIFS('05_상품별배치367'!$K$7:$K$373,'05_상품별배치367'!$E$7:$E$373,A788,'05_상품별배치367'!$H$7:$H$373,"추가 진열")</f>
        <v>0</v>
      </c>
      <c r="Q788" s="7">
        <f>O788+P788</f>
        <v>1</v>
      </c>
      <c r="R788" s="7">
        <v>1</v>
      </c>
      <c r="S788" s="6" t="s">
        <v>1636</v>
      </c>
      <c r="T788" s="6" t="s">
        <v>1637</v>
      </c>
      <c r="U788" s="6"/>
      <c r="V788" s="16"/>
      <c r="W788" s="16"/>
      <c r="X788" s="16"/>
      <c r="Y788" s="6" t="s">
        <v>1655</v>
      </c>
      <c r="Z788" s="15"/>
      <c r="AA788" s="15" t="s">
        <v>1628</v>
      </c>
    </row>
    <row r="789" spans="1:27" ht="33" customHeight="1">
      <c r="A789" s="6" t="s">
        <v>7253</v>
      </c>
      <c r="B789" s="7">
        <v>2527</v>
      </c>
      <c r="C789" s="6" t="s">
        <v>7254</v>
      </c>
      <c r="D789" s="6" t="s">
        <v>3319</v>
      </c>
      <c r="E789" s="6" t="s">
        <v>1981</v>
      </c>
      <c r="F789" s="6" t="s">
        <v>122</v>
      </c>
      <c r="G789" s="6" t="s">
        <v>185</v>
      </c>
      <c r="H789" s="6" t="s">
        <v>891</v>
      </c>
      <c r="I789" s="14" t="s">
        <v>1633</v>
      </c>
      <c r="J789" s="15"/>
      <c r="K789" s="6" t="s">
        <v>1982</v>
      </c>
      <c r="L789" s="6" t="s">
        <v>3828</v>
      </c>
      <c r="M789" s="6" t="s">
        <v>1635</v>
      </c>
      <c r="N789" s="6" t="s">
        <v>1624</v>
      </c>
      <c r="O789" s="7">
        <f>SUMIFS('05_상품별배치367'!$K$7:$K$373,'05_상품별배치367'!$E$7:$E$373,A789,'05_상품별배치367'!$H$7:$H$373,"본진")</f>
        <v>1</v>
      </c>
      <c r="P789" s="7">
        <f>SUMIFS('05_상품별배치367'!$K$7:$K$373,'05_상품별배치367'!$E$7:$E$373,A789,'05_상품별배치367'!$H$7:$H$373,"추가 진열")</f>
        <v>0</v>
      </c>
      <c r="Q789" s="7">
        <f>O789+P789</f>
        <v>1</v>
      </c>
      <c r="R789" s="7">
        <v>1</v>
      </c>
      <c r="S789" s="6" t="s">
        <v>1636</v>
      </c>
      <c r="T789" s="6" t="s">
        <v>1637</v>
      </c>
      <c r="U789" s="6"/>
      <c r="V789" s="16"/>
      <c r="W789" s="16"/>
      <c r="X789" s="16"/>
      <c r="Y789" s="6" t="s">
        <v>1627</v>
      </c>
      <c r="Z789" s="15"/>
      <c r="AA789" s="15" t="s">
        <v>1628</v>
      </c>
    </row>
    <row r="790" spans="1:27" ht="33" customHeight="1">
      <c r="A790" s="8" t="s">
        <v>4668</v>
      </c>
      <c r="B790" s="9">
        <v>1320</v>
      </c>
      <c r="C790" s="8" t="s">
        <v>4669</v>
      </c>
      <c r="D790" s="8" t="s">
        <v>2856</v>
      </c>
      <c r="E790" s="8" t="s">
        <v>1814</v>
      </c>
      <c r="F790" s="8" t="s">
        <v>1376</v>
      </c>
      <c r="G790" s="8" t="s">
        <v>431</v>
      </c>
      <c r="H790" s="8"/>
      <c r="I790" s="14" t="s">
        <v>1642</v>
      </c>
      <c r="J790" s="15"/>
      <c r="K790" s="8" t="s">
        <v>1976</v>
      </c>
      <c r="L790" s="8"/>
      <c r="M790" s="6" t="s">
        <v>1643</v>
      </c>
      <c r="N790" s="6" t="s">
        <v>1624</v>
      </c>
      <c r="O790" s="7">
        <f>SUMIFS('05_상품별배치367'!$K$7:$K$373,'05_상품별배치367'!$E$7:$E$373,A790,'05_상품별배치367'!$H$7:$H$373,"본진")</f>
        <v>0</v>
      </c>
      <c r="P790" s="7">
        <f>SUMIFS('05_상품별배치367'!$K$7:$K$373,'05_상품별배치367'!$E$7:$E$373,A790,'05_상품별배치367'!$H$7:$H$373,"추가 진열")</f>
        <v>0</v>
      </c>
      <c r="Q790" s="7">
        <f>O790+P790</f>
        <v>0</v>
      </c>
      <c r="R790" s="7">
        <v>1</v>
      </c>
      <c r="S790" s="6" t="s">
        <v>1978</v>
      </c>
      <c r="T790" s="6" t="s">
        <v>1637</v>
      </c>
      <c r="U790" s="6"/>
      <c r="V790" s="16"/>
      <c r="W790" s="16"/>
      <c r="X790" s="16"/>
      <c r="Y790" s="6" t="s">
        <v>1627</v>
      </c>
      <c r="Z790" s="15"/>
      <c r="AA790" s="15" t="s">
        <v>1628</v>
      </c>
    </row>
    <row r="791" spans="1:27" ht="33" customHeight="1">
      <c r="A791" s="6" t="s">
        <v>4666</v>
      </c>
      <c r="B791" s="7">
        <v>1319</v>
      </c>
      <c r="C791" s="6" t="s">
        <v>4667</v>
      </c>
      <c r="D791" s="6" t="s">
        <v>2856</v>
      </c>
      <c r="E791" s="6" t="s">
        <v>2134</v>
      </c>
      <c r="F791" s="6" t="s">
        <v>1081</v>
      </c>
      <c r="G791" s="6" t="s">
        <v>290</v>
      </c>
      <c r="H791" s="6"/>
      <c r="I791" s="14" t="s">
        <v>1642</v>
      </c>
      <c r="J791" s="15"/>
      <c r="K791" s="6" t="s">
        <v>1976</v>
      </c>
      <c r="L791" s="6"/>
      <c r="M791" s="6" t="s">
        <v>1643</v>
      </c>
      <c r="N791" s="6" t="s">
        <v>1624</v>
      </c>
      <c r="O791" s="7">
        <f>SUMIFS('05_상품별배치367'!$K$7:$K$373,'05_상품별배치367'!$E$7:$E$373,A791,'05_상품별배치367'!$H$7:$H$373,"본진")</f>
        <v>0</v>
      </c>
      <c r="P791" s="7">
        <f>SUMIFS('05_상품별배치367'!$K$7:$K$373,'05_상품별배치367'!$E$7:$E$373,A791,'05_상품별배치367'!$H$7:$H$373,"추가 진열")</f>
        <v>0</v>
      </c>
      <c r="Q791" s="7">
        <f>O791+P791</f>
        <v>0</v>
      </c>
      <c r="R791" s="7">
        <v>1</v>
      </c>
      <c r="S791" s="6" t="s">
        <v>2135</v>
      </c>
      <c r="T791" s="6" t="s">
        <v>1637</v>
      </c>
      <c r="U791" s="6"/>
      <c r="V791" s="16"/>
      <c r="W791" s="16"/>
      <c r="X791" s="16"/>
      <c r="Y791" s="6" t="s">
        <v>1627</v>
      </c>
      <c r="Z791" s="15"/>
      <c r="AA791" s="15" t="s">
        <v>1628</v>
      </c>
    </row>
    <row r="792" spans="1:27" ht="33" customHeight="1">
      <c r="A792" s="8" t="s">
        <v>7142</v>
      </c>
      <c r="B792" s="9">
        <v>2474</v>
      </c>
      <c r="C792" s="8" t="s">
        <v>7143</v>
      </c>
      <c r="D792" s="8" t="s">
        <v>2856</v>
      </c>
      <c r="E792" s="8" t="s">
        <v>2134</v>
      </c>
      <c r="F792" s="8" t="s">
        <v>1081</v>
      </c>
      <c r="G792" s="8" t="s">
        <v>290</v>
      </c>
      <c r="H792" s="8" t="s">
        <v>1090</v>
      </c>
      <c r="I792" s="14" t="s">
        <v>1633</v>
      </c>
      <c r="J792" s="15"/>
      <c r="K792" s="8" t="s">
        <v>1976</v>
      </c>
      <c r="L792" s="8" t="s">
        <v>3828</v>
      </c>
      <c r="M792" s="6" t="s">
        <v>1635</v>
      </c>
      <c r="N792" s="6" t="s">
        <v>1624</v>
      </c>
      <c r="O792" s="7">
        <f>SUMIFS('05_상품별배치367'!$K$7:$K$373,'05_상품별배치367'!$E$7:$E$373,A792,'05_상품별배치367'!$H$7:$H$373,"본진")</f>
        <v>1</v>
      </c>
      <c r="P792" s="7">
        <f>SUMIFS('05_상품별배치367'!$K$7:$K$373,'05_상품별배치367'!$E$7:$E$373,A792,'05_상품별배치367'!$H$7:$H$373,"추가 진열")</f>
        <v>0</v>
      </c>
      <c r="Q792" s="7">
        <f>O792+P792</f>
        <v>1</v>
      </c>
      <c r="R792" s="7">
        <v>1</v>
      </c>
      <c r="S792" s="6" t="s">
        <v>1636</v>
      </c>
      <c r="T792" s="6" t="s">
        <v>1637</v>
      </c>
      <c r="U792" s="6"/>
      <c r="V792" s="16"/>
      <c r="W792" s="16"/>
      <c r="X792" s="16"/>
      <c r="Y792" s="6" t="s">
        <v>1627</v>
      </c>
      <c r="Z792" s="15"/>
      <c r="AA792" s="15" t="s">
        <v>1628</v>
      </c>
    </row>
    <row r="793" spans="1:27" ht="33" customHeight="1">
      <c r="A793" s="8" t="s">
        <v>4674</v>
      </c>
      <c r="B793" s="9">
        <v>1322</v>
      </c>
      <c r="C793" s="8" t="s">
        <v>4675</v>
      </c>
      <c r="D793" s="8" t="s">
        <v>2007</v>
      </c>
      <c r="E793" s="8" t="s">
        <v>1695</v>
      </c>
      <c r="F793" s="8" t="s">
        <v>954</v>
      </c>
      <c r="G793" s="8" t="s">
        <v>219</v>
      </c>
      <c r="H793" s="8"/>
      <c r="I793" s="14" t="s">
        <v>1642</v>
      </c>
      <c r="J793" s="15"/>
      <c r="K793" s="8" t="s">
        <v>1696</v>
      </c>
      <c r="L793" s="8"/>
      <c r="M793" s="6" t="s">
        <v>1643</v>
      </c>
      <c r="N793" s="6" t="s">
        <v>1624</v>
      </c>
      <c r="O793" s="7">
        <f>SUMIFS('05_상품별배치367'!$K$7:$K$373,'05_상품별배치367'!$E$7:$E$373,A793,'05_상품별배치367'!$H$7:$H$373,"본진")</f>
        <v>0</v>
      </c>
      <c r="P793" s="7">
        <f>SUMIFS('05_상품별배치367'!$K$7:$K$373,'05_상품별배치367'!$E$7:$E$373,A793,'05_상품별배치367'!$H$7:$H$373,"추가 진열")</f>
        <v>0</v>
      </c>
      <c r="Q793" s="7">
        <f>O793+P793</f>
        <v>0</v>
      </c>
      <c r="R793" s="7">
        <v>1</v>
      </c>
      <c r="S793" s="6" t="s">
        <v>2884</v>
      </c>
      <c r="T793" s="6" t="s">
        <v>1637</v>
      </c>
      <c r="U793" s="6"/>
      <c r="V793" s="16"/>
      <c r="W793" s="16"/>
      <c r="X793" s="16"/>
      <c r="Y793" s="6" t="s">
        <v>1627</v>
      </c>
      <c r="Z793" s="15"/>
      <c r="AA793" s="15" t="s">
        <v>1628</v>
      </c>
    </row>
    <row r="794" spans="1:27" ht="33" customHeight="1">
      <c r="A794" s="6" t="s">
        <v>4676</v>
      </c>
      <c r="B794" s="7">
        <v>1323</v>
      </c>
      <c r="C794" s="6" t="s">
        <v>4677</v>
      </c>
      <c r="D794" s="6" t="s">
        <v>1876</v>
      </c>
      <c r="E794" s="6" t="s">
        <v>2134</v>
      </c>
      <c r="F794" s="6" t="s">
        <v>156</v>
      </c>
      <c r="G794" s="6" t="s">
        <v>3239</v>
      </c>
      <c r="H794" s="6"/>
      <c r="I794" s="14" t="s">
        <v>1642</v>
      </c>
      <c r="J794" s="15"/>
      <c r="K794" s="6" t="s">
        <v>1976</v>
      </c>
      <c r="L794" s="6"/>
      <c r="M794" s="6" t="s">
        <v>1643</v>
      </c>
      <c r="N794" s="6" t="s">
        <v>1624</v>
      </c>
      <c r="O794" s="7">
        <f>SUMIFS('05_상품별배치367'!$K$7:$K$373,'05_상품별배치367'!$E$7:$E$373,A794,'05_상품별배치367'!$H$7:$H$373,"본진")</f>
        <v>0</v>
      </c>
      <c r="P794" s="7">
        <f>SUMIFS('05_상품별배치367'!$K$7:$K$373,'05_상품별배치367'!$E$7:$E$373,A794,'05_상품별배치367'!$H$7:$H$373,"추가 진열")</f>
        <v>0</v>
      </c>
      <c r="Q794" s="7">
        <f>O794+P794</f>
        <v>0</v>
      </c>
      <c r="R794" s="7">
        <v>1</v>
      </c>
      <c r="S794" s="6" t="s">
        <v>3240</v>
      </c>
      <c r="T794" s="6" t="s">
        <v>1637</v>
      </c>
      <c r="U794" s="6"/>
      <c r="V794" s="16"/>
      <c r="W794" s="16"/>
      <c r="X794" s="16"/>
      <c r="Y794" s="6" t="s">
        <v>1627</v>
      </c>
      <c r="Z794" s="15"/>
      <c r="AA794" s="15" t="s">
        <v>1628</v>
      </c>
    </row>
    <row r="795" spans="1:27" ht="33" customHeight="1">
      <c r="A795" s="8" t="s">
        <v>4678</v>
      </c>
      <c r="B795" s="9">
        <v>1324</v>
      </c>
      <c r="C795" s="8" t="s">
        <v>4679</v>
      </c>
      <c r="D795" s="8" t="s">
        <v>1876</v>
      </c>
      <c r="E795" s="8" t="s">
        <v>2134</v>
      </c>
      <c r="F795" s="8" t="s">
        <v>1081</v>
      </c>
      <c r="G795" s="8" t="s">
        <v>290</v>
      </c>
      <c r="H795" s="8"/>
      <c r="I795" s="14" t="s">
        <v>1642</v>
      </c>
      <c r="J795" s="15"/>
      <c r="K795" s="8" t="s">
        <v>1976</v>
      </c>
      <c r="L795" s="8"/>
      <c r="M795" s="6" t="s">
        <v>1643</v>
      </c>
      <c r="N795" s="6" t="s">
        <v>1624</v>
      </c>
      <c r="O795" s="7">
        <f>SUMIFS('05_상품별배치367'!$K$7:$K$373,'05_상품별배치367'!$E$7:$E$373,A795,'05_상품별배치367'!$H$7:$H$373,"본진")</f>
        <v>0</v>
      </c>
      <c r="P795" s="7">
        <f>SUMIFS('05_상품별배치367'!$K$7:$K$373,'05_상품별배치367'!$E$7:$E$373,A795,'05_상품별배치367'!$H$7:$H$373,"추가 진열")</f>
        <v>0</v>
      </c>
      <c r="Q795" s="7">
        <f>O795+P795</f>
        <v>0</v>
      </c>
      <c r="R795" s="7">
        <v>1</v>
      </c>
      <c r="S795" s="6" t="s">
        <v>2135</v>
      </c>
      <c r="T795" s="6" t="s">
        <v>1637</v>
      </c>
      <c r="U795" s="6"/>
      <c r="V795" s="16"/>
      <c r="W795" s="16"/>
      <c r="X795" s="16"/>
      <c r="Y795" s="6" t="s">
        <v>1627</v>
      </c>
      <c r="Z795" s="15"/>
      <c r="AA795" s="15" t="s">
        <v>1628</v>
      </c>
    </row>
    <row r="796" spans="1:27" ht="33" customHeight="1">
      <c r="A796" s="6" t="s">
        <v>4662</v>
      </c>
      <c r="B796" s="7">
        <v>1317</v>
      </c>
      <c r="C796" s="6" t="s">
        <v>4663</v>
      </c>
      <c r="D796" s="6" t="s">
        <v>1662</v>
      </c>
      <c r="E796" s="6" t="s">
        <v>2134</v>
      </c>
      <c r="F796" s="6" t="s">
        <v>162</v>
      </c>
      <c r="G796" s="6" t="s">
        <v>404</v>
      </c>
      <c r="H796" s="6"/>
      <c r="I796" s="14" t="s">
        <v>1642</v>
      </c>
      <c r="J796" s="15"/>
      <c r="K796" s="6" t="s">
        <v>1976</v>
      </c>
      <c r="L796" s="6"/>
      <c r="M796" s="6" t="s">
        <v>1643</v>
      </c>
      <c r="N796" s="6" t="s">
        <v>1624</v>
      </c>
      <c r="O796" s="7">
        <f>SUMIFS('05_상품별배치367'!$K$7:$K$373,'05_상품별배치367'!$E$7:$E$373,A796,'05_상품별배치367'!$H$7:$H$373,"본진")</f>
        <v>0</v>
      </c>
      <c r="P796" s="7">
        <f>SUMIFS('05_상품별배치367'!$K$7:$K$373,'05_상품별배치367'!$E$7:$E$373,A796,'05_상품별배치367'!$H$7:$H$373,"추가 진열")</f>
        <v>0</v>
      </c>
      <c r="Q796" s="7">
        <f>O796+P796</f>
        <v>0</v>
      </c>
      <c r="R796" s="7">
        <v>1</v>
      </c>
      <c r="S796" s="6" t="s">
        <v>2996</v>
      </c>
      <c r="T796" s="6" t="s">
        <v>1637</v>
      </c>
      <c r="U796" s="6"/>
      <c r="V796" s="16"/>
      <c r="W796" s="16"/>
      <c r="X796" s="16"/>
      <c r="Y796" s="6" t="s">
        <v>1627</v>
      </c>
      <c r="Z796" s="15"/>
      <c r="AA796" s="15" t="s">
        <v>1628</v>
      </c>
    </row>
    <row r="797" spans="1:27" ht="33" customHeight="1">
      <c r="A797" s="6" t="s">
        <v>4680</v>
      </c>
      <c r="B797" s="7">
        <v>1325</v>
      </c>
      <c r="C797" s="6" t="s">
        <v>4681</v>
      </c>
      <c r="D797" s="6" t="s">
        <v>1658</v>
      </c>
      <c r="E797" s="6" t="s">
        <v>2134</v>
      </c>
      <c r="F797" s="6" t="s">
        <v>162</v>
      </c>
      <c r="G797" s="6" t="s">
        <v>404</v>
      </c>
      <c r="H797" s="6"/>
      <c r="I797" s="14" t="s">
        <v>1642</v>
      </c>
      <c r="J797" s="15"/>
      <c r="K797" s="6" t="s">
        <v>1976</v>
      </c>
      <c r="L797" s="6"/>
      <c r="M797" s="6" t="s">
        <v>1643</v>
      </c>
      <c r="N797" s="6" t="s">
        <v>1624</v>
      </c>
      <c r="O797" s="7">
        <f>SUMIFS('05_상품별배치367'!$K$7:$K$373,'05_상품별배치367'!$E$7:$E$373,A797,'05_상품별배치367'!$H$7:$H$373,"본진")</f>
        <v>0</v>
      </c>
      <c r="P797" s="7">
        <f>SUMIFS('05_상품별배치367'!$K$7:$K$373,'05_상품별배치367'!$E$7:$E$373,A797,'05_상품별배치367'!$H$7:$H$373,"추가 진열")</f>
        <v>0</v>
      </c>
      <c r="Q797" s="7">
        <f>O797+P797</f>
        <v>0</v>
      </c>
      <c r="R797" s="7">
        <v>1</v>
      </c>
      <c r="S797" s="6" t="s">
        <v>2996</v>
      </c>
      <c r="T797" s="6" t="s">
        <v>1637</v>
      </c>
      <c r="U797" s="6"/>
      <c r="V797" s="16"/>
      <c r="W797" s="16"/>
      <c r="X797" s="16"/>
      <c r="Y797" s="6" t="s">
        <v>1627</v>
      </c>
      <c r="Z797" s="15"/>
      <c r="AA797" s="15" t="s">
        <v>1628</v>
      </c>
    </row>
    <row r="798" spans="1:27" ht="33" customHeight="1">
      <c r="A798" s="8" t="s">
        <v>4664</v>
      </c>
      <c r="B798" s="9">
        <v>1318</v>
      </c>
      <c r="C798" s="8" t="s">
        <v>4665</v>
      </c>
      <c r="D798" s="8" t="s">
        <v>2856</v>
      </c>
      <c r="E798" s="8" t="s">
        <v>2134</v>
      </c>
      <c r="F798" s="8" t="s">
        <v>162</v>
      </c>
      <c r="G798" s="8" t="s">
        <v>404</v>
      </c>
      <c r="H798" s="8"/>
      <c r="I798" s="14" t="s">
        <v>1642</v>
      </c>
      <c r="J798" s="15"/>
      <c r="K798" s="8" t="s">
        <v>1976</v>
      </c>
      <c r="L798" s="8"/>
      <c r="M798" s="6" t="s">
        <v>1643</v>
      </c>
      <c r="N798" s="6" t="s">
        <v>1624</v>
      </c>
      <c r="O798" s="7">
        <f>SUMIFS('05_상품별배치367'!$K$7:$K$373,'05_상품별배치367'!$E$7:$E$373,A798,'05_상품별배치367'!$H$7:$H$373,"본진")</f>
        <v>0</v>
      </c>
      <c r="P798" s="7">
        <f>SUMIFS('05_상품별배치367'!$K$7:$K$373,'05_상품별배치367'!$E$7:$E$373,A798,'05_상품별배치367'!$H$7:$H$373,"추가 진열")</f>
        <v>0</v>
      </c>
      <c r="Q798" s="7">
        <f>O798+P798</f>
        <v>0</v>
      </c>
      <c r="R798" s="7">
        <v>1</v>
      </c>
      <c r="S798" s="6" t="s">
        <v>2996</v>
      </c>
      <c r="T798" s="6" t="s">
        <v>1637</v>
      </c>
      <c r="U798" s="6"/>
      <c r="V798" s="16"/>
      <c r="W798" s="16"/>
      <c r="X798" s="16"/>
      <c r="Y798" s="6" t="s">
        <v>1627</v>
      </c>
      <c r="Z798" s="15"/>
      <c r="AA798" s="15" t="s">
        <v>1628</v>
      </c>
    </row>
    <row r="799" spans="1:27" ht="33" customHeight="1">
      <c r="A799" s="8" t="s">
        <v>4660</v>
      </c>
      <c r="B799" s="9">
        <v>1316</v>
      </c>
      <c r="C799" s="8" t="s">
        <v>4661</v>
      </c>
      <c r="D799" s="8" t="s">
        <v>2133</v>
      </c>
      <c r="E799" s="8" t="s">
        <v>2134</v>
      </c>
      <c r="F799" s="8" t="s">
        <v>162</v>
      </c>
      <c r="G799" s="8" t="s">
        <v>404</v>
      </c>
      <c r="H799" s="8"/>
      <c r="I799" s="14" t="s">
        <v>1642</v>
      </c>
      <c r="J799" s="15"/>
      <c r="K799" s="8" t="s">
        <v>1976</v>
      </c>
      <c r="L799" s="8"/>
      <c r="M799" s="6" t="s">
        <v>1643</v>
      </c>
      <c r="N799" s="6" t="s">
        <v>1624</v>
      </c>
      <c r="O799" s="7">
        <f>SUMIFS('05_상품별배치367'!$K$7:$K$373,'05_상품별배치367'!$E$7:$E$373,A799,'05_상품별배치367'!$H$7:$H$373,"본진")</f>
        <v>0</v>
      </c>
      <c r="P799" s="7">
        <f>SUMIFS('05_상품별배치367'!$K$7:$K$373,'05_상품별배치367'!$E$7:$E$373,A799,'05_상품별배치367'!$H$7:$H$373,"추가 진열")</f>
        <v>0</v>
      </c>
      <c r="Q799" s="7">
        <f>O799+P799</f>
        <v>0</v>
      </c>
      <c r="R799" s="7">
        <v>1</v>
      </c>
      <c r="S799" s="6" t="s">
        <v>2996</v>
      </c>
      <c r="T799" s="6" t="s">
        <v>1637</v>
      </c>
      <c r="U799" s="6"/>
      <c r="V799" s="16"/>
      <c r="W799" s="16"/>
      <c r="X799" s="16"/>
      <c r="Y799" s="6" t="s">
        <v>1627</v>
      </c>
      <c r="Z799" s="15"/>
      <c r="AA799" s="15" t="s">
        <v>1628</v>
      </c>
    </row>
    <row r="800" spans="1:27" ht="33" customHeight="1">
      <c r="A800" s="8" t="s">
        <v>4673</v>
      </c>
      <c r="B800" s="9">
        <v>2476</v>
      </c>
      <c r="C800" s="8" t="s">
        <v>7146</v>
      </c>
      <c r="D800" s="8" t="s">
        <v>2133</v>
      </c>
      <c r="E800" s="8" t="s">
        <v>1986</v>
      </c>
      <c r="F800" s="8" t="s">
        <v>493</v>
      </c>
      <c r="G800" s="8" t="s">
        <v>299</v>
      </c>
      <c r="H800" s="8" t="s">
        <v>1103</v>
      </c>
      <c r="I800" s="14" t="s">
        <v>1633</v>
      </c>
      <c r="J800" s="15"/>
      <c r="K800" s="8" t="s">
        <v>1976</v>
      </c>
      <c r="L800" s="8" t="s">
        <v>3828</v>
      </c>
      <c r="M800" s="6" t="s">
        <v>1635</v>
      </c>
      <c r="N800" s="6" t="s">
        <v>1624</v>
      </c>
      <c r="O800" s="7">
        <f>SUMIFS('05_상품별배치367'!$K$7:$K$373,'05_상품별배치367'!$E$7:$E$373,A800,'05_상품별배치367'!$H$7:$H$373,"본진")</f>
        <v>1</v>
      </c>
      <c r="P800" s="7">
        <f>SUMIFS('05_상품별배치367'!$K$7:$K$373,'05_상품별배치367'!$E$7:$E$373,A800,'05_상품별배치367'!$H$7:$H$373,"추가 진열")</f>
        <v>0</v>
      </c>
      <c r="Q800" s="7">
        <f>O800+P800</f>
        <v>1</v>
      </c>
      <c r="R800" s="7">
        <v>1</v>
      </c>
      <c r="S800" s="6" t="s">
        <v>1636</v>
      </c>
      <c r="T800" s="6" t="s">
        <v>1637</v>
      </c>
      <c r="U800" s="6"/>
      <c r="V800" s="16"/>
      <c r="W800" s="16"/>
      <c r="X800" s="16"/>
      <c r="Y800" s="6" t="s">
        <v>1627</v>
      </c>
      <c r="Z800" s="15"/>
      <c r="AA800" s="15" t="s">
        <v>1628</v>
      </c>
    </row>
    <row r="801" spans="1:27" ht="33" customHeight="1">
      <c r="A801" s="6" t="s">
        <v>4670</v>
      </c>
      <c r="B801" s="7">
        <v>1321</v>
      </c>
      <c r="C801" s="6" t="s">
        <v>4671</v>
      </c>
      <c r="D801" s="6" t="s">
        <v>2133</v>
      </c>
      <c r="E801" s="6" t="s">
        <v>1986</v>
      </c>
      <c r="F801" s="6" t="s">
        <v>493</v>
      </c>
      <c r="G801" s="6" t="s">
        <v>299</v>
      </c>
      <c r="H801" s="6"/>
      <c r="I801" s="14" t="s">
        <v>1642</v>
      </c>
      <c r="J801" s="15"/>
      <c r="K801" s="6" t="s">
        <v>1976</v>
      </c>
      <c r="L801" s="6"/>
      <c r="M801" s="6" t="s">
        <v>1643</v>
      </c>
      <c r="N801" s="6" t="s">
        <v>1624</v>
      </c>
      <c r="O801" s="7">
        <f>SUMIFS('05_상품별배치367'!$K$7:$K$373,'05_상품별배치367'!$E$7:$E$373,A801,'05_상품별배치367'!$H$7:$H$373,"본진")</f>
        <v>0</v>
      </c>
      <c r="P801" s="7">
        <f>SUMIFS('05_상품별배치367'!$K$7:$K$373,'05_상품별배치367'!$E$7:$E$373,A801,'05_상품별배치367'!$H$7:$H$373,"추가 진열")</f>
        <v>0</v>
      </c>
      <c r="Q801" s="7">
        <f>O801+P801</f>
        <v>0</v>
      </c>
      <c r="R801" s="7">
        <v>1</v>
      </c>
      <c r="S801" s="6" t="s">
        <v>4672</v>
      </c>
      <c r="T801" s="6" t="s">
        <v>1637</v>
      </c>
      <c r="U801" s="6" t="s">
        <v>4673</v>
      </c>
      <c r="V801" s="16"/>
      <c r="W801" s="16"/>
      <c r="X801" s="16"/>
      <c r="Y801" s="6" t="s">
        <v>1627</v>
      </c>
      <c r="Z801" s="15"/>
      <c r="AA801" s="15" t="s">
        <v>1628</v>
      </c>
    </row>
    <row r="802" spans="1:27" ht="33" customHeight="1">
      <c r="A802" s="6" t="s">
        <v>4402</v>
      </c>
      <c r="B802" s="7">
        <v>1189</v>
      </c>
      <c r="C802" s="6" t="s">
        <v>4403</v>
      </c>
      <c r="D802" s="6" t="s">
        <v>2714</v>
      </c>
      <c r="E802" s="6" t="s">
        <v>2134</v>
      </c>
      <c r="F802" s="6" t="s">
        <v>1081</v>
      </c>
      <c r="G802" s="6" t="s">
        <v>290</v>
      </c>
      <c r="H802" s="6" t="s">
        <v>1082</v>
      </c>
      <c r="I802" s="14" t="s">
        <v>1633</v>
      </c>
      <c r="J802" s="15"/>
      <c r="K802" s="6" t="s">
        <v>1976</v>
      </c>
      <c r="L802" s="6"/>
      <c r="M802" s="6" t="s">
        <v>1635</v>
      </c>
      <c r="N802" s="6" t="s">
        <v>1624</v>
      </c>
      <c r="O802" s="7">
        <f>SUMIFS('05_상품별배치367'!$K$7:$K$373,'05_상품별배치367'!$E$7:$E$373,A802,'05_상품별배치367'!$H$7:$H$373,"본진")</f>
        <v>1</v>
      </c>
      <c r="P802" s="7">
        <f>SUMIFS('05_상품별배치367'!$K$7:$K$373,'05_상품별배치367'!$E$7:$E$373,A802,'05_상품별배치367'!$H$7:$H$373,"추가 진열")</f>
        <v>0</v>
      </c>
      <c r="Q802" s="7">
        <f>O802+P802</f>
        <v>1</v>
      </c>
      <c r="R802" s="7">
        <v>1</v>
      </c>
      <c r="S802" s="6" t="s">
        <v>1636</v>
      </c>
      <c r="T802" s="6" t="s">
        <v>4404</v>
      </c>
      <c r="U802" s="6"/>
      <c r="V802" s="16"/>
      <c r="W802" s="16"/>
      <c r="X802" s="16"/>
      <c r="Y802" s="6" t="s">
        <v>1627</v>
      </c>
      <c r="Z802" s="15"/>
      <c r="AA802" s="15" t="s">
        <v>1628</v>
      </c>
    </row>
    <row r="803" spans="1:27" ht="33" customHeight="1">
      <c r="A803" s="8" t="s">
        <v>4405</v>
      </c>
      <c r="B803" s="9">
        <v>1190</v>
      </c>
      <c r="C803" s="8" t="s">
        <v>4406</v>
      </c>
      <c r="D803" s="8" t="s">
        <v>2714</v>
      </c>
      <c r="E803" s="8" t="s">
        <v>1814</v>
      </c>
      <c r="F803" s="8" t="s">
        <v>1376</v>
      </c>
      <c r="G803" s="8" t="s">
        <v>431</v>
      </c>
      <c r="H803" s="8"/>
      <c r="I803" s="14" t="s">
        <v>1642</v>
      </c>
      <c r="J803" s="15"/>
      <c r="K803" s="8" t="s">
        <v>1976</v>
      </c>
      <c r="L803" s="8"/>
      <c r="M803" s="6" t="s">
        <v>1643</v>
      </c>
      <c r="N803" s="6" t="s">
        <v>1624</v>
      </c>
      <c r="O803" s="7">
        <f>SUMIFS('05_상품별배치367'!$K$7:$K$373,'05_상품별배치367'!$E$7:$E$373,A803,'05_상품별배치367'!$H$7:$H$373,"본진")</f>
        <v>0</v>
      </c>
      <c r="P803" s="7">
        <f>SUMIFS('05_상품별배치367'!$K$7:$K$373,'05_상품별배치367'!$E$7:$E$373,A803,'05_상품별배치367'!$H$7:$H$373,"추가 진열")</f>
        <v>0</v>
      </c>
      <c r="Q803" s="7">
        <f>O803+P803</f>
        <v>0</v>
      </c>
      <c r="R803" s="7">
        <v>1</v>
      </c>
      <c r="S803" s="6" t="s">
        <v>1978</v>
      </c>
      <c r="T803" s="6" t="s">
        <v>4404</v>
      </c>
      <c r="U803" s="6"/>
      <c r="V803" s="16"/>
      <c r="W803" s="16"/>
      <c r="X803" s="16"/>
      <c r="Y803" s="6" t="s">
        <v>1627</v>
      </c>
      <c r="Z803" s="15"/>
      <c r="AA803" s="15" t="s">
        <v>1628</v>
      </c>
    </row>
    <row r="804" spans="1:27" ht="33" customHeight="1">
      <c r="A804" s="8" t="s">
        <v>1096</v>
      </c>
      <c r="B804" s="9">
        <v>1192</v>
      </c>
      <c r="C804" s="8" t="s">
        <v>1095</v>
      </c>
      <c r="D804" s="8" t="s">
        <v>3924</v>
      </c>
      <c r="E804" s="8" t="s">
        <v>2134</v>
      </c>
      <c r="F804" s="8" t="s">
        <v>1081</v>
      </c>
      <c r="G804" s="8" t="s">
        <v>290</v>
      </c>
      <c r="H804" s="8" t="s">
        <v>1094</v>
      </c>
      <c r="I804" s="14" t="s">
        <v>1633</v>
      </c>
      <c r="J804" s="15"/>
      <c r="K804" s="8" t="s">
        <v>1976</v>
      </c>
      <c r="L804" s="8"/>
      <c r="M804" s="6" t="s">
        <v>1635</v>
      </c>
      <c r="N804" s="6" t="s">
        <v>1624</v>
      </c>
      <c r="O804" s="7">
        <f>SUMIFS('05_상품별배치367'!$K$7:$K$373,'05_상품별배치367'!$E$7:$E$373,A804,'05_상품별배치367'!$H$7:$H$373,"본진")</f>
        <v>1</v>
      </c>
      <c r="P804" s="7">
        <f>SUMIFS('05_상품별배치367'!$K$7:$K$373,'05_상품별배치367'!$E$7:$E$373,A804,'05_상품별배치367'!$H$7:$H$373,"추가 진열")</f>
        <v>0</v>
      </c>
      <c r="Q804" s="7">
        <f>O804+P804</f>
        <v>1</v>
      </c>
      <c r="R804" s="7">
        <v>1</v>
      </c>
      <c r="S804" s="6" t="s">
        <v>1636</v>
      </c>
      <c r="T804" s="6" t="s">
        <v>4404</v>
      </c>
      <c r="U804" s="6"/>
      <c r="V804" s="16"/>
      <c r="W804" s="16"/>
      <c r="X804" s="16"/>
      <c r="Y804" s="6" t="s">
        <v>1627</v>
      </c>
      <c r="Z804" s="15"/>
      <c r="AA804" s="15" t="s">
        <v>1628</v>
      </c>
    </row>
    <row r="805" spans="1:27" ht="33" customHeight="1">
      <c r="A805" s="6" t="s">
        <v>4407</v>
      </c>
      <c r="B805" s="7">
        <v>1191</v>
      </c>
      <c r="C805" s="6" t="s">
        <v>4408</v>
      </c>
      <c r="D805" s="6" t="s">
        <v>2133</v>
      </c>
      <c r="E805" s="6" t="s">
        <v>2134</v>
      </c>
      <c r="F805" s="6" t="s">
        <v>1081</v>
      </c>
      <c r="G805" s="6" t="s">
        <v>290</v>
      </c>
      <c r="H805" s="6" t="s">
        <v>1090</v>
      </c>
      <c r="I805" s="14" t="s">
        <v>1633</v>
      </c>
      <c r="J805" s="15"/>
      <c r="K805" s="6" t="s">
        <v>1976</v>
      </c>
      <c r="L805" s="6"/>
      <c r="M805" s="6" t="s">
        <v>1635</v>
      </c>
      <c r="N805" s="6" t="s">
        <v>1624</v>
      </c>
      <c r="O805" s="7">
        <f>SUMIFS('05_상품별배치367'!$K$7:$K$373,'05_상품별배치367'!$E$7:$E$373,A805,'05_상품별배치367'!$H$7:$H$373,"본진")</f>
        <v>1</v>
      </c>
      <c r="P805" s="7">
        <f>SUMIFS('05_상품별배치367'!$K$7:$K$373,'05_상품별배치367'!$E$7:$E$373,A805,'05_상품별배치367'!$H$7:$H$373,"추가 진열")</f>
        <v>0</v>
      </c>
      <c r="Q805" s="7">
        <f>O805+P805</f>
        <v>1</v>
      </c>
      <c r="R805" s="7">
        <v>1</v>
      </c>
      <c r="S805" s="6" t="s">
        <v>1636</v>
      </c>
      <c r="T805" s="6" t="s">
        <v>4404</v>
      </c>
      <c r="U805" s="6"/>
      <c r="V805" s="16"/>
      <c r="W805" s="16"/>
      <c r="X805" s="16"/>
      <c r="Y805" s="6" t="s">
        <v>1627</v>
      </c>
      <c r="Z805" s="15"/>
      <c r="AA805" s="15" t="s">
        <v>1628</v>
      </c>
    </row>
    <row r="806" spans="1:27" ht="33" customHeight="1">
      <c r="A806" s="6" t="s">
        <v>4409</v>
      </c>
      <c r="B806" s="7">
        <v>1193</v>
      </c>
      <c r="C806" s="6" t="s">
        <v>4410</v>
      </c>
      <c r="D806" s="6" t="s">
        <v>3164</v>
      </c>
      <c r="E806" s="6" t="s">
        <v>2134</v>
      </c>
      <c r="F806" s="6" t="s">
        <v>1263</v>
      </c>
      <c r="G806" s="6" t="s">
        <v>376</v>
      </c>
      <c r="H806" s="6" t="s">
        <v>1271</v>
      </c>
      <c r="I806" s="14" t="s">
        <v>1633</v>
      </c>
      <c r="J806" s="15"/>
      <c r="K806" s="6" t="s">
        <v>1976</v>
      </c>
      <c r="L806" s="6"/>
      <c r="M806" s="6" t="s">
        <v>1635</v>
      </c>
      <c r="N806" s="6" t="s">
        <v>1624</v>
      </c>
      <c r="O806" s="7">
        <f>SUMIFS('05_상품별배치367'!$K$7:$K$373,'05_상품별배치367'!$E$7:$E$373,A806,'05_상품별배치367'!$H$7:$H$373,"본진")</f>
        <v>1</v>
      </c>
      <c r="P806" s="7">
        <f>SUMIFS('05_상품별배치367'!$K$7:$K$373,'05_상품별배치367'!$E$7:$E$373,A806,'05_상품별배치367'!$H$7:$H$373,"추가 진열")</f>
        <v>0</v>
      </c>
      <c r="Q806" s="7">
        <f>O806+P806</f>
        <v>1</v>
      </c>
      <c r="R806" s="7">
        <v>1</v>
      </c>
      <c r="S806" s="6" t="s">
        <v>1636</v>
      </c>
      <c r="T806" s="6" t="s">
        <v>4404</v>
      </c>
      <c r="U806" s="6"/>
      <c r="V806" s="16"/>
      <c r="W806" s="16"/>
      <c r="X806" s="16"/>
      <c r="Y806" s="6" t="s">
        <v>1627</v>
      </c>
      <c r="Z806" s="15"/>
      <c r="AA806" s="15" t="s">
        <v>1628</v>
      </c>
    </row>
    <row r="807" spans="1:27" ht="33" customHeight="1">
      <c r="A807" s="8" t="s">
        <v>1282</v>
      </c>
      <c r="B807" s="9">
        <v>1194</v>
      </c>
      <c r="C807" s="8" t="s">
        <v>1281</v>
      </c>
      <c r="D807" s="8" t="s">
        <v>2133</v>
      </c>
      <c r="E807" s="8" t="s">
        <v>2134</v>
      </c>
      <c r="F807" s="8" t="s">
        <v>1263</v>
      </c>
      <c r="G807" s="8" t="s">
        <v>376</v>
      </c>
      <c r="H807" s="8" t="s">
        <v>1280</v>
      </c>
      <c r="I807" s="14" t="s">
        <v>1633</v>
      </c>
      <c r="J807" s="15"/>
      <c r="K807" s="8" t="s">
        <v>1976</v>
      </c>
      <c r="L807" s="8"/>
      <c r="M807" s="6" t="s">
        <v>1635</v>
      </c>
      <c r="N807" s="6" t="s">
        <v>1624</v>
      </c>
      <c r="O807" s="7">
        <f>SUMIFS('05_상품별배치367'!$K$7:$K$373,'05_상품별배치367'!$E$7:$E$373,A807,'05_상품별배치367'!$H$7:$H$373,"본진")</f>
        <v>1</v>
      </c>
      <c r="P807" s="7">
        <f>SUMIFS('05_상품별배치367'!$K$7:$K$373,'05_상품별배치367'!$E$7:$E$373,A807,'05_상품별배치367'!$H$7:$H$373,"추가 진열")</f>
        <v>0</v>
      </c>
      <c r="Q807" s="7">
        <f>O807+P807</f>
        <v>1</v>
      </c>
      <c r="R807" s="7">
        <v>1</v>
      </c>
      <c r="S807" s="6" t="s">
        <v>1636</v>
      </c>
      <c r="T807" s="6" t="s">
        <v>4404</v>
      </c>
      <c r="U807" s="6"/>
      <c r="V807" s="16"/>
      <c r="W807" s="16"/>
      <c r="X807" s="16"/>
      <c r="Y807" s="6" t="s">
        <v>1627</v>
      </c>
      <c r="Z807" s="15"/>
      <c r="AA807" s="15" t="s">
        <v>1628</v>
      </c>
    </row>
    <row r="808" spans="1:27" ht="33" customHeight="1">
      <c r="A808" s="8" t="s">
        <v>1588</v>
      </c>
      <c r="B808" s="9">
        <v>2384</v>
      </c>
      <c r="C808" s="8" t="s">
        <v>1587</v>
      </c>
      <c r="D808" s="8" t="s">
        <v>4197</v>
      </c>
      <c r="E808" s="8" t="s">
        <v>1666</v>
      </c>
      <c r="F808" s="8" t="s">
        <v>520</v>
      </c>
      <c r="G808" s="8" t="s">
        <v>463</v>
      </c>
      <c r="H808" s="8" t="s">
        <v>1451</v>
      </c>
      <c r="I808" s="14" t="s">
        <v>1621</v>
      </c>
      <c r="J808" s="15"/>
      <c r="K808" s="8" t="s">
        <v>1670</v>
      </c>
      <c r="L808" s="8" t="s">
        <v>3828</v>
      </c>
      <c r="M808" s="6" t="s">
        <v>1623</v>
      </c>
      <c r="N808" s="6" t="s">
        <v>1624</v>
      </c>
      <c r="O808" s="7">
        <f>SUMIFS('05_상품별배치367'!$K$7:$K$373,'05_상품별배치367'!$E$7:$E$373,A808,'05_상품별배치367'!$H$7:$H$373,"본진")</f>
        <v>1</v>
      </c>
      <c r="P808" s="7">
        <f>SUMIFS('05_상품별배치367'!$K$7:$K$373,'05_상품별배치367'!$E$7:$E$373,A808,'05_상품별배치367'!$H$7:$H$373,"추가 진열")</f>
        <v>1</v>
      </c>
      <c r="Q808" s="7">
        <f>O808+P808</f>
        <v>2</v>
      </c>
      <c r="R808" s="7">
        <v>1</v>
      </c>
      <c r="S808" s="6" t="s">
        <v>1625</v>
      </c>
      <c r="T808" s="6" t="s">
        <v>1637</v>
      </c>
      <c r="U808" s="6"/>
      <c r="V808" s="16"/>
      <c r="W808" s="16"/>
      <c r="X808" s="16"/>
      <c r="Y808" s="6" t="s">
        <v>1627</v>
      </c>
      <c r="Z808" s="15"/>
      <c r="AA808" s="15" t="s">
        <v>1628</v>
      </c>
    </row>
    <row r="809" spans="1:27" ht="33" customHeight="1">
      <c r="A809" s="8" t="s">
        <v>6131</v>
      </c>
      <c r="B809" s="9">
        <v>2006</v>
      </c>
      <c r="C809" s="8" t="s">
        <v>6132</v>
      </c>
      <c r="D809" s="8" t="s">
        <v>6133</v>
      </c>
      <c r="E809" s="8" t="s">
        <v>1814</v>
      </c>
      <c r="F809" s="8" t="s">
        <v>1359</v>
      </c>
      <c r="G809" s="8" t="s">
        <v>431</v>
      </c>
      <c r="H809" s="8"/>
      <c r="I809" s="14" t="s">
        <v>1642</v>
      </c>
      <c r="J809" s="15"/>
      <c r="K809" s="8" t="s">
        <v>1634</v>
      </c>
      <c r="L809" s="8" t="s">
        <v>3828</v>
      </c>
      <c r="M809" s="6" t="s">
        <v>1643</v>
      </c>
      <c r="N809" s="6" t="s">
        <v>1644</v>
      </c>
      <c r="O809" s="7">
        <f>SUMIFS('05_상품별배치367'!$K$7:$K$373,'05_상품별배치367'!$E$7:$E$373,A809,'05_상품별배치367'!$H$7:$H$373,"본진")</f>
        <v>0</v>
      </c>
      <c r="P809" s="7">
        <f>SUMIFS('05_상품별배치367'!$K$7:$K$373,'05_상품별배치367'!$E$7:$E$373,A809,'05_상품별배치367'!$H$7:$H$373,"추가 진열")</f>
        <v>0</v>
      </c>
      <c r="Q809" s="7">
        <f>O809+P809</f>
        <v>0</v>
      </c>
      <c r="R809" s="7">
        <v>1</v>
      </c>
      <c r="S809" s="6" t="s">
        <v>1815</v>
      </c>
      <c r="T809" s="6" t="s">
        <v>1637</v>
      </c>
      <c r="U809" s="6"/>
      <c r="V809" s="16"/>
      <c r="W809" s="16"/>
      <c r="X809" s="16"/>
      <c r="Y809" s="6" t="s">
        <v>1655</v>
      </c>
      <c r="Z809" s="15"/>
      <c r="AA809" s="15" t="s">
        <v>1628</v>
      </c>
    </row>
    <row r="810" spans="1:27" ht="33" customHeight="1">
      <c r="A810" s="6" t="s">
        <v>6088</v>
      </c>
      <c r="B810" s="7">
        <v>1989</v>
      </c>
      <c r="C810" s="6" t="s">
        <v>6089</v>
      </c>
      <c r="D810" s="6" t="s">
        <v>6069</v>
      </c>
      <c r="E810" s="6" t="s">
        <v>1641</v>
      </c>
      <c r="F810" s="6" t="s">
        <v>1134</v>
      </c>
      <c r="G810" s="6" t="s">
        <v>315</v>
      </c>
      <c r="H810" s="6"/>
      <c r="I810" s="14" t="s">
        <v>1642</v>
      </c>
      <c r="J810" s="15"/>
      <c r="K810" s="6" t="s">
        <v>1634</v>
      </c>
      <c r="L810" s="6" t="s">
        <v>3828</v>
      </c>
      <c r="M810" s="6" t="s">
        <v>1643</v>
      </c>
      <c r="N810" s="6" t="s">
        <v>1624</v>
      </c>
      <c r="O810" s="7">
        <f>SUMIFS('05_상품별배치367'!$K$7:$K$373,'05_상품별배치367'!$E$7:$E$373,A810,'05_상품별배치367'!$H$7:$H$373,"본진")</f>
        <v>0</v>
      </c>
      <c r="P810" s="7">
        <f>SUMIFS('05_상품별배치367'!$K$7:$K$373,'05_상품별배치367'!$E$7:$E$373,A810,'05_상품별배치367'!$H$7:$H$373,"추가 진열")</f>
        <v>0</v>
      </c>
      <c r="Q810" s="7">
        <f>O810+P810</f>
        <v>0</v>
      </c>
      <c r="R810" s="7">
        <v>1</v>
      </c>
      <c r="S810" s="6" t="s">
        <v>6055</v>
      </c>
      <c r="T810" s="6" t="s">
        <v>1637</v>
      </c>
      <c r="U810" s="6"/>
      <c r="V810" s="16"/>
      <c r="W810" s="16"/>
      <c r="X810" s="16"/>
      <c r="Y810" s="6" t="s">
        <v>1627</v>
      </c>
      <c r="Z810" s="15"/>
      <c r="AA810" s="15" t="s">
        <v>1628</v>
      </c>
    </row>
    <row r="811" spans="1:27" ht="33" customHeight="1">
      <c r="A811" s="8" t="s">
        <v>5137</v>
      </c>
      <c r="B811" s="9">
        <v>1542</v>
      </c>
      <c r="C811" s="8" t="s">
        <v>5138</v>
      </c>
      <c r="D811" s="8" t="s">
        <v>5133</v>
      </c>
      <c r="E811" s="8" t="s">
        <v>2134</v>
      </c>
      <c r="F811" s="8" t="s">
        <v>1081</v>
      </c>
      <c r="G811" s="8" t="s">
        <v>290</v>
      </c>
      <c r="H811" s="8"/>
      <c r="I811" s="14" t="s">
        <v>1642</v>
      </c>
      <c r="J811" s="15"/>
      <c r="K811" s="8" t="s">
        <v>1976</v>
      </c>
      <c r="L811" s="8"/>
      <c r="M811" s="6" t="s">
        <v>1643</v>
      </c>
      <c r="N811" s="6" t="s">
        <v>1644</v>
      </c>
      <c r="O811" s="7">
        <f>SUMIFS('05_상품별배치367'!$K$7:$K$373,'05_상품별배치367'!$E$7:$E$373,A811,'05_상품별배치367'!$H$7:$H$373,"본진")</f>
        <v>0</v>
      </c>
      <c r="P811" s="7">
        <f>SUMIFS('05_상품별배치367'!$K$7:$K$373,'05_상품별배치367'!$E$7:$E$373,A811,'05_상품별배치367'!$H$7:$H$373,"추가 진열")</f>
        <v>0</v>
      </c>
      <c r="Q811" s="7">
        <f>O811+P811</f>
        <v>0</v>
      </c>
      <c r="R811" s="7">
        <v>1</v>
      </c>
      <c r="S811" s="6" t="s">
        <v>2135</v>
      </c>
      <c r="T811" s="6" t="s">
        <v>1637</v>
      </c>
      <c r="U811" s="6"/>
      <c r="V811" s="16"/>
      <c r="W811" s="16"/>
      <c r="X811" s="16"/>
      <c r="Y811" s="6" t="s">
        <v>1627</v>
      </c>
      <c r="Z811" s="15"/>
      <c r="AA811" s="15" t="s">
        <v>1628</v>
      </c>
    </row>
    <row r="812" spans="1:27" ht="33" customHeight="1">
      <c r="A812" s="8" t="s">
        <v>5131</v>
      </c>
      <c r="B812" s="9">
        <v>1540</v>
      </c>
      <c r="C812" s="8" t="s">
        <v>5132</v>
      </c>
      <c r="D812" s="8" t="s">
        <v>5133</v>
      </c>
      <c r="E812" s="8" t="s">
        <v>2134</v>
      </c>
      <c r="F812" s="8" t="s">
        <v>1081</v>
      </c>
      <c r="G812" s="8" t="s">
        <v>290</v>
      </c>
      <c r="H812" s="8"/>
      <c r="I812" s="14" t="s">
        <v>1642</v>
      </c>
      <c r="J812" s="15"/>
      <c r="K812" s="8" t="s">
        <v>1976</v>
      </c>
      <c r="L812" s="8"/>
      <c r="M812" s="6" t="s">
        <v>1643</v>
      </c>
      <c r="N812" s="6" t="s">
        <v>1644</v>
      </c>
      <c r="O812" s="7">
        <f>SUMIFS('05_상품별배치367'!$K$7:$K$373,'05_상품별배치367'!$E$7:$E$373,A812,'05_상품별배치367'!$H$7:$H$373,"본진")</f>
        <v>0</v>
      </c>
      <c r="P812" s="7">
        <f>SUMIFS('05_상품별배치367'!$K$7:$K$373,'05_상품별배치367'!$E$7:$E$373,A812,'05_상품별배치367'!$H$7:$H$373,"추가 진열")</f>
        <v>0</v>
      </c>
      <c r="Q812" s="7">
        <f>O812+P812</f>
        <v>0</v>
      </c>
      <c r="R812" s="7">
        <v>1</v>
      </c>
      <c r="S812" s="6" t="s">
        <v>2135</v>
      </c>
      <c r="T812" s="6" t="s">
        <v>1637</v>
      </c>
      <c r="U812" s="6"/>
      <c r="V812" s="16"/>
      <c r="W812" s="16"/>
      <c r="X812" s="16"/>
      <c r="Y812" s="6" t="s">
        <v>1627</v>
      </c>
      <c r="Z812" s="15"/>
      <c r="AA812" s="15" t="s">
        <v>1628</v>
      </c>
    </row>
    <row r="813" spans="1:27" ht="33" customHeight="1">
      <c r="A813" s="6" t="s">
        <v>5134</v>
      </c>
      <c r="B813" s="7">
        <v>1541</v>
      </c>
      <c r="C813" s="6" t="s">
        <v>5135</v>
      </c>
      <c r="D813" s="6" t="s">
        <v>5136</v>
      </c>
      <c r="E813" s="6" t="s">
        <v>2134</v>
      </c>
      <c r="F813" s="6" t="s">
        <v>1081</v>
      </c>
      <c r="G813" s="6" t="s">
        <v>290</v>
      </c>
      <c r="H813" s="6"/>
      <c r="I813" s="14" t="s">
        <v>1642</v>
      </c>
      <c r="J813" s="15"/>
      <c r="K813" s="6" t="s">
        <v>1976</v>
      </c>
      <c r="L813" s="6"/>
      <c r="M813" s="6" t="s">
        <v>1643</v>
      </c>
      <c r="N813" s="6" t="s">
        <v>1644</v>
      </c>
      <c r="O813" s="7">
        <f>SUMIFS('05_상품별배치367'!$K$7:$K$373,'05_상품별배치367'!$E$7:$E$373,A813,'05_상품별배치367'!$H$7:$H$373,"본진")</f>
        <v>0</v>
      </c>
      <c r="P813" s="7">
        <f>SUMIFS('05_상품별배치367'!$K$7:$K$373,'05_상품별배치367'!$E$7:$E$373,A813,'05_상품별배치367'!$H$7:$H$373,"추가 진열")</f>
        <v>0</v>
      </c>
      <c r="Q813" s="7">
        <f>O813+P813</f>
        <v>0</v>
      </c>
      <c r="R813" s="7">
        <v>1</v>
      </c>
      <c r="S813" s="6" t="s">
        <v>2135</v>
      </c>
      <c r="T813" s="6" t="s">
        <v>1637</v>
      </c>
      <c r="U813" s="6"/>
      <c r="V813" s="16"/>
      <c r="W813" s="16"/>
      <c r="X813" s="16"/>
      <c r="Y813" s="6" t="s">
        <v>1627</v>
      </c>
      <c r="Z813" s="15"/>
      <c r="AA813" s="15" t="s">
        <v>1628</v>
      </c>
    </row>
    <row r="814" spans="1:27" ht="33" customHeight="1">
      <c r="A814" s="8" t="s">
        <v>6544</v>
      </c>
      <c r="B814" s="9">
        <v>2186</v>
      </c>
      <c r="C814" s="8" t="s">
        <v>6545</v>
      </c>
      <c r="D814" s="8" t="s">
        <v>6538</v>
      </c>
      <c r="E814" s="8" t="s">
        <v>1666</v>
      </c>
      <c r="F814" s="8" t="s">
        <v>1852</v>
      </c>
      <c r="G814" s="8" t="s">
        <v>1853</v>
      </c>
      <c r="H814" s="8"/>
      <c r="I814" s="14" t="s">
        <v>1669</v>
      </c>
      <c r="J814" s="15"/>
      <c r="K814" s="8" t="s">
        <v>1670</v>
      </c>
      <c r="L814" s="8"/>
      <c r="M814" s="6" t="s">
        <v>1671</v>
      </c>
      <c r="N814" s="6" t="s">
        <v>1644</v>
      </c>
      <c r="O814" s="7">
        <f>SUMIFS('05_상품별배치367'!$K$7:$K$373,'05_상품별배치367'!$E$7:$E$373,A814,'05_상품별배치367'!$H$7:$H$373,"본진")</f>
        <v>0</v>
      </c>
      <c r="P814" s="7">
        <f>SUMIFS('05_상품별배치367'!$K$7:$K$373,'05_상품별배치367'!$E$7:$E$373,A814,'05_상품별배치367'!$H$7:$H$373,"추가 진열")</f>
        <v>0</v>
      </c>
      <c r="Q814" s="7">
        <f>O814+P814</f>
        <v>0</v>
      </c>
      <c r="R814" s="7">
        <v>0</v>
      </c>
      <c r="S814" s="6" t="s">
        <v>1672</v>
      </c>
      <c r="T814" s="6" t="s">
        <v>1637</v>
      </c>
      <c r="U814" s="6"/>
      <c r="V814" s="16"/>
      <c r="W814" s="16"/>
      <c r="X814" s="16"/>
      <c r="Y814" s="6" t="s">
        <v>1655</v>
      </c>
      <c r="Z814" s="15"/>
      <c r="AA814" s="15" t="s">
        <v>1628</v>
      </c>
    </row>
    <row r="815" spans="1:27" ht="33" customHeight="1">
      <c r="A815" s="8" t="s">
        <v>6355</v>
      </c>
      <c r="B815" s="9">
        <v>2100</v>
      </c>
      <c r="C815" s="8" t="s">
        <v>6356</v>
      </c>
      <c r="D815" s="8" t="s">
        <v>6357</v>
      </c>
      <c r="E815" s="8" t="s">
        <v>1666</v>
      </c>
      <c r="F815" s="8" t="s">
        <v>1667</v>
      </c>
      <c r="G815" s="8" t="s">
        <v>1668</v>
      </c>
      <c r="H815" s="8"/>
      <c r="I815" s="14" t="s">
        <v>1669</v>
      </c>
      <c r="J815" s="15"/>
      <c r="K815" s="8" t="s">
        <v>1670</v>
      </c>
      <c r="L815" s="8"/>
      <c r="M815" s="6" t="s">
        <v>1671</v>
      </c>
      <c r="N815" s="6" t="s">
        <v>1644</v>
      </c>
      <c r="O815" s="7">
        <f>SUMIFS('05_상품별배치367'!$K$7:$K$373,'05_상품별배치367'!$E$7:$E$373,A815,'05_상품별배치367'!$H$7:$H$373,"본진")</f>
        <v>0</v>
      </c>
      <c r="P815" s="7">
        <f>SUMIFS('05_상품별배치367'!$K$7:$K$373,'05_상품별배치367'!$E$7:$E$373,A815,'05_상품별배치367'!$H$7:$H$373,"추가 진열")</f>
        <v>0</v>
      </c>
      <c r="Q815" s="7">
        <f>O815+P815</f>
        <v>0</v>
      </c>
      <c r="R815" s="7">
        <v>0</v>
      </c>
      <c r="S815" s="6" t="s">
        <v>1672</v>
      </c>
      <c r="T815" s="6" t="s">
        <v>1637</v>
      </c>
      <c r="U815" s="6"/>
      <c r="V815" s="16"/>
      <c r="W815" s="16"/>
      <c r="X815" s="16"/>
      <c r="Y815" s="6" t="s">
        <v>1627</v>
      </c>
      <c r="Z815" s="15"/>
      <c r="AA815" s="15" t="s">
        <v>1628</v>
      </c>
    </row>
    <row r="816" spans="1:27" ht="33" customHeight="1">
      <c r="A816" s="6" t="s">
        <v>6358</v>
      </c>
      <c r="B816" s="7">
        <v>2101</v>
      </c>
      <c r="C816" s="6" t="s">
        <v>6359</v>
      </c>
      <c r="D816" s="6" t="s">
        <v>2602</v>
      </c>
      <c r="E816" s="6" t="s">
        <v>1666</v>
      </c>
      <c r="F816" s="6" t="s">
        <v>1667</v>
      </c>
      <c r="G816" s="6" t="s">
        <v>1668</v>
      </c>
      <c r="H816" s="6"/>
      <c r="I816" s="14" t="s">
        <v>1669</v>
      </c>
      <c r="J816" s="15"/>
      <c r="K816" s="6" t="s">
        <v>1670</v>
      </c>
      <c r="L816" s="6"/>
      <c r="M816" s="6" t="s">
        <v>1671</v>
      </c>
      <c r="N816" s="6" t="s">
        <v>1644</v>
      </c>
      <c r="O816" s="7">
        <f>SUMIFS('05_상품별배치367'!$K$7:$K$373,'05_상품별배치367'!$E$7:$E$373,A816,'05_상품별배치367'!$H$7:$H$373,"본진")</f>
        <v>0</v>
      </c>
      <c r="P816" s="7">
        <f>SUMIFS('05_상품별배치367'!$K$7:$K$373,'05_상품별배치367'!$E$7:$E$373,A816,'05_상품별배치367'!$H$7:$H$373,"추가 진열")</f>
        <v>0</v>
      </c>
      <c r="Q816" s="7">
        <f>O816+P816</f>
        <v>0</v>
      </c>
      <c r="R816" s="7">
        <v>0</v>
      </c>
      <c r="S816" s="6" t="s">
        <v>1672</v>
      </c>
      <c r="T816" s="6" t="s">
        <v>1637</v>
      </c>
      <c r="U816" s="6"/>
      <c r="V816" s="16"/>
      <c r="W816" s="16"/>
      <c r="X816" s="16"/>
      <c r="Y816" s="6" t="s">
        <v>1627</v>
      </c>
      <c r="Z816" s="15"/>
      <c r="AA816" s="15" t="s">
        <v>1628</v>
      </c>
    </row>
    <row r="817" spans="1:27" ht="33" customHeight="1">
      <c r="A817" s="6" t="s">
        <v>1842</v>
      </c>
      <c r="B817" s="7">
        <v>75</v>
      </c>
      <c r="C817" s="6" t="s">
        <v>1843</v>
      </c>
      <c r="D817" s="6" t="s">
        <v>1682</v>
      </c>
      <c r="E817" s="6" t="s">
        <v>1620</v>
      </c>
      <c r="F817" s="6" t="s">
        <v>1234</v>
      </c>
      <c r="G817" s="6" t="s">
        <v>358</v>
      </c>
      <c r="H817" s="6"/>
      <c r="I817" s="14" t="s">
        <v>1642</v>
      </c>
      <c r="J817" s="15"/>
      <c r="K817" s="6" t="s">
        <v>1622</v>
      </c>
      <c r="L817" s="6"/>
      <c r="M817" s="6" t="s">
        <v>1643</v>
      </c>
      <c r="N817" s="6" t="s">
        <v>1644</v>
      </c>
      <c r="O817" s="7">
        <f>SUMIFS('05_상품별배치367'!$K$7:$K$373,'05_상품별배치367'!$E$7:$E$373,A817,'05_상품별배치367'!$H$7:$H$373,"본진")</f>
        <v>0</v>
      </c>
      <c r="P817" s="7">
        <f>SUMIFS('05_상품별배치367'!$K$7:$K$373,'05_상품별배치367'!$E$7:$E$373,A817,'05_상품별배치367'!$H$7:$H$373,"추가 진열")</f>
        <v>0</v>
      </c>
      <c r="Q817" s="7">
        <f>O817+P817</f>
        <v>0</v>
      </c>
      <c r="R817" s="7">
        <v>1</v>
      </c>
      <c r="S817" s="6" t="s">
        <v>1683</v>
      </c>
      <c r="T817" s="6" t="s">
        <v>1637</v>
      </c>
      <c r="U817" s="6"/>
      <c r="V817" s="16"/>
      <c r="W817" s="16"/>
      <c r="X817" s="16"/>
      <c r="Y817" s="6" t="s">
        <v>1627</v>
      </c>
      <c r="Z817" s="15"/>
      <c r="AA817" s="15" t="s">
        <v>1628</v>
      </c>
    </row>
    <row r="818" spans="1:27" ht="33" customHeight="1">
      <c r="A818" s="8" t="s">
        <v>6598</v>
      </c>
      <c r="B818" s="9">
        <v>2212</v>
      </c>
      <c r="C818" s="8" t="s">
        <v>6599</v>
      </c>
      <c r="D818" s="8" t="s">
        <v>3558</v>
      </c>
      <c r="E818" s="8" t="s">
        <v>1620</v>
      </c>
      <c r="F818" s="8" t="s">
        <v>1163</v>
      </c>
      <c r="G818" s="8" t="s">
        <v>323</v>
      </c>
      <c r="H818" s="8"/>
      <c r="I818" s="14" t="s">
        <v>1642</v>
      </c>
      <c r="J818" s="15"/>
      <c r="K818" s="8" t="s">
        <v>1622</v>
      </c>
      <c r="L818" s="8"/>
      <c r="M818" s="6" t="s">
        <v>1643</v>
      </c>
      <c r="N818" s="6" t="s">
        <v>1624</v>
      </c>
      <c r="O818" s="7">
        <f>SUMIFS('05_상품별배치367'!$K$7:$K$373,'05_상품별배치367'!$E$7:$E$373,A818,'05_상품별배치367'!$H$7:$H$373,"본진")</f>
        <v>0</v>
      </c>
      <c r="P818" s="7">
        <f>SUMIFS('05_상품별배치367'!$K$7:$K$373,'05_상품별배치367'!$E$7:$E$373,A818,'05_상품별배치367'!$H$7:$H$373,"추가 진열")</f>
        <v>0</v>
      </c>
      <c r="Q818" s="7">
        <f>O818+P818</f>
        <v>0</v>
      </c>
      <c r="R818" s="7">
        <v>1</v>
      </c>
      <c r="S818" s="6" t="s">
        <v>1654</v>
      </c>
      <c r="T818" s="6" t="s">
        <v>1637</v>
      </c>
      <c r="U818" s="6"/>
      <c r="V818" s="16"/>
      <c r="W818" s="16"/>
      <c r="X818" s="16"/>
      <c r="Y818" s="6" t="s">
        <v>1627</v>
      </c>
      <c r="Z818" s="15"/>
      <c r="AA818" s="15" t="s">
        <v>1628</v>
      </c>
    </row>
    <row r="819" spans="1:27" ht="33" customHeight="1">
      <c r="A819" s="8" t="s">
        <v>7013</v>
      </c>
      <c r="B819" s="9">
        <v>2414</v>
      </c>
      <c r="C819" s="8" t="s">
        <v>7014</v>
      </c>
      <c r="D819" s="8" t="s">
        <v>7015</v>
      </c>
      <c r="E819" s="8" t="s">
        <v>1641</v>
      </c>
      <c r="F819" s="8" t="s">
        <v>656</v>
      </c>
      <c r="G819" s="8" t="s">
        <v>79</v>
      </c>
      <c r="H819" s="8"/>
      <c r="I819" s="14" t="s">
        <v>1642</v>
      </c>
      <c r="J819" s="15"/>
      <c r="K819" s="8" t="s">
        <v>1634</v>
      </c>
      <c r="L819" s="8" t="s">
        <v>3828</v>
      </c>
      <c r="M819" s="6" t="s">
        <v>1643</v>
      </c>
      <c r="N819" s="6" t="s">
        <v>1624</v>
      </c>
      <c r="O819" s="7">
        <f>SUMIFS('05_상품별배치367'!$K$7:$K$373,'05_상품별배치367'!$E$7:$E$373,A819,'05_상품별배치367'!$H$7:$H$373,"본진")</f>
        <v>0</v>
      </c>
      <c r="P819" s="7">
        <f>SUMIFS('05_상품별배치367'!$K$7:$K$373,'05_상품별배치367'!$E$7:$E$373,A819,'05_상품별배치367'!$H$7:$H$373,"추가 진열")</f>
        <v>0</v>
      </c>
      <c r="Q819" s="7">
        <f>O819+P819</f>
        <v>0</v>
      </c>
      <c r="R819" s="7">
        <v>1</v>
      </c>
      <c r="S819" s="6" t="s">
        <v>6285</v>
      </c>
      <c r="T819" s="6" t="s">
        <v>1637</v>
      </c>
      <c r="U819" s="6"/>
      <c r="V819" s="16"/>
      <c r="W819" s="16"/>
      <c r="X819" s="16"/>
      <c r="Y819" s="6" t="s">
        <v>1627</v>
      </c>
      <c r="Z819" s="15"/>
      <c r="AA819" s="15" t="s">
        <v>1628</v>
      </c>
    </row>
    <row r="820" spans="1:27" ht="33" customHeight="1">
      <c r="A820" s="8" t="s">
        <v>6081</v>
      </c>
      <c r="B820" s="9">
        <v>1986</v>
      </c>
      <c r="C820" s="8" t="s">
        <v>6082</v>
      </c>
      <c r="D820" s="8" t="s">
        <v>6069</v>
      </c>
      <c r="E820" s="8" t="s">
        <v>1641</v>
      </c>
      <c r="F820" s="8" t="s">
        <v>1134</v>
      </c>
      <c r="G820" s="8" t="s">
        <v>315</v>
      </c>
      <c r="H820" s="8" t="s">
        <v>1133</v>
      </c>
      <c r="I820" s="14" t="s">
        <v>1621</v>
      </c>
      <c r="J820" s="15"/>
      <c r="K820" s="8" t="s">
        <v>1634</v>
      </c>
      <c r="L820" s="8" t="s">
        <v>3828</v>
      </c>
      <c r="M820" s="6" t="s">
        <v>1623</v>
      </c>
      <c r="N820" s="6" t="s">
        <v>1624</v>
      </c>
      <c r="O820" s="7">
        <f>SUMIFS('05_상품별배치367'!$K$7:$K$373,'05_상품별배치367'!$E$7:$E$373,A820,'05_상품별배치367'!$H$7:$H$373,"본진")</f>
        <v>1</v>
      </c>
      <c r="P820" s="7">
        <f>SUMIFS('05_상품별배치367'!$K$7:$K$373,'05_상품별배치367'!$E$7:$E$373,A820,'05_상품별배치367'!$H$7:$H$373,"추가 진열")</f>
        <v>0</v>
      </c>
      <c r="Q820" s="7">
        <f>O820+P820</f>
        <v>1</v>
      </c>
      <c r="R820" s="7">
        <v>1</v>
      </c>
      <c r="S820" s="6" t="s">
        <v>1625</v>
      </c>
      <c r="T820" s="6" t="s">
        <v>1637</v>
      </c>
      <c r="U820" s="6"/>
      <c r="V820" s="16"/>
      <c r="W820" s="16"/>
      <c r="X820" s="16"/>
      <c r="Y820" s="6" t="s">
        <v>1627</v>
      </c>
      <c r="Z820" s="15"/>
      <c r="AA820" s="15" t="s">
        <v>1628</v>
      </c>
    </row>
    <row r="821" spans="1:27" ht="33" customHeight="1">
      <c r="A821" s="8" t="s">
        <v>6233</v>
      </c>
      <c r="B821" s="9">
        <v>2050</v>
      </c>
      <c r="C821" s="8" t="s">
        <v>6234</v>
      </c>
      <c r="D821" s="8" t="s">
        <v>1975</v>
      </c>
      <c r="E821" s="8" t="s">
        <v>1641</v>
      </c>
      <c r="F821" s="8" t="s">
        <v>689</v>
      </c>
      <c r="G821" s="8" t="s">
        <v>91</v>
      </c>
      <c r="H821" s="8" t="s">
        <v>688</v>
      </c>
      <c r="I821" s="14" t="s">
        <v>1633</v>
      </c>
      <c r="J821" s="15"/>
      <c r="K821" s="8" t="s">
        <v>1634</v>
      </c>
      <c r="L821" s="8" t="s">
        <v>3828</v>
      </c>
      <c r="M821" s="6" t="s">
        <v>1635</v>
      </c>
      <c r="N821" s="6" t="s">
        <v>1624</v>
      </c>
      <c r="O821" s="7">
        <f>SUMIFS('05_상품별배치367'!$K$7:$K$373,'05_상품별배치367'!$E$7:$E$373,A821,'05_상품별배치367'!$H$7:$H$373,"본진")</f>
        <v>1</v>
      </c>
      <c r="P821" s="7">
        <f>SUMIFS('05_상품별배치367'!$K$7:$K$373,'05_상품별배치367'!$E$7:$E$373,A821,'05_상품별배치367'!$H$7:$H$373,"추가 진열")</f>
        <v>0</v>
      </c>
      <c r="Q821" s="7">
        <f>O821+P821</f>
        <v>1</v>
      </c>
      <c r="R821" s="7">
        <v>1</v>
      </c>
      <c r="S821" s="6" t="s">
        <v>1636</v>
      </c>
      <c r="T821" s="6" t="s">
        <v>1637</v>
      </c>
      <c r="U821" s="6"/>
      <c r="V821" s="16"/>
      <c r="W821" s="16"/>
      <c r="X821" s="16"/>
      <c r="Y821" s="6" t="s">
        <v>1627</v>
      </c>
      <c r="Z821" s="15"/>
      <c r="AA821" s="15" t="s">
        <v>1628</v>
      </c>
    </row>
    <row r="822" spans="1:27" ht="33" customHeight="1">
      <c r="A822" s="8" t="s">
        <v>6986</v>
      </c>
      <c r="B822" s="9">
        <v>2400</v>
      </c>
      <c r="C822" s="8" t="s">
        <v>6987</v>
      </c>
      <c r="D822" s="8" t="s">
        <v>6988</v>
      </c>
      <c r="E822" s="8" t="s">
        <v>1620</v>
      </c>
      <c r="F822" s="8" t="s">
        <v>150</v>
      </c>
      <c r="G822" s="8" t="s">
        <v>332</v>
      </c>
      <c r="H822" s="8"/>
      <c r="I822" s="14" t="s">
        <v>1642</v>
      </c>
      <c r="J822" s="15"/>
      <c r="K822" s="8" t="s">
        <v>1622</v>
      </c>
      <c r="L822" s="8" t="s">
        <v>3828</v>
      </c>
      <c r="M822" s="6" t="s">
        <v>1643</v>
      </c>
      <c r="N822" s="6" t="s">
        <v>1624</v>
      </c>
      <c r="O822" s="7">
        <f>SUMIFS('05_상품별배치367'!$K$7:$K$373,'05_상품별배치367'!$E$7:$E$373,A822,'05_상품별배치367'!$H$7:$H$373,"본진")</f>
        <v>0</v>
      </c>
      <c r="P822" s="7">
        <f>SUMIFS('05_상품별배치367'!$K$7:$K$373,'05_상품별배치367'!$E$7:$E$373,A822,'05_상품별배치367'!$H$7:$H$373,"추가 진열")</f>
        <v>0</v>
      </c>
      <c r="Q822" s="7">
        <f>O822+P822</f>
        <v>0</v>
      </c>
      <c r="R822" s="7">
        <v>1</v>
      </c>
      <c r="S822" s="6" t="s">
        <v>2037</v>
      </c>
      <c r="T822" s="6" t="s">
        <v>1637</v>
      </c>
      <c r="U822" s="6"/>
      <c r="V822" s="16"/>
      <c r="W822" s="16"/>
      <c r="X822" s="16"/>
      <c r="Y822" s="6" t="s">
        <v>1627</v>
      </c>
      <c r="Z822" s="15"/>
      <c r="AA822" s="15" t="s">
        <v>1628</v>
      </c>
    </row>
    <row r="823" spans="1:27" ht="33" customHeight="1">
      <c r="A823" s="8" t="s">
        <v>2764</v>
      </c>
      <c r="B823" s="9">
        <v>444</v>
      </c>
      <c r="C823" s="8" t="s">
        <v>2765</v>
      </c>
      <c r="D823" s="8" t="s">
        <v>2367</v>
      </c>
      <c r="E823" s="8" t="s">
        <v>1666</v>
      </c>
      <c r="F823" s="8" t="s">
        <v>520</v>
      </c>
      <c r="G823" s="8" t="s">
        <v>463</v>
      </c>
      <c r="H823" s="8"/>
      <c r="I823" s="14" t="s">
        <v>1642</v>
      </c>
      <c r="J823" s="15"/>
      <c r="K823" s="8" t="s">
        <v>1670</v>
      </c>
      <c r="L823" s="8"/>
      <c r="M823" s="6" t="s">
        <v>1643</v>
      </c>
      <c r="N823" s="6" t="s">
        <v>1644</v>
      </c>
      <c r="O823" s="7">
        <f>SUMIFS('05_상품별배치367'!$K$7:$K$373,'05_상품별배치367'!$E$7:$E$373,A823,'05_상품별배치367'!$H$7:$H$373,"본진")</f>
        <v>0</v>
      </c>
      <c r="P823" s="7">
        <f>SUMIFS('05_상품별배치367'!$K$7:$K$373,'05_상품별배치367'!$E$7:$E$373,A823,'05_상품별배치367'!$H$7:$H$373,"추가 진열")</f>
        <v>0</v>
      </c>
      <c r="Q823" s="7">
        <f>O823+P823</f>
        <v>0</v>
      </c>
      <c r="R823" s="7">
        <v>1</v>
      </c>
      <c r="S823" s="6" t="s">
        <v>2142</v>
      </c>
      <c r="T823" s="6" t="s">
        <v>1637</v>
      </c>
      <c r="U823" s="6"/>
      <c r="V823" s="16"/>
      <c r="W823" s="16"/>
      <c r="X823" s="16"/>
      <c r="Y823" s="6" t="s">
        <v>1655</v>
      </c>
      <c r="Z823" s="15"/>
      <c r="AA823" s="15" t="s">
        <v>1628</v>
      </c>
    </row>
    <row r="824" spans="1:27" ht="33" customHeight="1">
      <c r="A824" s="8" t="s">
        <v>2751</v>
      </c>
      <c r="B824" s="9">
        <v>438</v>
      </c>
      <c r="C824" s="8" t="s">
        <v>2752</v>
      </c>
      <c r="D824" s="8" t="s">
        <v>2252</v>
      </c>
      <c r="E824" s="8" t="s">
        <v>1666</v>
      </c>
      <c r="F824" s="8" t="s">
        <v>520</v>
      </c>
      <c r="G824" s="8" t="s">
        <v>463</v>
      </c>
      <c r="H824" s="8"/>
      <c r="I824" s="14" t="s">
        <v>1642</v>
      </c>
      <c r="J824" s="15"/>
      <c r="K824" s="8" t="s">
        <v>1670</v>
      </c>
      <c r="L824" s="8"/>
      <c r="M824" s="6" t="s">
        <v>1643</v>
      </c>
      <c r="N824" s="6" t="s">
        <v>1644</v>
      </c>
      <c r="O824" s="7">
        <f>SUMIFS('05_상품별배치367'!$K$7:$K$373,'05_상품별배치367'!$E$7:$E$373,A824,'05_상품별배치367'!$H$7:$H$373,"본진")</f>
        <v>0</v>
      </c>
      <c r="P824" s="7">
        <f>SUMIFS('05_상품별배치367'!$K$7:$K$373,'05_상품별배치367'!$E$7:$E$373,A824,'05_상품별배치367'!$H$7:$H$373,"추가 진열")</f>
        <v>0</v>
      </c>
      <c r="Q824" s="7">
        <f>O824+P824</f>
        <v>0</v>
      </c>
      <c r="R824" s="7">
        <v>1</v>
      </c>
      <c r="S824" s="6" t="s">
        <v>2142</v>
      </c>
      <c r="T824" s="6" t="s">
        <v>1637</v>
      </c>
      <c r="U824" s="6"/>
      <c r="V824" s="16"/>
      <c r="W824" s="16"/>
      <c r="X824" s="16"/>
      <c r="Y824" s="6" t="s">
        <v>1627</v>
      </c>
      <c r="Z824" s="15"/>
      <c r="AA824" s="15" t="s">
        <v>1628</v>
      </c>
    </row>
    <row r="825" spans="1:27" ht="33" customHeight="1">
      <c r="A825" s="6" t="s">
        <v>2762</v>
      </c>
      <c r="B825" s="7">
        <v>443</v>
      </c>
      <c r="C825" s="6" t="s">
        <v>2763</v>
      </c>
      <c r="D825" s="6" t="s">
        <v>2631</v>
      </c>
      <c r="E825" s="6" t="s">
        <v>1666</v>
      </c>
      <c r="F825" s="6" t="s">
        <v>520</v>
      </c>
      <c r="G825" s="6" t="s">
        <v>463</v>
      </c>
      <c r="H825" s="6"/>
      <c r="I825" s="14" t="s">
        <v>1642</v>
      </c>
      <c r="J825" s="15"/>
      <c r="K825" s="6" t="s">
        <v>1670</v>
      </c>
      <c r="L825" s="6"/>
      <c r="M825" s="6" t="s">
        <v>1643</v>
      </c>
      <c r="N825" s="6" t="s">
        <v>1644</v>
      </c>
      <c r="O825" s="7">
        <f>SUMIFS('05_상품별배치367'!$K$7:$K$373,'05_상품별배치367'!$E$7:$E$373,A825,'05_상품별배치367'!$H$7:$H$373,"본진")</f>
        <v>0</v>
      </c>
      <c r="P825" s="7">
        <f>SUMIFS('05_상품별배치367'!$K$7:$K$373,'05_상품별배치367'!$E$7:$E$373,A825,'05_상품별배치367'!$H$7:$H$373,"추가 진열")</f>
        <v>0</v>
      </c>
      <c r="Q825" s="7">
        <f>O825+P825</f>
        <v>0</v>
      </c>
      <c r="R825" s="7">
        <v>1</v>
      </c>
      <c r="S825" s="6" t="s">
        <v>2142</v>
      </c>
      <c r="T825" s="6" t="s">
        <v>1637</v>
      </c>
      <c r="U825" s="6"/>
      <c r="V825" s="16"/>
      <c r="W825" s="16"/>
      <c r="X825" s="16"/>
      <c r="Y825" s="6" t="s">
        <v>1655</v>
      </c>
      <c r="Z825" s="15"/>
      <c r="AA825" s="15" t="s">
        <v>1628</v>
      </c>
    </row>
    <row r="826" spans="1:27" ht="33" customHeight="1">
      <c r="A826" s="6" t="s">
        <v>2753</v>
      </c>
      <c r="B826" s="7">
        <v>439</v>
      </c>
      <c r="C826" s="6" t="s">
        <v>2754</v>
      </c>
      <c r="D826" s="6" t="s">
        <v>2755</v>
      </c>
      <c r="E826" s="6" t="s">
        <v>1666</v>
      </c>
      <c r="F826" s="6" t="s">
        <v>520</v>
      </c>
      <c r="G826" s="6" t="s">
        <v>463</v>
      </c>
      <c r="H826" s="6"/>
      <c r="I826" s="14" t="s">
        <v>1642</v>
      </c>
      <c r="J826" s="15"/>
      <c r="K826" s="6" t="s">
        <v>1670</v>
      </c>
      <c r="L826" s="6"/>
      <c r="M826" s="6" t="s">
        <v>1643</v>
      </c>
      <c r="N826" s="6" t="s">
        <v>1644</v>
      </c>
      <c r="O826" s="7">
        <f>SUMIFS('05_상품별배치367'!$K$7:$K$373,'05_상품별배치367'!$E$7:$E$373,A826,'05_상품별배치367'!$H$7:$H$373,"본진")</f>
        <v>0</v>
      </c>
      <c r="P826" s="7">
        <f>SUMIFS('05_상품별배치367'!$K$7:$K$373,'05_상품별배치367'!$E$7:$E$373,A826,'05_상품별배치367'!$H$7:$H$373,"추가 진열")</f>
        <v>0</v>
      </c>
      <c r="Q826" s="7">
        <f>O826+P826</f>
        <v>0</v>
      </c>
      <c r="R826" s="7">
        <v>1</v>
      </c>
      <c r="S826" s="6" t="s">
        <v>2142</v>
      </c>
      <c r="T826" s="6" t="s">
        <v>1637</v>
      </c>
      <c r="U826" s="6"/>
      <c r="V826" s="16"/>
      <c r="W826" s="16"/>
      <c r="X826" s="16"/>
      <c r="Y826" s="6" t="s">
        <v>1655</v>
      </c>
      <c r="Z826" s="15"/>
      <c r="AA826" s="15" t="s">
        <v>1628</v>
      </c>
    </row>
    <row r="827" spans="1:27" ht="33" customHeight="1">
      <c r="A827" s="8" t="s">
        <v>7134</v>
      </c>
      <c r="B827" s="9">
        <v>2470</v>
      </c>
      <c r="C827" s="8" t="s">
        <v>7135</v>
      </c>
      <c r="D827" s="8" t="s">
        <v>7133</v>
      </c>
      <c r="E827" s="8" t="s">
        <v>1666</v>
      </c>
      <c r="F827" s="8" t="s">
        <v>520</v>
      </c>
      <c r="G827" s="8" t="s">
        <v>463</v>
      </c>
      <c r="H827" s="8"/>
      <c r="I827" s="14" t="s">
        <v>1642</v>
      </c>
      <c r="J827" s="15"/>
      <c r="K827" s="8" t="s">
        <v>1670</v>
      </c>
      <c r="L827" s="8" t="s">
        <v>3828</v>
      </c>
      <c r="M827" s="6" t="s">
        <v>1643</v>
      </c>
      <c r="N827" s="6" t="s">
        <v>1644</v>
      </c>
      <c r="O827" s="7">
        <f>SUMIFS('05_상품별배치367'!$K$7:$K$373,'05_상품별배치367'!$E$7:$E$373,A827,'05_상품별배치367'!$H$7:$H$373,"본진")</f>
        <v>0</v>
      </c>
      <c r="P827" s="7">
        <f>SUMIFS('05_상품별배치367'!$K$7:$K$373,'05_상품별배치367'!$E$7:$E$373,A827,'05_상품별배치367'!$H$7:$H$373,"추가 진열")</f>
        <v>0</v>
      </c>
      <c r="Q827" s="7">
        <f>O827+P827</f>
        <v>0</v>
      </c>
      <c r="R827" s="7">
        <v>1</v>
      </c>
      <c r="S827" s="6" t="s">
        <v>2142</v>
      </c>
      <c r="T827" s="6" t="s">
        <v>1637</v>
      </c>
      <c r="U827" s="6"/>
      <c r="V827" s="16"/>
      <c r="W827" s="16"/>
      <c r="X827" s="16"/>
      <c r="Y827" s="6" t="s">
        <v>1627</v>
      </c>
      <c r="Z827" s="15"/>
      <c r="AA827" s="15" t="s">
        <v>1628</v>
      </c>
    </row>
    <row r="828" spans="1:27" ht="33" customHeight="1">
      <c r="A828" s="6" t="s">
        <v>2758</v>
      </c>
      <c r="B828" s="7">
        <v>441</v>
      </c>
      <c r="C828" s="6" t="s">
        <v>2759</v>
      </c>
      <c r="D828" s="6" t="s">
        <v>2755</v>
      </c>
      <c r="E828" s="6" t="s">
        <v>1666</v>
      </c>
      <c r="F828" s="6" t="s">
        <v>520</v>
      </c>
      <c r="G828" s="6" t="s">
        <v>463</v>
      </c>
      <c r="H828" s="6"/>
      <c r="I828" s="14" t="s">
        <v>1642</v>
      </c>
      <c r="J828" s="15"/>
      <c r="K828" s="6" t="s">
        <v>1670</v>
      </c>
      <c r="L828" s="6"/>
      <c r="M828" s="6" t="s">
        <v>1643</v>
      </c>
      <c r="N828" s="6" t="s">
        <v>1644</v>
      </c>
      <c r="O828" s="7">
        <f>SUMIFS('05_상품별배치367'!$K$7:$K$373,'05_상품별배치367'!$E$7:$E$373,A828,'05_상품별배치367'!$H$7:$H$373,"본진")</f>
        <v>0</v>
      </c>
      <c r="P828" s="7">
        <f>SUMIFS('05_상품별배치367'!$K$7:$K$373,'05_상품별배치367'!$E$7:$E$373,A828,'05_상품별배치367'!$H$7:$H$373,"추가 진열")</f>
        <v>0</v>
      </c>
      <c r="Q828" s="7">
        <f>O828+P828</f>
        <v>0</v>
      </c>
      <c r="R828" s="7">
        <v>1</v>
      </c>
      <c r="S828" s="6" t="s">
        <v>2142</v>
      </c>
      <c r="T828" s="6" t="s">
        <v>1637</v>
      </c>
      <c r="U828" s="6"/>
      <c r="V828" s="16"/>
      <c r="W828" s="16"/>
      <c r="X828" s="16"/>
      <c r="Y828" s="6" t="s">
        <v>1655</v>
      </c>
      <c r="Z828" s="15"/>
      <c r="AA828" s="15" t="s">
        <v>1628</v>
      </c>
    </row>
    <row r="829" spans="1:27" ht="33" customHeight="1">
      <c r="A829" s="6" t="s">
        <v>7136</v>
      </c>
      <c r="B829" s="7">
        <v>2471</v>
      </c>
      <c r="C829" s="6" t="s">
        <v>7137</v>
      </c>
      <c r="D829" s="6" t="s">
        <v>7133</v>
      </c>
      <c r="E829" s="6" t="s">
        <v>1666</v>
      </c>
      <c r="F829" s="6" t="s">
        <v>520</v>
      </c>
      <c r="G829" s="6" t="s">
        <v>463</v>
      </c>
      <c r="H829" s="6"/>
      <c r="I829" s="14" t="s">
        <v>1642</v>
      </c>
      <c r="J829" s="15"/>
      <c r="K829" s="6" t="s">
        <v>1670</v>
      </c>
      <c r="L829" s="6" t="s">
        <v>3828</v>
      </c>
      <c r="M829" s="6" t="s">
        <v>1643</v>
      </c>
      <c r="N829" s="6" t="s">
        <v>1644</v>
      </c>
      <c r="O829" s="7">
        <f>SUMIFS('05_상품별배치367'!$K$7:$K$373,'05_상품별배치367'!$E$7:$E$373,A829,'05_상품별배치367'!$H$7:$H$373,"본진")</f>
        <v>0</v>
      </c>
      <c r="P829" s="7">
        <f>SUMIFS('05_상품별배치367'!$K$7:$K$373,'05_상품별배치367'!$E$7:$E$373,A829,'05_상품별배치367'!$H$7:$H$373,"추가 진열")</f>
        <v>0</v>
      </c>
      <c r="Q829" s="7">
        <f>O829+P829</f>
        <v>0</v>
      </c>
      <c r="R829" s="7">
        <v>1</v>
      </c>
      <c r="S829" s="6" t="s">
        <v>2142</v>
      </c>
      <c r="T829" s="6" t="s">
        <v>1637</v>
      </c>
      <c r="U829" s="6"/>
      <c r="V829" s="16"/>
      <c r="W829" s="16"/>
      <c r="X829" s="16"/>
      <c r="Y829" s="6" t="s">
        <v>1627</v>
      </c>
      <c r="Z829" s="15"/>
      <c r="AA829" s="15" t="s">
        <v>1628</v>
      </c>
    </row>
    <row r="830" spans="1:27" ht="33" customHeight="1">
      <c r="A830" s="8" t="s">
        <v>2760</v>
      </c>
      <c r="B830" s="9">
        <v>442</v>
      </c>
      <c r="C830" s="8" t="s">
        <v>2761</v>
      </c>
      <c r="D830" s="8" t="s">
        <v>2755</v>
      </c>
      <c r="E830" s="8" t="s">
        <v>1666</v>
      </c>
      <c r="F830" s="8" t="s">
        <v>520</v>
      </c>
      <c r="G830" s="8" t="s">
        <v>463</v>
      </c>
      <c r="H830" s="8"/>
      <c r="I830" s="14" t="s">
        <v>1642</v>
      </c>
      <c r="J830" s="15"/>
      <c r="K830" s="8" t="s">
        <v>1670</v>
      </c>
      <c r="L830" s="8"/>
      <c r="M830" s="6" t="s">
        <v>1643</v>
      </c>
      <c r="N830" s="6" t="s">
        <v>1644</v>
      </c>
      <c r="O830" s="7">
        <f>SUMIFS('05_상품별배치367'!$K$7:$K$373,'05_상품별배치367'!$E$7:$E$373,A830,'05_상품별배치367'!$H$7:$H$373,"본진")</f>
        <v>0</v>
      </c>
      <c r="P830" s="7">
        <f>SUMIFS('05_상품별배치367'!$K$7:$K$373,'05_상품별배치367'!$E$7:$E$373,A830,'05_상품별배치367'!$H$7:$H$373,"추가 진열")</f>
        <v>0</v>
      </c>
      <c r="Q830" s="7">
        <f>O830+P830</f>
        <v>0</v>
      </c>
      <c r="R830" s="7">
        <v>1</v>
      </c>
      <c r="S830" s="6" t="s">
        <v>2142</v>
      </c>
      <c r="T830" s="6" t="s">
        <v>1637</v>
      </c>
      <c r="U830" s="6"/>
      <c r="V830" s="16"/>
      <c r="W830" s="16"/>
      <c r="X830" s="16"/>
      <c r="Y830" s="6" t="s">
        <v>1655</v>
      </c>
      <c r="Z830" s="15"/>
      <c r="AA830" s="15" t="s">
        <v>1628</v>
      </c>
    </row>
    <row r="831" spans="1:27" ht="33" customHeight="1">
      <c r="A831" s="6" t="s">
        <v>7131</v>
      </c>
      <c r="B831" s="7">
        <v>2469</v>
      </c>
      <c r="C831" s="6" t="s">
        <v>7132</v>
      </c>
      <c r="D831" s="6" t="s">
        <v>7133</v>
      </c>
      <c r="E831" s="6" t="s">
        <v>1666</v>
      </c>
      <c r="F831" s="6" t="s">
        <v>520</v>
      </c>
      <c r="G831" s="6" t="s">
        <v>463</v>
      </c>
      <c r="H831" s="6"/>
      <c r="I831" s="14" t="s">
        <v>1642</v>
      </c>
      <c r="J831" s="15"/>
      <c r="K831" s="6" t="s">
        <v>1670</v>
      </c>
      <c r="L831" s="6" t="s">
        <v>3828</v>
      </c>
      <c r="M831" s="6" t="s">
        <v>1643</v>
      </c>
      <c r="N831" s="6" t="s">
        <v>1644</v>
      </c>
      <c r="O831" s="7">
        <f>SUMIFS('05_상품별배치367'!$K$7:$K$373,'05_상품별배치367'!$E$7:$E$373,A831,'05_상품별배치367'!$H$7:$H$373,"본진")</f>
        <v>0</v>
      </c>
      <c r="P831" s="7">
        <f>SUMIFS('05_상품별배치367'!$K$7:$K$373,'05_상품별배치367'!$E$7:$E$373,A831,'05_상품별배치367'!$H$7:$H$373,"추가 진열")</f>
        <v>0</v>
      </c>
      <c r="Q831" s="7">
        <f>O831+P831</f>
        <v>0</v>
      </c>
      <c r="R831" s="7">
        <v>1</v>
      </c>
      <c r="S831" s="6" t="s">
        <v>2142</v>
      </c>
      <c r="T831" s="6" t="s">
        <v>1637</v>
      </c>
      <c r="U831" s="6"/>
      <c r="V831" s="16"/>
      <c r="W831" s="16"/>
      <c r="X831" s="16"/>
      <c r="Y831" s="6" t="s">
        <v>1627</v>
      </c>
      <c r="Z831" s="15"/>
      <c r="AA831" s="15" t="s">
        <v>1628</v>
      </c>
    </row>
    <row r="832" spans="1:27" ht="33" customHeight="1">
      <c r="A832" s="8" t="s">
        <v>2756</v>
      </c>
      <c r="B832" s="9">
        <v>440</v>
      </c>
      <c r="C832" s="8" t="s">
        <v>2757</v>
      </c>
      <c r="D832" s="8" t="s">
        <v>2755</v>
      </c>
      <c r="E832" s="8" t="s">
        <v>1666</v>
      </c>
      <c r="F832" s="8" t="s">
        <v>520</v>
      </c>
      <c r="G832" s="8" t="s">
        <v>463</v>
      </c>
      <c r="H832" s="8"/>
      <c r="I832" s="14" t="s">
        <v>1642</v>
      </c>
      <c r="J832" s="15"/>
      <c r="K832" s="8" t="s">
        <v>1670</v>
      </c>
      <c r="L832" s="8"/>
      <c r="M832" s="6" t="s">
        <v>1643</v>
      </c>
      <c r="N832" s="6" t="s">
        <v>1644</v>
      </c>
      <c r="O832" s="7">
        <f>SUMIFS('05_상품별배치367'!$K$7:$K$373,'05_상품별배치367'!$E$7:$E$373,A832,'05_상품별배치367'!$H$7:$H$373,"본진")</f>
        <v>0</v>
      </c>
      <c r="P832" s="7">
        <f>SUMIFS('05_상품별배치367'!$K$7:$K$373,'05_상품별배치367'!$E$7:$E$373,A832,'05_상품별배치367'!$H$7:$H$373,"추가 진열")</f>
        <v>0</v>
      </c>
      <c r="Q832" s="7">
        <f>O832+P832</f>
        <v>0</v>
      </c>
      <c r="R832" s="7">
        <v>1</v>
      </c>
      <c r="S832" s="6" t="s">
        <v>2142</v>
      </c>
      <c r="T832" s="6" t="s">
        <v>1637</v>
      </c>
      <c r="U832" s="6"/>
      <c r="V832" s="16"/>
      <c r="W832" s="16"/>
      <c r="X832" s="16"/>
      <c r="Y832" s="6" t="s">
        <v>1655</v>
      </c>
      <c r="Z832" s="15"/>
      <c r="AA832" s="15" t="s">
        <v>1628</v>
      </c>
    </row>
    <row r="833" spans="1:27" ht="33" customHeight="1">
      <c r="A833" s="8" t="s">
        <v>7138</v>
      </c>
      <c r="B833" s="9">
        <v>2472</v>
      </c>
      <c r="C833" s="8" t="s">
        <v>7139</v>
      </c>
      <c r="D833" s="8" t="s">
        <v>7133</v>
      </c>
      <c r="E833" s="8" t="s">
        <v>1666</v>
      </c>
      <c r="F833" s="8" t="s">
        <v>520</v>
      </c>
      <c r="G833" s="8" t="s">
        <v>463</v>
      </c>
      <c r="H833" s="8"/>
      <c r="I833" s="14" t="s">
        <v>1642</v>
      </c>
      <c r="J833" s="15"/>
      <c r="K833" s="8" t="s">
        <v>1670</v>
      </c>
      <c r="L833" s="8" t="s">
        <v>3828</v>
      </c>
      <c r="M833" s="6" t="s">
        <v>1643</v>
      </c>
      <c r="N833" s="6" t="s">
        <v>1644</v>
      </c>
      <c r="O833" s="7">
        <f>SUMIFS('05_상품별배치367'!$K$7:$K$373,'05_상품별배치367'!$E$7:$E$373,A833,'05_상품별배치367'!$H$7:$H$373,"본진")</f>
        <v>0</v>
      </c>
      <c r="P833" s="7">
        <f>SUMIFS('05_상품별배치367'!$K$7:$K$373,'05_상품별배치367'!$E$7:$E$373,A833,'05_상품별배치367'!$H$7:$H$373,"추가 진열")</f>
        <v>0</v>
      </c>
      <c r="Q833" s="7">
        <f>O833+P833</f>
        <v>0</v>
      </c>
      <c r="R833" s="7">
        <v>1</v>
      </c>
      <c r="S833" s="6" t="s">
        <v>2142</v>
      </c>
      <c r="T833" s="6" t="s">
        <v>1637</v>
      </c>
      <c r="U833" s="6"/>
      <c r="V833" s="16"/>
      <c r="W833" s="16"/>
      <c r="X833" s="16"/>
      <c r="Y833" s="6" t="s">
        <v>1627</v>
      </c>
      <c r="Z833" s="15"/>
      <c r="AA833" s="15" t="s">
        <v>1628</v>
      </c>
    </row>
    <row r="834" spans="1:27" ht="33" customHeight="1">
      <c r="A834" s="6" t="s">
        <v>3517</v>
      </c>
      <c r="B834" s="7">
        <v>783</v>
      </c>
      <c r="C834" s="6" t="s">
        <v>3518</v>
      </c>
      <c r="D834" s="6" t="s">
        <v>2856</v>
      </c>
      <c r="E834" s="6" t="s">
        <v>2134</v>
      </c>
      <c r="F834" s="6" t="s">
        <v>2933</v>
      </c>
      <c r="G834" s="6" t="s">
        <v>1668</v>
      </c>
      <c r="H834" s="6"/>
      <c r="I834" s="14" t="s">
        <v>1807</v>
      </c>
      <c r="J834" s="15"/>
      <c r="K834" s="6" t="s">
        <v>1976</v>
      </c>
      <c r="L834" s="6" t="s">
        <v>2032</v>
      </c>
      <c r="M834" s="6" t="s">
        <v>1809</v>
      </c>
      <c r="N834" s="6" t="s">
        <v>1644</v>
      </c>
      <c r="O834" s="7">
        <f>SUMIFS('05_상품별배치367'!$K$7:$K$373,'05_상품별배치367'!$E$7:$E$373,A834,'05_상품별배치367'!$H$7:$H$373,"본진")</f>
        <v>0</v>
      </c>
      <c r="P834" s="7">
        <f>SUMIFS('05_상품별배치367'!$K$7:$K$373,'05_상품별배치367'!$E$7:$E$373,A834,'05_상품별배치367'!$H$7:$H$373,"추가 진열")</f>
        <v>0</v>
      </c>
      <c r="Q834" s="7">
        <f>O834+P834</f>
        <v>0</v>
      </c>
      <c r="R834" s="7">
        <v>0</v>
      </c>
      <c r="S834" s="6" t="s">
        <v>1810</v>
      </c>
      <c r="T834" s="6" t="s">
        <v>1637</v>
      </c>
      <c r="U834" s="6"/>
      <c r="V834" s="16"/>
      <c r="W834" s="16"/>
      <c r="X834" s="16"/>
      <c r="Y834" s="6" t="s">
        <v>1627</v>
      </c>
      <c r="Z834" s="15"/>
      <c r="AA834" s="15" t="s">
        <v>1628</v>
      </c>
    </row>
    <row r="835" spans="1:27" ht="33" customHeight="1">
      <c r="A835" s="6" t="s">
        <v>3509</v>
      </c>
      <c r="B835" s="7">
        <v>779</v>
      </c>
      <c r="C835" s="6" t="s">
        <v>3510</v>
      </c>
      <c r="D835" s="6" t="s">
        <v>2856</v>
      </c>
      <c r="E835" s="6" t="s">
        <v>2134</v>
      </c>
      <c r="F835" s="6" t="s">
        <v>2933</v>
      </c>
      <c r="G835" s="6" t="s">
        <v>1668</v>
      </c>
      <c r="H835" s="6"/>
      <c r="I835" s="14" t="s">
        <v>1807</v>
      </c>
      <c r="J835" s="15"/>
      <c r="K835" s="6" t="s">
        <v>1976</v>
      </c>
      <c r="L835" s="6" t="s">
        <v>2032</v>
      </c>
      <c r="M835" s="6" t="s">
        <v>1809</v>
      </c>
      <c r="N835" s="6" t="s">
        <v>1644</v>
      </c>
      <c r="O835" s="7">
        <f>SUMIFS('05_상품별배치367'!$K$7:$K$373,'05_상품별배치367'!$E$7:$E$373,A835,'05_상품별배치367'!$H$7:$H$373,"본진")</f>
        <v>0</v>
      </c>
      <c r="P835" s="7">
        <f>SUMIFS('05_상품별배치367'!$K$7:$K$373,'05_상품별배치367'!$E$7:$E$373,A835,'05_상품별배치367'!$H$7:$H$373,"추가 진열")</f>
        <v>0</v>
      </c>
      <c r="Q835" s="7">
        <f>O835+P835</f>
        <v>0</v>
      </c>
      <c r="R835" s="7">
        <v>0</v>
      </c>
      <c r="S835" s="6" t="s">
        <v>1810</v>
      </c>
      <c r="T835" s="6" t="s">
        <v>1637</v>
      </c>
      <c r="U835" s="6"/>
      <c r="V835" s="16"/>
      <c r="W835" s="16"/>
      <c r="X835" s="16"/>
      <c r="Y835" s="6" t="s">
        <v>1627</v>
      </c>
      <c r="Z835" s="15"/>
      <c r="AA835" s="15" t="s">
        <v>1628</v>
      </c>
    </row>
    <row r="836" spans="1:27" ht="33" customHeight="1">
      <c r="A836" s="8" t="s">
        <v>3511</v>
      </c>
      <c r="B836" s="9">
        <v>780</v>
      </c>
      <c r="C836" s="8" t="s">
        <v>3512</v>
      </c>
      <c r="D836" s="8" t="s">
        <v>2856</v>
      </c>
      <c r="E836" s="8" t="s">
        <v>2134</v>
      </c>
      <c r="F836" s="8" t="s">
        <v>1081</v>
      </c>
      <c r="G836" s="8" t="s">
        <v>290</v>
      </c>
      <c r="H836" s="8"/>
      <c r="I836" s="14" t="s">
        <v>1642</v>
      </c>
      <c r="J836" s="15"/>
      <c r="K836" s="8" t="s">
        <v>1976</v>
      </c>
      <c r="L836" s="8"/>
      <c r="M836" s="6" t="s">
        <v>1643</v>
      </c>
      <c r="N836" s="6" t="s">
        <v>1644</v>
      </c>
      <c r="O836" s="7">
        <f>SUMIFS('05_상품별배치367'!$K$7:$K$373,'05_상품별배치367'!$E$7:$E$373,A836,'05_상품별배치367'!$H$7:$H$373,"본진")</f>
        <v>0</v>
      </c>
      <c r="P836" s="7">
        <f>SUMIFS('05_상품별배치367'!$K$7:$K$373,'05_상품별배치367'!$E$7:$E$373,A836,'05_상품별배치367'!$H$7:$H$373,"추가 진열")</f>
        <v>0</v>
      </c>
      <c r="Q836" s="7">
        <f>O836+P836</f>
        <v>0</v>
      </c>
      <c r="R836" s="7">
        <v>1</v>
      </c>
      <c r="S836" s="6" t="s">
        <v>2135</v>
      </c>
      <c r="T836" s="6" t="s">
        <v>1637</v>
      </c>
      <c r="U836" s="6"/>
      <c r="V836" s="16"/>
      <c r="W836" s="16"/>
      <c r="X836" s="16"/>
      <c r="Y836" s="6" t="s">
        <v>1627</v>
      </c>
      <c r="Z836" s="15"/>
      <c r="AA836" s="15" t="s">
        <v>1628</v>
      </c>
    </row>
    <row r="837" spans="1:27" ht="33" customHeight="1">
      <c r="A837" s="6" t="s">
        <v>3513</v>
      </c>
      <c r="B837" s="7">
        <v>781</v>
      </c>
      <c r="C837" s="6" t="s">
        <v>3514</v>
      </c>
      <c r="D837" s="6" t="s">
        <v>2856</v>
      </c>
      <c r="E837" s="6" t="s">
        <v>2134</v>
      </c>
      <c r="F837" s="6" t="s">
        <v>2933</v>
      </c>
      <c r="G837" s="6" t="s">
        <v>1668</v>
      </c>
      <c r="H837" s="6"/>
      <c r="I837" s="14" t="s">
        <v>1807</v>
      </c>
      <c r="J837" s="15"/>
      <c r="K837" s="6" t="s">
        <v>1976</v>
      </c>
      <c r="L837" s="6" t="s">
        <v>2032</v>
      </c>
      <c r="M837" s="6" t="s">
        <v>1809</v>
      </c>
      <c r="N837" s="6" t="s">
        <v>1644</v>
      </c>
      <c r="O837" s="7">
        <f>SUMIFS('05_상품별배치367'!$K$7:$K$373,'05_상품별배치367'!$E$7:$E$373,A837,'05_상품별배치367'!$H$7:$H$373,"본진")</f>
        <v>0</v>
      </c>
      <c r="P837" s="7">
        <f>SUMIFS('05_상품별배치367'!$K$7:$K$373,'05_상품별배치367'!$E$7:$E$373,A837,'05_상품별배치367'!$H$7:$H$373,"추가 진열")</f>
        <v>0</v>
      </c>
      <c r="Q837" s="7">
        <f>O837+P837</f>
        <v>0</v>
      </c>
      <c r="R837" s="7">
        <v>0</v>
      </c>
      <c r="S837" s="6" t="s">
        <v>1810</v>
      </c>
      <c r="T837" s="6" t="s">
        <v>1637</v>
      </c>
      <c r="U837" s="6"/>
      <c r="V837" s="16"/>
      <c r="W837" s="16"/>
      <c r="X837" s="16"/>
      <c r="Y837" s="6" t="s">
        <v>1627</v>
      </c>
      <c r="Z837" s="15"/>
      <c r="AA837" s="15" t="s">
        <v>1628</v>
      </c>
    </row>
    <row r="838" spans="1:27" ht="33" customHeight="1">
      <c r="A838" s="8" t="s">
        <v>3515</v>
      </c>
      <c r="B838" s="9">
        <v>782</v>
      </c>
      <c r="C838" s="8" t="s">
        <v>3516</v>
      </c>
      <c r="D838" s="8" t="s">
        <v>2856</v>
      </c>
      <c r="E838" s="8" t="s">
        <v>2134</v>
      </c>
      <c r="F838" s="8" t="s">
        <v>2933</v>
      </c>
      <c r="G838" s="8" t="s">
        <v>1668</v>
      </c>
      <c r="H838" s="8"/>
      <c r="I838" s="14" t="s">
        <v>1807</v>
      </c>
      <c r="J838" s="15"/>
      <c r="K838" s="8" t="s">
        <v>1976</v>
      </c>
      <c r="L838" s="8" t="s">
        <v>2032</v>
      </c>
      <c r="M838" s="6" t="s">
        <v>1809</v>
      </c>
      <c r="N838" s="6" t="s">
        <v>1644</v>
      </c>
      <c r="O838" s="7">
        <f>SUMIFS('05_상품별배치367'!$K$7:$K$373,'05_상품별배치367'!$E$7:$E$373,A838,'05_상품별배치367'!$H$7:$H$373,"본진")</f>
        <v>0</v>
      </c>
      <c r="P838" s="7">
        <f>SUMIFS('05_상품별배치367'!$K$7:$K$373,'05_상품별배치367'!$E$7:$E$373,A838,'05_상품별배치367'!$H$7:$H$373,"추가 진열")</f>
        <v>0</v>
      </c>
      <c r="Q838" s="7">
        <f>O838+P838</f>
        <v>0</v>
      </c>
      <c r="R838" s="7">
        <v>0</v>
      </c>
      <c r="S838" s="6" t="s">
        <v>1810</v>
      </c>
      <c r="T838" s="6" t="s">
        <v>1637</v>
      </c>
      <c r="U838" s="6"/>
      <c r="V838" s="16"/>
      <c r="W838" s="16"/>
      <c r="X838" s="16"/>
      <c r="Y838" s="6" t="s">
        <v>1627</v>
      </c>
      <c r="Z838" s="15"/>
      <c r="AA838" s="15" t="s">
        <v>1628</v>
      </c>
    </row>
    <row r="839" spans="1:27" ht="33" customHeight="1">
      <c r="A839" s="8" t="s">
        <v>2858</v>
      </c>
      <c r="B839" s="9">
        <v>484</v>
      </c>
      <c r="C839" s="8" t="s">
        <v>2859</v>
      </c>
      <c r="D839" s="8" t="s">
        <v>2007</v>
      </c>
      <c r="E839" s="8" t="s">
        <v>1695</v>
      </c>
      <c r="F839" s="8" t="s">
        <v>482</v>
      </c>
      <c r="G839" s="8" t="s">
        <v>272</v>
      </c>
      <c r="H839" s="8"/>
      <c r="I839" s="14" t="s">
        <v>1642</v>
      </c>
      <c r="J839" s="15"/>
      <c r="K839" s="8" t="s">
        <v>1696</v>
      </c>
      <c r="L839" s="8"/>
      <c r="M839" s="6" t="s">
        <v>1643</v>
      </c>
      <c r="N839" s="6" t="s">
        <v>1644</v>
      </c>
      <c r="O839" s="7">
        <f>SUMIFS('05_상품별배치367'!$K$7:$K$373,'05_상품별배치367'!$E$7:$E$373,A839,'05_상품별배치367'!$H$7:$H$373,"본진")</f>
        <v>0</v>
      </c>
      <c r="P839" s="7">
        <f>SUMIFS('05_상품별배치367'!$K$7:$K$373,'05_상품별배치367'!$E$7:$E$373,A839,'05_상품별배치367'!$H$7:$H$373,"추가 진열")</f>
        <v>0</v>
      </c>
      <c r="Q839" s="7">
        <f>O839+P839</f>
        <v>0</v>
      </c>
      <c r="R839" s="7">
        <v>1</v>
      </c>
      <c r="S839" s="6" t="s">
        <v>1942</v>
      </c>
      <c r="T839" s="6" t="s">
        <v>1637</v>
      </c>
      <c r="U839" s="6"/>
      <c r="V839" s="16"/>
      <c r="W839" s="16"/>
      <c r="X839" s="16"/>
      <c r="Y839" s="6" t="s">
        <v>1627</v>
      </c>
      <c r="Z839" s="15"/>
      <c r="AA839" s="15" t="s">
        <v>1628</v>
      </c>
    </row>
    <row r="840" spans="1:27" ht="33" customHeight="1">
      <c r="A840" s="6" t="s">
        <v>2860</v>
      </c>
      <c r="B840" s="7">
        <v>485</v>
      </c>
      <c r="C840" s="6" t="s">
        <v>2861</v>
      </c>
      <c r="D840" s="6" t="s">
        <v>1851</v>
      </c>
      <c r="E840" s="6" t="s">
        <v>1695</v>
      </c>
      <c r="F840" s="6" t="s">
        <v>519</v>
      </c>
      <c r="G840" s="6" t="s">
        <v>455</v>
      </c>
      <c r="H840" s="6" t="s">
        <v>1429</v>
      </c>
      <c r="I840" s="14" t="s">
        <v>1633</v>
      </c>
      <c r="J840" s="15"/>
      <c r="K840" s="6" t="s">
        <v>1696</v>
      </c>
      <c r="L840" s="6"/>
      <c r="M840" s="6" t="s">
        <v>1635</v>
      </c>
      <c r="N840" s="6" t="s">
        <v>1624</v>
      </c>
      <c r="O840" s="7">
        <f>SUMIFS('05_상품별배치367'!$K$7:$K$373,'05_상품별배치367'!$E$7:$E$373,A840,'05_상품별배치367'!$H$7:$H$373,"본진")</f>
        <v>1</v>
      </c>
      <c r="P840" s="7">
        <f>SUMIFS('05_상품별배치367'!$K$7:$K$373,'05_상품별배치367'!$E$7:$E$373,A840,'05_상품별배치367'!$H$7:$H$373,"추가 진열")</f>
        <v>0</v>
      </c>
      <c r="Q840" s="7">
        <f>O840+P840</f>
        <v>1</v>
      </c>
      <c r="R840" s="7">
        <v>1</v>
      </c>
      <c r="S840" s="6" t="s">
        <v>1636</v>
      </c>
      <c r="T840" s="6" t="s">
        <v>1637</v>
      </c>
      <c r="U840" s="6"/>
      <c r="V840" s="16"/>
      <c r="W840" s="16"/>
      <c r="X840" s="16"/>
      <c r="Y840" s="6" t="s">
        <v>1627</v>
      </c>
      <c r="Z840" s="15"/>
      <c r="AA840" s="15" t="s">
        <v>1628</v>
      </c>
    </row>
    <row r="841" spans="1:27" ht="33" customHeight="1">
      <c r="A841" s="6" t="s">
        <v>6870</v>
      </c>
      <c r="B841" s="7">
        <v>2347</v>
      </c>
      <c r="C841" s="6" t="s">
        <v>6871</v>
      </c>
      <c r="D841" s="6" t="s">
        <v>1662</v>
      </c>
      <c r="E841" s="6" t="s">
        <v>1986</v>
      </c>
      <c r="F841" s="6" t="s">
        <v>1276</v>
      </c>
      <c r="G841" s="6" t="s">
        <v>1987</v>
      </c>
      <c r="H841" s="6"/>
      <c r="I841" s="14" t="s">
        <v>1642</v>
      </c>
      <c r="J841" s="15"/>
      <c r="K841" s="6" t="s">
        <v>1976</v>
      </c>
      <c r="L841" s="6"/>
      <c r="M841" s="6" t="s">
        <v>1643</v>
      </c>
      <c r="N841" s="6" t="s">
        <v>1644</v>
      </c>
      <c r="O841" s="7">
        <f>SUMIFS('05_상품별배치367'!$K$7:$K$373,'05_상품별배치367'!$E$7:$E$373,A841,'05_상품별배치367'!$H$7:$H$373,"본진")</f>
        <v>0</v>
      </c>
      <c r="P841" s="7">
        <f>SUMIFS('05_상품별배치367'!$K$7:$K$373,'05_상품별배치367'!$E$7:$E$373,A841,'05_상품별배치367'!$H$7:$H$373,"추가 진열")</f>
        <v>0</v>
      </c>
      <c r="Q841" s="7">
        <f>O841+P841</f>
        <v>0</v>
      </c>
      <c r="R841" s="7">
        <v>1</v>
      </c>
      <c r="S841" s="6" t="s">
        <v>1988</v>
      </c>
      <c r="T841" s="6" t="s">
        <v>1637</v>
      </c>
      <c r="U841" s="6"/>
      <c r="V841" s="16"/>
      <c r="W841" s="16"/>
      <c r="X841" s="16"/>
      <c r="Y841" s="6" t="s">
        <v>1627</v>
      </c>
      <c r="Z841" s="15"/>
      <c r="AA841" s="15" t="s">
        <v>1628</v>
      </c>
    </row>
    <row r="842" spans="1:27" ht="33" customHeight="1">
      <c r="A842" s="8" t="s">
        <v>6872</v>
      </c>
      <c r="B842" s="9">
        <v>2348</v>
      </c>
      <c r="C842" s="8" t="s">
        <v>6873</v>
      </c>
      <c r="D842" s="8" t="s">
        <v>6874</v>
      </c>
      <c r="E842" s="8" t="s">
        <v>1986</v>
      </c>
      <c r="F842" s="8" t="s">
        <v>1276</v>
      </c>
      <c r="G842" s="8" t="s">
        <v>1987</v>
      </c>
      <c r="H842" s="8"/>
      <c r="I842" s="14" t="s">
        <v>1642</v>
      </c>
      <c r="J842" s="15"/>
      <c r="K842" s="8" t="s">
        <v>1976</v>
      </c>
      <c r="L842" s="8"/>
      <c r="M842" s="6" t="s">
        <v>1643</v>
      </c>
      <c r="N842" s="6" t="s">
        <v>1644</v>
      </c>
      <c r="O842" s="7">
        <f>SUMIFS('05_상품별배치367'!$K$7:$K$373,'05_상품별배치367'!$E$7:$E$373,A842,'05_상품별배치367'!$H$7:$H$373,"본진")</f>
        <v>0</v>
      </c>
      <c r="P842" s="7">
        <f>SUMIFS('05_상품별배치367'!$K$7:$K$373,'05_상품별배치367'!$E$7:$E$373,A842,'05_상품별배치367'!$H$7:$H$373,"추가 진열")</f>
        <v>0</v>
      </c>
      <c r="Q842" s="7">
        <f>O842+P842</f>
        <v>0</v>
      </c>
      <c r="R842" s="7">
        <v>1</v>
      </c>
      <c r="S842" s="6" t="s">
        <v>1988</v>
      </c>
      <c r="T842" s="6" t="s">
        <v>1637</v>
      </c>
      <c r="U842" s="6"/>
      <c r="V842" s="16"/>
      <c r="W842" s="16"/>
      <c r="X842" s="16"/>
      <c r="Y842" s="6" t="s">
        <v>1627</v>
      </c>
      <c r="Z842" s="15"/>
      <c r="AA842" s="15" t="s">
        <v>1628</v>
      </c>
    </row>
    <row r="843" spans="1:27" ht="33" customHeight="1">
      <c r="A843" s="6" t="s">
        <v>6875</v>
      </c>
      <c r="B843" s="7">
        <v>2349</v>
      </c>
      <c r="C843" s="6" t="s">
        <v>6876</v>
      </c>
      <c r="D843" s="6" t="s">
        <v>3008</v>
      </c>
      <c r="E843" s="6" t="s">
        <v>2134</v>
      </c>
      <c r="F843" s="6" t="s">
        <v>2933</v>
      </c>
      <c r="G843" s="6" t="s">
        <v>1668</v>
      </c>
      <c r="H843" s="6"/>
      <c r="I843" s="14" t="s">
        <v>1807</v>
      </c>
      <c r="J843" s="15"/>
      <c r="K843" s="6" t="s">
        <v>1976</v>
      </c>
      <c r="L843" s="6" t="s">
        <v>2032</v>
      </c>
      <c r="M843" s="6" t="s">
        <v>1809</v>
      </c>
      <c r="N843" s="6" t="s">
        <v>1624</v>
      </c>
      <c r="O843" s="7">
        <f>SUMIFS('05_상품별배치367'!$K$7:$K$373,'05_상품별배치367'!$E$7:$E$373,A843,'05_상품별배치367'!$H$7:$H$373,"본진")</f>
        <v>0</v>
      </c>
      <c r="P843" s="7">
        <f>SUMIFS('05_상품별배치367'!$K$7:$K$373,'05_상품별배치367'!$E$7:$E$373,A843,'05_상품별배치367'!$H$7:$H$373,"추가 진열")</f>
        <v>0</v>
      </c>
      <c r="Q843" s="7">
        <f>O843+P843</f>
        <v>0</v>
      </c>
      <c r="R843" s="7">
        <v>0</v>
      </c>
      <c r="S843" s="6" t="s">
        <v>1810</v>
      </c>
      <c r="T843" s="6" t="s">
        <v>1637</v>
      </c>
      <c r="U843" s="6"/>
      <c r="V843" s="16"/>
      <c r="W843" s="16"/>
      <c r="X843" s="16"/>
      <c r="Y843" s="6" t="s">
        <v>1627</v>
      </c>
      <c r="Z843" s="15"/>
      <c r="AA843" s="15" t="s">
        <v>1628</v>
      </c>
    </row>
    <row r="844" spans="1:27" ht="33" customHeight="1">
      <c r="A844" s="6" t="s">
        <v>6866</v>
      </c>
      <c r="B844" s="7">
        <v>2345</v>
      </c>
      <c r="C844" s="6" t="s">
        <v>6867</v>
      </c>
      <c r="D844" s="6" t="s">
        <v>1649</v>
      </c>
      <c r="E844" s="6" t="s">
        <v>2134</v>
      </c>
      <c r="F844" s="6" t="s">
        <v>156</v>
      </c>
      <c r="G844" s="6" t="s">
        <v>3239</v>
      </c>
      <c r="H844" s="6"/>
      <c r="I844" s="14" t="s">
        <v>1642</v>
      </c>
      <c r="J844" s="15"/>
      <c r="K844" s="6" t="s">
        <v>1976</v>
      </c>
      <c r="L844" s="6"/>
      <c r="M844" s="6" t="s">
        <v>1643</v>
      </c>
      <c r="N844" s="6" t="s">
        <v>1624</v>
      </c>
      <c r="O844" s="7">
        <f>SUMIFS('05_상품별배치367'!$K$7:$K$373,'05_상품별배치367'!$E$7:$E$373,A844,'05_상품별배치367'!$H$7:$H$373,"본진")</f>
        <v>0</v>
      </c>
      <c r="P844" s="7">
        <f>SUMIFS('05_상품별배치367'!$K$7:$K$373,'05_상품별배치367'!$E$7:$E$373,A844,'05_상품별배치367'!$H$7:$H$373,"추가 진열")</f>
        <v>0</v>
      </c>
      <c r="Q844" s="7">
        <f>O844+P844</f>
        <v>0</v>
      </c>
      <c r="R844" s="7">
        <v>1</v>
      </c>
      <c r="S844" s="6" t="s">
        <v>3240</v>
      </c>
      <c r="T844" s="6" t="s">
        <v>1637</v>
      </c>
      <c r="U844" s="6"/>
      <c r="V844" s="16"/>
      <c r="W844" s="16"/>
      <c r="X844" s="16"/>
      <c r="Y844" s="6" t="s">
        <v>1627</v>
      </c>
      <c r="Z844" s="15"/>
      <c r="AA844" s="15" t="s">
        <v>1628</v>
      </c>
    </row>
    <row r="845" spans="1:27" ht="33" customHeight="1">
      <c r="A845" s="8" t="s">
        <v>6877</v>
      </c>
      <c r="B845" s="9">
        <v>2350</v>
      </c>
      <c r="C845" s="8" t="s">
        <v>6878</v>
      </c>
      <c r="D845" s="8" t="s">
        <v>2572</v>
      </c>
      <c r="E845" s="8" t="s">
        <v>2134</v>
      </c>
      <c r="F845" s="8" t="s">
        <v>2933</v>
      </c>
      <c r="G845" s="8" t="s">
        <v>1668</v>
      </c>
      <c r="H845" s="8"/>
      <c r="I845" s="14" t="s">
        <v>1807</v>
      </c>
      <c r="J845" s="15"/>
      <c r="K845" s="8" t="s">
        <v>1976</v>
      </c>
      <c r="L845" s="8" t="s">
        <v>2032</v>
      </c>
      <c r="M845" s="6" t="s">
        <v>1809</v>
      </c>
      <c r="N845" s="6" t="s">
        <v>1624</v>
      </c>
      <c r="O845" s="7">
        <f>SUMIFS('05_상품별배치367'!$K$7:$K$373,'05_상품별배치367'!$E$7:$E$373,A845,'05_상품별배치367'!$H$7:$H$373,"본진")</f>
        <v>0</v>
      </c>
      <c r="P845" s="7">
        <f>SUMIFS('05_상품별배치367'!$K$7:$K$373,'05_상품별배치367'!$E$7:$E$373,A845,'05_상품별배치367'!$H$7:$H$373,"추가 진열")</f>
        <v>0</v>
      </c>
      <c r="Q845" s="7">
        <f>O845+P845</f>
        <v>0</v>
      </c>
      <c r="R845" s="7">
        <v>0</v>
      </c>
      <c r="S845" s="6" t="s">
        <v>1810</v>
      </c>
      <c r="T845" s="6" t="s">
        <v>1637</v>
      </c>
      <c r="U845" s="6"/>
      <c r="V845" s="16"/>
      <c r="W845" s="16"/>
      <c r="X845" s="16"/>
      <c r="Y845" s="6" t="s">
        <v>1627</v>
      </c>
      <c r="Z845" s="15"/>
      <c r="AA845" s="15" t="s">
        <v>1628</v>
      </c>
    </row>
    <row r="846" spans="1:27" ht="33" customHeight="1">
      <c r="A846" s="6" t="s">
        <v>4344</v>
      </c>
      <c r="B846" s="7">
        <v>1161</v>
      </c>
      <c r="C846" s="6" t="s">
        <v>4345</v>
      </c>
      <c r="D846" s="6" t="s">
        <v>3384</v>
      </c>
      <c r="E846" s="6" t="s">
        <v>1986</v>
      </c>
      <c r="F846" s="6" t="s">
        <v>1276</v>
      </c>
      <c r="G846" s="6" t="s">
        <v>1987</v>
      </c>
      <c r="H846" s="6"/>
      <c r="I846" s="14" t="s">
        <v>1642</v>
      </c>
      <c r="J846" s="15"/>
      <c r="K846" s="6" t="s">
        <v>1976</v>
      </c>
      <c r="L846" s="6"/>
      <c r="M846" s="6" t="s">
        <v>1643</v>
      </c>
      <c r="N846" s="6" t="s">
        <v>1644</v>
      </c>
      <c r="O846" s="7">
        <f>SUMIFS('05_상품별배치367'!$K$7:$K$373,'05_상품별배치367'!$E$7:$E$373,A846,'05_상품별배치367'!$H$7:$H$373,"본진")</f>
        <v>0</v>
      </c>
      <c r="P846" s="7">
        <f>SUMIFS('05_상품별배치367'!$K$7:$K$373,'05_상품별배치367'!$E$7:$E$373,A846,'05_상품별배치367'!$H$7:$H$373,"추가 진열")</f>
        <v>0</v>
      </c>
      <c r="Q846" s="7">
        <f>O846+P846</f>
        <v>0</v>
      </c>
      <c r="R846" s="7">
        <v>1</v>
      </c>
      <c r="S846" s="6" t="s">
        <v>1988</v>
      </c>
      <c r="T846" s="6" t="s">
        <v>1637</v>
      </c>
      <c r="U846" s="6"/>
      <c r="V846" s="16"/>
      <c r="W846" s="16"/>
      <c r="X846" s="16"/>
      <c r="Y846" s="6" t="s">
        <v>1627</v>
      </c>
      <c r="Z846" s="15"/>
      <c r="AA846" s="15" t="s">
        <v>1628</v>
      </c>
    </row>
    <row r="847" spans="1:27" ht="33" customHeight="1">
      <c r="A847" s="6" t="s">
        <v>4340</v>
      </c>
      <c r="B847" s="7">
        <v>1159</v>
      </c>
      <c r="C847" s="6" t="s">
        <v>4341</v>
      </c>
      <c r="D847" s="6" t="s">
        <v>3384</v>
      </c>
      <c r="E847" s="6" t="s">
        <v>2134</v>
      </c>
      <c r="F847" s="6" t="s">
        <v>481</v>
      </c>
      <c r="G847" s="6" t="s">
        <v>193</v>
      </c>
      <c r="H847" s="6"/>
      <c r="I847" s="14" t="s">
        <v>1642</v>
      </c>
      <c r="J847" s="15"/>
      <c r="K847" s="6" t="s">
        <v>1976</v>
      </c>
      <c r="L847" s="6"/>
      <c r="M847" s="6" t="s">
        <v>1643</v>
      </c>
      <c r="N847" s="6" t="s">
        <v>1624</v>
      </c>
      <c r="O847" s="7">
        <f>SUMIFS('05_상품별배치367'!$K$7:$K$373,'05_상품별배치367'!$E$7:$E$373,A847,'05_상품별배치367'!$H$7:$H$373,"본진")</f>
        <v>0</v>
      </c>
      <c r="P847" s="7">
        <f>SUMIFS('05_상품별배치367'!$K$7:$K$373,'05_상품별배치367'!$E$7:$E$373,A847,'05_상품별배치367'!$H$7:$H$373,"추가 진열")</f>
        <v>0</v>
      </c>
      <c r="Q847" s="7">
        <f>O847+P847</f>
        <v>0</v>
      </c>
      <c r="R847" s="7">
        <v>1</v>
      </c>
      <c r="S847" s="6" t="s">
        <v>3000</v>
      </c>
      <c r="T847" s="6" t="s">
        <v>1637</v>
      </c>
      <c r="U847" s="6"/>
      <c r="V847" s="16"/>
      <c r="W847" s="16"/>
      <c r="X847" s="16"/>
      <c r="Y847" s="6" t="s">
        <v>1627</v>
      </c>
      <c r="Z847" s="15"/>
      <c r="AA847" s="15" t="s">
        <v>1628</v>
      </c>
    </row>
    <row r="848" spans="1:27" ht="33" customHeight="1">
      <c r="A848" s="6" t="s">
        <v>4373</v>
      </c>
      <c r="B848" s="7">
        <v>1175</v>
      </c>
      <c r="C848" s="6" t="s">
        <v>4374</v>
      </c>
      <c r="D848" s="6" t="s">
        <v>1724</v>
      </c>
      <c r="E848" s="6" t="s">
        <v>1814</v>
      </c>
      <c r="F848" s="6" t="s">
        <v>514</v>
      </c>
      <c r="G848" s="6" t="s">
        <v>423</v>
      </c>
      <c r="H848" s="6"/>
      <c r="I848" s="14" t="s">
        <v>1642</v>
      </c>
      <c r="J848" s="15"/>
      <c r="K848" s="6" t="s">
        <v>1976</v>
      </c>
      <c r="L848" s="6"/>
      <c r="M848" s="6" t="s">
        <v>1643</v>
      </c>
      <c r="N848" s="6" t="s">
        <v>1624</v>
      </c>
      <c r="O848" s="7">
        <f>SUMIFS('05_상품별배치367'!$K$7:$K$373,'05_상품별배치367'!$E$7:$E$373,A848,'05_상품별배치367'!$H$7:$H$373,"본진")</f>
        <v>0</v>
      </c>
      <c r="P848" s="7">
        <f>SUMIFS('05_상품별배치367'!$K$7:$K$373,'05_상품별배치367'!$E$7:$E$373,A848,'05_상품별배치367'!$H$7:$H$373,"추가 진열")</f>
        <v>0</v>
      </c>
      <c r="Q848" s="7">
        <f>O848+P848</f>
        <v>0</v>
      </c>
      <c r="R848" s="7">
        <v>1</v>
      </c>
      <c r="S848" s="6" t="s">
        <v>1991</v>
      </c>
      <c r="T848" s="6" t="s">
        <v>1637</v>
      </c>
      <c r="U848" s="6"/>
      <c r="V848" s="16"/>
      <c r="W848" s="16"/>
      <c r="X848" s="16"/>
      <c r="Y848" s="6" t="s">
        <v>1627</v>
      </c>
      <c r="Z848" s="15"/>
      <c r="AA848" s="15" t="s">
        <v>1628</v>
      </c>
    </row>
    <row r="849" spans="1:27" ht="33" customHeight="1">
      <c r="A849" s="8" t="s">
        <v>4371</v>
      </c>
      <c r="B849" s="9">
        <v>1174</v>
      </c>
      <c r="C849" s="8" t="s">
        <v>4372</v>
      </c>
      <c r="D849" s="8" t="s">
        <v>3374</v>
      </c>
      <c r="E849" s="8" t="s">
        <v>2134</v>
      </c>
      <c r="F849" s="8" t="s">
        <v>156</v>
      </c>
      <c r="G849" s="8" t="s">
        <v>3239</v>
      </c>
      <c r="H849" s="8"/>
      <c r="I849" s="14" t="s">
        <v>1642</v>
      </c>
      <c r="J849" s="15"/>
      <c r="K849" s="8" t="s">
        <v>1976</v>
      </c>
      <c r="L849" s="8"/>
      <c r="M849" s="6" t="s">
        <v>1643</v>
      </c>
      <c r="N849" s="6" t="s">
        <v>1624</v>
      </c>
      <c r="O849" s="7">
        <f>SUMIFS('05_상품별배치367'!$K$7:$K$373,'05_상품별배치367'!$E$7:$E$373,A849,'05_상품별배치367'!$H$7:$H$373,"본진")</f>
        <v>0</v>
      </c>
      <c r="P849" s="7">
        <f>SUMIFS('05_상품별배치367'!$K$7:$K$373,'05_상품별배치367'!$E$7:$E$373,A849,'05_상품별배치367'!$H$7:$H$373,"추가 진열")</f>
        <v>0</v>
      </c>
      <c r="Q849" s="7">
        <f>O849+P849</f>
        <v>0</v>
      </c>
      <c r="R849" s="7">
        <v>1</v>
      </c>
      <c r="S849" s="6" t="s">
        <v>3240</v>
      </c>
      <c r="T849" s="6" t="s">
        <v>1637</v>
      </c>
      <c r="U849" s="6"/>
      <c r="V849" s="16"/>
      <c r="W849" s="16"/>
      <c r="X849" s="16"/>
      <c r="Y849" s="6" t="s">
        <v>1627</v>
      </c>
      <c r="Z849" s="15"/>
      <c r="AA849" s="15" t="s">
        <v>1628</v>
      </c>
    </row>
    <row r="850" spans="1:27" ht="33" customHeight="1">
      <c r="A850" s="6" t="s">
        <v>4385</v>
      </c>
      <c r="B850" s="7">
        <v>1181</v>
      </c>
      <c r="C850" s="6" t="s">
        <v>4386</v>
      </c>
      <c r="D850" s="6" t="s">
        <v>1662</v>
      </c>
      <c r="E850" s="6" t="s">
        <v>2134</v>
      </c>
      <c r="F850" s="6" t="s">
        <v>156</v>
      </c>
      <c r="G850" s="6" t="s">
        <v>3239</v>
      </c>
      <c r="H850" s="6"/>
      <c r="I850" s="14" t="s">
        <v>1642</v>
      </c>
      <c r="J850" s="15"/>
      <c r="K850" s="6" t="s">
        <v>1976</v>
      </c>
      <c r="L850" s="6"/>
      <c r="M850" s="6" t="s">
        <v>1643</v>
      </c>
      <c r="N850" s="6" t="s">
        <v>1624</v>
      </c>
      <c r="O850" s="7">
        <f>SUMIFS('05_상품별배치367'!$K$7:$K$373,'05_상품별배치367'!$E$7:$E$373,A850,'05_상품별배치367'!$H$7:$H$373,"본진")</f>
        <v>0</v>
      </c>
      <c r="P850" s="7">
        <f>SUMIFS('05_상품별배치367'!$K$7:$K$373,'05_상품별배치367'!$E$7:$E$373,A850,'05_상품별배치367'!$H$7:$H$373,"추가 진열")</f>
        <v>0</v>
      </c>
      <c r="Q850" s="7">
        <f>O850+P850</f>
        <v>0</v>
      </c>
      <c r="R850" s="7">
        <v>1</v>
      </c>
      <c r="S850" s="6" t="s">
        <v>3240</v>
      </c>
      <c r="T850" s="6" t="s">
        <v>1637</v>
      </c>
      <c r="U850" s="6"/>
      <c r="V850" s="16"/>
      <c r="W850" s="16"/>
      <c r="X850" s="16"/>
      <c r="Y850" s="6" t="s">
        <v>1627</v>
      </c>
      <c r="Z850" s="15"/>
      <c r="AA850" s="15" t="s">
        <v>1628</v>
      </c>
    </row>
    <row r="851" spans="1:27" ht="33" customHeight="1">
      <c r="A851" s="8" t="s">
        <v>4367</v>
      </c>
      <c r="B851" s="9">
        <v>1172</v>
      </c>
      <c r="C851" s="8" t="s">
        <v>4368</v>
      </c>
      <c r="D851" s="8" t="s">
        <v>3130</v>
      </c>
      <c r="E851" s="8" t="s">
        <v>2134</v>
      </c>
      <c r="F851" s="8" t="s">
        <v>156</v>
      </c>
      <c r="G851" s="8" t="s">
        <v>3239</v>
      </c>
      <c r="H851" s="8"/>
      <c r="I851" s="14" t="s">
        <v>1642</v>
      </c>
      <c r="J851" s="15"/>
      <c r="K851" s="8" t="s">
        <v>1976</v>
      </c>
      <c r="L851" s="8"/>
      <c r="M851" s="6" t="s">
        <v>1643</v>
      </c>
      <c r="N851" s="6" t="s">
        <v>1624</v>
      </c>
      <c r="O851" s="7">
        <f>SUMIFS('05_상품별배치367'!$K$7:$K$373,'05_상품별배치367'!$E$7:$E$373,A851,'05_상품별배치367'!$H$7:$H$373,"본진")</f>
        <v>0</v>
      </c>
      <c r="P851" s="7">
        <f>SUMIFS('05_상품별배치367'!$K$7:$K$373,'05_상품별배치367'!$E$7:$E$373,A851,'05_상품별배치367'!$H$7:$H$373,"추가 진열")</f>
        <v>0</v>
      </c>
      <c r="Q851" s="7">
        <f>O851+P851</f>
        <v>0</v>
      </c>
      <c r="R851" s="7">
        <v>1</v>
      </c>
      <c r="S851" s="6" t="s">
        <v>3240</v>
      </c>
      <c r="T851" s="6" t="s">
        <v>1637</v>
      </c>
      <c r="U851" s="6"/>
      <c r="V851" s="16"/>
      <c r="W851" s="16"/>
      <c r="X851" s="16"/>
      <c r="Y851" s="6" t="s">
        <v>1627</v>
      </c>
      <c r="Z851" s="15"/>
      <c r="AA851" s="15" t="s">
        <v>1628</v>
      </c>
    </row>
    <row r="852" spans="1:27" ht="33" customHeight="1">
      <c r="A852" s="8" t="s">
        <v>4375</v>
      </c>
      <c r="B852" s="9">
        <v>1176</v>
      </c>
      <c r="C852" s="8" t="s">
        <v>4376</v>
      </c>
      <c r="D852" s="8" t="s">
        <v>3350</v>
      </c>
      <c r="E852" s="8" t="s">
        <v>2134</v>
      </c>
      <c r="F852" s="8" t="s">
        <v>156</v>
      </c>
      <c r="G852" s="8" t="s">
        <v>3239</v>
      </c>
      <c r="H852" s="8"/>
      <c r="I852" s="14" t="s">
        <v>1642</v>
      </c>
      <c r="J852" s="15"/>
      <c r="K852" s="8" t="s">
        <v>1976</v>
      </c>
      <c r="L852" s="8"/>
      <c r="M852" s="6" t="s">
        <v>1643</v>
      </c>
      <c r="N852" s="6" t="s">
        <v>1624</v>
      </c>
      <c r="O852" s="7">
        <f>SUMIFS('05_상품별배치367'!$K$7:$K$373,'05_상품별배치367'!$E$7:$E$373,A852,'05_상품별배치367'!$H$7:$H$373,"본진")</f>
        <v>0</v>
      </c>
      <c r="P852" s="7">
        <f>SUMIFS('05_상품별배치367'!$K$7:$K$373,'05_상품별배치367'!$E$7:$E$373,A852,'05_상품별배치367'!$H$7:$H$373,"추가 진열")</f>
        <v>0</v>
      </c>
      <c r="Q852" s="7">
        <f>O852+P852</f>
        <v>0</v>
      </c>
      <c r="R852" s="7">
        <v>1</v>
      </c>
      <c r="S852" s="6" t="s">
        <v>3240</v>
      </c>
      <c r="T852" s="6" t="s">
        <v>1637</v>
      </c>
      <c r="U852" s="6"/>
      <c r="V852" s="16"/>
      <c r="W852" s="16"/>
      <c r="X852" s="16"/>
      <c r="Y852" s="6" t="s">
        <v>1627</v>
      </c>
      <c r="Z852" s="15"/>
      <c r="AA852" s="15" t="s">
        <v>1628</v>
      </c>
    </row>
    <row r="853" spans="1:27" ht="33" customHeight="1">
      <c r="A853" s="8" t="s">
        <v>4383</v>
      </c>
      <c r="B853" s="9">
        <v>1180</v>
      </c>
      <c r="C853" s="8" t="s">
        <v>4384</v>
      </c>
      <c r="D853" s="8" t="s">
        <v>3150</v>
      </c>
      <c r="E853" s="8" t="s">
        <v>2134</v>
      </c>
      <c r="F853" s="8" t="s">
        <v>156</v>
      </c>
      <c r="G853" s="8" t="s">
        <v>3239</v>
      </c>
      <c r="H853" s="8"/>
      <c r="I853" s="14" t="s">
        <v>1642</v>
      </c>
      <c r="J853" s="15"/>
      <c r="K853" s="8" t="s">
        <v>1976</v>
      </c>
      <c r="L853" s="8"/>
      <c r="M853" s="6" t="s">
        <v>1643</v>
      </c>
      <c r="N853" s="6" t="s">
        <v>1624</v>
      </c>
      <c r="O853" s="7">
        <f>SUMIFS('05_상품별배치367'!$K$7:$K$373,'05_상품별배치367'!$E$7:$E$373,A853,'05_상품별배치367'!$H$7:$H$373,"본진")</f>
        <v>0</v>
      </c>
      <c r="P853" s="7">
        <f>SUMIFS('05_상품별배치367'!$K$7:$K$373,'05_상품별배치367'!$E$7:$E$373,A853,'05_상품별배치367'!$H$7:$H$373,"추가 진열")</f>
        <v>0</v>
      </c>
      <c r="Q853" s="7">
        <f>O853+P853</f>
        <v>0</v>
      </c>
      <c r="R853" s="7">
        <v>1</v>
      </c>
      <c r="S853" s="6" t="s">
        <v>3240</v>
      </c>
      <c r="T853" s="6" t="s">
        <v>1637</v>
      </c>
      <c r="U853" s="6"/>
      <c r="V853" s="16"/>
      <c r="W853" s="16"/>
      <c r="X853" s="16"/>
      <c r="Y853" s="6" t="s">
        <v>1627</v>
      </c>
      <c r="Z853" s="15"/>
      <c r="AA853" s="15" t="s">
        <v>1628</v>
      </c>
    </row>
    <row r="854" spans="1:27" ht="33" customHeight="1">
      <c r="A854" s="6" t="s">
        <v>4369</v>
      </c>
      <c r="B854" s="7">
        <v>1173</v>
      </c>
      <c r="C854" s="6" t="s">
        <v>4370</v>
      </c>
      <c r="D854" s="6" t="s">
        <v>1876</v>
      </c>
      <c r="E854" s="6" t="s">
        <v>2134</v>
      </c>
      <c r="F854" s="6" t="s">
        <v>156</v>
      </c>
      <c r="G854" s="6" t="s">
        <v>3239</v>
      </c>
      <c r="H854" s="6"/>
      <c r="I854" s="14" t="s">
        <v>1642</v>
      </c>
      <c r="J854" s="15"/>
      <c r="K854" s="6" t="s">
        <v>1976</v>
      </c>
      <c r="L854" s="6"/>
      <c r="M854" s="6" t="s">
        <v>1643</v>
      </c>
      <c r="N854" s="6" t="s">
        <v>1624</v>
      </c>
      <c r="O854" s="7">
        <f>SUMIFS('05_상품별배치367'!$K$7:$K$373,'05_상품별배치367'!$E$7:$E$373,A854,'05_상품별배치367'!$H$7:$H$373,"본진")</f>
        <v>0</v>
      </c>
      <c r="P854" s="7">
        <f>SUMIFS('05_상품별배치367'!$K$7:$K$373,'05_상품별배치367'!$E$7:$E$373,A854,'05_상품별배치367'!$H$7:$H$373,"추가 진열")</f>
        <v>0</v>
      </c>
      <c r="Q854" s="7">
        <f>O854+P854</f>
        <v>0</v>
      </c>
      <c r="R854" s="7">
        <v>1</v>
      </c>
      <c r="S854" s="6" t="s">
        <v>3240</v>
      </c>
      <c r="T854" s="6" t="s">
        <v>1637</v>
      </c>
      <c r="U854" s="6"/>
      <c r="V854" s="16"/>
      <c r="W854" s="16"/>
      <c r="X854" s="16"/>
      <c r="Y854" s="6" t="s">
        <v>1627</v>
      </c>
      <c r="Z854" s="15"/>
      <c r="AA854" s="15" t="s">
        <v>1628</v>
      </c>
    </row>
    <row r="855" spans="1:27" ht="33" customHeight="1">
      <c r="A855" s="6" t="s">
        <v>4365</v>
      </c>
      <c r="B855" s="7">
        <v>1171</v>
      </c>
      <c r="C855" s="6" t="s">
        <v>4366</v>
      </c>
      <c r="D855" s="6" t="s">
        <v>2856</v>
      </c>
      <c r="E855" s="6" t="s">
        <v>2134</v>
      </c>
      <c r="F855" s="6" t="s">
        <v>156</v>
      </c>
      <c r="G855" s="6" t="s">
        <v>3239</v>
      </c>
      <c r="H855" s="6"/>
      <c r="I855" s="14" t="s">
        <v>1642</v>
      </c>
      <c r="J855" s="15"/>
      <c r="K855" s="6" t="s">
        <v>1976</v>
      </c>
      <c r="L855" s="6"/>
      <c r="M855" s="6" t="s">
        <v>1643</v>
      </c>
      <c r="N855" s="6" t="s">
        <v>1624</v>
      </c>
      <c r="O855" s="7">
        <f>SUMIFS('05_상품별배치367'!$K$7:$K$373,'05_상품별배치367'!$E$7:$E$373,A855,'05_상품별배치367'!$H$7:$H$373,"본진")</f>
        <v>0</v>
      </c>
      <c r="P855" s="7">
        <f>SUMIFS('05_상품별배치367'!$K$7:$K$373,'05_상품별배치367'!$E$7:$E$373,A855,'05_상품별배치367'!$H$7:$H$373,"추가 진열")</f>
        <v>0</v>
      </c>
      <c r="Q855" s="7">
        <f>O855+P855</f>
        <v>0</v>
      </c>
      <c r="R855" s="7">
        <v>1</v>
      </c>
      <c r="S855" s="6" t="s">
        <v>3240</v>
      </c>
      <c r="T855" s="6" t="s">
        <v>1637</v>
      </c>
      <c r="U855" s="6"/>
      <c r="V855" s="16"/>
      <c r="W855" s="16"/>
      <c r="X855" s="16"/>
      <c r="Y855" s="6" t="s">
        <v>1627</v>
      </c>
      <c r="Z855" s="15"/>
      <c r="AA855" s="15" t="s">
        <v>1628</v>
      </c>
    </row>
    <row r="856" spans="1:27" ht="33" customHeight="1">
      <c r="A856" s="8" t="s">
        <v>4379</v>
      </c>
      <c r="B856" s="9">
        <v>1178</v>
      </c>
      <c r="C856" s="8" t="s">
        <v>4380</v>
      </c>
      <c r="D856" s="8" t="s">
        <v>2856</v>
      </c>
      <c r="E856" s="8" t="s">
        <v>2134</v>
      </c>
      <c r="F856" s="8" t="s">
        <v>1081</v>
      </c>
      <c r="G856" s="8" t="s">
        <v>290</v>
      </c>
      <c r="H856" s="8"/>
      <c r="I856" s="14" t="s">
        <v>1642</v>
      </c>
      <c r="J856" s="15"/>
      <c r="K856" s="8" t="s">
        <v>1976</v>
      </c>
      <c r="L856" s="8"/>
      <c r="M856" s="6" t="s">
        <v>1643</v>
      </c>
      <c r="N856" s="6" t="s">
        <v>1624</v>
      </c>
      <c r="O856" s="7">
        <f>SUMIFS('05_상품별배치367'!$K$7:$K$373,'05_상품별배치367'!$E$7:$E$373,A856,'05_상품별배치367'!$H$7:$H$373,"본진")</f>
        <v>0</v>
      </c>
      <c r="P856" s="7">
        <f>SUMIFS('05_상품별배치367'!$K$7:$K$373,'05_상품별배치367'!$E$7:$E$373,A856,'05_상품별배치367'!$H$7:$H$373,"추가 진열")</f>
        <v>0</v>
      </c>
      <c r="Q856" s="7">
        <f>O856+P856</f>
        <v>0</v>
      </c>
      <c r="R856" s="7">
        <v>1</v>
      </c>
      <c r="S856" s="6" t="s">
        <v>2135</v>
      </c>
      <c r="T856" s="6" t="s">
        <v>1637</v>
      </c>
      <c r="U856" s="6"/>
      <c r="V856" s="16"/>
      <c r="W856" s="16"/>
      <c r="X856" s="16"/>
      <c r="Y856" s="6" t="s">
        <v>1627</v>
      </c>
      <c r="Z856" s="15"/>
      <c r="AA856" s="15" t="s">
        <v>1628</v>
      </c>
    </row>
    <row r="857" spans="1:27" ht="33" customHeight="1">
      <c r="A857" s="6" t="s">
        <v>4381</v>
      </c>
      <c r="B857" s="7">
        <v>1179</v>
      </c>
      <c r="C857" s="6" t="s">
        <v>4382</v>
      </c>
      <c r="D857" s="6" t="s">
        <v>3374</v>
      </c>
      <c r="E857" s="6" t="s">
        <v>2134</v>
      </c>
      <c r="F857" s="6" t="s">
        <v>1081</v>
      </c>
      <c r="G857" s="6" t="s">
        <v>290</v>
      </c>
      <c r="H857" s="6"/>
      <c r="I857" s="14" t="s">
        <v>1642</v>
      </c>
      <c r="J857" s="15"/>
      <c r="K857" s="6" t="s">
        <v>1976</v>
      </c>
      <c r="L857" s="6"/>
      <c r="M857" s="6" t="s">
        <v>1643</v>
      </c>
      <c r="N857" s="6" t="s">
        <v>1624</v>
      </c>
      <c r="O857" s="7">
        <f>SUMIFS('05_상품별배치367'!$K$7:$K$373,'05_상품별배치367'!$E$7:$E$373,A857,'05_상품별배치367'!$H$7:$H$373,"본진")</f>
        <v>0</v>
      </c>
      <c r="P857" s="7">
        <f>SUMIFS('05_상품별배치367'!$K$7:$K$373,'05_상품별배치367'!$E$7:$E$373,A857,'05_상품별배치367'!$H$7:$H$373,"추가 진열")</f>
        <v>0</v>
      </c>
      <c r="Q857" s="7">
        <f>O857+P857</f>
        <v>0</v>
      </c>
      <c r="R857" s="7">
        <v>1</v>
      </c>
      <c r="S857" s="6" t="s">
        <v>2135</v>
      </c>
      <c r="T857" s="6" t="s">
        <v>1637</v>
      </c>
      <c r="U857" s="6"/>
      <c r="V857" s="16"/>
      <c r="W857" s="16"/>
      <c r="X857" s="16"/>
      <c r="Y857" s="6" t="s">
        <v>1627</v>
      </c>
      <c r="Z857" s="15"/>
      <c r="AA857" s="15" t="s">
        <v>1628</v>
      </c>
    </row>
    <row r="858" spans="1:27" ht="33" customHeight="1">
      <c r="A858" s="8" t="s">
        <v>4400</v>
      </c>
      <c r="B858" s="9">
        <v>1188</v>
      </c>
      <c r="C858" s="8" t="s">
        <v>4401</v>
      </c>
      <c r="D858" s="8" t="s">
        <v>1926</v>
      </c>
      <c r="E858" s="8" t="s">
        <v>1986</v>
      </c>
      <c r="F858" s="8" t="s">
        <v>1276</v>
      </c>
      <c r="G858" s="8" t="s">
        <v>1987</v>
      </c>
      <c r="H858" s="8"/>
      <c r="I858" s="14" t="s">
        <v>1642</v>
      </c>
      <c r="J858" s="15"/>
      <c r="K858" s="8" t="s">
        <v>1976</v>
      </c>
      <c r="L858" s="8"/>
      <c r="M858" s="6" t="s">
        <v>1643</v>
      </c>
      <c r="N858" s="6" t="s">
        <v>1644</v>
      </c>
      <c r="O858" s="7">
        <f>SUMIFS('05_상품별배치367'!$K$7:$K$373,'05_상품별배치367'!$E$7:$E$373,A858,'05_상품별배치367'!$H$7:$H$373,"본진")</f>
        <v>0</v>
      </c>
      <c r="P858" s="7">
        <f>SUMIFS('05_상품별배치367'!$K$7:$K$373,'05_상품별배치367'!$E$7:$E$373,A858,'05_상품별배치367'!$H$7:$H$373,"추가 진열")</f>
        <v>0</v>
      </c>
      <c r="Q858" s="7">
        <f>O858+P858</f>
        <v>0</v>
      </c>
      <c r="R858" s="7">
        <v>1</v>
      </c>
      <c r="S858" s="6" t="s">
        <v>1988</v>
      </c>
      <c r="T858" s="6" t="s">
        <v>1637</v>
      </c>
      <c r="U858" s="6"/>
      <c r="V858" s="16"/>
      <c r="W858" s="16"/>
      <c r="X858" s="16"/>
      <c r="Y858" s="6" t="s">
        <v>1627</v>
      </c>
      <c r="Z858" s="15"/>
      <c r="AA858" s="15" t="s">
        <v>1628</v>
      </c>
    </row>
    <row r="859" spans="1:27" ht="33" customHeight="1">
      <c r="A859" s="8" t="s">
        <v>4346</v>
      </c>
      <c r="B859" s="9">
        <v>1162</v>
      </c>
      <c r="C859" s="8" t="s">
        <v>4347</v>
      </c>
      <c r="D859" s="8" t="s">
        <v>3374</v>
      </c>
      <c r="E859" s="8" t="s">
        <v>2134</v>
      </c>
      <c r="F859" s="8" t="s">
        <v>2933</v>
      </c>
      <c r="G859" s="8" t="s">
        <v>1668</v>
      </c>
      <c r="H859" s="8"/>
      <c r="I859" s="14" t="s">
        <v>1807</v>
      </c>
      <c r="J859" s="15"/>
      <c r="K859" s="8" t="s">
        <v>1976</v>
      </c>
      <c r="L859" s="8" t="s">
        <v>2032</v>
      </c>
      <c r="M859" s="6" t="s">
        <v>1809</v>
      </c>
      <c r="N859" s="6" t="s">
        <v>1624</v>
      </c>
      <c r="O859" s="7">
        <f>SUMIFS('05_상품별배치367'!$K$7:$K$373,'05_상품별배치367'!$E$7:$E$373,A859,'05_상품별배치367'!$H$7:$H$373,"본진")</f>
        <v>0</v>
      </c>
      <c r="P859" s="7">
        <f>SUMIFS('05_상품별배치367'!$K$7:$K$373,'05_상품별배치367'!$E$7:$E$373,A859,'05_상품별배치367'!$H$7:$H$373,"추가 진열")</f>
        <v>0</v>
      </c>
      <c r="Q859" s="7">
        <f>O859+P859</f>
        <v>0</v>
      </c>
      <c r="R859" s="7">
        <v>0</v>
      </c>
      <c r="S859" s="6" t="s">
        <v>1810</v>
      </c>
      <c r="T859" s="6" t="s">
        <v>1637</v>
      </c>
      <c r="U859" s="6"/>
      <c r="V859" s="16"/>
      <c r="W859" s="16"/>
      <c r="X859" s="16"/>
      <c r="Y859" s="6" t="s">
        <v>1627</v>
      </c>
      <c r="Z859" s="15"/>
      <c r="AA859" s="15" t="s">
        <v>1628</v>
      </c>
    </row>
    <row r="860" spans="1:27" ht="33" customHeight="1">
      <c r="A860" s="6" t="s">
        <v>4348</v>
      </c>
      <c r="B860" s="7">
        <v>1163</v>
      </c>
      <c r="C860" s="6" t="s">
        <v>4349</v>
      </c>
      <c r="D860" s="6" t="s">
        <v>2856</v>
      </c>
      <c r="E860" s="6" t="s">
        <v>2134</v>
      </c>
      <c r="F860" s="6" t="s">
        <v>1263</v>
      </c>
      <c r="G860" s="6" t="s">
        <v>376</v>
      </c>
      <c r="H860" s="6"/>
      <c r="I860" s="14" t="s">
        <v>1642</v>
      </c>
      <c r="J860" s="15"/>
      <c r="K860" s="6" t="s">
        <v>1976</v>
      </c>
      <c r="L860" s="6"/>
      <c r="M860" s="6" t="s">
        <v>1643</v>
      </c>
      <c r="N860" s="6" t="s">
        <v>1624</v>
      </c>
      <c r="O860" s="7">
        <f>SUMIFS('05_상품별배치367'!$K$7:$K$373,'05_상품별배치367'!$E$7:$E$373,A860,'05_상품별배치367'!$H$7:$H$373,"본진")</f>
        <v>0</v>
      </c>
      <c r="P860" s="7">
        <f>SUMIFS('05_상품별배치367'!$K$7:$K$373,'05_상품별배치367'!$E$7:$E$373,A860,'05_상품별배치367'!$H$7:$H$373,"추가 진열")</f>
        <v>0</v>
      </c>
      <c r="Q860" s="7">
        <f>O860+P860</f>
        <v>0</v>
      </c>
      <c r="R860" s="7">
        <v>1</v>
      </c>
      <c r="S860" s="6" t="s">
        <v>3016</v>
      </c>
      <c r="T860" s="6" t="s">
        <v>1637</v>
      </c>
      <c r="U860" s="6"/>
      <c r="V860" s="16"/>
      <c r="W860" s="16"/>
      <c r="X860" s="16"/>
      <c r="Y860" s="6" t="s">
        <v>1627</v>
      </c>
      <c r="Z860" s="15"/>
      <c r="AA860" s="15" t="s">
        <v>1628</v>
      </c>
    </row>
    <row r="861" spans="1:27" ht="33" customHeight="1">
      <c r="A861" s="8" t="s">
        <v>4392</v>
      </c>
      <c r="B861" s="9">
        <v>1184</v>
      </c>
      <c r="C861" s="8" t="s">
        <v>4393</v>
      </c>
      <c r="D861" s="8" t="s">
        <v>1926</v>
      </c>
      <c r="E861" s="8" t="s">
        <v>2134</v>
      </c>
      <c r="F861" s="8" t="s">
        <v>1081</v>
      </c>
      <c r="G861" s="8" t="s">
        <v>290</v>
      </c>
      <c r="H861" s="8"/>
      <c r="I861" s="14" t="s">
        <v>1642</v>
      </c>
      <c r="J861" s="15"/>
      <c r="K861" s="8" t="s">
        <v>1976</v>
      </c>
      <c r="L861" s="8"/>
      <c r="M861" s="6" t="s">
        <v>1643</v>
      </c>
      <c r="N861" s="6" t="s">
        <v>1624</v>
      </c>
      <c r="O861" s="7">
        <f>SUMIFS('05_상품별배치367'!$K$7:$K$373,'05_상품별배치367'!$E$7:$E$373,A861,'05_상품별배치367'!$H$7:$H$373,"본진")</f>
        <v>0</v>
      </c>
      <c r="P861" s="7">
        <f>SUMIFS('05_상품별배치367'!$K$7:$K$373,'05_상품별배치367'!$E$7:$E$373,A861,'05_상품별배치367'!$H$7:$H$373,"추가 진열")</f>
        <v>0</v>
      </c>
      <c r="Q861" s="7">
        <f>O861+P861</f>
        <v>0</v>
      </c>
      <c r="R861" s="7">
        <v>1</v>
      </c>
      <c r="S861" s="6" t="s">
        <v>2135</v>
      </c>
      <c r="T861" s="6" t="s">
        <v>1637</v>
      </c>
      <c r="U861" s="6"/>
      <c r="V861" s="16"/>
      <c r="W861" s="16"/>
      <c r="X861" s="16"/>
      <c r="Y861" s="6" t="s">
        <v>1627</v>
      </c>
      <c r="Z861" s="15"/>
      <c r="AA861" s="15" t="s">
        <v>1628</v>
      </c>
    </row>
    <row r="862" spans="1:27" ht="33" customHeight="1">
      <c r="A862" s="6" t="s">
        <v>4394</v>
      </c>
      <c r="B862" s="7">
        <v>1185</v>
      </c>
      <c r="C862" s="6" t="s">
        <v>4395</v>
      </c>
      <c r="D862" s="6" t="s">
        <v>1926</v>
      </c>
      <c r="E862" s="6" t="s">
        <v>2134</v>
      </c>
      <c r="F862" s="6" t="s">
        <v>1263</v>
      </c>
      <c r="G862" s="6" t="s">
        <v>376</v>
      </c>
      <c r="H862" s="6"/>
      <c r="I862" s="14" t="s">
        <v>1642</v>
      </c>
      <c r="J862" s="15"/>
      <c r="K862" s="6" t="s">
        <v>1976</v>
      </c>
      <c r="L862" s="6"/>
      <c r="M862" s="6" t="s">
        <v>1643</v>
      </c>
      <c r="N862" s="6" t="s">
        <v>1624</v>
      </c>
      <c r="O862" s="7">
        <f>SUMIFS('05_상품별배치367'!$K$7:$K$373,'05_상품별배치367'!$E$7:$E$373,A862,'05_상품별배치367'!$H$7:$H$373,"본진")</f>
        <v>0</v>
      </c>
      <c r="P862" s="7">
        <f>SUMIFS('05_상품별배치367'!$K$7:$K$373,'05_상품별배치367'!$E$7:$E$373,A862,'05_상품별배치367'!$H$7:$H$373,"추가 진열")</f>
        <v>0</v>
      </c>
      <c r="Q862" s="7">
        <f>O862+P862</f>
        <v>0</v>
      </c>
      <c r="R862" s="7">
        <v>1</v>
      </c>
      <c r="S862" s="6" t="s">
        <v>3016</v>
      </c>
      <c r="T862" s="6" t="s">
        <v>1637</v>
      </c>
      <c r="U862" s="6"/>
      <c r="V862" s="16"/>
      <c r="W862" s="16"/>
      <c r="X862" s="16"/>
      <c r="Y862" s="6" t="s">
        <v>1627</v>
      </c>
      <c r="Z862" s="15"/>
      <c r="AA862" s="15" t="s">
        <v>1628</v>
      </c>
    </row>
    <row r="863" spans="1:27" ht="33" customHeight="1">
      <c r="A863" s="8" t="s">
        <v>6864</v>
      </c>
      <c r="B863" s="9">
        <v>2344</v>
      </c>
      <c r="C863" s="8" t="s">
        <v>6865</v>
      </c>
      <c r="D863" s="8" t="s">
        <v>2913</v>
      </c>
      <c r="E863" s="8" t="s">
        <v>2134</v>
      </c>
      <c r="F863" s="8" t="s">
        <v>156</v>
      </c>
      <c r="G863" s="8" t="s">
        <v>3239</v>
      </c>
      <c r="H863" s="8"/>
      <c r="I863" s="14" t="s">
        <v>1642</v>
      </c>
      <c r="J863" s="15"/>
      <c r="K863" s="8" t="s">
        <v>1976</v>
      </c>
      <c r="L863" s="8"/>
      <c r="M863" s="6" t="s">
        <v>1643</v>
      </c>
      <c r="N863" s="6" t="s">
        <v>1624</v>
      </c>
      <c r="O863" s="7">
        <f>SUMIFS('05_상품별배치367'!$K$7:$K$373,'05_상품별배치367'!$E$7:$E$373,A863,'05_상품별배치367'!$H$7:$H$373,"본진")</f>
        <v>0</v>
      </c>
      <c r="P863" s="7">
        <f>SUMIFS('05_상품별배치367'!$K$7:$K$373,'05_상품별배치367'!$E$7:$E$373,A863,'05_상품별배치367'!$H$7:$H$373,"추가 진열")</f>
        <v>0</v>
      </c>
      <c r="Q863" s="7">
        <f>O863+P863</f>
        <v>0</v>
      </c>
      <c r="R863" s="7">
        <v>1</v>
      </c>
      <c r="S863" s="6" t="s">
        <v>3240</v>
      </c>
      <c r="T863" s="6" t="s">
        <v>1637</v>
      </c>
      <c r="U863" s="6"/>
      <c r="V863" s="16"/>
      <c r="W863" s="16"/>
      <c r="X863" s="16"/>
      <c r="Y863" s="6" t="s">
        <v>1627</v>
      </c>
      <c r="Z863" s="15"/>
      <c r="AA863" s="15" t="s">
        <v>1628</v>
      </c>
    </row>
    <row r="864" spans="1:27" ht="33" customHeight="1">
      <c r="A864" s="6" t="s">
        <v>4377</v>
      </c>
      <c r="B864" s="7">
        <v>1177</v>
      </c>
      <c r="C864" s="6" t="s">
        <v>4378</v>
      </c>
      <c r="D864" s="6" t="s">
        <v>2913</v>
      </c>
      <c r="E864" s="6" t="s">
        <v>2134</v>
      </c>
      <c r="F864" s="6" t="s">
        <v>156</v>
      </c>
      <c r="G864" s="6" t="s">
        <v>3239</v>
      </c>
      <c r="H864" s="6"/>
      <c r="I864" s="14" t="s">
        <v>1642</v>
      </c>
      <c r="J864" s="15"/>
      <c r="K864" s="6" t="s">
        <v>1976</v>
      </c>
      <c r="L864" s="6"/>
      <c r="M864" s="6" t="s">
        <v>1643</v>
      </c>
      <c r="N864" s="6" t="s">
        <v>1624</v>
      </c>
      <c r="O864" s="7">
        <f>SUMIFS('05_상품별배치367'!$K$7:$K$373,'05_상품별배치367'!$E$7:$E$373,A864,'05_상품별배치367'!$H$7:$H$373,"본진")</f>
        <v>0</v>
      </c>
      <c r="P864" s="7">
        <f>SUMIFS('05_상품별배치367'!$K$7:$K$373,'05_상품별배치367'!$E$7:$E$373,A864,'05_상품별배치367'!$H$7:$H$373,"추가 진열")</f>
        <v>0</v>
      </c>
      <c r="Q864" s="7">
        <f>O864+P864</f>
        <v>0</v>
      </c>
      <c r="R864" s="7">
        <v>1</v>
      </c>
      <c r="S864" s="6" t="s">
        <v>3240</v>
      </c>
      <c r="T864" s="6" t="s">
        <v>1637</v>
      </c>
      <c r="U864" s="6"/>
      <c r="V864" s="16"/>
      <c r="W864" s="16"/>
      <c r="X864" s="16"/>
      <c r="Y864" s="6" t="s">
        <v>1627</v>
      </c>
      <c r="Z864" s="15"/>
      <c r="AA864" s="15" t="s">
        <v>1628</v>
      </c>
    </row>
    <row r="865" spans="1:27" ht="33" customHeight="1">
      <c r="A865" s="8" t="s">
        <v>4338</v>
      </c>
      <c r="B865" s="9">
        <v>1158</v>
      </c>
      <c r="C865" s="8" t="s">
        <v>4339</v>
      </c>
      <c r="D865" s="8" t="s">
        <v>1937</v>
      </c>
      <c r="E865" s="8" t="s">
        <v>2134</v>
      </c>
      <c r="F865" s="8" t="s">
        <v>481</v>
      </c>
      <c r="G865" s="8" t="s">
        <v>193</v>
      </c>
      <c r="H865" s="8"/>
      <c r="I865" s="14" t="s">
        <v>1642</v>
      </c>
      <c r="J865" s="15"/>
      <c r="K865" s="8" t="s">
        <v>1976</v>
      </c>
      <c r="L865" s="8"/>
      <c r="M865" s="6" t="s">
        <v>1643</v>
      </c>
      <c r="N865" s="6" t="s">
        <v>1624</v>
      </c>
      <c r="O865" s="7">
        <f>SUMIFS('05_상품별배치367'!$K$7:$K$373,'05_상품별배치367'!$E$7:$E$373,A865,'05_상품별배치367'!$H$7:$H$373,"본진")</f>
        <v>0</v>
      </c>
      <c r="P865" s="7">
        <f>SUMIFS('05_상품별배치367'!$K$7:$K$373,'05_상품별배치367'!$E$7:$E$373,A865,'05_상품별배치367'!$H$7:$H$373,"추가 진열")</f>
        <v>0</v>
      </c>
      <c r="Q865" s="7">
        <f>O865+P865</f>
        <v>0</v>
      </c>
      <c r="R865" s="7">
        <v>1</v>
      </c>
      <c r="S865" s="6" t="s">
        <v>3000</v>
      </c>
      <c r="T865" s="6" t="s">
        <v>1637</v>
      </c>
      <c r="U865" s="6"/>
      <c r="V865" s="16"/>
      <c r="W865" s="16"/>
      <c r="X865" s="16"/>
      <c r="Y865" s="6" t="s">
        <v>1627</v>
      </c>
      <c r="Z865" s="15"/>
      <c r="AA865" s="15" t="s">
        <v>1628</v>
      </c>
    </row>
    <row r="866" spans="1:27" ht="33" customHeight="1">
      <c r="A866" s="8" t="s">
        <v>4396</v>
      </c>
      <c r="B866" s="9">
        <v>1186</v>
      </c>
      <c r="C866" s="8" t="s">
        <v>4397</v>
      </c>
      <c r="D866" s="8" t="s">
        <v>1926</v>
      </c>
      <c r="E866" s="8" t="s">
        <v>2134</v>
      </c>
      <c r="F866" s="8" t="s">
        <v>481</v>
      </c>
      <c r="G866" s="8" t="s">
        <v>193</v>
      </c>
      <c r="H866" s="8"/>
      <c r="I866" s="14" t="s">
        <v>1642</v>
      </c>
      <c r="J866" s="15"/>
      <c r="K866" s="8" t="s">
        <v>1976</v>
      </c>
      <c r="L866" s="8"/>
      <c r="M866" s="6" t="s">
        <v>1643</v>
      </c>
      <c r="N866" s="6" t="s">
        <v>1624</v>
      </c>
      <c r="O866" s="7">
        <f>SUMIFS('05_상품별배치367'!$K$7:$K$373,'05_상품별배치367'!$E$7:$E$373,A866,'05_상품별배치367'!$H$7:$H$373,"본진")</f>
        <v>0</v>
      </c>
      <c r="P866" s="7">
        <f>SUMIFS('05_상품별배치367'!$K$7:$K$373,'05_상품별배치367'!$E$7:$E$373,A866,'05_상품별배치367'!$H$7:$H$373,"추가 진열")</f>
        <v>0</v>
      </c>
      <c r="Q866" s="7">
        <f>O866+P866</f>
        <v>0</v>
      </c>
      <c r="R866" s="7">
        <v>1</v>
      </c>
      <c r="S866" s="6" t="s">
        <v>3000</v>
      </c>
      <c r="T866" s="6" t="s">
        <v>1637</v>
      </c>
      <c r="U866" s="6"/>
      <c r="V866" s="16"/>
      <c r="W866" s="16"/>
      <c r="X866" s="16"/>
      <c r="Y866" s="6" t="s">
        <v>1627</v>
      </c>
      <c r="Z866" s="15"/>
      <c r="AA866" s="15" t="s">
        <v>1628</v>
      </c>
    </row>
    <row r="867" spans="1:27" ht="33" customHeight="1">
      <c r="A867" s="8" t="s">
        <v>4342</v>
      </c>
      <c r="B867" s="9">
        <v>1160</v>
      </c>
      <c r="C867" s="8" t="s">
        <v>4343</v>
      </c>
      <c r="D867" s="8" t="s">
        <v>1941</v>
      </c>
      <c r="E867" s="8" t="s">
        <v>1986</v>
      </c>
      <c r="F867" s="8" t="s">
        <v>913</v>
      </c>
      <c r="G867" s="8" t="s">
        <v>201</v>
      </c>
      <c r="H867" s="8"/>
      <c r="I867" s="14" t="s">
        <v>1642</v>
      </c>
      <c r="J867" s="15"/>
      <c r="K867" s="8" t="s">
        <v>1976</v>
      </c>
      <c r="L867" s="8"/>
      <c r="M867" s="6" t="s">
        <v>1643</v>
      </c>
      <c r="N867" s="6" t="s">
        <v>1644</v>
      </c>
      <c r="O867" s="7">
        <f>SUMIFS('05_상품별배치367'!$K$7:$K$373,'05_상품별배치367'!$E$7:$E$373,A867,'05_상품별배치367'!$H$7:$H$373,"본진")</f>
        <v>0</v>
      </c>
      <c r="P867" s="7">
        <f>SUMIFS('05_상품별배치367'!$K$7:$K$373,'05_상품별배치367'!$E$7:$E$373,A867,'05_상품별배치367'!$H$7:$H$373,"추가 진열")</f>
        <v>0</v>
      </c>
      <c r="Q867" s="7">
        <f>O867+P867</f>
        <v>0</v>
      </c>
      <c r="R867" s="7">
        <v>1</v>
      </c>
      <c r="S867" s="6" t="s">
        <v>2907</v>
      </c>
      <c r="T867" s="6" t="s">
        <v>1637</v>
      </c>
      <c r="U867" s="6"/>
      <c r="V867" s="16"/>
      <c r="W867" s="16"/>
      <c r="X867" s="16"/>
      <c r="Y867" s="6" t="s">
        <v>1627</v>
      </c>
      <c r="Z867" s="15"/>
      <c r="AA867" s="15" t="s">
        <v>1628</v>
      </c>
    </row>
    <row r="868" spans="1:27" ht="33" customHeight="1">
      <c r="A868" s="8" t="s">
        <v>4350</v>
      </c>
      <c r="B868" s="9">
        <v>1164</v>
      </c>
      <c r="C868" s="8" t="s">
        <v>4351</v>
      </c>
      <c r="D868" s="8" t="s">
        <v>3350</v>
      </c>
      <c r="E868" s="8" t="s">
        <v>1986</v>
      </c>
      <c r="F868" s="8" t="s">
        <v>1276</v>
      </c>
      <c r="G868" s="8" t="s">
        <v>1987</v>
      </c>
      <c r="H868" s="8"/>
      <c r="I868" s="14" t="s">
        <v>1642</v>
      </c>
      <c r="J868" s="15"/>
      <c r="K868" s="8" t="s">
        <v>1976</v>
      </c>
      <c r="L868" s="8"/>
      <c r="M868" s="6" t="s">
        <v>1643</v>
      </c>
      <c r="N868" s="6" t="s">
        <v>1644</v>
      </c>
      <c r="O868" s="7">
        <f>SUMIFS('05_상품별배치367'!$K$7:$K$373,'05_상품별배치367'!$E$7:$E$373,A868,'05_상품별배치367'!$H$7:$H$373,"본진")</f>
        <v>0</v>
      </c>
      <c r="P868" s="7">
        <f>SUMIFS('05_상품별배치367'!$K$7:$K$373,'05_상품별배치367'!$E$7:$E$373,A868,'05_상품별배치367'!$H$7:$H$373,"추가 진열")</f>
        <v>0</v>
      </c>
      <c r="Q868" s="7">
        <f>O868+P868</f>
        <v>0</v>
      </c>
      <c r="R868" s="7">
        <v>1</v>
      </c>
      <c r="S868" s="6" t="s">
        <v>1988</v>
      </c>
      <c r="T868" s="6" t="s">
        <v>1637</v>
      </c>
      <c r="U868" s="6"/>
      <c r="V868" s="16"/>
      <c r="W868" s="16"/>
      <c r="X868" s="16"/>
      <c r="Y868" s="6" t="s">
        <v>1627</v>
      </c>
      <c r="Z868" s="15"/>
      <c r="AA868" s="15" t="s">
        <v>1628</v>
      </c>
    </row>
    <row r="869" spans="1:27" ht="33" customHeight="1">
      <c r="A869" s="6" t="s">
        <v>4390</v>
      </c>
      <c r="B869" s="7">
        <v>1183</v>
      </c>
      <c r="C869" s="6" t="s">
        <v>4391</v>
      </c>
      <c r="D869" s="6" t="s">
        <v>3150</v>
      </c>
      <c r="E869" s="6" t="s">
        <v>2134</v>
      </c>
      <c r="F869" s="6" t="s">
        <v>1081</v>
      </c>
      <c r="G869" s="6" t="s">
        <v>290</v>
      </c>
      <c r="H869" s="6"/>
      <c r="I869" s="14" t="s">
        <v>1642</v>
      </c>
      <c r="J869" s="15"/>
      <c r="K869" s="6" t="s">
        <v>1976</v>
      </c>
      <c r="L869" s="6"/>
      <c r="M869" s="6" t="s">
        <v>1643</v>
      </c>
      <c r="N869" s="6" t="s">
        <v>1624</v>
      </c>
      <c r="O869" s="7">
        <f>SUMIFS('05_상품별배치367'!$K$7:$K$373,'05_상품별배치367'!$E$7:$E$373,A869,'05_상품별배치367'!$H$7:$H$373,"본진")</f>
        <v>0</v>
      </c>
      <c r="P869" s="7">
        <f>SUMIFS('05_상품별배치367'!$K$7:$K$373,'05_상품별배치367'!$E$7:$E$373,A869,'05_상품별배치367'!$H$7:$H$373,"추가 진열")</f>
        <v>0</v>
      </c>
      <c r="Q869" s="7">
        <f>O869+P869</f>
        <v>0</v>
      </c>
      <c r="R869" s="7">
        <v>1</v>
      </c>
      <c r="S869" s="6" t="s">
        <v>2135</v>
      </c>
      <c r="T869" s="6" t="s">
        <v>1637</v>
      </c>
      <c r="U869" s="6"/>
      <c r="V869" s="16"/>
      <c r="W869" s="16"/>
      <c r="X869" s="16"/>
      <c r="Y869" s="6" t="s">
        <v>1627</v>
      </c>
      <c r="Z869" s="15"/>
      <c r="AA869" s="15" t="s">
        <v>1628</v>
      </c>
    </row>
    <row r="870" spans="1:27" ht="33" customHeight="1">
      <c r="A870" s="6" t="s">
        <v>4352</v>
      </c>
      <c r="B870" s="7">
        <v>1165</v>
      </c>
      <c r="C870" s="6" t="s">
        <v>4353</v>
      </c>
      <c r="D870" s="6" t="s">
        <v>1941</v>
      </c>
      <c r="E870" s="6" t="s">
        <v>1986</v>
      </c>
      <c r="F870" s="6" t="s">
        <v>913</v>
      </c>
      <c r="G870" s="6" t="s">
        <v>201</v>
      </c>
      <c r="H870" s="6"/>
      <c r="I870" s="14" t="s">
        <v>1642</v>
      </c>
      <c r="J870" s="15"/>
      <c r="K870" s="6" t="s">
        <v>1976</v>
      </c>
      <c r="L870" s="6"/>
      <c r="M870" s="6" t="s">
        <v>1643</v>
      </c>
      <c r="N870" s="6" t="s">
        <v>1644</v>
      </c>
      <c r="O870" s="7">
        <f>SUMIFS('05_상품별배치367'!$K$7:$K$373,'05_상품별배치367'!$E$7:$E$373,A870,'05_상품별배치367'!$H$7:$H$373,"본진")</f>
        <v>0</v>
      </c>
      <c r="P870" s="7">
        <f>SUMIFS('05_상품별배치367'!$K$7:$K$373,'05_상품별배치367'!$E$7:$E$373,A870,'05_상품별배치367'!$H$7:$H$373,"추가 진열")</f>
        <v>0</v>
      </c>
      <c r="Q870" s="7">
        <f>O870+P870</f>
        <v>0</v>
      </c>
      <c r="R870" s="7">
        <v>1</v>
      </c>
      <c r="S870" s="6" t="s">
        <v>2907</v>
      </c>
      <c r="T870" s="6" t="s">
        <v>1637</v>
      </c>
      <c r="U870" s="6"/>
      <c r="V870" s="16"/>
      <c r="W870" s="16"/>
      <c r="X870" s="16"/>
      <c r="Y870" s="6" t="s">
        <v>1627</v>
      </c>
      <c r="Z870" s="15"/>
      <c r="AA870" s="15" t="s">
        <v>1628</v>
      </c>
    </row>
    <row r="871" spans="1:27" ht="33" customHeight="1">
      <c r="A871" s="8" t="s">
        <v>4354</v>
      </c>
      <c r="B871" s="9">
        <v>1166</v>
      </c>
      <c r="C871" s="8" t="s">
        <v>4355</v>
      </c>
      <c r="D871" s="8" t="s">
        <v>3047</v>
      </c>
      <c r="E871" s="8" t="s">
        <v>1986</v>
      </c>
      <c r="F871" s="8" t="s">
        <v>1276</v>
      </c>
      <c r="G871" s="8" t="s">
        <v>1987</v>
      </c>
      <c r="H871" s="8"/>
      <c r="I871" s="14" t="s">
        <v>1642</v>
      </c>
      <c r="J871" s="15"/>
      <c r="K871" s="8" t="s">
        <v>1976</v>
      </c>
      <c r="L871" s="8"/>
      <c r="M871" s="6" t="s">
        <v>1643</v>
      </c>
      <c r="N871" s="6" t="s">
        <v>1644</v>
      </c>
      <c r="O871" s="7">
        <f>SUMIFS('05_상품별배치367'!$K$7:$K$373,'05_상품별배치367'!$E$7:$E$373,A871,'05_상품별배치367'!$H$7:$H$373,"본진")</f>
        <v>0</v>
      </c>
      <c r="P871" s="7">
        <f>SUMIFS('05_상품별배치367'!$K$7:$K$373,'05_상품별배치367'!$E$7:$E$373,A871,'05_상품별배치367'!$H$7:$H$373,"추가 진열")</f>
        <v>0</v>
      </c>
      <c r="Q871" s="7">
        <f>O871+P871</f>
        <v>0</v>
      </c>
      <c r="R871" s="7">
        <v>1</v>
      </c>
      <c r="S871" s="6" t="s">
        <v>1988</v>
      </c>
      <c r="T871" s="6" t="s">
        <v>1637</v>
      </c>
      <c r="U871" s="6"/>
      <c r="V871" s="16"/>
      <c r="W871" s="16"/>
      <c r="X871" s="16"/>
      <c r="Y871" s="6" t="s">
        <v>1627</v>
      </c>
      <c r="Z871" s="15"/>
      <c r="AA871" s="15" t="s">
        <v>1628</v>
      </c>
    </row>
    <row r="872" spans="1:27" ht="33" customHeight="1">
      <c r="A872" s="8" t="s">
        <v>4363</v>
      </c>
      <c r="B872" s="9">
        <v>1170</v>
      </c>
      <c r="C872" s="8" t="s">
        <v>4364</v>
      </c>
      <c r="D872" s="8" t="s">
        <v>3350</v>
      </c>
      <c r="E872" s="8" t="s">
        <v>2134</v>
      </c>
      <c r="F872" s="8" t="s">
        <v>1263</v>
      </c>
      <c r="G872" s="8" t="s">
        <v>376</v>
      </c>
      <c r="H872" s="8"/>
      <c r="I872" s="14" t="s">
        <v>1642</v>
      </c>
      <c r="J872" s="15"/>
      <c r="K872" s="8" t="s">
        <v>1976</v>
      </c>
      <c r="L872" s="8"/>
      <c r="M872" s="6" t="s">
        <v>1643</v>
      </c>
      <c r="N872" s="6" t="s">
        <v>1624</v>
      </c>
      <c r="O872" s="7">
        <f>SUMIFS('05_상품별배치367'!$K$7:$K$373,'05_상품별배치367'!$E$7:$E$373,A872,'05_상품별배치367'!$H$7:$H$373,"본진")</f>
        <v>0</v>
      </c>
      <c r="P872" s="7">
        <f>SUMIFS('05_상품별배치367'!$K$7:$K$373,'05_상품별배치367'!$E$7:$E$373,A872,'05_상품별배치367'!$H$7:$H$373,"추가 진열")</f>
        <v>0</v>
      </c>
      <c r="Q872" s="7">
        <f>O872+P872</f>
        <v>0</v>
      </c>
      <c r="R872" s="7">
        <v>1</v>
      </c>
      <c r="S872" s="6" t="s">
        <v>3016</v>
      </c>
      <c r="T872" s="6" t="s">
        <v>1637</v>
      </c>
      <c r="U872" s="6"/>
      <c r="V872" s="16"/>
      <c r="W872" s="16"/>
      <c r="X872" s="16"/>
      <c r="Y872" s="6" t="s">
        <v>1627</v>
      </c>
      <c r="Z872" s="15"/>
      <c r="AA872" s="15" t="s">
        <v>1628</v>
      </c>
    </row>
    <row r="873" spans="1:27" ht="33" customHeight="1">
      <c r="A873" s="6" t="s">
        <v>4398</v>
      </c>
      <c r="B873" s="7">
        <v>1187</v>
      </c>
      <c r="C873" s="6" t="s">
        <v>4399</v>
      </c>
      <c r="D873" s="6" t="s">
        <v>1926</v>
      </c>
      <c r="E873" s="6" t="s">
        <v>2134</v>
      </c>
      <c r="F873" s="6" t="s">
        <v>1263</v>
      </c>
      <c r="G873" s="6" t="s">
        <v>376</v>
      </c>
      <c r="H873" s="6"/>
      <c r="I873" s="14" t="s">
        <v>1642</v>
      </c>
      <c r="J873" s="15"/>
      <c r="K873" s="6" t="s">
        <v>1976</v>
      </c>
      <c r="L873" s="6"/>
      <c r="M873" s="6" t="s">
        <v>1643</v>
      </c>
      <c r="N873" s="6" t="s">
        <v>1624</v>
      </c>
      <c r="O873" s="7">
        <f>SUMIFS('05_상품별배치367'!$K$7:$K$373,'05_상품별배치367'!$E$7:$E$373,A873,'05_상품별배치367'!$H$7:$H$373,"본진")</f>
        <v>0</v>
      </c>
      <c r="P873" s="7">
        <f>SUMIFS('05_상품별배치367'!$K$7:$K$373,'05_상품별배치367'!$E$7:$E$373,A873,'05_상품별배치367'!$H$7:$H$373,"추가 진열")</f>
        <v>0</v>
      </c>
      <c r="Q873" s="7">
        <f>O873+P873</f>
        <v>0</v>
      </c>
      <c r="R873" s="7">
        <v>1</v>
      </c>
      <c r="S873" s="6" t="s">
        <v>3016</v>
      </c>
      <c r="T873" s="6" t="s">
        <v>1637</v>
      </c>
      <c r="U873" s="6"/>
      <c r="V873" s="16"/>
      <c r="W873" s="16"/>
      <c r="X873" s="16"/>
      <c r="Y873" s="6" t="s">
        <v>1627</v>
      </c>
      <c r="Z873" s="15"/>
      <c r="AA873" s="15" t="s">
        <v>1628</v>
      </c>
    </row>
    <row r="874" spans="1:27" ht="33" customHeight="1">
      <c r="A874" s="8" t="s">
        <v>4359</v>
      </c>
      <c r="B874" s="9">
        <v>1168</v>
      </c>
      <c r="C874" s="8" t="s">
        <v>4360</v>
      </c>
      <c r="D874" s="8" t="s">
        <v>4291</v>
      </c>
      <c r="E874" s="8" t="s">
        <v>2134</v>
      </c>
      <c r="F874" s="8" t="s">
        <v>1263</v>
      </c>
      <c r="G874" s="8" t="s">
        <v>376</v>
      </c>
      <c r="H874" s="8"/>
      <c r="I874" s="14" t="s">
        <v>1642</v>
      </c>
      <c r="J874" s="15"/>
      <c r="K874" s="8" t="s">
        <v>1976</v>
      </c>
      <c r="L874" s="8"/>
      <c r="M874" s="6" t="s">
        <v>1643</v>
      </c>
      <c r="N874" s="6" t="s">
        <v>1624</v>
      </c>
      <c r="O874" s="7">
        <f>SUMIFS('05_상품별배치367'!$K$7:$K$373,'05_상품별배치367'!$E$7:$E$373,A874,'05_상품별배치367'!$H$7:$H$373,"본진")</f>
        <v>0</v>
      </c>
      <c r="P874" s="7">
        <f>SUMIFS('05_상품별배치367'!$K$7:$K$373,'05_상품별배치367'!$E$7:$E$373,A874,'05_상품별배치367'!$H$7:$H$373,"추가 진열")</f>
        <v>0</v>
      </c>
      <c r="Q874" s="7">
        <f>O874+P874</f>
        <v>0</v>
      </c>
      <c r="R874" s="7">
        <v>1</v>
      </c>
      <c r="S874" s="6" t="s">
        <v>3016</v>
      </c>
      <c r="T874" s="6" t="s">
        <v>1637</v>
      </c>
      <c r="U874" s="6"/>
      <c r="V874" s="16"/>
      <c r="W874" s="16"/>
      <c r="X874" s="16"/>
      <c r="Y874" s="6" t="s">
        <v>1627</v>
      </c>
      <c r="Z874" s="15"/>
      <c r="AA874" s="15" t="s">
        <v>1628</v>
      </c>
    </row>
    <row r="875" spans="1:27" ht="33" customHeight="1">
      <c r="A875" s="6" t="s">
        <v>4361</v>
      </c>
      <c r="B875" s="7">
        <v>1169</v>
      </c>
      <c r="C875" s="6" t="s">
        <v>4362</v>
      </c>
      <c r="D875" s="6" t="s">
        <v>2133</v>
      </c>
      <c r="E875" s="6" t="s">
        <v>2134</v>
      </c>
      <c r="F875" s="6" t="s">
        <v>1263</v>
      </c>
      <c r="G875" s="6" t="s">
        <v>376</v>
      </c>
      <c r="H875" s="6"/>
      <c r="I875" s="14" t="s">
        <v>1642</v>
      </c>
      <c r="J875" s="15"/>
      <c r="K875" s="6" t="s">
        <v>1976</v>
      </c>
      <c r="L875" s="6"/>
      <c r="M875" s="6" t="s">
        <v>1643</v>
      </c>
      <c r="N875" s="6" t="s">
        <v>1624</v>
      </c>
      <c r="O875" s="7">
        <f>SUMIFS('05_상품별배치367'!$K$7:$K$373,'05_상품별배치367'!$E$7:$E$373,A875,'05_상품별배치367'!$H$7:$H$373,"본진")</f>
        <v>0</v>
      </c>
      <c r="P875" s="7">
        <f>SUMIFS('05_상품별배치367'!$K$7:$K$373,'05_상품별배치367'!$E$7:$E$373,A875,'05_상품별배치367'!$H$7:$H$373,"추가 진열")</f>
        <v>0</v>
      </c>
      <c r="Q875" s="7">
        <f>O875+P875</f>
        <v>0</v>
      </c>
      <c r="R875" s="7">
        <v>1</v>
      </c>
      <c r="S875" s="6" t="s">
        <v>3016</v>
      </c>
      <c r="T875" s="6" t="s">
        <v>1637</v>
      </c>
      <c r="U875" s="6"/>
      <c r="V875" s="16"/>
      <c r="W875" s="16"/>
      <c r="X875" s="16"/>
      <c r="Y875" s="6" t="s">
        <v>1627</v>
      </c>
      <c r="Z875" s="15"/>
      <c r="AA875" s="15" t="s">
        <v>1628</v>
      </c>
    </row>
    <row r="876" spans="1:27" ht="33" customHeight="1">
      <c r="A876" s="6" t="s">
        <v>4356</v>
      </c>
      <c r="B876" s="7">
        <v>1167</v>
      </c>
      <c r="C876" s="6" t="s">
        <v>4357</v>
      </c>
      <c r="D876" s="6" t="s">
        <v>4358</v>
      </c>
      <c r="E876" s="6" t="s">
        <v>2134</v>
      </c>
      <c r="F876" s="6" t="s">
        <v>1263</v>
      </c>
      <c r="G876" s="6" t="s">
        <v>376</v>
      </c>
      <c r="H876" s="6"/>
      <c r="I876" s="14" t="s">
        <v>1642</v>
      </c>
      <c r="J876" s="15"/>
      <c r="K876" s="6" t="s">
        <v>1976</v>
      </c>
      <c r="L876" s="6"/>
      <c r="M876" s="6" t="s">
        <v>1643</v>
      </c>
      <c r="N876" s="6" t="s">
        <v>1624</v>
      </c>
      <c r="O876" s="7">
        <f>SUMIFS('05_상품별배치367'!$K$7:$K$373,'05_상품별배치367'!$E$7:$E$373,A876,'05_상품별배치367'!$H$7:$H$373,"본진")</f>
        <v>0</v>
      </c>
      <c r="P876" s="7">
        <f>SUMIFS('05_상품별배치367'!$K$7:$K$373,'05_상품별배치367'!$E$7:$E$373,A876,'05_상품별배치367'!$H$7:$H$373,"추가 진열")</f>
        <v>0</v>
      </c>
      <c r="Q876" s="7">
        <f>O876+P876</f>
        <v>0</v>
      </c>
      <c r="R876" s="7">
        <v>1</v>
      </c>
      <c r="S876" s="6" t="s">
        <v>3016</v>
      </c>
      <c r="T876" s="6" t="s">
        <v>1637</v>
      </c>
      <c r="U876" s="6"/>
      <c r="V876" s="16"/>
      <c r="W876" s="16"/>
      <c r="X876" s="16"/>
      <c r="Y876" s="6" t="s">
        <v>1627</v>
      </c>
      <c r="Z876" s="15"/>
      <c r="AA876" s="15" t="s">
        <v>1628</v>
      </c>
    </row>
    <row r="877" spans="1:27" ht="33" customHeight="1">
      <c r="A877" s="8" t="s">
        <v>4387</v>
      </c>
      <c r="B877" s="9">
        <v>1182</v>
      </c>
      <c r="C877" s="8" t="s">
        <v>4388</v>
      </c>
      <c r="D877" s="8" t="s">
        <v>4389</v>
      </c>
      <c r="E877" s="8" t="s">
        <v>1986</v>
      </c>
      <c r="F877" s="8" t="s">
        <v>1276</v>
      </c>
      <c r="G877" s="8" t="s">
        <v>1987</v>
      </c>
      <c r="H877" s="8"/>
      <c r="I877" s="14" t="s">
        <v>1642</v>
      </c>
      <c r="J877" s="15"/>
      <c r="K877" s="8" t="s">
        <v>1976</v>
      </c>
      <c r="L877" s="8"/>
      <c r="M877" s="6" t="s">
        <v>1643</v>
      </c>
      <c r="N877" s="6" t="s">
        <v>1644</v>
      </c>
      <c r="O877" s="7">
        <f>SUMIFS('05_상품별배치367'!$K$7:$K$373,'05_상품별배치367'!$E$7:$E$373,A877,'05_상품별배치367'!$H$7:$H$373,"본진")</f>
        <v>0</v>
      </c>
      <c r="P877" s="7">
        <f>SUMIFS('05_상품별배치367'!$K$7:$K$373,'05_상품별배치367'!$E$7:$E$373,A877,'05_상품별배치367'!$H$7:$H$373,"추가 진열")</f>
        <v>0</v>
      </c>
      <c r="Q877" s="7">
        <f>O877+P877</f>
        <v>0</v>
      </c>
      <c r="R877" s="7">
        <v>1</v>
      </c>
      <c r="S877" s="6" t="s">
        <v>1988</v>
      </c>
      <c r="T877" s="6" t="s">
        <v>1637</v>
      </c>
      <c r="U877" s="6"/>
      <c r="V877" s="16"/>
      <c r="W877" s="16"/>
      <c r="X877" s="16"/>
      <c r="Y877" s="6" t="s">
        <v>1627</v>
      </c>
      <c r="Z877" s="15"/>
      <c r="AA877" s="15" t="s">
        <v>1628</v>
      </c>
    </row>
    <row r="878" spans="1:27" ht="33" customHeight="1">
      <c r="A878" s="6" t="s">
        <v>3464</v>
      </c>
      <c r="B878" s="7">
        <v>757</v>
      </c>
      <c r="C878" s="6" t="s">
        <v>3465</v>
      </c>
      <c r="D878" s="6" t="s">
        <v>2133</v>
      </c>
      <c r="E878" s="6" t="s">
        <v>1986</v>
      </c>
      <c r="F878" s="6" t="s">
        <v>493</v>
      </c>
      <c r="G878" s="6" t="s">
        <v>299</v>
      </c>
      <c r="H878" s="6"/>
      <c r="I878" s="14" t="s">
        <v>1642</v>
      </c>
      <c r="J878" s="15"/>
      <c r="K878" s="6" t="s">
        <v>1976</v>
      </c>
      <c r="L878" s="6"/>
      <c r="M878" s="6" t="s">
        <v>1643</v>
      </c>
      <c r="N878" s="6" t="s">
        <v>1644</v>
      </c>
      <c r="O878" s="7">
        <f>SUMIFS('05_상품별배치367'!$K$7:$K$373,'05_상품별배치367'!$E$7:$E$373,A878,'05_상품별배치367'!$H$7:$H$373,"본진")</f>
        <v>0</v>
      </c>
      <c r="P878" s="7">
        <f>SUMIFS('05_상품별배치367'!$K$7:$K$373,'05_상품별배치367'!$E$7:$E$373,A878,'05_상품별배치367'!$H$7:$H$373,"추가 진열")</f>
        <v>0</v>
      </c>
      <c r="Q878" s="7">
        <f>O878+P878</f>
        <v>0</v>
      </c>
      <c r="R878" s="7">
        <v>1</v>
      </c>
      <c r="S878" s="6" t="s">
        <v>3084</v>
      </c>
      <c r="T878" s="6" t="s">
        <v>1637</v>
      </c>
      <c r="U878" s="6"/>
      <c r="V878" s="16"/>
      <c r="W878" s="16"/>
      <c r="X878" s="16"/>
      <c r="Y878" s="6" t="s">
        <v>1627</v>
      </c>
      <c r="Z878" s="15"/>
      <c r="AA878" s="15" t="s">
        <v>1628</v>
      </c>
    </row>
    <row r="879" spans="1:27" ht="33" customHeight="1">
      <c r="A879" s="6" t="s">
        <v>3476</v>
      </c>
      <c r="B879" s="7">
        <v>763</v>
      </c>
      <c r="C879" s="6" t="s">
        <v>3477</v>
      </c>
      <c r="D879" s="6" t="s">
        <v>3478</v>
      </c>
      <c r="E879" s="6" t="s">
        <v>2134</v>
      </c>
      <c r="F879" s="6" t="s">
        <v>1081</v>
      </c>
      <c r="G879" s="6" t="s">
        <v>290</v>
      </c>
      <c r="H879" s="6"/>
      <c r="I879" s="14" t="s">
        <v>1642</v>
      </c>
      <c r="J879" s="15"/>
      <c r="K879" s="6" t="s">
        <v>1976</v>
      </c>
      <c r="L879" s="6"/>
      <c r="M879" s="6" t="s">
        <v>1643</v>
      </c>
      <c r="N879" s="6" t="s">
        <v>1644</v>
      </c>
      <c r="O879" s="7">
        <f>SUMIFS('05_상품별배치367'!$K$7:$K$373,'05_상품별배치367'!$E$7:$E$373,A879,'05_상품별배치367'!$H$7:$H$373,"본진")</f>
        <v>0</v>
      </c>
      <c r="P879" s="7">
        <f>SUMIFS('05_상품별배치367'!$K$7:$K$373,'05_상품별배치367'!$E$7:$E$373,A879,'05_상품별배치367'!$H$7:$H$373,"추가 진열")</f>
        <v>0</v>
      </c>
      <c r="Q879" s="7">
        <f>O879+P879</f>
        <v>0</v>
      </c>
      <c r="R879" s="7">
        <v>1</v>
      </c>
      <c r="S879" s="6" t="s">
        <v>2135</v>
      </c>
      <c r="T879" s="6" t="s">
        <v>1637</v>
      </c>
      <c r="U879" s="6"/>
      <c r="V879" s="16"/>
      <c r="W879" s="16"/>
      <c r="X879" s="16"/>
      <c r="Y879" s="6" t="s">
        <v>1627</v>
      </c>
      <c r="Z879" s="15"/>
      <c r="AA879" s="15" t="s">
        <v>1628</v>
      </c>
    </row>
    <row r="880" spans="1:27" ht="33" customHeight="1">
      <c r="A880" s="8" t="s">
        <v>3479</v>
      </c>
      <c r="B880" s="9">
        <v>764</v>
      </c>
      <c r="C880" s="8" t="s">
        <v>3480</v>
      </c>
      <c r="D880" s="8" t="s">
        <v>2133</v>
      </c>
      <c r="E880" s="8" t="s">
        <v>2134</v>
      </c>
      <c r="F880" s="8" t="s">
        <v>1081</v>
      </c>
      <c r="G880" s="8" t="s">
        <v>290</v>
      </c>
      <c r="H880" s="8"/>
      <c r="I880" s="14" t="s">
        <v>1642</v>
      </c>
      <c r="J880" s="15"/>
      <c r="K880" s="8" t="s">
        <v>1976</v>
      </c>
      <c r="L880" s="8"/>
      <c r="M880" s="6" t="s">
        <v>1643</v>
      </c>
      <c r="N880" s="6" t="s">
        <v>1644</v>
      </c>
      <c r="O880" s="7">
        <f>SUMIFS('05_상품별배치367'!$K$7:$K$373,'05_상품별배치367'!$E$7:$E$373,A880,'05_상품별배치367'!$H$7:$H$373,"본진")</f>
        <v>0</v>
      </c>
      <c r="P880" s="7">
        <f>SUMIFS('05_상품별배치367'!$K$7:$K$373,'05_상품별배치367'!$E$7:$E$373,A880,'05_상품별배치367'!$H$7:$H$373,"추가 진열")</f>
        <v>0</v>
      </c>
      <c r="Q880" s="7">
        <f>O880+P880</f>
        <v>0</v>
      </c>
      <c r="R880" s="7">
        <v>1</v>
      </c>
      <c r="S880" s="6" t="s">
        <v>2135</v>
      </c>
      <c r="T880" s="6" t="s">
        <v>1637</v>
      </c>
      <c r="U880" s="6"/>
      <c r="V880" s="16"/>
      <c r="W880" s="16"/>
      <c r="X880" s="16"/>
      <c r="Y880" s="6" t="s">
        <v>1627</v>
      </c>
      <c r="Z880" s="15"/>
      <c r="AA880" s="15" t="s">
        <v>1628</v>
      </c>
    </row>
    <row r="881" spans="1:27" ht="33" customHeight="1">
      <c r="A881" s="8" t="s">
        <v>3462</v>
      </c>
      <c r="B881" s="9">
        <v>756</v>
      </c>
      <c r="C881" s="8" t="s">
        <v>3463</v>
      </c>
      <c r="D881" s="8" t="s">
        <v>1851</v>
      </c>
      <c r="E881" s="8" t="s">
        <v>2134</v>
      </c>
      <c r="F881" s="8" t="s">
        <v>163</v>
      </c>
      <c r="G881" s="8" t="s">
        <v>414</v>
      </c>
      <c r="H881" s="8"/>
      <c r="I881" s="14" t="s">
        <v>1642</v>
      </c>
      <c r="J881" s="15"/>
      <c r="K881" s="8" t="s">
        <v>1976</v>
      </c>
      <c r="L881" s="8"/>
      <c r="M881" s="6" t="s">
        <v>1643</v>
      </c>
      <c r="N881" s="6" t="s">
        <v>1644</v>
      </c>
      <c r="O881" s="7">
        <f>SUMIFS('05_상품별배치367'!$K$7:$K$373,'05_상품별배치367'!$E$7:$E$373,A881,'05_상품별배치367'!$H$7:$H$373,"본진")</f>
        <v>0</v>
      </c>
      <c r="P881" s="7">
        <f>SUMIFS('05_상품별배치367'!$K$7:$K$373,'05_상품별배치367'!$E$7:$E$373,A881,'05_상품별배치367'!$H$7:$H$373,"추가 진열")</f>
        <v>0</v>
      </c>
      <c r="Q881" s="7">
        <f>O881+P881</f>
        <v>0</v>
      </c>
      <c r="R881" s="7">
        <v>1</v>
      </c>
      <c r="S881" s="6" t="s">
        <v>3048</v>
      </c>
      <c r="T881" s="6" t="s">
        <v>1637</v>
      </c>
      <c r="U881" s="6"/>
      <c r="V881" s="16"/>
      <c r="W881" s="16"/>
      <c r="X881" s="16"/>
      <c r="Y881" s="6" t="s">
        <v>1627</v>
      </c>
      <c r="Z881" s="15"/>
      <c r="AA881" s="15" t="s">
        <v>1628</v>
      </c>
    </row>
    <row r="882" spans="1:27" ht="33" customHeight="1">
      <c r="A882" s="6" t="s">
        <v>3460</v>
      </c>
      <c r="B882" s="7">
        <v>755</v>
      </c>
      <c r="C882" s="6" t="s">
        <v>3461</v>
      </c>
      <c r="D882" s="6" t="s">
        <v>1851</v>
      </c>
      <c r="E882" s="6" t="s">
        <v>2134</v>
      </c>
      <c r="F882" s="6" t="s">
        <v>163</v>
      </c>
      <c r="G882" s="6" t="s">
        <v>414</v>
      </c>
      <c r="H882" s="6"/>
      <c r="I882" s="14" t="s">
        <v>1642</v>
      </c>
      <c r="J882" s="15"/>
      <c r="K882" s="6" t="s">
        <v>1976</v>
      </c>
      <c r="L882" s="6"/>
      <c r="M882" s="6" t="s">
        <v>1643</v>
      </c>
      <c r="N882" s="6" t="s">
        <v>1644</v>
      </c>
      <c r="O882" s="7">
        <f>SUMIFS('05_상품별배치367'!$K$7:$K$373,'05_상품별배치367'!$E$7:$E$373,A882,'05_상품별배치367'!$H$7:$H$373,"본진")</f>
        <v>0</v>
      </c>
      <c r="P882" s="7">
        <f>SUMIFS('05_상품별배치367'!$K$7:$K$373,'05_상품별배치367'!$E$7:$E$373,A882,'05_상품별배치367'!$H$7:$H$373,"추가 진열")</f>
        <v>0</v>
      </c>
      <c r="Q882" s="7">
        <f>O882+P882</f>
        <v>0</v>
      </c>
      <c r="R882" s="7">
        <v>1</v>
      </c>
      <c r="S882" s="6" t="s">
        <v>3048</v>
      </c>
      <c r="T882" s="6" t="s">
        <v>1637</v>
      </c>
      <c r="U882" s="6"/>
      <c r="V882" s="16"/>
      <c r="W882" s="16"/>
      <c r="X882" s="16"/>
      <c r="Y882" s="6" t="s">
        <v>1627</v>
      </c>
      <c r="Z882" s="15"/>
      <c r="AA882" s="15" t="s">
        <v>1628</v>
      </c>
    </row>
    <row r="883" spans="1:27" ht="33" customHeight="1">
      <c r="A883" s="8" t="s">
        <v>3474</v>
      </c>
      <c r="B883" s="9">
        <v>762</v>
      </c>
      <c r="C883" s="8" t="s">
        <v>3475</v>
      </c>
      <c r="D883" s="8" t="s">
        <v>2133</v>
      </c>
      <c r="E883" s="8" t="s">
        <v>1986</v>
      </c>
      <c r="F883" s="8" t="s">
        <v>493</v>
      </c>
      <c r="G883" s="8" t="s">
        <v>299</v>
      </c>
      <c r="H883" s="8"/>
      <c r="I883" s="14" t="s">
        <v>1642</v>
      </c>
      <c r="J883" s="15"/>
      <c r="K883" s="8" t="s">
        <v>1976</v>
      </c>
      <c r="L883" s="8"/>
      <c r="M883" s="6" t="s">
        <v>1643</v>
      </c>
      <c r="N883" s="6" t="s">
        <v>1644</v>
      </c>
      <c r="O883" s="7">
        <f>SUMIFS('05_상품별배치367'!$K$7:$K$373,'05_상품별배치367'!$E$7:$E$373,A883,'05_상품별배치367'!$H$7:$H$373,"본진")</f>
        <v>0</v>
      </c>
      <c r="P883" s="7">
        <f>SUMIFS('05_상품별배치367'!$K$7:$K$373,'05_상품별배치367'!$E$7:$E$373,A883,'05_상품별배치367'!$H$7:$H$373,"추가 진열")</f>
        <v>0</v>
      </c>
      <c r="Q883" s="7">
        <f>O883+P883</f>
        <v>0</v>
      </c>
      <c r="R883" s="7">
        <v>1</v>
      </c>
      <c r="S883" s="6" t="s">
        <v>3084</v>
      </c>
      <c r="T883" s="6" t="s">
        <v>1637</v>
      </c>
      <c r="U883" s="6"/>
      <c r="V883" s="16"/>
      <c r="W883" s="16"/>
      <c r="X883" s="16"/>
      <c r="Y883" s="6" t="s">
        <v>1627</v>
      </c>
      <c r="Z883" s="15"/>
      <c r="AA883" s="15" t="s">
        <v>1628</v>
      </c>
    </row>
    <row r="884" spans="1:27" ht="33" customHeight="1">
      <c r="A884" s="6" t="s">
        <v>3472</v>
      </c>
      <c r="B884" s="7">
        <v>761</v>
      </c>
      <c r="C884" s="6" t="s">
        <v>3473</v>
      </c>
      <c r="D884" s="6" t="s">
        <v>3055</v>
      </c>
      <c r="E884" s="6" t="s">
        <v>2134</v>
      </c>
      <c r="F884" s="6" t="s">
        <v>1263</v>
      </c>
      <c r="G884" s="6" t="s">
        <v>376</v>
      </c>
      <c r="H884" s="6"/>
      <c r="I884" s="14" t="s">
        <v>1642</v>
      </c>
      <c r="J884" s="15"/>
      <c r="K884" s="6" t="s">
        <v>1976</v>
      </c>
      <c r="L884" s="6"/>
      <c r="M884" s="6" t="s">
        <v>1643</v>
      </c>
      <c r="N884" s="6" t="s">
        <v>1644</v>
      </c>
      <c r="O884" s="7">
        <f>SUMIFS('05_상품별배치367'!$K$7:$K$373,'05_상품별배치367'!$E$7:$E$373,A884,'05_상품별배치367'!$H$7:$H$373,"본진")</f>
        <v>0</v>
      </c>
      <c r="P884" s="7">
        <f>SUMIFS('05_상품별배치367'!$K$7:$K$373,'05_상품별배치367'!$E$7:$E$373,A884,'05_상품별배치367'!$H$7:$H$373,"추가 진열")</f>
        <v>0</v>
      </c>
      <c r="Q884" s="7">
        <f>O884+P884</f>
        <v>0</v>
      </c>
      <c r="R884" s="7">
        <v>1</v>
      </c>
      <c r="S884" s="6" t="s">
        <v>3016</v>
      </c>
      <c r="T884" s="6" t="s">
        <v>1637</v>
      </c>
      <c r="U884" s="6"/>
      <c r="V884" s="16"/>
      <c r="W884" s="16"/>
      <c r="X884" s="16"/>
      <c r="Y884" s="6" t="s">
        <v>1627</v>
      </c>
      <c r="Z884" s="15"/>
      <c r="AA884" s="15" t="s">
        <v>1628</v>
      </c>
    </row>
    <row r="885" spans="1:27" ht="33" customHeight="1">
      <c r="A885" s="8" t="s">
        <v>3470</v>
      </c>
      <c r="B885" s="9">
        <v>760</v>
      </c>
      <c r="C885" s="8" t="s">
        <v>3471</v>
      </c>
      <c r="D885" s="8" t="s">
        <v>3116</v>
      </c>
      <c r="E885" s="8" t="s">
        <v>1814</v>
      </c>
      <c r="F885" s="8" t="s">
        <v>1376</v>
      </c>
      <c r="G885" s="8" t="s">
        <v>431</v>
      </c>
      <c r="H885" s="8"/>
      <c r="I885" s="14" t="s">
        <v>1642</v>
      </c>
      <c r="J885" s="15"/>
      <c r="K885" s="8" t="s">
        <v>1976</v>
      </c>
      <c r="L885" s="8"/>
      <c r="M885" s="6" t="s">
        <v>1643</v>
      </c>
      <c r="N885" s="6" t="s">
        <v>1644</v>
      </c>
      <c r="O885" s="7">
        <f>SUMIFS('05_상품별배치367'!$K$7:$K$373,'05_상품별배치367'!$E$7:$E$373,A885,'05_상품별배치367'!$H$7:$H$373,"본진")</f>
        <v>0</v>
      </c>
      <c r="P885" s="7">
        <f>SUMIFS('05_상품별배치367'!$K$7:$K$373,'05_상품별배치367'!$E$7:$E$373,A885,'05_상품별배치367'!$H$7:$H$373,"추가 진열")</f>
        <v>0</v>
      </c>
      <c r="Q885" s="7">
        <f>O885+P885</f>
        <v>0</v>
      </c>
      <c r="R885" s="7">
        <v>1</v>
      </c>
      <c r="S885" s="6" t="s">
        <v>1978</v>
      </c>
      <c r="T885" s="6" t="s">
        <v>1637</v>
      </c>
      <c r="U885" s="6"/>
      <c r="V885" s="16"/>
      <c r="W885" s="16"/>
      <c r="X885" s="16"/>
      <c r="Y885" s="6" t="s">
        <v>1627</v>
      </c>
      <c r="Z885" s="15"/>
      <c r="AA885" s="15" t="s">
        <v>1628</v>
      </c>
    </row>
    <row r="886" spans="1:27" ht="33" customHeight="1">
      <c r="A886" s="6" t="s">
        <v>3468</v>
      </c>
      <c r="B886" s="7">
        <v>759</v>
      </c>
      <c r="C886" s="6" t="s">
        <v>3469</v>
      </c>
      <c r="D886" s="6" t="s">
        <v>2133</v>
      </c>
      <c r="E886" s="6" t="s">
        <v>2134</v>
      </c>
      <c r="F886" s="6" t="s">
        <v>1263</v>
      </c>
      <c r="G886" s="6" t="s">
        <v>376</v>
      </c>
      <c r="H886" s="6"/>
      <c r="I886" s="14" t="s">
        <v>1642</v>
      </c>
      <c r="J886" s="15"/>
      <c r="K886" s="6" t="s">
        <v>1976</v>
      </c>
      <c r="L886" s="6"/>
      <c r="M886" s="6" t="s">
        <v>1643</v>
      </c>
      <c r="N886" s="6" t="s">
        <v>1644</v>
      </c>
      <c r="O886" s="7">
        <f>SUMIFS('05_상품별배치367'!$K$7:$K$373,'05_상품별배치367'!$E$7:$E$373,A886,'05_상품별배치367'!$H$7:$H$373,"본진")</f>
        <v>0</v>
      </c>
      <c r="P886" s="7">
        <f>SUMIFS('05_상품별배치367'!$K$7:$K$373,'05_상품별배치367'!$E$7:$E$373,A886,'05_상품별배치367'!$H$7:$H$373,"추가 진열")</f>
        <v>0</v>
      </c>
      <c r="Q886" s="7">
        <f>O886+P886</f>
        <v>0</v>
      </c>
      <c r="R886" s="7">
        <v>1</v>
      </c>
      <c r="S886" s="6" t="s">
        <v>3016</v>
      </c>
      <c r="T886" s="6" t="s">
        <v>1637</v>
      </c>
      <c r="U886" s="6"/>
      <c r="V886" s="16"/>
      <c r="W886" s="16"/>
      <c r="X886" s="16"/>
      <c r="Y886" s="6" t="s">
        <v>1627</v>
      </c>
      <c r="Z886" s="15"/>
      <c r="AA886" s="15" t="s">
        <v>1628</v>
      </c>
    </row>
    <row r="887" spans="1:27" ht="33" customHeight="1">
      <c r="A887" s="8" t="s">
        <v>3466</v>
      </c>
      <c r="B887" s="9">
        <v>758</v>
      </c>
      <c r="C887" s="8" t="s">
        <v>3467</v>
      </c>
      <c r="D887" s="8" t="s">
        <v>2133</v>
      </c>
      <c r="E887" s="8" t="s">
        <v>2134</v>
      </c>
      <c r="F887" s="8" t="s">
        <v>1263</v>
      </c>
      <c r="G887" s="8" t="s">
        <v>376</v>
      </c>
      <c r="H887" s="8"/>
      <c r="I887" s="14" t="s">
        <v>1642</v>
      </c>
      <c r="J887" s="15"/>
      <c r="K887" s="8" t="s">
        <v>1976</v>
      </c>
      <c r="L887" s="8"/>
      <c r="M887" s="6" t="s">
        <v>1643</v>
      </c>
      <c r="N887" s="6" t="s">
        <v>1644</v>
      </c>
      <c r="O887" s="7">
        <f>SUMIFS('05_상품별배치367'!$K$7:$K$373,'05_상품별배치367'!$E$7:$E$373,A887,'05_상품별배치367'!$H$7:$H$373,"본진")</f>
        <v>0</v>
      </c>
      <c r="P887" s="7">
        <f>SUMIFS('05_상품별배치367'!$K$7:$K$373,'05_상품별배치367'!$E$7:$E$373,A887,'05_상품별배치367'!$H$7:$H$373,"추가 진열")</f>
        <v>0</v>
      </c>
      <c r="Q887" s="7">
        <f>O887+P887</f>
        <v>0</v>
      </c>
      <c r="R887" s="7">
        <v>1</v>
      </c>
      <c r="S887" s="6" t="s">
        <v>3016</v>
      </c>
      <c r="T887" s="6" t="s">
        <v>1637</v>
      </c>
      <c r="U887" s="6"/>
      <c r="V887" s="16"/>
      <c r="W887" s="16"/>
      <c r="X887" s="16"/>
      <c r="Y887" s="6" t="s">
        <v>1627</v>
      </c>
      <c r="Z887" s="15"/>
      <c r="AA887" s="15" t="s">
        <v>1628</v>
      </c>
    </row>
    <row r="888" spans="1:27" ht="33" customHeight="1">
      <c r="A888" s="8" t="s">
        <v>1718</v>
      </c>
      <c r="B888" s="9">
        <v>26</v>
      </c>
      <c r="C888" s="8" t="s">
        <v>1719</v>
      </c>
      <c r="D888" s="8" t="s">
        <v>1720</v>
      </c>
      <c r="E888" s="8" t="s">
        <v>1641</v>
      </c>
      <c r="F888" s="8" t="s">
        <v>1691</v>
      </c>
      <c r="G888" s="8" t="s">
        <v>59</v>
      </c>
      <c r="H888" s="8"/>
      <c r="I888" s="14" t="s">
        <v>1642</v>
      </c>
      <c r="J888" s="15"/>
      <c r="K888" s="8" t="s">
        <v>1634</v>
      </c>
      <c r="L888" s="8"/>
      <c r="M888" s="6" t="s">
        <v>1643</v>
      </c>
      <c r="N888" s="6" t="s">
        <v>1624</v>
      </c>
      <c r="O888" s="7">
        <f>SUMIFS('05_상품별배치367'!$K$7:$K$373,'05_상품별배치367'!$E$7:$E$373,A888,'05_상품별배치367'!$H$7:$H$373,"본진")</f>
        <v>0</v>
      </c>
      <c r="P888" s="7">
        <f>SUMIFS('05_상품별배치367'!$K$7:$K$373,'05_상품별배치367'!$E$7:$E$373,A888,'05_상품별배치367'!$H$7:$H$373,"추가 진열")</f>
        <v>0</v>
      </c>
      <c r="Q888" s="7">
        <f>O888+P888</f>
        <v>0</v>
      </c>
      <c r="R888" s="7">
        <v>1</v>
      </c>
      <c r="S888" s="6" t="s">
        <v>1721</v>
      </c>
      <c r="T888" s="6" t="s">
        <v>1637</v>
      </c>
      <c r="U888" s="6"/>
      <c r="V888" s="16"/>
      <c r="W888" s="16"/>
      <c r="X888" s="16"/>
      <c r="Y888" s="6" t="s">
        <v>1655</v>
      </c>
      <c r="Z888" s="15"/>
      <c r="AA888" s="15" t="s">
        <v>1628</v>
      </c>
    </row>
    <row r="889" spans="1:27" ht="33" customHeight="1">
      <c r="A889" s="8" t="s">
        <v>7157</v>
      </c>
      <c r="B889" s="9">
        <v>2482</v>
      </c>
      <c r="C889" s="8" t="s">
        <v>7158</v>
      </c>
      <c r="D889" s="8" t="s">
        <v>7159</v>
      </c>
      <c r="E889" s="8" t="s">
        <v>1695</v>
      </c>
      <c r="F889" s="8" t="s">
        <v>1129</v>
      </c>
      <c r="G889" s="8" t="s">
        <v>307</v>
      </c>
      <c r="H889" s="8" t="s">
        <v>1128</v>
      </c>
      <c r="I889" s="14" t="s">
        <v>1633</v>
      </c>
      <c r="J889" s="15"/>
      <c r="K889" s="8" t="s">
        <v>1696</v>
      </c>
      <c r="L889" s="8" t="s">
        <v>3828</v>
      </c>
      <c r="M889" s="6" t="s">
        <v>1635</v>
      </c>
      <c r="N889" s="6" t="s">
        <v>1624</v>
      </c>
      <c r="O889" s="7">
        <f>SUMIFS('05_상품별배치367'!$K$7:$K$373,'05_상품별배치367'!$E$7:$E$373,A889,'05_상품별배치367'!$H$7:$H$373,"본진")</f>
        <v>1</v>
      </c>
      <c r="P889" s="7">
        <f>SUMIFS('05_상품별배치367'!$K$7:$K$373,'05_상품별배치367'!$E$7:$E$373,A889,'05_상품별배치367'!$H$7:$H$373,"추가 진열")</f>
        <v>0</v>
      </c>
      <c r="Q889" s="7">
        <f>O889+P889</f>
        <v>1</v>
      </c>
      <c r="R889" s="7">
        <v>1</v>
      </c>
      <c r="S889" s="6" t="s">
        <v>1636</v>
      </c>
      <c r="T889" s="6" t="s">
        <v>1637</v>
      </c>
      <c r="U889" s="6"/>
      <c r="V889" s="16"/>
      <c r="W889" s="16"/>
      <c r="X889" s="16"/>
      <c r="Y889" s="6" t="s">
        <v>1627</v>
      </c>
      <c r="Z889" s="15"/>
      <c r="AA889" s="15" t="s">
        <v>1628</v>
      </c>
    </row>
    <row r="890" spans="1:27" ht="33" customHeight="1">
      <c r="A890" s="8" t="s">
        <v>7149</v>
      </c>
      <c r="B890" s="9">
        <v>2478</v>
      </c>
      <c r="C890" s="8" t="s">
        <v>7150</v>
      </c>
      <c r="D890" s="8" t="s">
        <v>5443</v>
      </c>
      <c r="E890" s="8" t="s">
        <v>1695</v>
      </c>
      <c r="F890" s="8" t="s">
        <v>1129</v>
      </c>
      <c r="G890" s="8" t="s">
        <v>307</v>
      </c>
      <c r="H890" s="8"/>
      <c r="I890" s="14" t="s">
        <v>1642</v>
      </c>
      <c r="J890" s="15"/>
      <c r="K890" s="8" t="s">
        <v>1696</v>
      </c>
      <c r="L890" s="8" t="s">
        <v>3828</v>
      </c>
      <c r="M890" s="6" t="s">
        <v>1643</v>
      </c>
      <c r="N890" s="6" t="s">
        <v>1644</v>
      </c>
      <c r="O890" s="7">
        <f>SUMIFS('05_상품별배치367'!$K$7:$K$373,'05_상품별배치367'!$E$7:$E$373,A890,'05_상품별배치367'!$H$7:$H$373,"본진")</f>
        <v>0</v>
      </c>
      <c r="P890" s="7">
        <f>SUMIFS('05_상품별배치367'!$K$7:$K$373,'05_상품별배치367'!$E$7:$E$373,A890,'05_상품별배치367'!$H$7:$H$373,"추가 진열")</f>
        <v>0</v>
      </c>
      <c r="Q890" s="7">
        <f>O890+P890</f>
        <v>0</v>
      </c>
      <c r="R890" s="7">
        <v>1</v>
      </c>
      <c r="S890" s="6" t="s">
        <v>2850</v>
      </c>
      <c r="T890" s="6" t="s">
        <v>1637</v>
      </c>
      <c r="U890" s="6"/>
      <c r="V890" s="16"/>
      <c r="W890" s="16"/>
      <c r="X890" s="16"/>
      <c r="Y890" s="6" t="s">
        <v>1627</v>
      </c>
      <c r="Z890" s="15"/>
      <c r="AA890" s="15" t="s">
        <v>1628</v>
      </c>
    </row>
    <row r="891" spans="1:27" ht="33" customHeight="1">
      <c r="A891" s="6" t="s">
        <v>4886</v>
      </c>
      <c r="B891" s="7">
        <v>1425</v>
      </c>
      <c r="C891" s="6" t="s">
        <v>4887</v>
      </c>
      <c r="D891" s="6" t="s">
        <v>2856</v>
      </c>
      <c r="E891" s="6" t="s">
        <v>2134</v>
      </c>
      <c r="F891" s="6" t="s">
        <v>2933</v>
      </c>
      <c r="G891" s="6" t="s">
        <v>1668</v>
      </c>
      <c r="H891" s="6"/>
      <c r="I891" s="14" t="s">
        <v>1807</v>
      </c>
      <c r="J891" s="15"/>
      <c r="K891" s="6" t="s">
        <v>1976</v>
      </c>
      <c r="L891" s="6" t="s">
        <v>2032</v>
      </c>
      <c r="M891" s="6" t="s">
        <v>1809</v>
      </c>
      <c r="N891" s="6" t="s">
        <v>1644</v>
      </c>
      <c r="O891" s="7">
        <f>SUMIFS('05_상품별배치367'!$K$7:$K$373,'05_상품별배치367'!$E$7:$E$373,A891,'05_상품별배치367'!$H$7:$H$373,"본진")</f>
        <v>0</v>
      </c>
      <c r="P891" s="7">
        <f>SUMIFS('05_상품별배치367'!$K$7:$K$373,'05_상품별배치367'!$E$7:$E$373,A891,'05_상품별배치367'!$H$7:$H$373,"추가 진열")</f>
        <v>0</v>
      </c>
      <c r="Q891" s="7">
        <f>O891+P891</f>
        <v>0</v>
      </c>
      <c r="R891" s="7">
        <v>0</v>
      </c>
      <c r="S891" s="6" t="s">
        <v>1810</v>
      </c>
      <c r="T891" s="6" t="s">
        <v>1637</v>
      </c>
      <c r="U891" s="6"/>
      <c r="V891" s="16"/>
      <c r="W891" s="16"/>
      <c r="X891" s="16"/>
      <c r="Y891" s="6" t="s">
        <v>1627</v>
      </c>
      <c r="Z891" s="15"/>
      <c r="AA891" s="15" t="s">
        <v>1628</v>
      </c>
    </row>
    <row r="892" spans="1:27" ht="33" customHeight="1">
      <c r="A892" s="8" t="s">
        <v>4888</v>
      </c>
      <c r="B892" s="9">
        <v>1426</v>
      </c>
      <c r="C892" s="8" t="s">
        <v>4889</v>
      </c>
      <c r="D892" s="8" t="s">
        <v>2133</v>
      </c>
      <c r="E892" s="8" t="s">
        <v>2134</v>
      </c>
      <c r="F892" s="8" t="s">
        <v>2933</v>
      </c>
      <c r="G892" s="8" t="s">
        <v>1668</v>
      </c>
      <c r="H892" s="8"/>
      <c r="I892" s="14" t="s">
        <v>1807</v>
      </c>
      <c r="J892" s="15"/>
      <c r="K892" s="8" t="s">
        <v>1976</v>
      </c>
      <c r="L892" s="8" t="s">
        <v>2032</v>
      </c>
      <c r="M892" s="6" t="s">
        <v>1809</v>
      </c>
      <c r="N892" s="6" t="s">
        <v>1644</v>
      </c>
      <c r="O892" s="7">
        <f>SUMIFS('05_상품별배치367'!$K$7:$K$373,'05_상품별배치367'!$E$7:$E$373,A892,'05_상품별배치367'!$H$7:$H$373,"본진")</f>
        <v>0</v>
      </c>
      <c r="P892" s="7">
        <f>SUMIFS('05_상품별배치367'!$K$7:$K$373,'05_상품별배치367'!$E$7:$E$373,A892,'05_상품별배치367'!$H$7:$H$373,"추가 진열")</f>
        <v>0</v>
      </c>
      <c r="Q892" s="7">
        <f>O892+P892</f>
        <v>0</v>
      </c>
      <c r="R892" s="7">
        <v>0</v>
      </c>
      <c r="S892" s="6" t="s">
        <v>1810</v>
      </c>
      <c r="T892" s="6" t="s">
        <v>1637</v>
      </c>
      <c r="U892" s="6"/>
      <c r="V892" s="16"/>
      <c r="W892" s="16"/>
      <c r="X892" s="16"/>
      <c r="Y892" s="6" t="s">
        <v>1627</v>
      </c>
      <c r="Z892" s="15"/>
      <c r="AA892" s="15" t="s">
        <v>1628</v>
      </c>
    </row>
    <row r="893" spans="1:27" ht="33" customHeight="1">
      <c r="A893" s="6" t="s">
        <v>4890</v>
      </c>
      <c r="B893" s="7">
        <v>1427</v>
      </c>
      <c r="C893" s="6" t="s">
        <v>4891</v>
      </c>
      <c r="D893" s="6" t="s">
        <v>2795</v>
      </c>
      <c r="E893" s="6" t="s">
        <v>1695</v>
      </c>
      <c r="F893" s="6" t="s">
        <v>1143</v>
      </c>
      <c r="G893" s="6" t="s">
        <v>315</v>
      </c>
      <c r="H893" s="6"/>
      <c r="I893" s="14" t="s">
        <v>1642</v>
      </c>
      <c r="J893" s="15"/>
      <c r="K893" s="6" t="s">
        <v>1696</v>
      </c>
      <c r="L893" s="6"/>
      <c r="M893" s="6" t="s">
        <v>1643</v>
      </c>
      <c r="N893" s="6" t="s">
        <v>1644</v>
      </c>
      <c r="O893" s="7">
        <f>SUMIFS('05_상품별배치367'!$K$7:$K$373,'05_상품별배치367'!$E$7:$E$373,A893,'05_상품별배치367'!$H$7:$H$373,"본진")</f>
        <v>0</v>
      </c>
      <c r="P893" s="7">
        <f>SUMIFS('05_상품별배치367'!$K$7:$K$373,'05_상품별배치367'!$E$7:$E$373,A893,'05_상품별배치367'!$H$7:$H$373,"추가 진열")</f>
        <v>0</v>
      </c>
      <c r="Q893" s="7">
        <f>O893+P893</f>
        <v>0</v>
      </c>
      <c r="R893" s="7">
        <v>1</v>
      </c>
      <c r="S893" s="6" t="s">
        <v>1859</v>
      </c>
      <c r="T893" s="6" t="s">
        <v>1637</v>
      </c>
      <c r="U893" s="6"/>
      <c r="V893" s="16"/>
      <c r="W893" s="16"/>
      <c r="X893" s="16"/>
      <c r="Y893" s="6" t="s">
        <v>1627</v>
      </c>
      <c r="Z893" s="15"/>
      <c r="AA893" s="15" t="s">
        <v>1628</v>
      </c>
    </row>
    <row r="894" spans="1:27" ht="33" customHeight="1">
      <c r="A894" s="8" t="s">
        <v>4892</v>
      </c>
      <c r="B894" s="9">
        <v>1428</v>
      </c>
      <c r="C894" s="8" t="s">
        <v>4893</v>
      </c>
      <c r="D894" s="8" t="s">
        <v>2845</v>
      </c>
      <c r="E894" s="8" t="s">
        <v>1695</v>
      </c>
      <c r="F894" s="8" t="s">
        <v>1143</v>
      </c>
      <c r="G894" s="8" t="s">
        <v>315</v>
      </c>
      <c r="H894" s="8"/>
      <c r="I894" s="14" t="s">
        <v>1642</v>
      </c>
      <c r="J894" s="15"/>
      <c r="K894" s="8" t="s">
        <v>1696</v>
      </c>
      <c r="L894" s="8"/>
      <c r="M894" s="6" t="s">
        <v>1643</v>
      </c>
      <c r="N894" s="6" t="s">
        <v>1644</v>
      </c>
      <c r="O894" s="7">
        <f>SUMIFS('05_상품별배치367'!$K$7:$K$373,'05_상품별배치367'!$E$7:$E$373,A894,'05_상품별배치367'!$H$7:$H$373,"본진")</f>
        <v>0</v>
      </c>
      <c r="P894" s="7">
        <f>SUMIFS('05_상품별배치367'!$K$7:$K$373,'05_상품별배치367'!$E$7:$E$373,A894,'05_상품별배치367'!$H$7:$H$373,"추가 진열")</f>
        <v>0</v>
      </c>
      <c r="Q894" s="7">
        <f>O894+P894</f>
        <v>0</v>
      </c>
      <c r="R894" s="7">
        <v>1</v>
      </c>
      <c r="S894" s="6" t="s">
        <v>1859</v>
      </c>
      <c r="T894" s="6" t="s">
        <v>1637</v>
      </c>
      <c r="U894" s="6"/>
      <c r="V894" s="16"/>
      <c r="W894" s="16"/>
      <c r="X894" s="16"/>
      <c r="Y894" s="6" t="s">
        <v>1627</v>
      </c>
      <c r="Z894" s="15"/>
      <c r="AA894" s="15" t="s">
        <v>1628</v>
      </c>
    </row>
    <row r="895" spans="1:27" ht="33" customHeight="1">
      <c r="A895" s="6" t="s">
        <v>4649</v>
      </c>
      <c r="B895" s="7">
        <v>1311</v>
      </c>
      <c r="C895" s="6" t="s">
        <v>4650</v>
      </c>
      <c r="D895" s="6" t="s">
        <v>2007</v>
      </c>
      <c r="E895" s="6" t="s">
        <v>1986</v>
      </c>
      <c r="F895" s="6" t="s">
        <v>913</v>
      </c>
      <c r="G895" s="6" t="s">
        <v>201</v>
      </c>
      <c r="H895" s="6"/>
      <c r="I895" s="14" t="s">
        <v>1642</v>
      </c>
      <c r="J895" s="15"/>
      <c r="K895" s="6" t="s">
        <v>1976</v>
      </c>
      <c r="L895" s="6"/>
      <c r="M895" s="6" t="s">
        <v>1643</v>
      </c>
      <c r="N895" s="6" t="s">
        <v>1644</v>
      </c>
      <c r="O895" s="7">
        <f>SUMIFS('05_상품별배치367'!$K$7:$K$373,'05_상품별배치367'!$E$7:$E$373,A895,'05_상품별배치367'!$H$7:$H$373,"본진")</f>
        <v>0</v>
      </c>
      <c r="P895" s="7">
        <f>SUMIFS('05_상품별배치367'!$K$7:$K$373,'05_상품별배치367'!$E$7:$E$373,A895,'05_상품별배치367'!$H$7:$H$373,"추가 진열")</f>
        <v>0</v>
      </c>
      <c r="Q895" s="7">
        <f>O895+P895</f>
        <v>0</v>
      </c>
      <c r="R895" s="7">
        <v>1</v>
      </c>
      <c r="S895" s="6" t="s">
        <v>2907</v>
      </c>
      <c r="T895" s="6" t="s">
        <v>1637</v>
      </c>
      <c r="U895" s="6"/>
      <c r="V895" s="16"/>
      <c r="W895" s="16"/>
      <c r="X895" s="16"/>
      <c r="Y895" s="6" t="s">
        <v>1627</v>
      </c>
      <c r="Z895" s="15"/>
      <c r="AA895" s="15" t="s">
        <v>1628</v>
      </c>
    </row>
    <row r="896" spans="1:27" ht="33" customHeight="1">
      <c r="A896" s="6" t="s">
        <v>5778</v>
      </c>
      <c r="B896" s="7">
        <v>1845</v>
      </c>
      <c r="C896" s="6" t="s">
        <v>5779</v>
      </c>
      <c r="D896" s="6" t="s">
        <v>1631</v>
      </c>
      <c r="E896" s="6" t="s">
        <v>2134</v>
      </c>
      <c r="F896" s="6" t="s">
        <v>1081</v>
      </c>
      <c r="G896" s="6" t="s">
        <v>290</v>
      </c>
      <c r="H896" s="6"/>
      <c r="I896" s="14" t="s">
        <v>1642</v>
      </c>
      <c r="J896" s="15"/>
      <c r="K896" s="6" t="s">
        <v>1976</v>
      </c>
      <c r="L896" s="6" t="s">
        <v>3828</v>
      </c>
      <c r="M896" s="6" t="s">
        <v>1643</v>
      </c>
      <c r="N896" s="6" t="s">
        <v>1644</v>
      </c>
      <c r="O896" s="7">
        <f>SUMIFS('05_상품별배치367'!$K$7:$K$373,'05_상품별배치367'!$E$7:$E$373,A896,'05_상품별배치367'!$H$7:$H$373,"본진")</f>
        <v>0</v>
      </c>
      <c r="P896" s="7">
        <f>SUMIFS('05_상품별배치367'!$K$7:$K$373,'05_상품별배치367'!$E$7:$E$373,A896,'05_상품별배치367'!$H$7:$H$373,"추가 진열")</f>
        <v>0</v>
      </c>
      <c r="Q896" s="7">
        <f>O896+P896</f>
        <v>0</v>
      </c>
      <c r="R896" s="7">
        <v>1</v>
      </c>
      <c r="S896" s="6" t="s">
        <v>2135</v>
      </c>
      <c r="T896" s="6" t="s">
        <v>1637</v>
      </c>
      <c r="U896" s="6"/>
      <c r="V896" s="16"/>
      <c r="W896" s="16"/>
      <c r="X896" s="16"/>
      <c r="Y896" s="6" t="s">
        <v>1627</v>
      </c>
      <c r="Z896" s="15"/>
      <c r="AA896" s="15" t="s">
        <v>1628</v>
      </c>
    </row>
    <row r="897" spans="1:27" ht="33" customHeight="1">
      <c r="A897" s="6" t="s">
        <v>5787</v>
      </c>
      <c r="B897" s="7">
        <v>1849</v>
      </c>
      <c r="C897" s="6" t="s">
        <v>5788</v>
      </c>
      <c r="D897" s="6" t="s">
        <v>1631</v>
      </c>
      <c r="E897" s="6" t="s">
        <v>1632</v>
      </c>
      <c r="F897" s="6" t="s">
        <v>492</v>
      </c>
      <c r="G897" s="6" t="s">
        <v>282</v>
      </c>
      <c r="H897" s="6" t="s">
        <v>1071</v>
      </c>
      <c r="I897" s="14" t="s">
        <v>1633</v>
      </c>
      <c r="J897" s="15"/>
      <c r="K897" s="6" t="s">
        <v>1634</v>
      </c>
      <c r="L897" s="6" t="s">
        <v>3828</v>
      </c>
      <c r="M897" s="6" t="s">
        <v>1635</v>
      </c>
      <c r="N897" s="6" t="s">
        <v>1624</v>
      </c>
      <c r="O897" s="7">
        <f>SUMIFS('05_상품별배치367'!$K$7:$K$373,'05_상품별배치367'!$E$7:$E$373,A897,'05_상품별배치367'!$H$7:$H$373,"본진")</f>
        <v>1</v>
      </c>
      <c r="P897" s="7">
        <f>SUMIFS('05_상품별배치367'!$K$7:$K$373,'05_상품별배치367'!$E$7:$E$373,A897,'05_상품별배치367'!$H$7:$H$373,"추가 진열")</f>
        <v>0</v>
      </c>
      <c r="Q897" s="7">
        <f>O897+P897</f>
        <v>1</v>
      </c>
      <c r="R897" s="7">
        <v>1</v>
      </c>
      <c r="S897" s="6" t="s">
        <v>1636</v>
      </c>
      <c r="T897" s="6" t="s">
        <v>1637</v>
      </c>
      <c r="U897" s="6"/>
      <c r="V897" s="16"/>
      <c r="W897" s="16"/>
      <c r="X897" s="16"/>
      <c r="Y897" s="6" t="s">
        <v>1627</v>
      </c>
      <c r="Z897" s="15"/>
      <c r="AA897" s="15" t="s">
        <v>1628</v>
      </c>
    </row>
    <row r="898" spans="1:27" ht="33" customHeight="1">
      <c r="A898" s="8" t="s">
        <v>7247</v>
      </c>
      <c r="B898" s="9">
        <v>2524</v>
      </c>
      <c r="C898" s="8" t="s">
        <v>7248</v>
      </c>
      <c r="D898" s="8" t="s">
        <v>7246</v>
      </c>
      <c r="E898" s="8" t="s">
        <v>1632</v>
      </c>
      <c r="F898" s="8" t="s">
        <v>492</v>
      </c>
      <c r="G898" s="8" t="s">
        <v>282</v>
      </c>
      <c r="H898" s="8" t="s">
        <v>1071</v>
      </c>
      <c r="I898" s="14" t="s">
        <v>1642</v>
      </c>
      <c r="J898" s="15"/>
      <c r="K898" s="8" t="s">
        <v>1634</v>
      </c>
      <c r="L898" s="8" t="s">
        <v>3828</v>
      </c>
      <c r="M898" s="6" t="s">
        <v>1643</v>
      </c>
      <c r="N898" s="6" t="s">
        <v>1624</v>
      </c>
      <c r="O898" s="7">
        <f>SUMIFS('05_상품별배치367'!$K$7:$K$373,'05_상품별배치367'!$E$7:$E$373,A898,'05_상품별배치367'!$H$7:$H$373,"본진")</f>
        <v>0</v>
      </c>
      <c r="P898" s="7">
        <f>SUMIFS('05_상품별배치367'!$K$7:$K$373,'05_상품별배치367'!$E$7:$E$373,A898,'05_상품별배치367'!$H$7:$H$373,"추가 진열")</f>
        <v>0</v>
      </c>
      <c r="Q898" s="7">
        <f>O898+P898</f>
        <v>0</v>
      </c>
      <c r="R898" s="7">
        <v>1</v>
      </c>
      <c r="S898" s="6" t="s">
        <v>5782</v>
      </c>
      <c r="T898" s="6" t="s">
        <v>1637</v>
      </c>
      <c r="U898" s="6"/>
      <c r="V898" s="16"/>
      <c r="W898" s="16"/>
      <c r="X898" s="16"/>
      <c r="Y898" s="6" t="s">
        <v>1655</v>
      </c>
      <c r="Z898" s="15"/>
      <c r="AA898" s="15" t="s">
        <v>1628</v>
      </c>
    </row>
    <row r="899" spans="1:27" ht="33" customHeight="1">
      <c r="A899" s="6" t="s">
        <v>7244</v>
      </c>
      <c r="B899" s="7">
        <v>2523</v>
      </c>
      <c r="C899" s="6" t="s">
        <v>7245</v>
      </c>
      <c r="D899" s="6" t="s">
        <v>7246</v>
      </c>
      <c r="E899" s="6" t="s">
        <v>1632</v>
      </c>
      <c r="F899" s="6" t="s">
        <v>492</v>
      </c>
      <c r="G899" s="6" t="s">
        <v>282</v>
      </c>
      <c r="H899" s="6"/>
      <c r="I899" s="14" t="s">
        <v>1642</v>
      </c>
      <c r="J899" s="15"/>
      <c r="K899" s="6" t="s">
        <v>1634</v>
      </c>
      <c r="L899" s="6" t="s">
        <v>3828</v>
      </c>
      <c r="M899" s="6" t="s">
        <v>1643</v>
      </c>
      <c r="N899" s="6" t="s">
        <v>1624</v>
      </c>
      <c r="O899" s="7">
        <f>SUMIFS('05_상품별배치367'!$K$7:$K$373,'05_상품별배치367'!$E$7:$E$373,A899,'05_상품별배치367'!$H$7:$H$373,"본진")</f>
        <v>0</v>
      </c>
      <c r="P899" s="7">
        <f>SUMIFS('05_상품별배치367'!$K$7:$K$373,'05_상품별배치367'!$E$7:$E$373,A899,'05_상품별배치367'!$H$7:$H$373,"추가 진열")</f>
        <v>0</v>
      </c>
      <c r="Q899" s="7">
        <f>O899+P899</f>
        <v>0</v>
      </c>
      <c r="R899" s="7">
        <v>1</v>
      </c>
      <c r="S899" s="6" t="s">
        <v>5782</v>
      </c>
      <c r="T899" s="6" t="s">
        <v>1637</v>
      </c>
      <c r="U899" s="6"/>
      <c r="V899" s="16"/>
      <c r="W899" s="16"/>
      <c r="X899" s="16"/>
      <c r="Y899" s="6" t="s">
        <v>1655</v>
      </c>
      <c r="Z899" s="15"/>
      <c r="AA899" s="15" t="s">
        <v>1628</v>
      </c>
    </row>
    <row r="900" spans="1:27" ht="33" customHeight="1">
      <c r="A900" s="6" t="s">
        <v>1510</v>
      </c>
      <c r="B900" s="7">
        <v>2257</v>
      </c>
      <c r="C900" s="6" t="s">
        <v>1509</v>
      </c>
      <c r="D900" s="6" t="s">
        <v>1631</v>
      </c>
      <c r="E900" s="6" t="s">
        <v>1632</v>
      </c>
      <c r="F900" s="6" t="s">
        <v>492</v>
      </c>
      <c r="G900" s="6" t="s">
        <v>282</v>
      </c>
      <c r="H900" s="6" t="s">
        <v>1067</v>
      </c>
      <c r="I900" s="14" t="s">
        <v>1621</v>
      </c>
      <c r="J900" s="15"/>
      <c r="K900" s="6" t="s">
        <v>1634</v>
      </c>
      <c r="L900" s="6" t="s">
        <v>3828</v>
      </c>
      <c r="M900" s="6" t="s">
        <v>1623</v>
      </c>
      <c r="N900" s="6" t="s">
        <v>1624</v>
      </c>
      <c r="O900" s="7">
        <f>SUMIFS('05_상품별배치367'!$K$7:$K$373,'05_상품별배치367'!$E$7:$E$373,A900,'05_상품별배치367'!$H$7:$H$373,"본진")</f>
        <v>2</v>
      </c>
      <c r="P900" s="7">
        <f>SUMIFS('05_상품별배치367'!$K$7:$K$373,'05_상품별배치367'!$E$7:$E$373,A900,'05_상품별배치367'!$H$7:$H$373,"추가 진열")</f>
        <v>1</v>
      </c>
      <c r="Q900" s="7">
        <f>O900+P900</f>
        <v>3</v>
      </c>
      <c r="R900" s="7">
        <v>2</v>
      </c>
      <c r="S900" s="6" t="s">
        <v>1625</v>
      </c>
      <c r="T900" s="6" t="s">
        <v>1637</v>
      </c>
      <c r="U900" s="6"/>
      <c r="V900" s="16"/>
      <c r="W900" s="16"/>
      <c r="X900" s="16"/>
      <c r="Y900" s="6" t="s">
        <v>1627</v>
      </c>
      <c r="Z900" s="15"/>
      <c r="AA900" s="15" t="s">
        <v>1628</v>
      </c>
    </row>
    <row r="901" spans="1:27" ht="33" customHeight="1">
      <c r="A901" s="8" t="s">
        <v>5780</v>
      </c>
      <c r="B901" s="9">
        <v>1846</v>
      </c>
      <c r="C901" s="8" t="s">
        <v>5781</v>
      </c>
      <c r="D901" s="8" t="s">
        <v>2572</v>
      </c>
      <c r="E901" s="8" t="s">
        <v>1632</v>
      </c>
      <c r="F901" s="8" t="s">
        <v>492</v>
      </c>
      <c r="G901" s="8" t="s">
        <v>282</v>
      </c>
      <c r="H901" s="8" t="s">
        <v>1066</v>
      </c>
      <c r="I901" s="14" t="s">
        <v>1642</v>
      </c>
      <c r="J901" s="15"/>
      <c r="K901" s="8" t="s">
        <v>1634</v>
      </c>
      <c r="L901" s="8" t="s">
        <v>3828</v>
      </c>
      <c r="M901" s="6" t="s">
        <v>1643</v>
      </c>
      <c r="N901" s="6" t="s">
        <v>1624</v>
      </c>
      <c r="O901" s="7">
        <f>SUMIFS('05_상품별배치367'!$K$7:$K$373,'05_상품별배치367'!$E$7:$E$373,A901,'05_상품별배치367'!$H$7:$H$373,"본진")</f>
        <v>0</v>
      </c>
      <c r="P901" s="7">
        <f>SUMIFS('05_상품별배치367'!$K$7:$K$373,'05_상품별배치367'!$E$7:$E$373,A901,'05_상품별배치367'!$H$7:$H$373,"추가 진열")</f>
        <v>0</v>
      </c>
      <c r="Q901" s="7">
        <f>O901+P901</f>
        <v>0</v>
      </c>
      <c r="R901" s="7">
        <v>1</v>
      </c>
      <c r="S901" s="6" t="s">
        <v>5782</v>
      </c>
      <c r="T901" s="6" t="s">
        <v>1637</v>
      </c>
      <c r="U901" s="6"/>
      <c r="V901" s="16"/>
      <c r="W901" s="16"/>
      <c r="X901" s="16"/>
      <c r="Y901" s="6" t="s">
        <v>1627</v>
      </c>
      <c r="Z901" s="15"/>
      <c r="AA901" s="15" t="s">
        <v>1628</v>
      </c>
    </row>
    <row r="902" spans="1:27" ht="33" customHeight="1">
      <c r="A902" s="6" t="s">
        <v>6083</v>
      </c>
      <c r="B902" s="7">
        <v>1987</v>
      </c>
      <c r="C902" s="6" t="s">
        <v>6084</v>
      </c>
      <c r="D902" s="6" t="s">
        <v>6069</v>
      </c>
      <c r="E902" s="6" t="s">
        <v>1641</v>
      </c>
      <c r="F902" s="6" t="s">
        <v>1134</v>
      </c>
      <c r="G902" s="6" t="s">
        <v>315</v>
      </c>
      <c r="H902" s="6" t="s">
        <v>1133</v>
      </c>
      <c r="I902" s="14" t="s">
        <v>1633</v>
      </c>
      <c r="J902" s="15"/>
      <c r="K902" s="6" t="s">
        <v>1634</v>
      </c>
      <c r="L902" s="6" t="s">
        <v>3828</v>
      </c>
      <c r="M902" s="6" t="s">
        <v>1635</v>
      </c>
      <c r="N902" s="6" t="s">
        <v>1624</v>
      </c>
      <c r="O902" s="7">
        <f>SUMIFS('05_상품별배치367'!$K$7:$K$373,'05_상품별배치367'!$E$7:$E$373,A902,'05_상품별배치367'!$H$7:$H$373,"본진")</f>
        <v>1</v>
      </c>
      <c r="P902" s="7">
        <f>SUMIFS('05_상품별배치367'!$K$7:$K$373,'05_상품별배치367'!$E$7:$E$373,A902,'05_상품별배치367'!$H$7:$H$373,"추가 진열")</f>
        <v>0</v>
      </c>
      <c r="Q902" s="7">
        <f>O902+P902</f>
        <v>1</v>
      </c>
      <c r="R902" s="7">
        <v>1</v>
      </c>
      <c r="S902" s="6" t="s">
        <v>1636</v>
      </c>
      <c r="T902" s="6" t="s">
        <v>1637</v>
      </c>
      <c r="U902" s="6"/>
      <c r="V902" s="16"/>
      <c r="W902" s="16"/>
      <c r="X902" s="16"/>
      <c r="Y902" s="6" t="s">
        <v>1627</v>
      </c>
      <c r="Z902" s="15"/>
      <c r="AA902" s="15" t="s">
        <v>1628</v>
      </c>
    </row>
    <row r="903" spans="1:27" ht="33" customHeight="1">
      <c r="A903" s="6" t="s">
        <v>2467</v>
      </c>
      <c r="B903" s="7">
        <v>313</v>
      </c>
      <c r="C903" s="6" t="s">
        <v>2468</v>
      </c>
      <c r="D903" s="6" t="s">
        <v>2469</v>
      </c>
      <c r="E903" s="6" t="s">
        <v>1666</v>
      </c>
      <c r="F903" s="6" t="s">
        <v>1880</v>
      </c>
      <c r="G903" s="6" t="s">
        <v>1668</v>
      </c>
      <c r="H903" s="6"/>
      <c r="I903" s="14" t="s">
        <v>1642</v>
      </c>
      <c r="J903" s="15"/>
      <c r="K903" s="6" t="s">
        <v>1670</v>
      </c>
      <c r="L903" s="6"/>
      <c r="M903" s="6" t="s">
        <v>1643</v>
      </c>
      <c r="N903" s="6" t="s">
        <v>1644</v>
      </c>
      <c r="O903" s="7">
        <f>SUMIFS('05_상품별배치367'!$K$7:$K$373,'05_상품별배치367'!$E$7:$E$373,A903,'05_상품별배치367'!$H$7:$H$373,"본진")</f>
        <v>0</v>
      </c>
      <c r="P903" s="7">
        <f>SUMIFS('05_상품별배치367'!$K$7:$K$373,'05_상품별배치367'!$E$7:$E$373,A903,'05_상품별배치367'!$H$7:$H$373,"추가 진열")</f>
        <v>0</v>
      </c>
      <c r="Q903" s="7">
        <f>O903+P903</f>
        <v>0</v>
      </c>
      <c r="R903" s="7">
        <v>1</v>
      </c>
      <c r="S903" s="6" t="s">
        <v>1881</v>
      </c>
      <c r="T903" s="6" t="s">
        <v>1637</v>
      </c>
      <c r="U903" s="6"/>
      <c r="V903" s="16"/>
      <c r="W903" s="16"/>
      <c r="X903" s="16"/>
      <c r="Y903" s="6" t="s">
        <v>1655</v>
      </c>
      <c r="Z903" s="15"/>
      <c r="AA903" s="15" t="s">
        <v>1628</v>
      </c>
    </row>
    <row r="904" spans="1:27" ht="33" customHeight="1">
      <c r="A904" s="8" t="s">
        <v>2465</v>
      </c>
      <c r="B904" s="9">
        <v>312</v>
      </c>
      <c r="C904" s="8" t="s">
        <v>2466</v>
      </c>
      <c r="D904" s="8" t="s">
        <v>1846</v>
      </c>
      <c r="E904" s="8" t="s">
        <v>1666</v>
      </c>
      <c r="F904" s="8" t="s">
        <v>1880</v>
      </c>
      <c r="G904" s="8" t="s">
        <v>1668</v>
      </c>
      <c r="H904" s="8"/>
      <c r="I904" s="14" t="s">
        <v>1642</v>
      </c>
      <c r="J904" s="15"/>
      <c r="K904" s="8" t="s">
        <v>1670</v>
      </c>
      <c r="L904" s="8"/>
      <c r="M904" s="6" t="s">
        <v>1643</v>
      </c>
      <c r="N904" s="6" t="s">
        <v>1644</v>
      </c>
      <c r="O904" s="7">
        <f>SUMIFS('05_상품별배치367'!$K$7:$K$373,'05_상품별배치367'!$E$7:$E$373,A904,'05_상품별배치367'!$H$7:$H$373,"본진")</f>
        <v>0</v>
      </c>
      <c r="P904" s="7">
        <f>SUMIFS('05_상품별배치367'!$K$7:$K$373,'05_상품별배치367'!$E$7:$E$373,A904,'05_상품별배치367'!$H$7:$H$373,"추가 진열")</f>
        <v>0</v>
      </c>
      <c r="Q904" s="7">
        <f>O904+P904</f>
        <v>0</v>
      </c>
      <c r="R904" s="7">
        <v>1</v>
      </c>
      <c r="S904" s="6" t="s">
        <v>1881</v>
      </c>
      <c r="T904" s="6" t="s">
        <v>1637</v>
      </c>
      <c r="U904" s="6"/>
      <c r="V904" s="16"/>
      <c r="W904" s="16"/>
      <c r="X904" s="16"/>
      <c r="Y904" s="6" t="s">
        <v>1627</v>
      </c>
      <c r="Z904" s="15"/>
      <c r="AA904" s="15" t="s">
        <v>1628</v>
      </c>
    </row>
    <row r="905" spans="1:27" ht="33" customHeight="1">
      <c r="A905" s="6" t="s">
        <v>2463</v>
      </c>
      <c r="B905" s="7">
        <v>311</v>
      </c>
      <c r="C905" s="6" t="s">
        <v>2464</v>
      </c>
      <c r="D905" s="6" t="s">
        <v>1682</v>
      </c>
      <c r="E905" s="6" t="s">
        <v>1666</v>
      </c>
      <c r="F905" s="6" t="s">
        <v>1880</v>
      </c>
      <c r="G905" s="6" t="s">
        <v>1668</v>
      </c>
      <c r="H905" s="6"/>
      <c r="I905" s="14" t="s">
        <v>1642</v>
      </c>
      <c r="J905" s="15"/>
      <c r="K905" s="6" t="s">
        <v>1670</v>
      </c>
      <c r="L905" s="6"/>
      <c r="M905" s="6" t="s">
        <v>1643</v>
      </c>
      <c r="N905" s="6" t="s">
        <v>1644</v>
      </c>
      <c r="O905" s="7">
        <f>SUMIFS('05_상품별배치367'!$K$7:$K$373,'05_상품별배치367'!$E$7:$E$373,A905,'05_상품별배치367'!$H$7:$H$373,"본진")</f>
        <v>0</v>
      </c>
      <c r="P905" s="7">
        <f>SUMIFS('05_상품별배치367'!$K$7:$K$373,'05_상품별배치367'!$E$7:$E$373,A905,'05_상품별배치367'!$H$7:$H$373,"추가 진열")</f>
        <v>0</v>
      </c>
      <c r="Q905" s="7">
        <f>O905+P905</f>
        <v>0</v>
      </c>
      <c r="R905" s="7">
        <v>1</v>
      </c>
      <c r="S905" s="6" t="s">
        <v>1881</v>
      </c>
      <c r="T905" s="6" t="s">
        <v>1637</v>
      </c>
      <c r="U905" s="6"/>
      <c r="V905" s="16"/>
      <c r="W905" s="16"/>
      <c r="X905" s="16"/>
      <c r="Y905" s="6" t="s">
        <v>1627</v>
      </c>
      <c r="Z905" s="15"/>
      <c r="AA905" s="15" t="s">
        <v>1628</v>
      </c>
    </row>
    <row r="906" spans="1:27" ht="33" customHeight="1">
      <c r="A906" s="6" t="s">
        <v>7213</v>
      </c>
      <c r="B906" s="7">
        <v>2509</v>
      </c>
      <c r="C906" s="6" t="s">
        <v>7214</v>
      </c>
      <c r="D906" s="6" t="s">
        <v>5979</v>
      </c>
      <c r="E906" s="6" t="s">
        <v>1641</v>
      </c>
      <c r="F906" s="6" t="s">
        <v>644</v>
      </c>
      <c r="G906" s="6" t="s">
        <v>79</v>
      </c>
      <c r="H906" s="6"/>
      <c r="I906" s="14" t="s">
        <v>1642</v>
      </c>
      <c r="J906" s="15"/>
      <c r="K906" s="6" t="s">
        <v>1634</v>
      </c>
      <c r="L906" s="6" t="s">
        <v>3828</v>
      </c>
      <c r="M906" s="6" t="s">
        <v>1643</v>
      </c>
      <c r="N906" s="6" t="s">
        <v>1624</v>
      </c>
      <c r="O906" s="7">
        <f>SUMIFS('05_상품별배치367'!$K$7:$K$373,'05_상품별배치367'!$E$7:$E$373,A906,'05_상품별배치367'!$H$7:$H$373,"본진")</f>
        <v>0</v>
      </c>
      <c r="P906" s="7">
        <f>SUMIFS('05_상품별배치367'!$K$7:$K$373,'05_상품별배치367'!$E$7:$E$373,A906,'05_상품별배치367'!$H$7:$H$373,"추가 진열")</f>
        <v>0</v>
      </c>
      <c r="Q906" s="7">
        <f>O906+P906</f>
        <v>0</v>
      </c>
      <c r="R906" s="7">
        <v>1</v>
      </c>
      <c r="S906" s="6" t="s">
        <v>7020</v>
      </c>
      <c r="T906" s="6" t="s">
        <v>1637</v>
      </c>
      <c r="U906" s="6"/>
      <c r="V906" s="16"/>
      <c r="W906" s="16"/>
      <c r="X906" s="16"/>
      <c r="Y906" s="6" t="s">
        <v>1627</v>
      </c>
      <c r="Z906" s="15"/>
      <c r="AA906" s="15" t="s">
        <v>1628</v>
      </c>
    </row>
    <row r="907" spans="1:27" ht="33" customHeight="1">
      <c r="A907" s="6" t="s">
        <v>7209</v>
      </c>
      <c r="B907" s="7">
        <v>2507</v>
      </c>
      <c r="C907" s="6" t="s">
        <v>7210</v>
      </c>
      <c r="D907" s="6" t="s">
        <v>5979</v>
      </c>
      <c r="E907" s="6" t="s">
        <v>1641</v>
      </c>
      <c r="F907" s="6" t="s">
        <v>656</v>
      </c>
      <c r="G907" s="6" t="s">
        <v>79</v>
      </c>
      <c r="H907" s="6"/>
      <c r="I907" s="14" t="s">
        <v>1642</v>
      </c>
      <c r="J907" s="15"/>
      <c r="K907" s="6" t="s">
        <v>1634</v>
      </c>
      <c r="L907" s="6" t="s">
        <v>3828</v>
      </c>
      <c r="M907" s="6" t="s">
        <v>1643</v>
      </c>
      <c r="N907" s="6" t="s">
        <v>1624</v>
      </c>
      <c r="O907" s="7">
        <f>SUMIFS('05_상품별배치367'!$K$7:$K$373,'05_상품별배치367'!$E$7:$E$373,A907,'05_상품별배치367'!$H$7:$H$373,"본진")</f>
        <v>0</v>
      </c>
      <c r="P907" s="7">
        <f>SUMIFS('05_상품별배치367'!$K$7:$K$373,'05_상품별배치367'!$E$7:$E$373,A907,'05_상품별배치367'!$H$7:$H$373,"추가 진열")</f>
        <v>0</v>
      </c>
      <c r="Q907" s="7">
        <f>O907+P907</f>
        <v>0</v>
      </c>
      <c r="R907" s="7">
        <v>1</v>
      </c>
      <c r="S907" s="6" t="s">
        <v>6285</v>
      </c>
      <c r="T907" s="6" t="s">
        <v>1637</v>
      </c>
      <c r="U907" s="6"/>
      <c r="V907" s="16"/>
      <c r="W907" s="16"/>
      <c r="X907" s="16"/>
      <c r="Y907" s="6" t="s">
        <v>1627</v>
      </c>
      <c r="Z907" s="15"/>
      <c r="AA907" s="15" t="s">
        <v>1628</v>
      </c>
    </row>
    <row r="908" spans="1:27" ht="33" customHeight="1">
      <c r="A908" s="8" t="s">
        <v>7211</v>
      </c>
      <c r="B908" s="9">
        <v>2508</v>
      </c>
      <c r="C908" s="8" t="s">
        <v>7212</v>
      </c>
      <c r="D908" s="8" t="s">
        <v>5979</v>
      </c>
      <c r="E908" s="8" t="s">
        <v>1641</v>
      </c>
      <c r="F908" s="8" t="s">
        <v>651</v>
      </c>
      <c r="G908" s="8" t="s">
        <v>79</v>
      </c>
      <c r="H908" s="8" t="s">
        <v>650</v>
      </c>
      <c r="I908" s="14" t="s">
        <v>1633</v>
      </c>
      <c r="J908" s="15"/>
      <c r="K908" s="8" t="s">
        <v>1634</v>
      </c>
      <c r="L908" s="8" t="s">
        <v>3828</v>
      </c>
      <c r="M908" s="6" t="s">
        <v>1635</v>
      </c>
      <c r="N908" s="6" t="s">
        <v>1624</v>
      </c>
      <c r="O908" s="7">
        <f>SUMIFS('05_상품별배치367'!$K$7:$K$373,'05_상품별배치367'!$E$7:$E$373,A908,'05_상품별배치367'!$H$7:$H$373,"본진")</f>
        <v>1</v>
      </c>
      <c r="P908" s="7">
        <f>SUMIFS('05_상품별배치367'!$K$7:$K$373,'05_상품별배치367'!$E$7:$E$373,A908,'05_상품별배치367'!$H$7:$H$373,"추가 진열")</f>
        <v>0</v>
      </c>
      <c r="Q908" s="7">
        <f>O908+P908</f>
        <v>1</v>
      </c>
      <c r="R908" s="7">
        <v>1</v>
      </c>
      <c r="S908" s="6" t="s">
        <v>1636</v>
      </c>
      <c r="T908" s="6" t="s">
        <v>1637</v>
      </c>
      <c r="U908" s="6"/>
      <c r="V908" s="16"/>
      <c r="W908" s="16"/>
      <c r="X908" s="16"/>
      <c r="Y908" s="6" t="s">
        <v>1627</v>
      </c>
      <c r="Z908" s="15"/>
      <c r="AA908" s="15" t="s">
        <v>1628</v>
      </c>
    </row>
    <row r="909" spans="1:27" ht="33" customHeight="1">
      <c r="A909" s="6" t="s">
        <v>6138</v>
      </c>
      <c r="B909" s="7">
        <v>2009</v>
      </c>
      <c r="C909" s="6" t="s">
        <v>6139</v>
      </c>
      <c r="D909" s="6" t="s">
        <v>6140</v>
      </c>
      <c r="E909" s="6" t="s">
        <v>1641</v>
      </c>
      <c r="F909" s="6" t="s">
        <v>498</v>
      </c>
      <c r="G909" s="6" t="s">
        <v>307</v>
      </c>
      <c r="H909" s="6"/>
      <c r="I909" s="14" t="s">
        <v>1642</v>
      </c>
      <c r="J909" s="15"/>
      <c r="K909" s="6" t="s">
        <v>1634</v>
      </c>
      <c r="L909" s="6" t="s">
        <v>3828</v>
      </c>
      <c r="M909" s="6" t="s">
        <v>1643</v>
      </c>
      <c r="N909" s="6" t="s">
        <v>1624</v>
      </c>
      <c r="O909" s="7">
        <f>SUMIFS('05_상품별배치367'!$K$7:$K$373,'05_상품별배치367'!$E$7:$E$373,A909,'05_상품별배치367'!$H$7:$H$373,"본진")</f>
        <v>0</v>
      </c>
      <c r="P909" s="7">
        <f>SUMIFS('05_상품별배치367'!$K$7:$K$373,'05_상품별배치367'!$E$7:$E$373,A909,'05_상품별배치367'!$H$7:$H$373,"추가 진열")</f>
        <v>0</v>
      </c>
      <c r="Q909" s="7">
        <f>O909+P909</f>
        <v>0</v>
      </c>
      <c r="R909" s="7">
        <v>1</v>
      </c>
      <c r="S909" s="6" t="s">
        <v>6141</v>
      </c>
      <c r="T909" s="6" t="s">
        <v>1637</v>
      </c>
      <c r="U909" s="6"/>
      <c r="V909" s="16"/>
      <c r="W909" s="16"/>
      <c r="X909" s="16"/>
      <c r="Y909" s="6" t="s">
        <v>1627</v>
      </c>
      <c r="Z909" s="15"/>
      <c r="AA909" s="15" t="s">
        <v>1628</v>
      </c>
    </row>
    <row r="910" spans="1:27" ht="33" customHeight="1">
      <c r="A910" s="6" t="s">
        <v>786</v>
      </c>
      <c r="B910" s="7">
        <v>1867</v>
      </c>
      <c r="C910" s="6" t="s">
        <v>785</v>
      </c>
      <c r="D910" s="6" t="s">
        <v>2913</v>
      </c>
      <c r="E910" s="6" t="s">
        <v>1695</v>
      </c>
      <c r="F910" s="6" t="s">
        <v>770</v>
      </c>
      <c r="G910" s="6" t="s">
        <v>131</v>
      </c>
      <c r="H910" s="6" t="s">
        <v>784</v>
      </c>
      <c r="I910" s="14" t="s">
        <v>1633</v>
      </c>
      <c r="J910" s="15"/>
      <c r="K910" s="6" t="s">
        <v>1696</v>
      </c>
      <c r="L910" s="6" t="s">
        <v>3828</v>
      </c>
      <c r="M910" s="6" t="s">
        <v>1635</v>
      </c>
      <c r="N910" s="6" t="s">
        <v>1624</v>
      </c>
      <c r="O910" s="7">
        <f>SUMIFS('05_상품별배치367'!$K$7:$K$373,'05_상품별배치367'!$E$7:$E$373,A910,'05_상품별배치367'!$H$7:$H$373,"본진")</f>
        <v>1</v>
      </c>
      <c r="P910" s="7">
        <f>SUMIFS('05_상품별배치367'!$K$7:$K$373,'05_상품별배치367'!$E$7:$E$373,A910,'05_상품별배치367'!$H$7:$H$373,"추가 진열")</f>
        <v>0</v>
      </c>
      <c r="Q910" s="7">
        <f>O910+P910</f>
        <v>1</v>
      </c>
      <c r="R910" s="7">
        <v>1</v>
      </c>
      <c r="S910" s="6" t="s">
        <v>1636</v>
      </c>
      <c r="T910" s="6" t="s">
        <v>1637</v>
      </c>
      <c r="U910" s="6"/>
      <c r="V910" s="16"/>
      <c r="W910" s="16"/>
      <c r="X910" s="16"/>
      <c r="Y910" s="6" t="s">
        <v>1627</v>
      </c>
      <c r="Z910" s="15"/>
      <c r="AA910" s="15" t="s">
        <v>1628</v>
      </c>
    </row>
    <row r="911" spans="1:27" ht="33" customHeight="1">
      <c r="A911" s="6" t="s">
        <v>4604</v>
      </c>
      <c r="B911" s="7">
        <v>1289</v>
      </c>
      <c r="C911" s="6" t="s">
        <v>4605</v>
      </c>
      <c r="D911" s="6" t="s">
        <v>2007</v>
      </c>
      <c r="E911" s="6" t="s">
        <v>1986</v>
      </c>
      <c r="F911" s="6" t="s">
        <v>913</v>
      </c>
      <c r="G911" s="6" t="s">
        <v>201</v>
      </c>
      <c r="H911" s="6"/>
      <c r="I911" s="14" t="s">
        <v>1642</v>
      </c>
      <c r="J911" s="15"/>
      <c r="K911" s="6" t="s">
        <v>1976</v>
      </c>
      <c r="L911" s="6"/>
      <c r="M911" s="6" t="s">
        <v>1643</v>
      </c>
      <c r="N911" s="6" t="s">
        <v>1644</v>
      </c>
      <c r="O911" s="7">
        <f>SUMIFS('05_상품별배치367'!$K$7:$K$373,'05_상품별배치367'!$E$7:$E$373,A911,'05_상품별배치367'!$H$7:$H$373,"본진")</f>
        <v>0</v>
      </c>
      <c r="P911" s="7">
        <f>SUMIFS('05_상품별배치367'!$K$7:$K$373,'05_상품별배치367'!$E$7:$E$373,A911,'05_상품별배치367'!$H$7:$H$373,"추가 진열")</f>
        <v>0</v>
      </c>
      <c r="Q911" s="7">
        <f>O911+P911</f>
        <v>0</v>
      </c>
      <c r="R911" s="7">
        <v>1</v>
      </c>
      <c r="S911" s="6" t="s">
        <v>2907</v>
      </c>
      <c r="T911" s="6" t="s">
        <v>1637</v>
      </c>
      <c r="U911" s="6"/>
      <c r="V911" s="16"/>
      <c r="W911" s="16"/>
      <c r="X911" s="16"/>
      <c r="Y911" s="6" t="s">
        <v>1627</v>
      </c>
      <c r="Z911" s="15"/>
      <c r="AA911" s="15" t="s">
        <v>1628</v>
      </c>
    </row>
    <row r="912" spans="1:27" ht="33" customHeight="1">
      <c r="A912" s="8" t="s">
        <v>4606</v>
      </c>
      <c r="B912" s="9">
        <v>1290</v>
      </c>
      <c r="C912" s="8" t="s">
        <v>4607</v>
      </c>
      <c r="D912" s="8" t="s">
        <v>2845</v>
      </c>
      <c r="E912" s="8" t="s">
        <v>1986</v>
      </c>
      <c r="F912" s="8" t="s">
        <v>913</v>
      </c>
      <c r="G912" s="8" t="s">
        <v>201</v>
      </c>
      <c r="H912" s="8"/>
      <c r="I912" s="14" t="s">
        <v>1642</v>
      </c>
      <c r="J912" s="15"/>
      <c r="K912" s="8" t="s">
        <v>1976</v>
      </c>
      <c r="L912" s="8"/>
      <c r="M912" s="6" t="s">
        <v>1643</v>
      </c>
      <c r="N912" s="6" t="s">
        <v>1644</v>
      </c>
      <c r="O912" s="7">
        <f>SUMIFS('05_상품별배치367'!$K$7:$K$373,'05_상품별배치367'!$E$7:$E$373,A912,'05_상품별배치367'!$H$7:$H$373,"본진")</f>
        <v>0</v>
      </c>
      <c r="P912" s="7">
        <f>SUMIFS('05_상품별배치367'!$K$7:$K$373,'05_상품별배치367'!$E$7:$E$373,A912,'05_상품별배치367'!$H$7:$H$373,"추가 진열")</f>
        <v>0</v>
      </c>
      <c r="Q912" s="7">
        <f>O912+P912</f>
        <v>0</v>
      </c>
      <c r="R912" s="7">
        <v>1</v>
      </c>
      <c r="S912" s="6" t="s">
        <v>2907</v>
      </c>
      <c r="T912" s="6" t="s">
        <v>1637</v>
      </c>
      <c r="U912" s="6"/>
      <c r="V912" s="16"/>
      <c r="W912" s="16"/>
      <c r="X912" s="16"/>
      <c r="Y912" s="6" t="s">
        <v>1627</v>
      </c>
      <c r="Z912" s="15"/>
      <c r="AA912" s="15" t="s">
        <v>1628</v>
      </c>
    </row>
    <row r="913" spans="1:27" ht="33" customHeight="1">
      <c r="A913" s="8" t="s">
        <v>4610</v>
      </c>
      <c r="B913" s="9">
        <v>1292</v>
      </c>
      <c r="C913" s="8" t="s">
        <v>4611</v>
      </c>
      <c r="D913" s="8" t="s">
        <v>2133</v>
      </c>
      <c r="E913" s="8" t="s">
        <v>2134</v>
      </c>
      <c r="F913" s="8" t="s">
        <v>481</v>
      </c>
      <c r="G913" s="8" t="s">
        <v>193</v>
      </c>
      <c r="H913" s="8"/>
      <c r="I913" s="14" t="s">
        <v>1642</v>
      </c>
      <c r="J913" s="15"/>
      <c r="K913" s="8" t="s">
        <v>1976</v>
      </c>
      <c r="L913" s="8"/>
      <c r="M913" s="6" t="s">
        <v>1643</v>
      </c>
      <c r="N913" s="6" t="s">
        <v>1644</v>
      </c>
      <c r="O913" s="7">
        <f>SUMIFS('05_상품별배치367'!$K$7:$K$373,'05_상품별배치367'!$E$7:$E$373,A913,'05_상품별배치367'!$H$7:$H$373,"본진")</f>
        <v>0</v>
      </c>
      <c r="P913" s="7">
        <f>SUMIFS('05_상품별배치367'!$K$7:$K$373,'05_상품별배치367'!$E$7:$E$373,A913,'05_상품별배치367'!$H$7:$H$373,"추가 진열")</f>
        <v>0</v>
      </c>
      <c r="Q913" s="7">
        <f>O913+P913</f>
        <v>0</v>
      </c>
      <c r="R913" s="7">
        <v>1</v>
      </c>
      <c r="S913" s="6" t="s">
        <v>3000</v>
      </c>
      <c r="T913" s="6" t="s">
        <v>1637</v>
      </c>
      <c r="U913" s="6"/>
      <c r="V913" s="16"/>
      <c r="W913" s="16"/>
      <c r="X913" s="16"/>
      <c r="Y913" s="6" t="s">
        <v>1627</v>
      </c>
      <c r="Z913" s="15"/>
      <c r="AA913" s="15" t="s">
        <v>1628</v>
      </c>
    </row>
    <row r="914" spans="1:27" ht="33" customHeight="1">
      <c r="A914" s="6" t="s">
        <v>4612</v>
      </c>
      <c r="B914" s="7">
        <v>1293</v>
      </c>
      <c r="C914" s="6" t="s">
        <v>4613</v>
      </c>
      <c r="D914" s="6" t="s">
        <v>2133</v>
      </c>
      <c r="E914" s="6" t="s">
        <v>2134</v>
      </c>
      <c r="F914" s="6" t="s">
        <v>481</v>
      </c>
      <c r="G914" s="6" t="s">
        <v>193</v>
      </c>
      <c r="H914" s="6"/>
      <c r="I914" s="14" t="s">
        <v>1642</v>
      </c>
      <c r="J914" s="15"/>
      <c r="K914" s="6" t="s">
        <v>1976</v>
      </c>
      <c r="L914" s="6"/>
      <c r="M914" s="6" t="s">
        <v>1643</v>
      </c>
      <c r="N914" s="6" t="s">
        <v>1644</v>
      </c>
      <c r="O914" s="7">
        <f>SUMIFS('05_상품별배치367'!$K$7:$K$373,'05_상품별배치367'!$E$7:$E$373,A914,'05_상품별배치367'!$H$7:$H$373,"본진")</f>
        <v>0</v>
      </c>
      <c r="P914" s="7">
        <f>SUMIFS('05_상품별배치367'!$K$7:$K$373,'05_상품별배치367'!$E$7:$E$373,A914,'05_상품별배치367'!$H$7:$H$373,"추가 진열")</f>
        <v>0</v>
      </c>
      <c r="Q914" s="7">
        <f>O914+P914</f>
        <v>0</v>
      </c>
      <c r="R914" s="7">
        <v>1</v>
      </c>
      <c r="S914" s="6" t="s">
        <v>3000</v>
      </c>
      <c r="T914" s="6" t="s">
        <v>1637</v>
      </c>
      <c r="U914" s="6"/>
      <c r="V914" s="16"/>
      <c r="W914" s="16"/>
      <c r="X914" s="16"/>
      <c r="Y914" s="6" t="s">
        <v>1627</v>
      </c>
      <c r="Z914" s="15"/>
      <c r="AA914" s="15" t="s">
        <v>1628</v>
      </c>
    </row>
    <row r="915" spans="1:27" ht="33" customHeight="1">
      <c r="A915" s="6" t="s">
        <v>4608</v>
      </c>
      <c r="B915" s="7">
        <v>1291</v>
      </c>
      <c r="C915" s="6" t="s">
        <v>4609</v>
      </c>
      <c r="D915" s="6" t="s">
        <v>2007</v>
      </c>
      <c r="E915" s="6" t="s">
        <v>2134</v>
      </c>
      <c r="F915" s="6" t="s">
        <v>481</v>
      </c>
      <c r="G915" s="6" t="s">
        <v>193</v>
      </c>
      <c r="H915" s="6"/>
      <c r="I915" s="14" t="s">
        <v>1642</v>
      </c>
      <c r="J915" s="15"/>
      <c r="K915" s="6" t="s">
        <v>1976</v>
      </c>
      <c r="L915" s="6"/>
      <c r="M915" s="6" t="s">
        <v>1643</v>
      </c>
      <c r="N915" s="6" t="s">
        <v>1644</v>
      </c>
      <c r="O915" s="7">
        <f>SUMIFS('05_상품별배치367'!$K$7:$K$373,'05_상품별배치367'!$E$7:$E$373,A915,'05_상품별배치367'!$H$7:$H$373,"본진")</f>
        <v>0</v>
      </c>
      <c r="P915" s="7">
        <f>SUMIFS('05_상품별배치367'!$K$7:$K$373,'05_상품별배치367'!$E$7:$E$373,A915,'05_상품별배치367'!$H$7:$H$373,"추가 진열")</f>
        <v>0</v>
      </c>
      <c r="Q915" s="7">
        <f>O915+P915</f>
        <v>0</v>
      </c>
      <c r="R915" s="7">
        <v>1</v>
      </c>
      <c r="S915" s="6" t="s">
        <v>3000</v>
      </c>
      <c r="T915" s="6" t="s">
        <v>1637</v>
      </c>
      <c r="U915" s="6"/>
      <c r="V915" s="16"/>
      <c r="W915" s="16"/>
      <c r="X915" s="16"/>
      <c r="Y915" s="6" t="s">
        <v>1627</v>
      </c>
      <c r="Z915" s="15"/>
      <c r="AA915" s="15" t="s">
        <v>1628</v>
      </c>
    </row>
    <row r="916" spans="1:27" ht="33" customHeight="1">
      <c r="A916" s="8" t="s">
        <v>7023</v>
      </c>
      <c r="B916" s="9">
        <v>2418</v>
      </c>
      <c r="C916" s="8" t="s">
        <v>7024</v>
      </c>
      <c r="D916" s="8" t="s">
        <v>3042</v>
      </c>
      <c r="E916" s="8" t="s">
        <v>1641</v>
      </c>
      <c r="F916" s="8" t="s">
        <v>656</v>
      </c>
      <c r="G916" s="8" t="s">
        <v>79</v>
      </c>
      <c r="H916" s="8" t="s">
        <v>655</v>
      </c>
      <c r="I916" s="14" t="s">
        <v>1621</v>
      </c>
      <c r="J916" s="15"/>
      <c r="K916" s="8" t="s">
        <v>1634</v>
      </c>
      <c r="L916" s="8" t="s">
        <v>3828</v>
      </c>
      <c r="M916" s="6" t="s">
        <v>1623</v>
      </c>
      <c r="N916" s="6" t="s">
        <v>1624</v>
      </c>
      <c r="O916" s="7">
        <f>SUMIFS('05_상품별배치367'!$K$7:$K$373,'05_상품별배치367'!$E$7:$E$373,A916,'05_상품별배치367'!$H$7:$H$373,"본진")</f>
        <v>1</v>
      </c>
      <c r="P916" s="7">
        <f>SUMIFS('05_상품별배치367'!$K$7:$K$373,'05_상품별배치367'!$E$7:$E$373,A916,'05_상품별배치367'!$H$7:$H$373,"추가 진열")</f>
        <v>0</v>
      </c>
      <c r="Q916" s="7">
        <f>O916+P916</f>
        <v>1</v>
      </c>
      <c r="R916" s="7">
        <v>1</v>
      </c>
      <c r="S916" s="6" t="s">
        <v>1625</v>
      </c>
      <c r="T916" s="6" t="s">
        <v>1637</v>
      </c>
      <c r="U916" s="6"/>
      <c r="V916" s="16"/>
      <c r="W916" s="16"/>
      <c r="X916" s="16"/>
      <c r="Y916" s="6" t="s">
        <v>1627</v>
      </c>
      <c r="Z916" s="15"/>
      <c r="AA916" s="15" t="s">
        <v>1628</v>
      </c>
    </row>
    <row r="917" spans="1:27" ht="33" customHeight="1">
      <c r="A917" s="8" t="s">
        <v>5841</v>
      </c>
      <c r="B917" s="9">
        <v>1876</v>
      </c>
      <c r="C917" s="8" t="s">
        <v>5842</v>
      </c>
      <c r="D917" s="8" t="s">
        <v>5618</v>
      </c>
      <c r="E917" s="8" t="s">
        <v>1632</v>
      </c>
      <c r="F917" s="8" t="s">
        <v>1456</v>
      </c>
      <c r="G917" s="8" t="s">
        <v>463</v>
      </c>
      <c r="H917" s="8" t="s">
        <v>1455</v>
      </c>
      <c r="I917" s="14" t="s">
        <v>1621</v>
      </c>
      <c r="J917" s="15"/>
      <c r="K917" s="8" t="s">
        <v>1634</v>
      </c>
      <c r="L917" s="8" t="s">
        <v>3828</v>
      </c>
      <c r="M917" s="6" t="s">
        <v>1623</v>
      </c>
      <c r="N917" s="6" t="s">
        <v>1624</v>
      </c>
      <c r="O917" s="7">
        <f>SUMIFS('05_상품별배치367'!$K$7:$K$373,'05_상품별배치367'!$E$7:$E$373,A917,'05_상품별배치367'!$H$7:$H$373,"본진")</f>
        <v>1</v>
      </c>
      <c r="P917" s="7">
        <f>SUMIFS('05_상품별배치367'!$K$7:$K$373,'05_상품별배치367'!$E$7:$E$373,A917,'05_상품별배치367'!$H$7:$H$373,"추가 진열")</f>
        <v>0</v>
      </c>
      <c r="Q917" s="7">
        <f>O917+P917</f>
        <v>1</v>
      </c>
      <c r="R917" s="7">
        <v>1</v>
      </c>
      <c r="S917" s="6" t="s">
        <v>1625</v>
      </c>
      <c r="T917" s="6" t="s">
        <v>1637</v>
      </c>
      <c r="U917" s="6"/>
      <c r="V917" s="16"/>
      <c r="W917" s="16"/>
      <c r="X917" s="16"/>
      <c r="Y917" s="6" t="s">
        <v>1627</v>
      </c>
      <c r="Z917" s="15"/>
      <c r="AA917" s="15" t="s">
        <v>1628</v>
      </c>
    </row>
    <row r="918" spans="1:27" ht="33" customHeight="1">
      <c r="A918" s="6" t="s">
        <v>6884</v>
      </c>
      <c r="B918" s="7">
        <v>2353</v>
      </c>
      <c r="C918" s="6" t="s">
        <v>6885</v>
      </c>
      <c r="D918" s="6" t="s">
        <v>2133</v>
      </c>
      <c r="E918" s="6" t="s">
        <v>1632</v>
      </c>
      <c r="F918" s="6" t="s">
        <v>1456</v>
      </c>
      <c r="G918" s="6" t="s">
        <v>463</v>
      </c>
      <c r="H918" s="6" t="s">
        <v>1455</v>
      </c>
      <c r="I918" s="14" t="s">
        <v>1633</v>
      </c>
      <c r="J918" s="15"/>
      <c r="K918" s="6" t="s">
        <v>1634</v>
      </c>
      <c r="L918" s="6" t="s">
        <v>3828</v>
      </c>
      <c r="M918" s="6" t="s">
        <v>1635</v>
      </c>
      <c r="N918" s="6" t="s">
        <v>1624</v>
      </c>
      <c r="O918" s="7">
        <f>SUMIFS('05_상품별배치367'!$K$7:$K$373,'05_상품별배치367'!$E$7:$E$373,A918,'05_상품별배치367'!$H$7:$H$373,"본진")</f>
        <v>1</v>
      </c>
      <c r="P918" s="7">
        <f>SUMIFS('05_상품별배치367'!$K$7:$K$373,'05_상품별배치367'!$E$7:$E$373,A918,'05_상품별배치367'!$H$7:$H$373,"추가 진열")</f>
        <v>0</v>
      </c>
      <c r="Q918" s="7">
        <f>O918+P918</f>
        <v>1</v>
      </c>
      <c r="R918" s="7">
        <v>1</v>
      </c>
      <c r="S918" s="6" t="s">
        <v>1636</v>
      </c>
      <c r="T918" s="6" t="s">
        <v>1637</v>
      </c>
      <c r="U918" s="6"/>
      <c r="V918" s="16"/>
      <c r="W918" s="16"/>
      <c r="X918" s="16"/>
      <c r="Y918" s="6" t="s">
        <v>1627</v>
      </c>
      <c r="Z918" s="15"/>
      <c r="AA918" s="15" t="s">
        <v>1628</v>
      </c>
    </row>
    <row r="919" spans="1:27" ht="33" customHeight="1">
      <c r="A919" s="6" t="s">
        <v>6679</v>
      </c>
      <c r="B919" s="7">
        <v>2249</v>
      </c>
      <c r="C919" s="6" t="s">
        <v>6680</v>
      </c>
      <c r="D919" s="6" t="s">
        <v>1686</v>
      </c>
      <c r="E919" s="6" t="s">
        <v>1641</v>
      </c>
      <c r="F919" s="6" t="s">
        <v>498</v>
      </c>
      <c r="G919" s="6" t="s">
        <v>307</v>
      </c>
      <c r="H919" s="6" t="s">
        <v>1116</v>
      </c>
      <c r="I919" s="14" t="s">
        <v>1633</v>
      </c>
      <c r="J919" s="15"/>
      <c r="K919" s="6" t="s">
        <v>1634</v>
      </c>
      <c r="L919" s="6" t="s">
        <v>3828</v>
      </c>
      <c r="M919" s="6" t="s">
        <v>1635</v>
      </c>
      <c r="N919" s="6" t="s">
        <v>1624</v>
      </c>
      <c r="O919" s="7">
        <f>SUMIFS('05_상품별배치367'!$K$7:$K$373,'05_상품별배치367'!$E$7:$E$373,A919,'05_상품별배치367'!$H$7:$H$373,"본진")</f>
        <v>1</v>
      </c>
      <c r="P919" s="7">
        <f>SUMIFS('05_상품별배치367'!$K$7:$K$373,'05_상품별배치367'!$E$7:$E$373,A919,'05_상품별배치367'!$H$7:$H$373,"추가 진열")</f>
        <v>0</v>
      </c>
      <c r="Q919" s="7">
        <f>O919+P919</f>
        <v>1</v>
      </c>
      <c r="R919" s="7">
        <v>1</v>
      </c>
      <c r="S919" s="6" t="s">
        <v>1636</v>
      </c>
      <c r="T919" s="6" t="s">
        <v>1637</v>
      </c>
      <c r="U919" s="6"/>
      <c r="V919" s="16"/>
      <c r="W919" s="16"/>
      <c r="X919" s="16"/>
      <c r="Y919" s="6" t="s">
        <v>1627</v>
      </c>
      <c r="Z919" s="15"/>
      <c r="AA919" s="15" t="s">
        <v>1628</v>
      </c>
    </row>
    <row r="920" spans="1:27" ht="33" customHeight="1">
      <c r="A920" s="8" t="s">
        <v>6681</v>
      </c>
      <c r="B920" s="9">
        <v>2250</v>
      </c>
      <c r="C920" s="8" t="s">
        <v>6682</v>
      </c>
      <c r="D920" s="8" t="s">
        <v>2007</v>
      </c>
      <c r="E920" s="8" t="s">
        <v>1641</v>
      </c>
      <c r="F920" s="8" t="s">
        <v>498</v>
      </c>
      <c r="G920" s="8" t="s">
        <v>307</v>
      </c>
      <c r="H920" s="8"/>
      <c r="I920" s="14" t="s">
        <v>1642</v>
      </c>
      <c r="J920" s="15"/>
      <c r="K920" s="8" t="s">
        <v>1634</v>
      </c>
      <c r="L920" s="8" t="s">
        <v>3828</v>
      </c>
      <c r="M920" s="6" t="s">
        <v>1643</v>
      </c>
      <c r="N920" s="6" t="s">
        <v>1624</v>
      </c>
      <c r="O920" s="7">
        <f>SUMIFS('05_상품별배치367'!$K$7:$K$373,'05_상품별배치367'!$E$7:$E$373,A920,'05_상품별배치367'!$H$7:$H$373,"본진")</f>
        <v>0</v>
      </c>
      <c r="P920" s="7">
        <f>SUMIFS('05_상품별배치367'!$K$7:$K$373,'05_상품별배치367'!$E$7:$E$373,A920,'05_상품별배치367'!$H$7:$H$373,"추가 진열")</f>
        <v>0</v>
      </c>
      <c r="Q920" s="7">
        <f>O920+P920</f>
        <v>0</v>
      </c>
      <c r="R920" s="7">
        <v>1</v>
      </c>
      <c r="S920" s="6" t="s">
        <v>6141</v>
      </c>
      <c r="T920" s="6" t="s">
        <v>1637</v>
      </c>
      <c r="U920" s="6"/>
      <c r="V920" s="16"/>
      <c r="W920" s="16"/>
      <c r="X920" s="16"/>
      <c r="Y920" s="6" t="s">
        <v>1627</v>
      </c>
      <c r="Z920" s="15"/>
      <c r="AA920" s="15" t="s">
        <v>1628</v>
      </c>
    </row>
    <row r="921" spans="1:27" ht="33" customHeight="1">
      <c r="A921" s="6" t="s">
        <v>6683</v>
      </c>
      <c r="B921" s="7">
        <v>2251</v>
      </c>
      <c r="C921" s="6" t="s">
        <v>6684</v>
      </c>
      <c r="D921" s="6" t="s">
        <v>2007</v>
      </c>
      <c r="E921" s="6" t="s">
        <v>1641</v>
      </c>
      <c r="F921" s="6" t="s">
        <v>498</v>
      </c>
      <c r="G921" s="6" t="s">
        <v>307</v>
      </c>
      <c r="H921" s="6" t="s">
        <v>1116</v>
      </c>
      <c r="I921" s="14" t="s">
        <v>1633</v>
      </c>
      <c r="J921" s="15"/>
      <c r="K921" s="6" t="s">
        <v>1634</v>
      </c>
      <c r="L921" s="6" t="s">
        <v>3828</v>
      </c>
      <c r="M921" s="6" t="s">
        <v>1635</v>
      </c>
      <c r="N921" s="6" t="s">
        <v>1624</v>
      </c>
      <c r="O921" s="7">
        <f>SUMIFS('05_상품별배치367'!$K$7:$K$373,'05_상품별배치367'!$E$7:$E$373,A921,'05_상품별배치367'!$H$7:$H$373,"본진")</f>
        <v>1</v>
      </c>
      <c r="P921" s="7">
        <f>SUMIFS('05_상품별배치367'!$K$7:$K$373,'05_상품별배치367'!$E$7:$E$373,A921,'05_상품별배치367'!$H$7:$H$373,"추가 진열")</f>
        <v>0</v>
      </c>
      <c r="Q921" s="7">
        <f>O921+P921</f>
        <v>1</v>
      </c>
      <c r="R921" s="7">
        <v>1</v>
      </c>
      <c r="S921" s="6" t="s">
        <v>1636</v>
      </c>
      <c r="T921" s="6" t="s">
        <v>1637</v>
      </c>
      <c r="U921" s="6"/>
      <c r="V921" s="16"/>
      <c r="W921" s="16"/>
      <c r="X921" s="16"/>
      <c r="Y921" s="6" t="s">
        <v>1627</v>
      </c>
      <c r="Z921" s="15"/>
      <c r="AA921" s="15" t="s">
        <v>1628</v>
      </c>
    </row>
    <row r="922" spans="1:27" ht="33" customHeight="1">
      <c r="A922" s="8" t="s">
        <v>3741</v>
      </c>
      <c r="B922" s="9">
        <v>888</v>
      </c>
      <c r="C922" s="8" t="s">
        <v>3742</v>
      </c>
      <c r="D922" s="8" t="s">
        <v>2133</v>
      </c>
      <c r="E922" s="8" t="s">
        <v>1986</v>
      </c>
      <c r="F922" s="8" t="s">
        <v>493</v>
      </c>
      <c r="G922" s="8" t="s">
        <v>299</v>
      </c>
      <c r="H922" s="8"/>
      <c r="I922" s="14" t="s">
        <v>1642</v>
      </c>
      <c r="J922" s="15"/>
      <c r="K922" s="8" t="s">
        <v>1976</v>
      </c>
      <c r="L922" s="8"/>
      <c r="M922" s="6" t="s">
        <v>1643</v>
      </c>
      <c r="N922" s="6" t="s">
        <v>1644</v>
      </c>
      <c r="O922" s="7">
        <f>SUMIFS('05_상품별배치367'!$K$7:$K$373,'05_상품별배치367'!$E$7:$E$373,A922,'05_상품별배치367'!$H$7:$H$373,"본진")</f>
        <v>0</v>
      </c>
      <c r="P922" s="7">
        <f>SUMIFS('05_상품별배치367'!$K$7:$K$373,'05_상품별배치367'!$E$7:$E$373,A922,'05_상품별배치367'!$H$7:$H$373,"추가 진열")</f>
        <v>0</v>
      </c>
      <c r="Q922" s="7">
        <f>O922+P922</f>
        <v>0</v>
      </c>
      <c r="R922" s="7">
        <v>1</v>
      </c>
      <c r="S922" s="6" t="s">
        <v>3084</v>
      </c>
      <c r="T922" s="6" t="s">
        <v>1637</v>
      </c>
      <c r="U922" s="6"/>
      <c r="V922" s="16"/>
      <c r="W922" s="16"/>
      <c r="X922" s="16"/>
      <c r="Y922" s="6" t="s">
        <v>1627</v>
      </c>
      <c r="Z922" s="15"/>
      <c r="AA922" s="15" t="s">
        <v>1628</v>
      </c>
    </row>
    <row r="923" spans="1:27" ht="33" customHeight="1">
      <c r="A923" s="6" t="s">
        <v>3739</v>
      </c>
      <c r="B923" s="7">
        <v>887</v>
      </c>
      <c r="C923" s="6" t="s">
        <v>3740</v>
      </c>
      <c r="D923" s="6" t="s">
        <v>2856</v>
      </c>
      <c r="E923" s="6" t="s">
        <v>2134</v>
      </c>
      <c r="F923" s="6" t="s">
        <v>2933</v>
      </c>
      <c r="G923" s="6" t="s">
        <v>1668</v>
      </c>
      <c r="H923" s="6"/>
      <c r="I923" s="14" t="s">
        <v>1807</v>
      </c>
      <c r="J923" s="15"/>
      <c r="K923" s="6" t="s">
        <v>1976</v>
      </c>
      <c r="L923" s="6" t="s">
        <v>2032</v>
      </c>
      <c r="M923" s="6" t="s">
        <v>1809</v>
      </c>
      <c r="N923" s="6" t="s">
        <v>1644</v>
      </c>
      <c r="O923" s="7">
        <f>SUMIFS('05_상품별배치367'!$K$7:$K$373,'05_상품별배치367'!$E$7:$E$373,A923,'05_상품별배치367'!$H$7:$H$373,"본진")</f>
        <v>0</v>
      </c>
      <c r="P923" s="7">
        <f>SUMIFS('05_상품별배치367'!$K$7:$K$373,'05_상품별배치367'!$E$7:$E$373,A923,'05_상품별배치367'!$H$7:$H$373,"추가 진열")</f>
        <v>0</v>
      </c>
      <c r="Q923" s="7">
        <f>O923+P923</f>
        <v>0</v>
      </c>
      <c r="R923" s="7">
        <v>0</v>
      </c>
      <c r="S923" s="6" t="s">
        <v>1810</v>
      </c>
      <c r="T923" s="6" t="s">
        <v>1637</v>
      </c>
      <c r="U923" s="6"/>
      <c r="V923" s="16"/>
      <c r="W923" s="16"/>
      <c r="X923" s="16"/>
      <c r="Y923" s="6" t="s">
        <v>1627</v>
      </c>
      <c r="Z923" s="15"/>
      <c r="AA923" s="15" t="s">
        <v>1628</v>
      </c>
    </row>
    <row r="924" spans="1:27" ht="33" customHeight="1">
      <c r="A924" s="6" t="s">
        <v>3735</v>
      </c>
      <c r="B924" s="7">
        <v>885</v>
      </c>
      <c r="C924" s="6" t="s">
        <v>3736</v>
      </c>
      <c r="D924" s="6" t="s">
        <v>3164</v>
      </c>
      <c r="E924" s="6" t="s">
        <v>2134</v>
      </c>
      <c r="F924" s="6" t="s">
        <v>481</v>
      </c>
      <c r="G924" s="6" t="s">
        <v>193</v>
      </c>
      <c r="H924" s="6"/>
      <c r="I924" s="14" t="s">
        <v>1642</v>
      </c>
      <c r="J924" s="15"/>
      <c r="K924" s="6" t="s">
        <v>1976</v>
      </c>
      <c r="L924" s="6"/>
      <c r="M924" s="6" t="s">
        <v>1643</v>
      </c>
      <c r="N924" s="6" t="s">
        <v>1644</v>
      </c>
      <c r="O924" s="7">
        <f>SUMIFS('05_상품별배치367'!$K$7:$K$373,'05_상품별배치367'!$E$7:$E$373,A924,'05_상품별배치367'!$H$7:$H$373,"본진")</f>
        <v>0</v>
      </c>
      <c r="P924" s="7">
        <f>SUMIFS('05_상품별배치367'!$K$7:$K$373,'05_상품별배치367'!$E$7:$E$373,A924,'05_상품별배치367'!$H$7:$H$373,"추가 진열")</f>
        <v>0</v>
      </c>
      <c r="Q924" s="7">
        <f>O924+P924</f>
        <v>0</v>
      </c>
      <c r="R924" s="7">
        <v>1</v>
      </c>
      <c r="S924" s="6" t="s">
        <v>3000</v>
      </c>
      <c r="T924" s="6" t="s">
        <v>1637</v>
      </c>
      <c r="U924" s="6"/>
      <c r="V924" s="16"/>
      <c r="W924" s="16"/>
      <c r="X924" s="16"/>
      <c r="Y924" s="6" t="s">
        <v>1627</v>
      </c>
      <c r="Z924" s="15"/>
      <c r="AA924" s="15" t="s">
        <v>1628</v>
      </c>
    </row>
    <row r="925" spans="1:27" ht="33" customHeight="1">
      <c r="A925" s="8" t="s">
        <v>3737</v>
      </c>
      <c r="B925" s="9">
        <v>886</v>
      </c>
      <c r="C925" s="8" t="s">
        <v>3738</v>
      </c>
      <c r="D925" s="8" t="s">
        <v>3338</v>
      </c>
      <c r="E925" s="8" t="s">
        <v>2134</v>
      </c>
      <c r="F925" s="8" t="s">
        <v>162</v>
      </c>
      <c r="G925" s="8" t="s">
        <v>404</v>
      </c>
      <c r="H925" s="8"/>
      <c r="I925" s="14" t="s">
        <v>1642</v>
      </c>
      <c r="J925" s="15"/>
      <c r="K925" s="8" t="s">
        <v>1976</v>
      </c>
      <c r="L925" s="8"/>
      <c r="M925" s="6" t="s">
        <v>1643</v>
      </c>
      <c r="N925" s="6" t="s">
        <v>1644</v>
      </c>
      <c r="O925" s="7">
        <f>SUMIFS('05_상품별배치367'!$K$7:$K$373,'05_상품별배치367'!$E$7:$E$373,A925,'05_상품별배치367'!$H$7:$H$373,"본진")</f>
        <v>0</v>
      </c>
      <c r="P925" s="7">
        <f>SUMIFS('05_상품별배치367'!$K$7:$K$373,'05_상품별배치367'!$E$7:$E$373,A925,'05_상품별배치367'!$H$7:$H$373,"추가 진열")</f>
        <v>0</v>
      </c>
      <c r="Q925" s="7">
        <f>O925+P925</f>
        <v>0</v>
      </c>
      <c r="R925" s="7">
        <v>1</v>
      </c>
      <c r="S925" s="6" t="s">
        <v>2996</v>
      </c>
      <c r="T925" s="6" t="s">
        <v>1637</v>
      </c>
      <c r="U925" s="6"/>
      <c r="V925" s="16"/>
      <c r="W925" s="16"/>
      <c r="X925" s="16"/>
      <c r="Y925" s="6" t="s">
        <v>1627</v>
      </c>
      <c r="Z925" s="15"/>
      <c r="AA925" s="15" t="s">
        <v>1628</v>
      </c>
    </row>
    <row r="926" spans="1:27" ht="33" customHeight="1">
      <c r="A926" s="6" t="s">
        <v>4542</v>
      </c>
      <c r="B926" s="7">
        <v>1259</v>
      </c>
      <c r="C926" s="6" t="s">
        <v>4543</v>
      </c>
      <c r="D926" s="6" t="s">
        <v>2133</v>
      </c>
      <c r="E926" s="6" t="s">
        <v>2134</v>
      </c>
      <c r="F926" s="6" t="s">
        <v>156</v>
      </c>
      <c r="G926" s="6" t="s">
        <v>3239</v>
      </c>
      <c r="H926" s="6"/>
      <c r="I926" s="14" t="s">
        <v>1642</v>
      </c>
      <c r="J926" s="15"/>
      <c r="K926" s="6" t="s">
        <v>1976</v>
      </c>
      <c r="L926" s="6"/>
      <c r="M926" s="6" t="s">
        <v>1643</v>
      </c>
      <c r="N926" s="6" t="s">
        <v>1644</v>
      </c>
      <c r="O926" s="7">
        <f>SUMIFS('05_상품별배치367'!$K$7:$K$373,'05_상품별배치367'!$E$7:$E$373,A926,'05_상품별배치367'!$H$7:$H$373,"본진")</f>
        <v>0</v>
      </c>
      <c r="P926" s="7">
        <f>SUMIFS('05_상품별배치367'!$K$7:$K$373,'05_상품별배치367'!$E$7:$E$373,A926,'05_상품별배치367'!$H$7:$H$373,"추가 진열")</f>
        <v>0</v>
      </c>
      <c r="Q926" s="7">
        <f>O926+P926</f>
        <v>0</v>
      </c>
      <c r="R926" s="7">
        <v>1</v>
      </c>
      <c r="S926" s="6" t="s">
        <v>3240</v>
      </c>
      <c r="T926" s="6" t="s">
        <v>1637</v>
      </c>
      <c r="U926" s="6"/>
      <c r="V926" s="16"/>
      <c r="W926" s="16"/>
      <c r="X926" s="16"/>
      <c r="Y926" s="6" t="s">
        <v>1627</v>
      </c>
      <c r="Z926" s="15"/>
      <c r="AA926" s="15" t="s">
        <v>1628</v>
      </c>
    </row>
    <row r="927" spans="1:27" ht="33" customHeight="1">
      <c r="A927" s="8" t="s">
        <v>5865</v>
      </c>
      <c r="B927" s="9">
        <v>1888</v>
      </c>
      <c r="C927" s="8" t="s">
        <v>5866</v>
      </c>
      <c r="D927" s="8" t="s">
        <v>1724</v>
      </c>
      <c r="E927" s="8" t="s">
        <v>1632</v>
      </c>
      <c r="F927" s="8" t="s">
        <v>1020</v>
      </c>
      <c r="G927" s="8" t="s">
        <v>254</v>
      </c>
      <c r="H927" s="8" t="s">
        <v>1019</v>
      </c>
      <c r="I927" s="14" t="s">
        <v>1621</v>
      </c>
      <c r="J927" s="15"/>
      <c r="K927" s="8" t="s">
        <v>1634</v>
      </c>
      <c r="L927" s="8" t="s">
        <v>3828</v>
      </c>
      <c r="M927" s="6" t="s">
        <v>1623</v>
      </c>
      <c r="N927" s="6" t="s">
        <v>1624</v>
      </c>
      <c r="O927" s="7">
        <f>SUMIFS('05_상품별배치367'!$K$7:$K$373,'05_상품별배치367'!$E$7:$E$373,A927,'05_상품별배치367'!$H$7:$H$373,"본진")</f>
        <v>1</v>
      </c>
      <c r="P927" s="7">
        <f>SUMIFS('05_상품별배치367'!$K$7:$K$373,'05_상품별배치367'!$E$7:$E$373,A927,'05_상품별배치367'!$H$7:$H$373,"추가 진열")</f>
        <v>0</v>
      </c>
      <c r="Q927" s="7">
        <f>O927+P927</f>
        <v>1</v>
      </c>
      <c r="R927" s="7">
        <v>1</v>
      </c>
      <c r="S927" s="6" t="s">
        <v>1625</v>
      </c>
      <c r="T927" s="6" t="s">
        <v>1637</v>
      </c>
      <c r="U927" s="6"/>
      <c r="V927" s="16"/>
      <c r="W927" s="16"/>
      <c r="X927" s="16"/>
      <c r="Y927" s="6" t="s">
        <v>1627</v>
      </c>
      <c r="Z927" s="15"/>
      <c r="AA927" s="15" t="s">
        <v>1628</v>
      </c>
    </row>
    <row r="928" spans="1:27" ht="33" customHeight="1">
      <c r="A928" s="8" t="s">
        <v>1356</v>
      </c>
      <c r="B928" s="9">
        <v>2288</v>
      </c>
      <c r="C928" s="8" t="s">
        <v>1355</v>
      </c>
      <c r="D928" s="8" t="s">
        <v>6760</v>
      </c>
      <c r="E928" s="8" t="s">
        <v>1814</v>
      </c>
      <c r="F928" s="8" t="s">
        <v>514</v>
      </c>
      <c r="G928" s="8" t="s">
        <v>423</v>
      </c>
      <c r="H928" s="8" t="s">
        <v>1354</v>
      </c>
      <c r="I928" s="14" t="s">
        <v>1633</v>
      </c>
      <c r="J928" s="15"/>
      <c r="K928" s="8" t="s">
        <v>1976</v>
      </c>
      <c r="L928" s="8"/>
      <c r="M928" s="6" t="s">
        <v>1635</v>
      </c>
      <c r="N928" s="6" t="s">
        <v>1624</v>
      </c>
      <c r="O928" s="7">
        <f>SUMIFS('05_상품별배치367'!$K$7:$K$373,'05_상품별배치367'!$E$7:$E$373,A928,'05_상품별배치367'!$H$7:$H$373,"본진")</f>
        <v>1</v>
      </c>
      <c r="P928" s="7">
        <f>SUMIFS('05_상품별배치367'!$K$7:$K$373,'05_상품별배치367'!$E$7:$E$373,A928,'05_상품별배치367'!$H$7:$H$373,"추가 진열")</f>
        <v>0</v>
      </c>
      <c r="Q928" s="7">
        <f>O928+P928</f>
        <v>1</v>
      </c>
      <c r="R928" s="7">
        <v>1</v>
      </c>
      <c r="S928" s="6" t="s">
        <v>1636</v>
      </c>
      <c r="T928" s="6" t="s">
        <v>6737</v>
      </c>
      <c r="U928" s="6"/>
      <c r="V928" s="16"/>
      <c r="W928" s="16"/>
      <c r="X928" s="16"/>
      <c r="Y928" s="6" t="s">
        <v>1627</v>
      </c>
      <c r="Z928" s="15"/>
      <c r="AA928" s="15" t="s">
        <v>1628</v>
      </c>
    </row>
    <row r="929" spans="1:27" ht="33" customHeight="1">
      <c r="A929" s="8" t="s">
        <v>6772</v>
      </c>
      <c r="B929" s="9">
        <v>2294</v>
      </c>
      <c r="C929" s="8" t="s">
        <v>6773</v>
      </c>
      <c r="D929" s="8" t="s">
        <v>2856</v>
      </c>
      <c r="E929" s="8" t="s">
        <v>2134</v>
      </c>
      <c r="F929" s="8" t="s">
        <v>2933</v>
      </c>
      <c r="G929" s="8" t="s">
        <v>1668</v>
      </c>
      <c r="H929" s="8"/>
      <c r="I929" s="14" t="s">
        <v>1807</v>
      </c>
      <c r="J929" s="15"/>
      <c r="K929" s="8" t="s">
        <v>1976</v>
      </c>
      <c r="L929" s="8" t="s">
        <v>2032</v>
      </c>
      <c r="M929" s="6" t="s">
        <v>1809</v>
      </c>
      <c r="N929" s="6" t="s">
        <v>1624</v>
      </c>
      <c r="O929" s="7">
        <f>SUMIFS('05_상품별배치367'!$K$7:$K$373,'05_상품별배치367'!$E$7:$E$373,A929,'05_상품별배치367'!$H$7:$H$373,"본진")</f>
        <v>0</v>
      </c>
      <c r="P929" s="7">
        <f>SUMIFS('05_상품별배치367'!$K$7:$K$373,'05_상품별배치367'!$E$7:$E$373,A929,'05_상품별배치367'!$H$7:$H$373,"추가 진열")</f>
        <v>0</v>
      </c>
      <c r="Q929" s="7">
        <f>O929+P929</f>
        <v>0</v>
      </c>
      <c r="R929" s="7">
        <v>0</v>
      </c>
      <c r="S929" s="6" t="s">
        <v>1810</v>
      </c>
      <c r="T929" s="6" t="s">
        <v>6737</v>
      </c>
      <c r="U929" s="6"/>
      <c r="V929" s="16"/>
      <c r="W929" s="16"/>
      <c r="X929" s="16"/>
      <c r="Y929" s="6" t="s">
        <v>1627</v>
      </c>
      <c r="Z929" s="15"/>
      <c r="AA929" s="15" t="s">
        <v>1628</v>
      </c>
    </row>
    <row r="930" spans="1:27" ht="33" customHeight="1">
      <c r="A930" s="6" t="s">
        <v>6774</v>
      </c>
      <c r="B930" s="7">
        <v>2295</v>
      </c>
      <c r="C930" s="6" t="s">
        <v>6775</v>
      </c>
      <c r="D930" s="6" t="s">
        <v>1662</v>
      </c>
      <c r="E930" s="6" t="s">
        <v>1986</v>
      </c>
      <c r="F930" s="6" t="s">
        <v>1276</v>
      </c>
      <c r="G930" s="6" t="s">
        <v>1987</v>
      </c>
      <c r="H930" s="6"/>
      <c r="I930" s="14" t="s">
        <v>1642</v>
      </c>
      <c r="J930" s="15"/>
      <c r="K930" s="6" t="s">
        <v>1976</v>
      </c>
      <c r="L930" s="6"/>
      <c r="M930" s="6" t="s">
        <v>1643</v>
      </c>
      <c r="N930" s="6" t="s">
        <v>1644</v>
      </c>
      <c r="O930" s="7">
        <f>SUMIFS('05_상품별배치367'!$K$7:$K$373,'05_상품별배치367'!$E$7:$E$373,A930,'05_상품별배치367'!$H$7:$H$373,"본진")</f>
        <v>0</v>
      </c>
      <c r="P930" s="7">
        <f>SUMIFS('05_상품별배치367'!$K$7:$K$373,'05_상품별배치367'!$E$7:$E$373,A930,'05_상품별배치367'!$H$7:$H$373,"추가 진열")</f>
        <v>0</v>
      </c>
      <c r="Q930" s="7">
        <f>O930+P930</f>
        <v>0</v>
      </c>
      <c r="R930" s="7">
        <v>1</v>
      </c>
      <c r="S930" s="6" t="s">
        <v>1988</v>
      </c>
      <c r="T930" s="6" t="s">
        <v>6737</v>
      </c>
      <c r="U930" s="6"/>
      <c r="V930" s="16"/>
      <c r="W930" s="16"/>
      <c r="X930" s="16"/>
      <c r="Y930" s="6" t="s">
        <v>1627</v>
      </c>
      <c r="Z930" s="15"/>
      <c r="AA930" s="15" t="s">
        <v>1628</v>
      </c>
    </row>
    <row r="931" spans="1:27" ht="33" customHeight="1">
      <c r="A931" s="8" t="s">
        <v>6784</v>
      </c>
      <c r="B931" s="9">
        <v>2300</v>
      </c>
      <c r="C931" s="8" t="s">
        <v>6785</v>
      </c>
      <c r="D931" s="8" t="s">
        <v>2572</v>
      </c>
      <c r="E931" s="8" t="s">
        <v>1986</v>
      </c>
      <c r="F931" s="8" t="s">
        <v>493</v>
      </c>
      <c r="G931" s="8" t="s">
        <v>299</v>
      </c>
      <c r="H931" s="8"/>
      <c r="I931" s="14" t="s">
        <v>1642</v>
      </c>
      <c r="J931" s="15"/>
      <c r="K931" s="8" t="s">
        <v>1976</v>
      </c>
      <c r="L931" s="8"/>
      <c r="M931" s="6" t="s">
        <v>1643</v>
      </c>
      <c r="N931" s="6" t="s">
        <v>1644</v>
      </c>
      <c r="O931" s="7">
        <f>SUMIFS('05_상품별배치367'!$K$7:$K$373,'05_상품별배치367'!$E$7:$E$373,A931,'05_상품별배치367'!$H$7:$H$373,"본진")</f>
        <v>0</v>
      </c>
      <c r="P931" s="7">
        <f>SUMIFS('05_상품별배치367'!$K$7:$K$373,'05_상품별배치367'!$E$7:$E$373,A931,'05_상품별배치367'!$H$7:$H$373,"추가 진열")</f>
        <v>0</v>
      </c>
      <c r="Q931" s="7">
        <f>O931+P931</f>
        <v>0</v>
      </c>
      <c r="R931" s="7">
        <v>1</v>
      </c>
      <c r="S931" s="6" t="s">
        <v>3084</v>
      </c>
      <c r="T931" s="6" t="s">
        <v>6737</v>
      </c>
      <c r="U931" s="6"/>
      <c r="V931" s="16"/>
      <c r="W931" s="16"/>
      <c r="X931" s="16"/>
      <c r="Y931" s="6" t="s">
        <v>1627</v>
      </c>
      <c r="Z931" s="15"/>
      <c r="AA931" s="15" t="s">
        <v>1628</v>
      </c>
    </row>
    <row r="932" spans="1:27" ht="33" customHeight="1">
      <c r="A932" s="8" t="s">
        <v>6780</v>
      </c>
      <c r="B932" s="9">
        <v>2298</v>
      </c>
      <c r="C932" s="8" t="s">
        <v>6781</v>
      </c>
      <c r="D932" s="8" t="s">
        <v>2845</v>
      </c>
      <c r="E932" s="8" t="s">
        <v>1986</v>
      </c>
      <c r="F932" s="8" t="s">
        <v>913</v>
      </c>
      <c r="G932" s="8" t="s">
        <v>201</v>
      </c>
      <c r="H932" s="8"/>
      <c r="I932" s="14" t="s">
        <v>1642</v>
      </c>
      <c r="J932" s="15"/>
      <c r="K932" s="8" t="s">
        <v>1976</v>
      </c>
      <c r="L932" s="8"/>
      <c r="M932" s="6" t="s">
        <v>1643</v>
      </c>
      <c r="N932" s="6" t="s">
        <v>1644</v>
      </c>
      <c r="O932" s="7">
        <f>SUMIFS('05_상품별배치367'!$K$7:$K$373,'05_상품별배치367'!$E$7:$E$373,A932,'05_상품별배치367'!$H$7:$H$373,"본진")</f>
        <v>0</v>
      </c>
      <c r="P932" s="7">
        <f>SUMIFS('05_상품별배치367'!$K$7:$K$373,'05_상품별배치367'!$E$7:$E$373,A932,'05_상품별배치367'!$H$7:$H$373,"추가 진열")</f>
        <v>0</v>
      </c>
      <c r="Q932" s="7">
        <f>O932+P932</f>
        <v>0</v>
      </c>
      <c r="R932" s="7">
        <v>1</v>
      </c>
      <c r="S932" s="6" t="s">
        <v>2907</v>
      </c>
      <c r="T932" s="6" t="s">
        <v>6737</v>
      </c>
      <c r="U932" s="6"/>
      <c r="V932" s="16"/>
      <c r="W932" s="16"/>
      <c r="X932" s="16"/>
      <c r="Y932" s="6" t="s">
        <v>1627</v>
      </c>
      <c r="Z932" s="15"/>
      <c r="AA932" s="15" t="s">
        <v>1628</v>
      </c>
    </row>
    <row r="933" spans="1:27" ht="33" customHeight="1">
      <c r="A933" s="6" t="s">
        <v>6778</v>
      </c>
      <c r="B933" s="7">
        <v>2297</v>
      </c>
      <c r="C933" s="6" t="s">
        <v>6779</v>
      </c>
      <c r="D933" s="6" t="s">
        <v>2845</v>
      </c>
      <c r="E933" s="6" t="s">
        <v>2134</v>
      </c>
      <c r="F933" s="6" t="s">
        <v>162</v>
      </c>
      <c r="G933" s="6" t="s">
        <v>404</v>
      </c>
      <c r="H933" s="6"/>
      <c r="I933" s="14" t="s">
        <v>1642</v>
      </c>
      <c r="J933" s="15"/>
      <c r="K933" s="6" t="s">
        <v>1976</v>
      </c>
      <c r="L933" s="6"/>
      <c r="M933" s="6" t="s">
        <v>1643</v>
      </c>
      <c r="N933" s="6" t="s">
        <v>1644</v>
      </c>
      <c r="O933" s="7">
        <f>SUMIFS('05_상품별배치367'!$K$7:$K$373,'05_상품별배치367'!$E$7:$E$373,A933,'05_상품별배치367'!$H$7:$H$373,"본진")</f>
        <v>0</v>
      </c>
      <c r="P933" s="7">
        <f>SUMIFS('05_상품별배치367'!$K$7:$K$373,'05_상품별배치367'!$E$7:$E$373,A933,'05_상품별배치367'!$H$7:$H$373,"추가 진열")</f>
        <v>0</v>
      </c>
      <c r="Q933" s="7">
        <f>O933+P933</f>
        <v>0</v>
      </c>
      <c r="R933" s="7">
        <v>1</v>
      </c>
      <c r="S933" s="6" t="s">
        <v>2996</v>
      </c>
      <c r="T933" s="6" t="s">
        <v>6737</v>
      </c>
      <c r="U933" s="6"/>
      <c r="V933" s="16"/>
      <c r="W933" s="16"/>
      <c r="X933" s="16"/>
      <c r="Y933" s="6" t="s">
        <v>1627</v>
      </c>
      <c r="Z933" s="15"/>
      <c r="AA933" s="15" t="s">
        <v>1628</v>
      </c>
    </row>
    <row r="934" spans="1:27" ht="33" customHeight="1">
      <c r="A934" s="8" t="s">
        <v>6776</v>
      </c>
      <c r="B934" s="9">
        <v>2296</v>
      </c>
      <c r="C934" s="8" t="s">
        <v>6777</v>
      </c>
      <c r="D934" s="8" t="s">
        <v>2856</v>
      </c>
      <c r="E934" s="8" t="s">
        <v>2134</v>
      </c>
      <c r="F934" s="8" t="s">
        <v>162</v>
      </c>
      <c r="G934" s="8" t="s">
        <v>404</v>
      </c>
      <c r="H934" s="8"/>
      <c r="I934" s="14" t="s">
        <v>1642</v>
      </c>
      <c r="J934" s="15"/>
      <c r="K934" s="8" t="s">
        <v>1976</v>
      </c>
      <c r="L934" s="8"/>
      <c r="M934" s="6" t="s">
        <v>1643</v>
      </c>
      <c r="N934" s="6" t="s">
        <v>1644</v>
      </c>
      <c r="O934" s="7">
        <f>SUMIFS('05_상품별배치367'!$K$7:$K$373,'05_상품별배치367'!$E$7:$E$373,A934,'05_상품별배치367'!$H$7:$H$373,"본진")</f>
        <v>0</v>
      </c>
      <c r="P934" s="7">
        <f>SUMIFS('05_상품별배치367'!$K$7:$K$373,'05_상품별배치367'!$E$7:$E$373,A934,'05_상품별배치367'!$H$7:$H$373,"추가 진열")</f>
        <v>0</v>
      </c>
      <c r="Q934" s="7">
        <f>O934+P934</f>
        <v>0</v>
      </c>
      <c r="R934" s="7">
        <v>1</v>
      </c>
      <c r="S934" s="6" t="s">
        <v>2996</v>
      </c>
      <c r="T934" s="6" t="s">
        <v>6737</v>
      </c>
      <c r="U934" s="6"/>
      <c r="V934" s="16"/>
      <c r="W934" s="16"/>
      <c r="X934" s="16"/>
      <c r="Y934" s="6" t="s">
        <v>1627</v>
      </c>
      <c r="Z934" s="15"/>
      <c r="AA934" s="15" t="s">
        <v>1628</v>
      </c>
    </row>
    <row r="935" spans="1:27" ht="33" customHeight="1">
      <c r="A935" s="6" t="s">
        <v>6793</v>
      </c>
      <c r="B935" s="7">
        <v>2303</v>
      </c>
      <c r="C935" s="6" t="s">
        <v>6794</v>
      </c>
      <c r="D935" s="6" t="s">
        <v>6792</v>
      </c>
      <c r="E935" s="6" t="s">
        <v>2134</v>
      </c>
      <c r="F935" s="6" t="s">
        <v>162</v>
      </c>
      <c r="G935" s="6" t="s">
        <v>404</v>
      </c>
      <c r="H935" s="6"/>
      <c r="I935" s="14" t="s">
        <v>1642</v>
      </c>
      <c r="J935" s="15"/>
      <c r="K935" s="6" t="s">
        <v>1976</v>
      </c>
      <c r="L935" s="6"/>
      <c r="M935" s="6" t="s">
        <v>1643</v>
      </c>
      <c r="N935" s="6" t="s">
        <v>1644</v>
      </c>
      <c r="O935" s="7">
        <f>SUMIFS('05_상품별배치367'!$K$7:$K$373,'05_상품별배치367'!$E$7:$E$373,A935,'05_상품별배치367'!$H$7:$H$373,"본진")</f>
        <v>0</v>
      </c>
      <c r="P935" s="7">
        <f>SUMIFS('05_상품별배치367'!$K$7:$K$373,'05_상품별배치367'!$E$7:$E$373,A935,'05_상품별배치367'!$H$7:$H$373,"추가 진열")</f>
        <v>0</v>
      </c>
      <c r="Q935" s="7">
        <f>O935+P935</f>
        <v>0</v>
      </c>
      <c r="R935" s="7">
        <v>1</v>
      </c>
      <c r="S935" s="6" t="s">
        <v>2996</v>
      </c>
      <c r="T935" s="6" t="s">
        <v>6737</v>
      </c>
      <c r="U935" s="6"/>
      <c r="V935" s="16"/>
      <c r="W935" s="16"/>
      <c r="X935" s="16"/>
      <c r="Y935" s="6" t="s">
        <v>1655</v>
      </c>
      <c r="Z935" s="15"/>
      <c r="AA935" s="15" t="s">
        <v>1628</v>
      </c>
    </row>
    <row r="936" spans="1:27" ht="33" customHeight="1">
      <c r="A936" s="6" t="s">
        <v>6782</v>
      </c>
      <c r="B936" s="7">
        <v>2299</v>
      </c>
      <c r="C936" s="6" t="s">
        <v>6783</v>
      </c>
      <c r="D936" s="6" t="s">
        <v>2133</v>
      </c>
      <c r="E936" s="6" t="s">
        <v>2134</v>
      </c>
      <c r="F936" s="6" t="s">
        <v>162</v>
      </c>
      <c r="G936" s="6" t="s">
        <v>404</v>
      </c>
      <c r="H936" s="6"/>
      <c r="I936" s="14" t="s">
        <v>1642</v>
      </c>
      <c r="J936" s="15"/>
      <c r="K936" s="6" t="s">
        <v>1976</v>
      </c>
      <c r="L936" s="6"/>
      <c r="M936" s="6" t="s">
        <v>1643</v>
      </c>
      <c r="N936" s="6" t="s">
        <v>1644</v>
      </c>
      <c r="O936" s="7">
        <f>SUMIFS('05_상품별배치367'!$K$7:$K$373,'05_상품별배치367'!$E$7:$E$373,A936,'05_상품별배치367'!$H$7:$H$373,"본진")</f>
        <v>0</v>
      </c>
      <c r="P936" s="7">
        <f>SUMIFS('05_상품별배치367'!$K$7:$K$373,'05_상품별배치367'!$E$7:$E$373,A936,'05_상품별배치367'!$H$7:$H$373,"추가 진열")</f>
        <v>0</v>
      </c>
      <c r="Q936" s="7">
        <f>O936+P936</f>
        <v>0</v>
      </c>
      <c r="R936" s="7">
        <v>1</v>
      </c>
      <c r="S936" s="6" t="s">
        <v>2996</v>
      </c>
      <c r="T936" s="6" t="s">
        <v>6737</v>
      </c>
      <c r="U936" s="6"/>
      <c r="V936" s="16"/>
      <c r="W936" s="16"/>
      <c r="X936" s="16"/>
      <c r="Y936" s="6" t="s">
        <v>1627</v>
      </c>
      <c r="Z936" s="15"/>
      <c r="AA936" s="15" t="s">
        <v>1628</v>
      </c>
    </row>
    <row r="937" spans="1:27" ht="33" customHeight="1">
      <c r="A937" s="6" t="s">
        <v>6765</v>
      </c>
      <c r="B937" s="7">
        <v>2291</v>
      </c>
      <c r="C937" s="6" t="s">
        <v>6766</v>
      </c>
      <c r="D937" s="6" t="s">
        <v>1851</v>
      </c>
      <c r="E937" s="6" t="s">
        <v>2134</v>
      </c>
      <c r="F937" s="6" t="s">
        <v>2933</v>
      </c>
      <c r="G937" s="6" t="s">
        <v>1668</v>
      </c>
      <c r="H937" s="6"/>
      <c r="I937" s="14" t="s">
        <v>1807</v>
      </c>
      <c r="J937" s="15"/>
      <c r="K937" s="6" t="s">
        <v>1976</v>
      </c>
      <c r="L937" s="6" t="s">
        <v>2032</v>
      </c>
      <c r="M937" s="6" t="s">
        <v>1809</v>
      </c>
      <c r="N937" s="6" t="s">
        <v>1624</v>
      </c>
      <c r="O937" s="7">
        <f>SUMIFS('05_상품별배치367'!$K$7:$K$373,'05_상품별배치367'!$E$7:$E$373,A937,'05_상품별배치367'!$H$7:$H$373,"본진")</f>
        <v>0</v>
      </c>
      <c r="P937" s="7">
        <f>SUMIFS('05_상품별배치367'!$K$7:$K$373,'05_상품별배치367'!$E$7:$E$373,A937,'05_상품별배치367'!$H$7:$H$373,"추가 진열")</f>
        <v>0</v>
      </c>
      <c r="Q937" s="7">
        <f>O937+P937</f>
        <v>0</v>
      </c>
      <c r="R937" s="7">
        <v>0</v>
      </c>
      <c r="S937" s="6" t="s">
        <v>1810</v>
      </c>
      <c r="T937" s="6" t="s">
        <v>6737</v>
      </c>
      <c r="U937" s="6"/>
      <c r="V937" s="16"/>
      <c r="W937" s="16"/>
      <c r="X937" s="16"/>
      <c r="Y937" s="6" t="s">
        <v>1627</v>
      </c>
      <c r="Z937" s="15"/>
      <c r="AA937" s="15" t="s">
        <v>1628</v>
      </c>
    </row>
    <row r="938" spans="1:27" ht="33" customHeight="1">
      <c r="A938" s="8" t="s">
        <v>6767</v>
      </c>
      <c r="B938" s="9">
        <v>2292</v>
      </c>
      <c r="C938" s="8" t="s">
        <v>6768</v>
      </c>
      <c r="D938" s="8" t="s">
        <v>2133</v>
      </c>
      <c r="E938" s="8" t="s">
        <v>1986</v>
      </c>
      <c r="F938" s="8" t="s">
        <v>493</v>
      </c>
      <c r="G938" s="8" t="s">
        <v>299</v>
      </c>
      <c r="H938" s="8"/>
      <c r="I938" s="14" t="s">
        <v>1642</v>
      </c>
      <c r="J938" s="15"/>
      <c r="K938" s="8" t="s">
        <v>1976</v>
      </c>
      <c r="L938" s="8"/>
      <c r="M938" s="6" t="s">
        <v>1643</v>
      </c>
      <c r="N938" s="6" t="s">
        <v>1644</v>
      </c>
      <c r="O938" s="7">
        <f>SUMIFS('05_상품별배치367'!$K$7:$K$373,'05_상품별배치367'!$E$7:$E$373,A938,'05_상품별배치367'!$H$7:$H$373,"본진")</f>
        <v>0</v>
      </c>
      <c r="P938" s="7">
        <f>SUMIFS('05_상품별배치367'!$K$7:$K$373,'05_상품별배치367'!$E$7:$E$373,A938,'05_상품별배치367'!$H$7:$H$373,"추가 진열")</f>
        <v>0</v>
      </c>
      <c r="Q938" s="7">
        <f>O938+P938</f>
        <v>0</v>
      </c>
      <c r="R938" s="7">
        <v>1</v>
      </c>
      <c r="S938" s="6" t="s">
        <v>3084</v>
      </c>
      <c r="T938" s="6" t="s">
        <v>6737</v>
      </c>
      <c r="U938" s="6"/>
      <c r="V938" s="16"/>
      <c r="W938" s="16"/>
      <c r="X938" s="16"/>
      <c r="Y938" s="6" t="s">
        <v>1627</v>
      </c>
      <c r="Z938" s="15"/>
      <c r="AA938" s="15" t="s">
        <v>1628</v>
      </c>
    </row>
    <row r="939" spans="1:27" ht="33" customHeight="1">
      <c r="A939" s="8" t="s">
        <v>6756</v>
      </c>
      <c r="B939" s="9">
        <v>2286</v>
      </c>
      <c r="C939" s="8" t="s">
        <v>6757</v>
      </c>
      <c r="D939" s="8" t="s">
        <v>3042</v>
      </c>
      <c r="E939" s="8" t="s">
        <v>1814</v>
      </c>
      <c r="F939" s="8" t="s">
        <v>1376</v>
      </c>
      <c r="G939" s="8" t="s">
        <v>431</v>
      </c>
      <c r="H939" s="8" t="s">
        <v>1375</v>
      </c>
      <c r="I939" s="14" t="s">
        <v>1633</v>
      </c>
      <c r="J939" s="15"/>
      <c r="K939" s="8" t="s">
        <v>1976</v>
      </c>
      <c r="L939" s="8"/>
      <c r="M939" s="6" t="s">
        <v>1635</v>
      </c>
      <c r="N939" s="6" t="s">
        <v>1624</v>
      </c>
      <c r="O939" s="7">
        <f>SUMIFS('05_상품별배치367'!$K$7:$K$373,'05_상품별배치367'!$E$7:$E$373,A939,'05_상품별배치367'!$H$7:$H$373,"본진")</f>
        <v>1</v>
      </c>
      <c r="P939" s="7">
        <f>SUMIFS('05_상품별배치367'!$K$7:$K$373,'05_상품별배치367'!$E$7:$E$373,A939,'05_상품별배치367'!$H$7:$H$373,"추가 진열")</f>
        <v>0</v>
      </c>
      <c r="Q939" s="7">
        <f>O939+P939</f>
        <v>1</v>
      </c>
      <c r="R939" s="7">
        <v>1</v>
      </c>
      <c r="S939" s="6" t="s">
        <v>1636</v>
      </c>
      <c r="T939" s="6" t="s">
        <v>6737</v>
      </c>
      <c r="U939" s="6"/>
      <c r="V939" s="16"/>
      <c r="W939" s="16"/>
      <c r="X939" s="16"/>
      <c r="Y939" s="6" t="s">
        <v>1627</v>
      </c>
      <c r="Z939" s="15"/>
      <c r="AA939" s="15" t="s">
        <v>1628</v>
      </c>
    </row>
    <row r="940" spans="1:27" ht="33" customHeight="1">
      <c r="A940" s="8" t="s">
        <v>6747</v>
      </c>
      <c r="B940" s="9">
        <v>2282</v>
      </c>
      <c r="C940" s="8" t="s">
        <v>6748</v>
      </c>
      <c r="D940" s="8" t="s">
        <v>2856</v>
      </c>
      <c r="E940" s="8" t="s">
        <v>2134</v>
      </c>
      <c r="F940" s="8" t="s">
        <v>2933</v>
      </c>
      <c r="G940" s="8" t="s">
        <v>1668</v>
      </c>
      <c r="H940" s="8"/>
      <c r="I940" s="14" t="s">
        <v>1807</v>
      </c>
      <c r="J940" s="15"/>
      <c r="K940" s="8" t="s">
        <v>1976</v>
      </c>
      <c r="L940" s="8" t="s">
        <v>2032</v>
      </c>
      <c r="M940" s="6" t="s">
        <v>1809</v>
      </c>
      <c r="N940" s="6" t="s">
        <v>1624</v>
      </c>
      <c r="O940" s="7">
        <f>SUMIFS('05_상품별배치367'!$K$7:$K$373,'05_상품별배치367'!$E$7:$E$373,A940,'05_상품별배치367'!$H$7:$H$373,"본진")</f>
        <v>0</v>
      </c>
      <c r="P940" s="7">
        <f>SUMIFS('05_상품별배치367'!$K$7:$K$373,'05_상품별배치367'!$E$7:$E$373,A940,'05_상품별배치367'!$H$7:$H$373,"추가 진열")</f>
        <v>0</v>
      </c>
      <c r="Q940" s="7">
        <f>O940+P940</f>
        <v>0</v>
      </c>
      <c r="R940" s="7">
        <v>0</v>
      </c>
      <c r="S940" s="6" t="s">
        <v>1810</v>
      </c>
      <c r="T940" s="6" t="s">
        <v>6737</v>
      </c>
      <c r="U940" s="6"/>
      <c r="V940" s="16"/>
      <c r="W940" s="16"/>
      <c r="X940" s="16"/>
      <c r="Y940" s="6" t="s">
        <v>1627</v>
      </c>
      <c r="Z940" s="15"/>
      <c r="AA940" s="15" t="s">
        <v>1628</v>
      </c>
    </row>
    <row r="941" spans="1:27" ht="33" customHeight="1">
      <c r="A941" s="8" t="s">
        <v>6790</v>
      </c>
      <c r="B941" s="9">
        <v>2302</v>
      </c>
      <c r="C941" s="8" t="s">
        <v>6791</v>
      </c>
      <c r="D941" s="8" t="s">
        <v>6792</v>
      </c>
      <c r="E941" s="8" t="s">
        <v>2134</v>
      </c>
      <c r="F941" s="8" t="s">
        <v>2933</v>
      </c>
      <c r="G941" s="8" t="s">
        <v>1668</v>
      </c>
      <c r="H941" s="8"/>
      <c r="I941" s="14" t="s">
        <v>1807</v>
      </c>
      <c r="J941" s="15"/>
      <c r="K941" s="8" t="s">
        <v>1976</v>
      </c>
      <c r="L941" s="8" t="s">
        <v>2032</v>
      </c>
      <c r="M941" s="6" t="s">
        <v>1809</v>
      </c>
      <c r="N941" s="6" t="s">
        <v>1624</v>
      </c>
      <c r="O941" s="7">
        <f>SUMIFS('05_상품별배치367'!$K$7:$K$373,'05_상품별배치367'!$E$7:$E$373,A941,'05_상품별배치367'!$H$7:$H$373,"본진")</f>
        <v>0</v>
      </c>
      <c r="P941" s="7">
        <f>SUMIFS('05_상품별배치367'!$K$7:$K$373,'05_상품별배치367'!$E$7:$E$373,A941,'05_상품별배치367'!$H$7:$H$373,"추가 진열")</f>
        <v>0</v>
      </c>
      <c r="Q941" s="7">
        <f>O941+P941</f>
        <v>0</v>
      </c>
      <c r="R941" s="7">
        <v>0</v>
      </c>
      <c r="S941" s="6" t="s">
        <v>1810</v>
      </c>
      <c r="T941" s="6" t="s">
        <v>6737</v>
      </c>
      <c r="U941" s="6"/>
      <c r="V941" s="16"/>
      <c r="W941" s="16"/>
      <c r="X941" s="16"/>
      <c r="Y941" s="6" t="s">
        <v>1655</v>
      </c>
      <c r="Z941" s="15"/>
      <c r="AA941" s="15" t="s">
        <v>1628</v>
      </c>
    </row>
    <row r="942" spans="1:27" ht="33" customHeight="1">
      <c r="A942" s="8" t="s">
        <v>6751</v>
      </c>
      <c r="B942" s="9">
        <v>2284</v>
      </c>
      <c r="C942" s="8" t="s">
        <v>6752</v>
      </c>
      <c r="D942" s="8" t="s">
        <v>3116</v>
      </c>
      <c r="E942" s="8" t="s">
        <v>2134</v>
      </c>
      <c r="F942" s="8" t="s">
        <v>2933</v>
      </c>
      <c r="G942" s="8" t="s">
        <v>1668</v>
      </c>
      <c r="H942" s="8"/>
      <c r="I942" s="14" t="s">
        <v>1807</v>
      </c>
      <c r="J942" s="15"/>
      <c r="K942" s="8" t="s">
        <v>1976</v>
      </c>
      <c r="L942" s="8" t="s">
        <v>2032</v>
      </c>
      <c r="M942" s="6" t="s">
        <v>1809</v>
      </c>
      <c r="N942" s="6" t="s">
        <v>1624</v>
      </c>
      <c r="O942" s="7">
        <f>SUMIFS('05_상품별배치367'!$K$7:$K$373,'05_상품별배치367'!$E$7:$E$373,A942,'05_상품별배치367'!$H$7:$H$373,"본진")</f>
        <v>0</v>
      </c>
      <c r="P942" s="7">
        <f>SUMIFS('05_상품별배치367'!$K$7:$K$373,'05_상품별배치367'!$E$7:$E$373,A942,'05_상품별배치367'!$H$7:$H$373,"추가 진열")</f>
        <v>0</v>
      </c>
      <c r="Q942" s="7">
        <f>O942+P942</f>
        <v>0</v>
      </c>
      <c r="R942" s="7">
        <v>0</v>
      </c>
      <c r="S942" s="6" t="s">
        <v>1810</v>
      </c>
      <c r="T942" s="6" t="s">
        <v>6737</v>
      </c>
      <c r="U942" s="6"/>
      <c r="V942" s="16"/>
      <c r="W942" s="16"/>
      <c r="X942" s="16"/>
      <c r="Y942" s="6" t="s">
        <v>1627</v>
      </c>
      <c r="Z942" s="15"/>
      <c r="AA942" s="15" t="s">
        <v>1628</v>
      </c>
    </row>
    <row r="943" spans="1:27" ht="33" customHeight="1">
      <c r="A943" s="8" t="s">
        <v>6795</v>
      </c>
      <c r="B943" s="9">
        <v>2304</v>
      </c>
      <c r="C943" s="8" t="s">
        <v>6796</v>
      </c>
      <c r="D943" s="8" t="s">
        <v>6792</v>
      </c>
      <c r="E943" s="8" t="s">
        <v>2134</v>
      </c>
      <c r="F943" s="8" t="s">
        <v>2933</v>
      </c>
      <c r="G943" s="8" t="s">
        <v>1668</v>
      </c>
      <c r="H943" s="8"/>
      <c r="I943" s="14" t="s">
        <v>1807</v>
      </c>
      <c r="J943" s="15"/>
      <c r="K943" s="8" t="s">
        <v>1976</v>
      </c>
      <c r="L943" s="8" t="s">
        <v>2032</v>
      </c>
      <c r="M943" s="6" t="s">
        <v>1809</v>
      </c>
      <c r="N943" s="6" t="s">
        <v>1624</v>
      </c>
      <c r="O943" s="7">
        <f>SUMIFS('05_상품별배치367'!$K$7:$K$373,'05_상품별배치367'!$E$7:$E$373,A943,'05_상품별배치367'!$H$7:$H$373,"본진")</f>
        <v>0</v>
      </c>
      <c r="P943" s="7">
        <f>SUMIFS('05_상품별배치367'!$K$7:$K$373,'05_상품별배치367'!$E$7:$E$373,A943,'05_상품별배치367'!$H$7:$H$373,"추가 진열")</f>
        <v>0</v>
      </c>
      <c r="Q943" s="7">
        <f>O943+P943</f>
        <v>0</v>
      </c>
      <c r="R943" s="7">
        <v>0</v>
      </c>
      <c r="S943" s="6" t="s">
        <v>1810</v>
      </c>
      <c r="T943" s="6" t="s">
        <v>6737</v>
      </c>
      <c r="U943" s="6"/>
      <c r="V943" s="16"/>
      <c r="W943" s="16"/>
      <c r="X943" s="16"/>
      <c r="Y943" s="6" t="s">
        <v>1655</v>
      </c>
      <c r="Z943" s="15"/>
      <c r="AA943" s="15" t="s">
        <v>1628</v>
      </c>
    </row>
    <row r="944" spans="1:27" ht="33" customHeight="1">
      <c r="A944" s="6" t="s">
        <v>6749</v>
      </c>
      <c r="B944" s="7">
        <v>2283</v>
      </c>
      <c r="C944" s="6" t="s">
        <v>6750</v>
      </c>
      <c r="D944" s="6" t="s">
        <v>1851</v>
      </c>
      <c r="E944" s="6" t="s">
        <v>1986</v>
      </c>
      <c r="F944" s="6" t="s">
        <v>913</v>
      </c>
      <c r="G944" s="6" t="s">
        <v>201</v>
      </c>
      <c r="H944" s="6" t="s">
        <v>918</v>
      </c>
      <c r="I944" s="14" t="s">
        <v>1633</v>
      </c>
      <c r="J944" s="15"/>
      <c r="K944" s="6" t="s">
        <v>1976</v>
      </c>
      <c r="L944" s="6"/>
      <c r="M944" s="6" t="s">
        <v>1635</v>
      </c>
      <c r="N944" s="6" t="s">
        <v>1624</v>
      </c>
      <c r="O944" s="7">
        <f>SUMIFS('05_상품별배치367'!$K$7:$K$373,'05_상품별배치367'!$E$7:$E$373,A944,'05_상품별배치367'!$H$7:$H$373,"본진")</f>
        <v>1</v>
      </c>
      <c r="P944" s="7">
        <f>SUMIFS('05_상품별배치367'!$K$7:$K$373,'05_상품별배치367'!$E$7:$E$373,A944,'05_상품별배치367'!$H$7:$H$373,"추가 진열")</f>
        <v>0</v>
      </c>
      <c r="Q944" s="7">
        <f>O944+P944</f>
        <v>1</v>
      </c>
      <c r="R944" s="7">
        <v>1</v>
      </c>
      <c r="S944" s="6" t="s">
        <v>1636</v>
      </c>
      <c r="T944" s="6" t="s">
        <v>6737</v>
      </c>
      <c r="U944" s="6"/>
      <c r="V944" s="16"/>
      <c r="W944" s="16"/>
      <c r="X944" s="16"/>
      <c r="Y944" s="6" t="s">
        <v>1627</v>
      </c>
      <c r="Z944" s="15"/>
      <c r="AA944" s="15" t="s">
        <v>1628</v>
      </c>
    </row>
    <row r="945" spans="1:27" ht="33" customHeight="1">
      <c r="A945" s="6" t="s">
        <v>6761</v>
      </c>
      <c r="B945" s="7">
        <v>2289</v>
      </c>
      <c r="C945" s="6" t="s">
        <v>6762</v>
      </c>
      <c r="D945" s="6" t="s">
        <v>1851</v>
      </c>
      <c r="E945" s="6" t="s">
        <v>2134</v>
      </c>
      <c r="F945" s="6" t="s">
        <v>2933</v>
      </c>
      <c r="G945" s="6" t="s">
        <v>1668</v>
      </c>
      <c r="H945" s="6"/>
      <c r="I945" s="14" t="s">
        <v>1807</v>
      </c>
      <c r="J945" s="15"/>
      <c r="K945" s="6" t="s">
        <v>1976</v>
      </c>
      <c r="L945" s="6" t="s">
        <v>2032</v>
      </c>
      <c r="M945" s="6" t="s">
        <v>1809</v>
      </c>
      <c r="N945" s="6" t="s">
        <v>1624</v>
      </c>
      <c r="O945" s="7">
        <f>SUMIFS('05_상품별배치367'!$K$7:$K$373,'05_상품별배치367'!$E$7:$E$373,A945,'05_상품별배치367'!$H$7:$H$373,"본진")</f>
        <v>0</v>
      </c>
      <c r="P945" s="7">
        <f>SUMIFS('05_상품별배치367'!$K$7:$K$373,'05_상품별배치367'!$E$7:$E$373,A945,'05_상품별배치367'!$H$7:$H$373,"추가 진열")</f>
        <v>0</v>
      </c>
      <c r="Q945" s="7">
        <f>O945+P945</f>
        <v>0</v>
      </c>
      <c r="R945" s="7">
        <v>0</v>
      </c>
      <c r="S945" s="6" t="s">
        <v>1810</v>
      </c>
      <c r="T945" s="6" t="s">
        <v>6737</v>
      </c>
      <c r="U945" s="6"/>
      <c r="V945" s="16"/>
      <c r="W945" s="16"/>
      <c r="X945" s="16"/>
      <c r="Y945" s="6" t="s">
        <v>1627</v>
      </c>
      <c r="Z945" s="15"/>
      <c r="AA945" s="15" t="s">
        <v>1628</v>
      </c>
    </row>
    <row r="946" spans="1:27" ht="33" customHeight="1">
      <c r="A946" s="6" t="s">
        <v>6735</v>
      </c>
      <c r="B946" s="7">
        <v>2277</v>
      </c>
      <c r="C946" s="6" t="s">
        <v>6736</v>
      </c>
      <c r="D946" s="6" t="s">
        <v>2856</v>
      </c>
      <c r="E946" s="6" t="s">
        <v>2134</v>
      </c>
      <c r="F946" s="6" t="s">
        <v>156</v>
      </c>
      <c r="G946" s="6" t="s">
        <v>3239</v>
      </c>
      <c r="H946" s="6"/>
      <c r="I946" s="14" t="s">
        <v>1642</v>
      </c>
      <c r="J946" s="15"/>
      <c r="K946" s="6" t="s">
        <v>1976</v>
      </c>
      <c r="L946" s="6"/>
      <c r="M946" s="6" t="s">
        <v>1643</v>
      </c>
      <c r="N946" s="6" t="s">
        <v>1644</v>
      </c>
      <c r="O946" s="7">
        <f>SUMIFS('05_상품별배치367'!$K$7:$K$373,'05_상품별배치367'!$E$7:$E$373,A946,'05_상품별배치367'!$H$7:$H$373,"본진")</f>
        <v>0</v>
      </c>
      <c r="P946" s="7">
        <f>SUMIFS('05_상품별배치367'!$K$7:$K$373,'05_상품별배치367'!$E$7:$E$373,A946,'05_상품별배치367'!$H$7:$H$373,"추가 진열")</f>
        <v>0</v>
      </c>
      <c r="Q946" s="7">
        <f>O946+P946</f>
        <v>0</v>
      </c>
      <c r="R946" s="7">
        <v>1</v>
      </c>
      <c r="S946" s="6" t="s">
        <v>3240</v>
      </c>
      <c r="T946" s="6" t="s">
        <v>6737</v>
      </c>
      <c r="U946" s="6"/>
      <c r="V946" s="16"/>
      <c r="W946" s="16"/>
      <c r="X946" s="16"/>
      <c r="Y946" s="6" t="s">
        <v>1627</v>
      </c>
      <c r="Z946" s="15"/>
      <c r="AA946" s="15" t="s">
        <v>1628</v>
      </c>
    </row>
    <row r="947" spans="1:27" ht="33" customHeight="1">
      <c r="A947" s="8" t="s">
        <v>6738</v>
      </c>
      <c r="B947" s="9">
        <v>2278</v>
      </c>
      <c r="C947" s="8" t="s">
        <v>6739</v>
      </c>
      <c r="D947" s="8" t="s">
        <v>3042</v>
      </c>
      <c r="E947" s="8" t="s">
        <v>1814</v>
      </c>
      <c r="F947" s="8" t="s">
        <v>1376</v>
      </c>
      <c r="G947" s="8" t="s">
        <v>431</v>
      </c>
      <c r="H947" s="8" t="s">
        <v>1375</v>
      </c>
      <c r="I947" s="14" t="s">
        <v>1633</v>
      </c>
      <c r="J947" s="15"/>
      <c r="K947" s="8" t="s">
        <v>1976</v>
      </c>
      <c r="L947" s="8"/>
      <c r="M947" s="6" t="s">
        <v>1635</v>
      </c>
      <c r="N947" s="6" t="s">
        <v>1624</v>
      </c>
      <c r="O947" s="7">
        <f>SUMIFS('05_상품별배치367'!$K$7:$K$373,'05_상품별배치367'!$E$7:$E$373,A947,'05_상품별배치367'!$H$7:$H$373,"본진")</f>
        <v>1</v>
      </c>
      <c r="P947" s="7">
        <f>SUMIFS('05_상품별배치367'!$K$7:$K$373,'05_상품별배치367'!$E$7:$E$373,A947,'05_상품별배치367'!$H$7:$H$373,"추가 진열")</f>
        <v>0</v>
      </c>
      <c r="Q947" s="7">
        <f>O947+P947</f>
        <v>1</v>
      </c>
      <c r="R947" s="7">
        <v>1</v>
      </c>
      <c r="S947" s="6" t="s">
        <v>1636</v>
      </c>
      <c r="T947" s="6" t="s">
        <v>6737</v>
      </c>
      <c r="U947" s="6"/>
      <c r="V947" s="16"/>
      <c r="W947" s="16"/>
      <c r="X947" s="16"/>
      <c r="Y947" s="6" t="s">
        <v>1627</v>
      </c>
      <c r="Z947" s="15"/>
      <c r="AA947" s="15" t="s">
        <v>1628</v>
      </c>
    </row>
    <row r="948" spans="1:27" ht="33" customHeight="1">
      <c r="A948" s="6" t="s">
        <v>6745</v>
      </c>
      <c r="B948" s="7">
        <v>2281</v>
      </c>
      <c r="C948" s="6" t="s">
        <v>6746</v>
      </c>
      <c r="D948" s="6" t="s">
        <v>1851</v>
      </c>
      <c r="E948" s="6" t="s">
        <v>1986</v>
      </c>
      <c r="F948" s="6" t="s">
        <v>913</v>
      </c>
      <c r="G948" s="6" t="s">
        <v>201</v>
      </c>
      <c r="H948" s="6"/>
      <c r="I948" s="14" t="s">
        <v>1642</v>
      </c>
      <c r="J948" s="15"/>
      <c r="K948" s="6" t="s">
        <v>1976</v>
      </c>
      <c r="L948" s="6"/>
      <c r="M948" s="6" t="s">
        <v>1643</v>
      </c>
      <c r="N948" s="6" t="s">
        <v>1644</v>
      </c>
      <c r="O948" s="7">
        <f>SUMIFS('05_상품별배치367'!$K$7:$K$373,'05_상품별배치367'!$E$7:$E$373,A948,'05_상품별배치367'!$H$7:$H$373,"본진")</f>
        <v>0</v>
      </c>
      <c r="P948" s="7">
        <f>SUMIFS('05_상품별배치367'!$K$7:$K$373,'05_상품별배치367'!$E$7:$E$373,A948,'05_상품별배치367'!$H$7:$H$373,"추가 진열")</f>
        <v>0</v>
      </c>
      <c r="Q948" s="7">
        <f>O948+P948</f>
        <v>0</v>
      </c>
      <c r="R948" s="7">
        <v>1</v>
      </c>
      <c r="S948" s="6" t="s">
        <v>2907</v>
      </c>
      <c r="T948" s="6" t="s">
        <v>6737</v>
      </c>
      <c r="U948" s="6"/>
      <c r="V948" s="16"/>
      <c r="W948" s="16"/>
      <c r="X948" s="16"/>
      <c r="Y948" s="6" t="s">
        <v>1627</v>
      </c>
      <c r="Z948" s="15"/>
      <c r="AA948" s="15" t="s">
        <v>1628</v>
      </c>
    </row>
    <row r="949" spans="1:27" ht="33" customHeight="1">
      <c r="A949" s="6" t="s">
        <v>6740</v>
      </c>
      <c r="B949" s="7">
        <v>2279</v>
      </c>
      <c r="C949" s="6" t="s">
        <v>6741</v>
      </c>
      <c r="D949" s="6" t="s">
        <v>2133</v>
      </c>
      <c r="E949" s="6" t="s">
        <v>2134</v>
      </c>
      <c r="F949" s="6" t="s">
        <v>156</v>
      </c>
      <c r="G949" s="6" t="s">
        <v>3239</v>
      </c>
      <c r="H949" s="6"/>
      <c r="I949" s="14" t="s">
        <v>1642</v>
      </c>
      <c r="J949" s="15"/>
      <c r="K949" s="6" t="s">
        <v>1976</v>
      </c>
      <c r="L949" s="6"/>
      <c r="M949" s="6" t="s">
        <v>1643</v>
      </c>
      <c r="N949" s="6" t="s">
        <v>1644</v>
      </c>
      <c r="O949" s="7">
        <f>SUMIFS('05_상품별배치367'!$K$7:$K$373,'05_상품별배치367'!$E$7:$E$373,A949,'05_상품별배치367'!$H$7:$H$373,"본진")</f>
        <v>0</v>
      </c>
      <c r="P949" s="7">
        <f>SUMIFS('05_상품별배치367'!$K$7:$K$373,'05_상품별배치367'!$E$7:$E$373,A949,'05_상품별배치367'!$H$7:$H$373,"추가 진열")</f>
        <v>0</v>
      </c>
      <c r="Q949" s="7">
        <f>O949+P949</f>
        <v>0</v>
      </c>
      <c r="R949" s="7">
        <v>1</v>
      </c>
      <c r="S949" s="6" t="s">
        <v>3240</v>
      </c>
      <c r="T949" s="6" t="s">
        <v>6737</v>
      </c>
      <c r="U949" s="6"/>
      <c r="V949" s="16"/>
      <c r="W949" s="16"/>
      <c r="X949" s="16"/>
      <c r="Y949" s="6" t="s">
        <v>1627</v>
      </c>
      <c r="Z949" s="15"/>
      <c r="AA949" s="15" t="s">
        <v>1628</v>
      </c>
    </row>
    <row r="950" spans="1:27" ht="33" customHeight="1">
      <c r="A950" s="8" t="s">
        <v>6742</v>
      </c>
      <c r="B950" s="9">
        <v>2280</v>
      </c>
      <c r="C950" s="8" t="s">
        <v>6743</v>
      </c>
      <c r="D950" s="8" t="s">
        <v>6744</v>
      </c>
      <c r="E950" s="8" t="s">
        <v>2134</v>
      </c>
      <c r="F950" s="8" t="s">
        <v>156</v>
      </c>
      <c r="G950" s="8" t="s">
        <v>3239</v>
      </c>
      <c r="H950" s="8"/>
      <c r="I950" s="14" t="s">
        <v>1642</v>
      </c>
      <c r="J950" s="15"/>
      <c r="K950" s="8" t="s">
        <v>1976</v>
      </c>
      <c r="L950" s="8"/>
      <c r="M950" s="6" t="s">
        <v>1643</v>
      </c>
      <c r="N950" s="6" t="s">
        <v>1644</v>
      </c>
      <c r="O950" s="7">
        <f>SUMIFS('05_상품별배치367'!$K$7:$K$373,'05_상품별배치367'!$E$7:$E$373,A950,'05_상품별배치367'!$H$7:$H$373,"본진")</f>
        <v>0</v>
      </c>
      <c r="P950" s="7">
        <f>SUMIFS('05_상품별배치367'!$K$7:$K$373,'05_상품별배치367'!$E$7:$E$373,A950,'05_상품별배치367'!$H$7:$H$373,"추가 진열")</f>
        <v>0</v>
      </c>
      <c r="Q950" s="7">
        <f>O950+P950</f>
        <v>0</v>
      </c>
      <c r="R950" s="7">
        <v>1</v>
      </c>
      <c r="S950" s="6" t="s">
        <v>3240</v>
      </c>
      <c r="T950" s="6" t="s">
        <v>6737</v>
      </c>
      <c r="U950" s="6"/>
      <c r="V950" s="16"/>
      <c r="W950" s="16"/>
      <c r="X950" s="16"/>
      <c r="Y950" s="6" t="s">
        <v>1655</v>
      </c>
      <c r="Z950" s="15"/>
      <c r="AA950" s="15" t="s">
        <v>1628</v>
      </c>
    </row>
    <row r="951" spans="1:27" ht="33" customHeight="1">
      <c r="A951" s="8" t="s">
        <v>4433</v>
      </c>
      <c r="B951" s="9">
        <v>1206</v>
      </c>
      <c r="C951" s="8" t="s">
        <v>4434</v>
      </c>
      <c r="D951" s="8" t="s">
        <v>3055</v>
      </c>
      <c r="E951" s="8" t="s">
        <v>2134</v>
      </c>
      <c r="F951" s="8" t="s">
        <v>481</v>
      </c>
      <c r="G951" s="8" t="s">
        <v>193</v>
      </c>
      <c r="H951" s="8"/>
      <c r="I951" s="14" t="s">
        <v>1642</v>
      </c>
      <c r="J951" s="15"/>
      <c r="K951" s="8" t="s">
        <v>1976</v>
      </c>
      <c r="L951" s="8"/>
      <c r="M951" s="6" t="s">
        <v>1643</v>
      </c>
      <c r="N951" s="6" t="s">
        <v>1644</v>
      </c>
      <c r="O951" s="7">
        <f>SUMIFS('05_상품별배치367'!$K$7:$K$373,'05_상품별배치367'!$E$7:$E$373,A951,'05_상품별배치367'!$H$7:$H$373,"본진")</f>
        <v>0</v>
      </c>
      <c r="P951" s="7">
        <f>SUMIFS('05_상품별배치367'!$K$7:$K$373,'05_상품별배치367'!$E$7:$E$373,A951,'05_상품별배치367'!$H$7:$H$373,"추가 진열")</f>
        <v>0</v>
      </c>
      <c r="Q951" s="7">
        <f>O951+P951</f>
        <v>0</v>
      </c>
      <c r="R951" s="7">
        <v>1</v>
      </c>
      <c r="S951" s="6" t="s">
        <v>3000</v>
      </c>
      <c r="T951" s="6" t="s">
        <v>1637</v>
      </c>
      <c r="U951" s="6"/>
      <c r="V951" s="16"/>
      <c r="W951" s="16"/>
      <c r="X951" s="16"/>
      <c r="Y951" s="6" t="s">
        <v>1627</v>
      </c>
      <c r="Z951" s="15"/>
      <c r="AA951" s="15" t="s">
        <v>1628</v>
      </c>
    </row>
    <row r="952" spans="1:27" ht="33" customHeight="1">
      <c r="A952" s="8" t="s">
        <v>4429</v>
      </c>
      <c r="B952" s="9">
        <v>1204</v>
      </c>
      <c r="C952" s="8" t="s">
        <v>4430</v>
      </c>
      <c r="D952" s="8" t="s">
        <v>2856</v>
      </c>
      <c r="E952" s="8" t="s">
        <v>2134</v>
      </c>
      <c r="F952" s="8" t="s">
        <v>156</v>
      </c>
      <c r="G952" s="8" t="s">
        <v>3239</v>
      </c>
      <c r="H952" s="8"/>
      <c r="I952" s="14" t="s">
        <v>1642</v>
      </c>
      <c r="J952" s="15"/>
      <c r="K952" s="8" t="s">
        <v>1976</v>
      </c>
      <c r="L952" s="8"/>
      <c r="M952" s="6" t="s">
        <v>1643</v>
      </c>
      <c r="N952" s="6" t="s">
        <v>1644</v>
      </c>
      <c r="O952" s="7">
        <f>SUMIFS('05_상품별배치367'!$K$7:$K$373,'05_상품별배치367'!$E$7:$E$373,A952,'05_상품별배치367'!$H$7:$H$373,"본진")</f>
        <v>0</v>
      </c>
      <c r="P952" s="7">
        <f>SUMIFS('05_상품별배치367'!$K$7:$K$373,'05_상품별배치367'!$E$7:$E$373,A952,'05_상품별배치367'!$H$7:$H$373,"추가 진열")</f>
        <v>0</v>
      </c>
      <c r="Q952" s="7">
        <f>O952+P952</f>
        <v>0</v>
      </c>
      <c r="R952" s="7">
        <v>1</v>
      </c>
      <c r="S952" s="6" t="s">
        <v>3240</v>
      </c>
      <c r="T952" s="6" t="s">
        <v>1637</v>
      </c>
      <c r="U952" s="6"/>
      <c r="V952" s="16"/>
      <c r="W952" s="16"/>
      <c r="X952" s="16"/>
      <c r="Y952" s="6" t="s">
        <v>1627</v>
      </c>
      <c r="Z952" s="15"/>
      <c r="AA952" s="15" t="s">
        <v>1628</v>
      </c>
    </row>
    <row r="953" spans="1:27" ht="33" customHeight="1">
      <c r="A953" s="6" t="s">
        <v>4427</v>
      </c>
      <c r="B953" s="7">
        <v>1203</v>
      </c>
      <c r="C953" s="6" t="s">
        <v>4428</v>
      </c>
      <c r="D953" s="6" t="s">
        <v>2572</v>
      </c>
      <c r="E953" s="6" t="s">
        <v>2134</v>
      </c>
      <c r="F953" s="6" t="s">
        <v>156</v>
      </c>
      <c r="G953" s="6" t="s">
        <v>3239</v>
      </c>
      <c r="H953" s="6"/>
      <c r="I953" s="14" t="s">
        <v>1642</v>
      </c>
      <c r="J953" s="15"/>
      <c r="K953" s="6" t="s">
        <v>1976</v>
      </c>
      <c r="L953" s="6"/>
      <c r="M953" s="6" t="s">
        <v>1643</v>
      </c>
      <c r="N953" s="6" t="s">
        <v>1644</v>
      </c>
      <c r="O953" s="7">
        <f>SUMIFS('05_상품별배치367'!$K$7:$K$373,'05_상품별배치367'!$E$7:$E$373,A953,'05_상품별배치367'!$H$7:$H$373,"본진")</f>
        <v>0</v>
      </c>
      <c r="P953" s="7">
        <f>SUMIFS('05_상품별배치367'!$K$7:$K$373,'05_상품별배치367'!$E$7:$E$373,A953,'05_상품별배치367'!$H$7:$H$373,"추가 진열")</f>
        <v>0</v>
      </c>
      <c r="Q953" s="7">
        <f>O953+P953</f>
        <v>0</v>
      </c>
      <c r="R953" s="7">
        <v>1</v>
      </c>
      <c r="S953" s="6" t="s">
        <v>3240</v>
      </c>
      <c r="T953" s="6" t="s">
        <v>1637</v>
      </c>
      <c r="U953" s="6"/>
      <c r="V953" s="16"/>
      <c r="W953" s="16"/>
      <c r="X953" s="16"/>
      <c r="Y953" s="6" t="s">
        <v>1627</v>
      </c>
      <c r="Z953" s="15"/>
      <c r="AA953" s="15" t="s">
        <v>1628</v>
      </c>
    </row>
    <row r="954" spans="1:27" ht="33" customHeight="1">
      <c r="A954" s="8" t="s">
        <v>4425</v>
      </c>
      <c r="B954" s="9">
        <v>1202</v>
      </c>
      <c r="C954" s="8" t="s">
        <v>4426</v>
      </c>
      <c r="D954" s="8" t="s">
        <v>3169</v>
      </c>
      <c r="E954" s="8" t="s">
        <v>2134</v>
      </c>
      <c r="F954" s="8" t="s">
        <v>156</v>
      </c>
      <c r="G954" s="8" t="s">
        <v>3239</v>
      </c>
      <c r="H954" s="8"/>
      <c r="I954" s="14" t="s">
        <v>1642</v>
      </c>
      <c r="J954" s="15"/>
      <c r="K954" s="8" t="s">
        <v>1976</v>
      </c>
      <c r="L954" s="8"/>
      <c r="M954" s="6" t="s">
        <v>1643</v>
      </c>
      <c r="N954" s="6" t="s">
        <v>1644</v>
      </c>
      <c r="O954" s="7">
        <f>SUMIFS('05_상품별배치367'!$K$7:$K$373,'05_상품별배치367'!$E$7:$E$373,A954,'05_상품별배치367'!$H$7:$H$373,"본진")</f>
        <v>0</v>
      </c>
      <c r="P954" s="7">
        <f>SUMIFS('05_상품별배치367'!$K$7:$K$373,'05_상품별배치367'!$E$7:$E$373,A954,'05_상품별배치367'!$H$7:$H$373,"추가 진열")</f>
        <v>0</v>
      </c>
      <c r="Q954" s="7">
        <f>O954+P954</f>
        <v>0</v>
      </c>
      <c r="R954" s="7">
        <v>1</v>
      </c>
      <c r="S954" s="6" t="s">
        <v>3240</v>
      </c>
      <c r="T954" s="6" t="s">
        <v>1637</v>
      </c>
      <c r="U954" s="6"/>
      <c r="V954" s="16"/>
      <c r="W954" s="16"/>
      <c r="X954" s="16"/>
      <c r="Y954" s="6" t="s">
        <v>1627</v>
      </c>
      <c r="Z954" s="15"/>
      <c r="AA954" s="15" t="s">
        <v>1628</v>
      </c>
    </row>
    <row r="955" spans="1:27" ht="33" customHeight="1">
      <c r="A955" s="6" t="s">
        <v>4431</v>
      </c>
      <c r="B955" s="7">
        <v>1205</v>
      </c>
      <c r="C955" s="6" t="s">
        <v>4432</v>
      </c>
      <c r="D955" s="6" t="s">
        <v>1851</v>
      </c>
      <c r="E955" s="6" t="s">
        <v>2134</v>
      </c>
      <c r="F955" s="6" t="s">
        <v>156</v>
      </c>
      <c r="G955" s="6" t="s">
        <v>3239</v>
      </c>
      <c r="H955" s="6"/>
      <c r="I955" s="14" t="s">
        <v>1642</v>
      </c>
      <c r="J955" s="15"/>
      <c r="K955" s="6" t="s">
        <v>1976</v>
      </c>
      <c r="L955" s="6"/>
      <c r="M955" s="6" t="s">
        <v>1643</v>
      </c>
      <c r="N955" s="6" t="s">
        <v>1644</v>
      </c>
      <c r="O955" s="7">
        <f>SUMIFS('05_상품별배치367'!$K$7:$K$373,'05_상품별배치367'!$E$7:$E$373,A955,'05_상품별배치367'!$H$7:$H$373,"본진")</f>
        <v>0</v>
      </c>
      <c r="P955" s="7">
        <f>SUMIFS('05_상품별배치367'!$K$7:$K$373,'05_상품별배치367'!$E$7:$E$373,A955,'05_상품별배치367'!$H$7:$H$373,"추가 진열")</f>
        <v>0</v>
      </c>
      <c r="Q955" s="7">
        <f>O955+P955</f>
        <v>0</v>
      </c>
      <c r="R955" s="7">
        <v>1</v>
      </c>
      <c r="S955" s="6" t="s">
        <v>3240</v>
      </c>
      <c r="T955" s="6" t="s">
        <v>1637</v>
      </c>
      <c r="U955" s="6"/>
      <c r="V955" s="16"/>
      <c r="W955" s="16"/>
      <c r="X955" s="16"/>
      <c r="Y955" s="6" t="s">
        <v>1627</v>
      </c>
      <c r="Z955" s="15"/>
      <c r="AA955" s="15" t="s">
        <v>1628</v>
      </c>
    </row>
    <row r="956" spans="1:27" ht="33" customHeight="1">
      <c r="A956" s="8" t="s">
        <v>4417</v>
      </c>
      <c r="B956" s="9">
        <v>1198</v>
      </c>
      <c r="C956" s="8" t="s">
        <v>4418</v>
      </c>
      <c r="D956" s="8" t="s">
        <v>3169</v>
      </c>
      <c r="E956" s="8" t="s">
        <v>2134</v>
      </c>
      <c r="F956" s="8" t="s">
        <v>162</v>
      </c>
      <c r="G956" s="8" t="s">
        <v>404</v>
      </c>
      <c r="H956" s="8"/>
      <c r="I956" s="14" t="s">
        <v>1642</v>
      </c>
      <c r="J956" s="15"/>
      <c r="K956" s="8" t="s">
        <v>1976</v>
      </c>
      <c r="L956" s="8"/>
      <c r="M956" s="6" t="s">
        <v>1643</v>
      </c>
      <c r="N956" s="6" t="s">
        <v>1644</v>
      </c>
      <c r="O956" s="7">
        <f>SUMIFS('05_상품별배치367'!$K$7:$K$373,'05_상품별배치367'!$E$7:$E$373,A956,'05_상품별배치367'!$H$7:$H$373,"본진")</f>
        <v>0</v>
      </c>
      <c r="P956" s="7">
        <f>SUMIFS('05_상품별배치367'!$K$7:$K$373,'05_상품별배치367'!$E$7:$E$373,A956,'05_상품별배치367'!$H$7:$H$373,"추가 진열")</f>
        <v>0</v>
      </c>
      <c r="Q956" s="7">
        <f>O956+P956</f>
        <v>0</v>
      </c>
      <c r="R956" s="7">
        <v>1</v>
      </c>
      <c r="S956" s="6" t="s">
        <v>2996</v>
      </c>
      <c r="T956" s="6" t="s">
        <v>1637</v>
      </c>
      <c r="U956" s="6"/>
      <c r="V956" s="16"/>
      <c r="W956" s="16"/>
      <c r="X956" s="16"/>
      <c r="Y956" s="6" t="s">
        <v>1627</v>
      </c>
      <c r="Z956" s="15"/>
      <c r="AA956" s="15" t="s">
        <v>1628</v>
      </c>
    </row>
    <row r="957" spans="1:27" ht="33" customHeight="1">
      <c r="A957" s="6" t="s">
        <v>4411</v>
      </c>
      <c r="B957" s="7">
        <v>1195</v>
      </c>
      <c r="C957" s="6" t="s">
        <v>4412</v>
      </c>
      <c r="D957" s="6" t="s">
        <v>2133</v>
      </c>
      <c r="E957" s="6" t="s">
        <v>2134</v>
      </c>
      <c r="F957" s="6" t="s">
        <v>161</v>
      </c>
      <c r="G957" s="6" t="s">
        <v>395</v>
      </c>
      <c r="H957" s="6"/>
      <c r="I957" s="14" t="s">
        <v>1642</v>
      </c>
      <c r="J957" s="15"/>
      <c r="K957" s="6" t="s">
        <v>1976</v>
      </c>
      <c r="L957" s="6"/>
      <c r="M957" s="6" t="s">
        <v>1643</v>
      </c>
      <c r="N957" s="6" t="s">
        <v>1644</v>
      </c>
      <c r="O957" s="7">
        <f>SUMIFS('05_상품별배치367'!$K$7:$K$373,'05_상품별배치367'!$E$7:$E$373,A957,'05_상품별배치367'!$H$7:$H$373,"본진")</f>
        <v>0</v>
      </c>
      <c r="P957" s="7">
        <f>SUMIFS('05_상품별배치367'!$K$7:$K$373,'05_상품별배치367'!$E$7:$E$373,A957,'05_상품별배치367'!$H$7:$H$373,"추가 진열")</f>
        <v>0</v>
      </c>
      <c r="Q957" s="7">
        <f>O957+P957</f>
        <v>0</v>
      </c>
      <c r="R957" s="7">
        <v>1</v>
      </c>
      <c r="S957" s="6" t="s">
        <v>3070</v>
      </c>
      <c r="T957" s="6" t="s">
        <v>1637</v>
      </c>
      <c r="U957" s="6"/>
      <c r="V957" s="16"/>
      <c r="W957" s="16"/>
      <c r="X957" s="16"/>
      <c r="Y957" s="6" t="s">
        <v>1627</v>
      </c>
      <c r="Z957" s="15"/>
      <c r="AA957" s="15" t="s">
        <v>1628</v>
      </c>
    </row>
    <row r="958" spans="1:27" ht="33" customHeight="1">
      <c r="A958" s="6" t="s">
        <v>4419</v>
      </c>
      <c r="B958" s="7">
        <v>1199</v>
      </c>
      <c r="C958" s="6" t="s">
        <v>4420</v>
      </c>
      <c r="D958" s="6" t="s">
        <v>2856</v>
      </c>
      <c r="E958" s="6" t="s">
        <v>2134</v>
      </c>
      <c r="F958" s="6" t="s">
        <v>162</v>
      </c>
      <c r="G958" s="6" t="s">
        <v>404</v>
      </c>
      <c r="H958" s="6"/>
      <c r="I958" s="14" t="s">
        <v>1642</v>
      </c>
      <c r="J958" s="15"/>
      <c r="K958" s="6" t="s">
        <v>1976</v>
      </c>
      <c r="L958" s="6"/>
      <c r="M958" s="6" t="s">
        <v>1643</v>
      </c>
      <c r="N958" s="6" t="s">
        <v>1644</v>
      </c>
      <c r="O958" s="7">
        <f>SUMIFS('05_상품별배치367'!$K$7:$K$373,'05_상품별배치367'!$E$7:$E$373,A958,'05_상품별배치367'!$H$7:$H$373,"본진")</f>
        <v>0</v>
      </c>
      <c r="P958" s="7">
        <f>SUMIFS('05_상품별배치367'!$K$7:$K$373,'05_상품별배치367'!$E$7:$E$373,A958,'05_상품별배치367'!$H$7:$H$373,"추가 진열")</f>
        <v>0</v>
      </c>
      <c r="Q958" s="7">
        <f>O958+P958</f>
        <v>0</v>
      </c>
      <c r="R958" s="7">
        <v>1</v>
      </c>
      <c r="S958" s="6" t="s">
        <v>2996</v>
      </c>
      <c r="T958" s="6" t="s">
        <v>1637</v>
      </c>
      <c r="U958" s="6"/>
      <c r="V958" s="16"/>
      <c r="W958" s="16"/>
      <c r="X958" s="16"/>
      <c r="Y958" s="6" t="s">
        <v>1627</v>
      </c>
      <c r="Z958" s="15"/>
      <c r="AA958" s="15" t="s">
        <v>1628</v>
      </c>
    </row>
    <row r="959" spans="1:27" ht="33" customHeight="1">
      <c r="A959" s="6" t="s">
        <v>4415</v>
      </c>
      <c r="B959" s="7">
        <v>1197</v>
      </c>
      <c r="C959" s="6" t="s">
        <v>4416</v>
      </c>
      <c r="D959" s="6" t="s">
        <v>3319</v>
      </c>
      <c r="E959" s="6" t="s">
        <v>2134</v>
      </c>
      <c r="F959" s="6" t="s">
        <v>162</v>
      </c>
      <c r="G959" s="6" t="s">
        <v>404</v>
      </c>
      <c r="H959" s="6"/>
      <c r="I959" s="14" t="s">
        <v>1642</v>
      </c>
      <c r="J959" s="15"/>
      <c r="K959" s="6" t="s">
        <v>1976</v>
      </c>
      <c r="L959" s="6"/>
      <c r="M959" s="6" t="s">
        <v>1643</v>
      </c>
      <c r="N959" s="6" t="s">
        <v>1644</v>
      </c>
      <c r="O959" s="7">
        <f>SUMIFS('05_상품별배치367'!$K$7:$K$373,'05_상품별배치367'!$E$7:$E$373,A959,'05_상품별배치367'!$H$7:$H$373,"본진")</f>
        <v>0</v>
      </c>
      <c r="P959" s="7">
        <f>SUMIFS('05_상품별배치367'!$K$7:$K$373,'05_상품별배치367'!$E$7:$E$373,A959,'05_상품별배치367'!$H$7:$H$373,"추가 진열")</f>
        <v>0</v>
      </c>
      <c r="Q959" s="7">
        <f>O959+P959</f>
        <v>0</v>
      </c>
      <c r="R959" s="7">
        <v>1</v>
      </c>
      <c r="S959" s="6" t="s">
        <v>2996</v>
      </c>
      <c r="T959" s="6" t="s">
        <v>1637</v>
      </c>
      <c r="U959" s="6"/>
      <c r="V959" s="16"/>
      <c r="W959" s="16"/>
      <c r="X959" s="16"/>
      <c r="Y959" s="6" t="s">
        <v>1627</v>
      </c>
      <c r="Z959" s="15"/>
      <c r="AA959" s="15" t="s">
        <v>1628</v>
      </c>
    </row>
    <row r="960" spans="1:27" ht="33" customHeight="1">
      <c r="A960" s="6" t="s">
        <v>4423</v>
      </c>
      <c r="B960" s="7">
        <v>1201</v>
      </c>
      <c r="C960" s="6" t="s">
        <v>4424</v>
      </c>
      <c r="D960" s="6" t="s">
        <v>1662</v>
      </c>
      <c r="E960" s="6" t="s">
        <v>2134</v>
      </c>
      <c r="F960" s="6" t="s">
        <v>162</v>
      </c>
      <c r="G960" s="6" t="s">
        <v>404</v>
      </c>
      <c r="H960" s="6"/>
      <c r="I960" s="14" t="s">
        <v>1642</v>
      </c>
      <c r="J960" s="15"/>
      <c r="K960" s="6" t="s">
        <v>1976</v>
      </c>
      <c r="L960" s="6"/>
      <c r="M960" s="6" t="s">
        <v>1643</v>
      </c>
      <c r="N960" s="6" t="s">
        <v>1644</v>
      </c>
      <c r="O960" s="7">
        <f>SUMIFS('05_상품별배치367'!$K$7:$K$373,'05_상품별배치367'!$E$7:$E$373,A960,'05_상품별배치367'!$H$7:$H$373,"본진")</f>
        <v>0</v>
      </c>
      <c r="P960" s="7">
        <f>SUMIFS('05_상품별배치367'!$K$7:$K$373,'05_상품별배치367'!$E$7:$E$373,A960,'05_상품별배치367'!$H$7:$H$373,"추가 진열")</f>
        <v>0</v>
      </c>
      <c r="Q960" s="7">
        <f>O960+P960</f>
        <v>0</v>
      </c>
      <c r="R960" s="7">
        <v>1</v>
      </c>
      <c r="S960" s="6" t="s">
        <v>2996</v>
      </c>
      <c r="T960" s="6" t="s">
        <v>1637</v>
      </c>
      <c r="U960" s="6"/>
      <c r="V960" s="16"/>
      <c r="W960" s="16"/>
      <c r="X960" s="16"/>
      <c r="Y960" s="6" t="s">
        <v>1627</v>
      </c>
      <c r="Z960" s="15"/>
      <c r="AA960" s="15" t="s">
        <v>1628</v>
      </c>
    </row>
    <row r="961" spans="1:27" ht="33" customHeight="1">
      <c r="A961" s="8" t="s">
        <v>4413</v>
      </c>
      <c r="B961" s="9">
        <v>1196</v>
      </c>
      <c r="C961" s="8" t="s">
        <v>4414</v>
      </c>
      <c r="D961" s="8" t="s">
        <v>2572</v>
      </c>
      <c r="E961" s="8" t="s">
        <v>2134</v>
      </c>
      <c r="F961" s="8" t="s">
        <v>163</v>
      </c>
      <c r="G961" s="8" t="s">
        <v>414</v>
      </c>
      <c r="H961" s="8"/>
      <c r="I961" s="14" t="s">
        <v>1642</v>
      </c>
      <c r="J961" s="15"/>
      <c r="K961" s="8" t="s">
        <v>1976</v>
      </c>
      <c r="L961" s="8"/>
      <c r="M961" s="6" t="s">
        <v>1643</v>
      </c>
      <c r="N961" s="6" t="s">
        <v>1644</v>
      </c>
      <c r="O961" s="7">
        <f>SUMIFS('05_상품별배치367'!$K$7:$K$373,'05_상품별배치367'!$E$7:$E$373,A961,'05_상품별배치367'!$H$7:$H$373,"본진")</f>
        <v>0</v>
      </c>
      <c r="P961" s="7">
        <f>SUMIFS('05_상품별배치367'!$K$7:$K$373,'05_상품별배치367'!$E$7:$E$373,A961,'05_상품별배치367'!$H$7:$H$373,"추가 진열")</f>
        <v>0</v>
      </c>
      <c r="Q961" s="7">
        <f>O961+P961</f>
        <v>0</v>
      </c>
      <c r="R961" s="7">
        <v>1</v>
      </c>
      <c r="S961" s="6" t="s">
        <v>3048</v>
      </c>
      <c r="T961" s="6" t="s">
        <v>1637</v>
      </c>
      <c r="U961" s="6"/>
      <c r="V961" s="16"/>
      <c r="W961" s="16"/>
      <c r="X961" s="16"/>
      <c r="Y961" s="6" t="s">
        <v>1627</v>
      </c>
      <c r="Z961" s="15"/>
      <c r="AA961" s="15" t="s">
        <v>1628</v>
      </c>
    </row>
    <row r="962" spans="1:27" ht="33" customHeight="1">
      <c r="A962" s="8" t="s">
        <v>4421</v>
      </c>
      <c r="B962" s="9">
        <v>1200</v>
      </c>
      <c r="C962" s="8" t="s">
        <v>4422</v>
      </c>
      <c r="D962" s="8" t="s">
        <v>2856</v>
      </c>
      <c r="E962" s="8" t="s">
        <v>2134</v>
      </c>
      <c r="F962" s="8" t="s">
        <v>481</v>
      </c>
      <c r="G962" s="8" t="s">
        <v>193</v>
      </c>
      <c r="H962" s="8"/>
      <c r="I962" s="14" t="s">
        <v>1642</v>
      </c>
      <c r="J962" s="15"/>
      <c r="K962" s="8" t="s">
        <v>1976</v>
      </c>
      <c r="L962" s="8"/>
      <c r="M962" s="6" t="s">
        <v>1643</v>
      </c>
      <c r="N962" s="6" t="s">
        <v>1644</v>
      </c>
      <c r="O962" s="7">
        <f>SUMIFS('05_상품별배치367'!$K$7:$K$373,'05_상품별배치367'!$E$7:$E$373,A962,'05_상품별배치367'!$H$7:$H$373,"본진")</f>
        <v>0</v>
      </c>
      <c r="P962" s="7">
        <f>SUMIFS('05_상품별배치367'!$K$7:$K$373,'05_상품별배치367'!$E$7:$E$373,A962,'05_상품별배치367'!$H$7:$H$373,"추가 진열")</f>
        <v>0</v>
      </c>
      <c r="Q962" s="7">
        <f>O962+P962</f>
        <v>0</v>
      </c>
      <c r="R962" s="7">
        <v>1</v>
      </c>
      <c r="S962" s="6" t="s">
        <v>3000</v>
      </c>
      <c r="T962" s="6" t="s">
        <v>1637</v>
      </c>
      <c r="U962" s="6"/>
      <c r="V962" s="16"/>
      <c r="W962" s="16"/>
      <c r="X962" s="16"/>
      <c r="Y962" s="6" t="s">
        <v>1627</v>
      </c>
      <c r="Z962" s="15"/>
      <c r="AA962" s="15" t="s">
        <v>1628</v>
      </c>
    </row>
    <row r="963" spans="1:27" ht="33" customHeight="1">
      <c r="A963" s="6" t="s">
        <v>5834</v>
      </c>
      <c r="B963" s="7">
        <v>1873</v>
      </c>
      <c r="C963" s="6" t="s">
        <v>5835</v>
      </c>
      <c r="D963" s="6" t="s">
        <v>5836</v>
      </c>
      <c r="E963" s="6" t="s">
        <v>1632</v>
      </c>
      <c r="F963" s="6" t="s">
        <v>1401</v>
      </c>
      <c r="G963" s="6" t="s">
        <v>447</v>
      </c>
      <c r="H963" s="6" t="s">
        <v>1405</v>
      </c>
      <c r="I963" s="14" t="s">
        <v>1633</v>
      </c>
      <c r="J963" s="15"/>
      <c r="K963" s="6" t="s">
        <v>1634</v>
      </c>
      <c r="L963" s="6" t="s">
        <v>3828</v>
      </c>
      <c r="M963" s="6" t="s">
        <v>1635</v>
      </c>
      <c r="N963" s="6" t="s">
        <v>1624</v>
      </c>
      <c r="O963" s="7">
        <f>SUMIFS('05_상품별배치367'!$K$7:$K$373,'05_상품별배치367'!$E$7:$E$373,A963,'05_상품별배치367'!$H$7:$H$373,"본진")</f>
        <v>1</v>
      </c>
      <c r="P963" s="7">
        <f>SUMIFS('05_상품별배치367'!$K$7:$K$373,'05_상품별배치367'!$E$7:$E$373,A963,'05_상품별배치367'!$H$7:$H$373,"추가 진열")</f>
        <v>0</v>
      </c>
      <c r="Q963" s="7">
        <f>O963+P963</f>
        <v>1</v>
      </c>
      <c r="R963" s="7">
        <v>1</v>
      </c>
      <c r="S963" s="6" t="s">
        <v>1636</v>
      </c>
      <c r="T963" s="6" t="s">
        <v>1637</v>
      </c>
      <c r="U963" s="6"/>
      <c r="V963" s="16"/>
      <c r="W963" s="16"/>
      <c r="X963" s="16"/>
      <c r="Y963" s="6" t="s">
        <v>1655</v>
      </c>
      <c r="Z963" s="15"/>
      <c r="AA963" s="15" t="s">
        <v>1628</v>
      </c>
    </row>
    <row r="964" spans="1:27" ht="33" customHeight="1">
      <c r="A964" s="6" t="s">
        <v>5839</v>
      </c>
      <c r="B964" s="7">
        <v>1875</v>
      </c>
      <c r="C964" s="6" t="s">
        <v>5840</v>
      </c>
      <c r="D964" s="6" t="s">
        <v>1631</v>
      </c>
      <c r="E964" s="6" t="s">
        <v>1632</v>
      </c>
      <c r="F964" s="6" t="s">
        <v>1401</v>
      </c>
      <c r="G964" s="6" t="s">
        <v>447</v>
      </c>
      <c r="H964" s="6" t="s">
        <v>1400</v>
      </c>
      <c r="I964" s="14" t="s">
        <v>1621</v>
      </c>
      <c r="J964" s="15"/>
      <c r="K964" s="6" t="s">
        <v>1634</v>
      </c>
      <c r="L964" s="6" t="s">
        <v>3828</v>
      </c>
      <c r="M964" s="6" t="s">
        <v>1623</v>
      </c>
      <c r="N964" s="6" t="s">
        <v>1624</v>
      </c>
      <c r="O964" s="7">
        <f>SUMIFS('05_상품별배치367'!$K$7:$K$373,'05_상품별배치367'!$E$7:$E$373,A964,'05_상품별배치367'!$H$7:$H$373,"본진")</f>
        <v>1</v>
      </c>
      <c r="P964" s="7">
        <f>SUMIFS('05_상품별배치367'!$K$7:$K$373,'05_상품별배치367'!$E$7:$E$373,A964,'05_상품별배치367'!$H$7:$H$373,"추가 진열")</f>
        <v>0</v>
      </c>
      <c r="Q964" s="7">
        <f>O964+P964</f>
        <v>1</v>
      </c>
      <c r="R964" s="7">
        <v>1</v>
      </c>
      <c r="S964" s="6" t="s">
        <v>1625</v>
      </c>
      <c r="T964" s="6" t="s">
        <v>1637</v>
      </c>
      <c r="U964" s="6"/>
      <c r="V964" s="16"/>
      <c r="W964" s="16"/>
      <c r="X964" s="16"/>
      <c r="Y964" s="6" t="s">
        <v>1627</v>
      </c>
      <c r="Z964" s="15"/>
      <c r="AA964" s="15" t="s">
        <v>1628</v>
      </c>
    </row>
    <row r="965" spans="1:27" ht="33" customHeight="1">
      <c r="A965" s="8" t="s">
        <v>5831</v>
      </c>
      <c r="B965" s="9">
        <v>1872</v>
      </c>
      <c r="C965" s="8" t="s">
        <v>5832</v>
      </c>
      <c r="D965" s="8" t="s">
        <v>5833</v>
      </c>
      <c r="E965" s="8" t="s">
        <v>1632</v>
      </c>
      <c r="F965" s="8" t="s">
        <v>1401</v>
      </c>
      <c r="G965" s="8" t="s">
        <v>447</v>
      </c>
      <c r="H965" s="8" t="s">
        <v>1405</v>
      </c>
      <c r="I965" s="14" t="s">
        <v>1633</v>
      </c>
      <c r="J965" s="15"/>
      <c r="K965" s="8" t="s">
        <v>1634</v>
      </c>
      <c r="L965" s="8" t="s">
        <v>3828</v>
      </c>
      <c r="M965" s="6" t="s">
        <v>1635</v>
      </c>
      <c r="N965" s="6" t="s">
        <v>1624</v>
      </c>
      <c r="O965" s="7">
        <f>SUMIFS('05_상품별배치367'!$K$7:$K$373,'05_상품별배치367'!$E$7:$E$373,A965,'05_상품별배치367'!$H$7:$H$373,"본진")</f>
        <v>1</v>
      </c>
      <c r="P965" s="7">
        <f>SUMIFS('05_상품별배치367'!$K$7:$K$373,'05_상품별배치367'!$E$7:$E$373,A965,'05_상품별배치367'!$H$7:$H$373,"추가 진열")</f>
        <v>0</v>
      </c>
      <c r="Q965" s="7">
        <f>O965+P965</f>
        <v>1</v>
      </c>
      <c r="R965" s="7">
        <v>1</v>
      </c>
      <c r="S965" s="6" t="s">
        <v>1636</v>
      </c>
      <c r="T965" s="6" t="s">
        <v>1637</v>
      </c>
      <c r="U965" s="6"/>
      <c r="V965" s="16"/>
      <c r="W965" s="16"/>
      <c r="X965" s="16"/>
      <c r="Y965" s="6" t="s">
        <v>1627</v>
      </c>
      <c r="Z965" s="15"/>
      <c r="AA965" s="15" t="s">
        <v>1628</v>
      </c>
    </row>
    <row r="966" spans="1:27" ht="33" customHeight="1">
      <c r="A966" s="6" t="s">
        <v>5139</v>
      </c>
      <c r="B966" s="7">
        <v>1543</v>
      </c>
      <c r="C966" s="6" t="s">
        <v>5140</v>
      </c>
      <c r="D966" s="6" t="s">
        <v>5141</v>
      </c>
      <c r="E966" s="6" t="s">
        <v>2134</v>
      </c>
      <c r="F966" s="6" t="s">
        <v>1081</v>
      </c>
      <c r="G966" s="6" t="s">
        <v>290</v>
      </c>
      <c r="H966" s="6"/>
      <c r="I966" s="14" t="s">
        <v>1642</v>
      </c>
      <c r="J966" s="15"/>
      <c r="K966" s="6" t="s">
        <v>1976</v>
      </c>
      <c r="L966" s="6"/>
      <c r="M966" s="6" t="s">
        <v>1643</v>
      </c>
      <c r="N966" s="6" t="s">
        <v>1644</v>
      </c>
      <c r="O966" s="7">
        <f>SUMIFS('05_상품별배치367'!$K$7:$K$373,'05_상품별배치367'!$E$7:$E$373,A966,'05_상품별배치367'!$H$7:$H$373,"본진")</f>
        <v>0</v>
      </c>
      <c r="P966" s="7">
        <f>SUMIFS('05_상품별배치367'!$K$7:$K$373,'05_상품별배치367'!$E$7:$E$373,A966,'05_상품별배치367'!$H$7:$H$373,"추가 진열")</f>
        <v>0</v>
      </c>
      <c r="Q966" s="7">
        <f>O966+P966</f>
        <v>0</v>
      </c>
      <c r="R966" s="7">
        <v>1</v>
      </c>
      <c r="S966" s="6" t="s">
        <v>2135</v>
      </c>
      <c r="T966" s="6" t="s">
        <v>1637</v>
      </c>
      <c r="U966" s="6"/>
      <c r="V966" s="16"/>
      <c r="W966" s="16"/>
      <c r="X966" s="16"/>
      <c r="Y966" s="6" t="s">
        <v>1655</v>
      </c>
      <c r="Z966" s="15"/>
      <c r="AA966" s="15" t="s">
        <v>1628</v>
      </c>
    </row>
    <row r="967" spans="1:27" ht="33" customHeight="1">
      <c r="A967" s="8" t="s">
        <v>5142</v>
      </c>
      <c r="B967" s="9">
        <v>1544</v>
      </c>
      <c r="C967" s="8" t="s">
        <v>5143</v>
      </c>
      <c r="D967" s="8" t="s">
        <v>5141</v>
      </c>
      <c r="E967" s="8" t="s">
        <v>2134</v>
      </c>
      <c r="F967" s="8" t="s">
        <v>2933</v>
      </c>
      <c r="G967" s="8" t="s">
        <v>1668</v>
      </c>
      <c r="H967" s="8"/>
      <c r="I967" s="14" t="s">
        <v>1807</v>
      </c>
      <c r="J967" s="15"/>
      <c r="K967" s="8" t="s">
        <v>1976</v>
      </c>
      <c r="L967" s="8" t="s">
        <v>2032</v>
      </c>
      <c r="M967" s="6" t="s">
        <v>1809</v>
      </c>
      <c r="N967" s="6" t="s">
        <v>1644</v>
      </c>
      <c r="O967" s="7">
        <f>SUMIFS('05_상품별배치367'!$K$7:$K$373,'05_상품별배치367'!$E$7:$E$373,A967,'05_상품별배치367'!$H$7:$H$373,"본진")</f>
        <v>0</v>
      </c>
      <c r="P967" s="7">
        <f>SUMIFS('05_상품별배치367'!$K$7:$K$373,'05_상품별배치367'!$E$7:$E$373,A967,'05_상품별배치367'!$H$7:$H$373,"추가 진열")</f>
        <v>0</v>
      </c>
      <c r="Q967" s="7">
        <f>O967+P967</f>
        <v>0</v>
      </c>
      <c r="R967" s="7">
        <v>0</v>
      </c>
      <c r="S967" s="6" t="s">
        <v>1810</v>
      </c>
      <c r="T967" s="6" t="s">
        <v>1637</v>
      </c>
      <c r="U967" s="6"/>
      <c r="V967" s="16"/>
      <c r="W967" s="16"/>
      <c r="X967" s="16"/>
      <c r="Y967" s="6" t="s">
        <v>1655</v>
      </c>
      <c r="Z967" s="15"/>
      <c r="AA967" s="15" t="s">
        <v>1628</v>
      </c>
    </row>
    <row r="968" spans="1:27" ht="33" customHeight="1">
      <c r="A968" s="6" t="s">
        <v>5144</v>
      </c>
      <c r="B968" s="7">
        <v>1545</v>
      </c>
      <c r="C968" s="6" t="s">
        <v>5145</v>
      </c>
      <c r="D968" s="6" t="s">
        <v>5141</v>
      </c>
      <c r="E968" s="6" t="s">
        <v>2134</v>
      </c>
      <c r="F968" s="6" t="s">
        <v>1263</v>
      </c>
      <c r="G968" s="6" t="s">
        <v>376</v>
      </c>
      <c r="H968" s="6"/>
      <c r="I968" s="14" t="s">
        <v>1642</v>
      </c>
      <c r="J968" s="15"/>
      <c r="K968" s="6" t="s">
        <v>1976</v>
      </c>
      <c r="L968" s="6"/>
      <c r="M968" s="6" t="s">
        <v>1643</v>
      </c>
      <c r="N968" s="6" t="s">
        <v>1644</v>
      </c>
      <c r="O968" s="7">
        <f>SUMIFS('05_상품별배치367'!$K$7:$K$373,'05_상품별배치367'!$E$7:$E$373,A968,'05_상품별배치367'!$H$7:$H$373,"본진")</f>
        <v>0</v>
      </c>
      <c r="P968" s="7">
        <f>SUMIFS('05_상품별배치367'!$K$7:$K$373,'05_상품별배치367'!$E$7:$E$373,A968,'05_상품별배치367'!$H$7:$H$373,"추가 진열")</f>
        <v>0</v>
      </c>
      <c r="Q968" s="7">
        <f>O968+P968</f>
        <v>0</v>
      </c>
      <c r="R968" s="7">
        <v>1</v>
      </c>
      <c r="S968" s="6" t="s">
        <v>3016</v>
      </c>
      <c r="T968" s="6" t="s">
        <v>1637</v>
      </c>
      <c r="U968" s="6"/>
      <c r="V968" s="16"/>
      <c r="W968" s="16"/>
      <c r="X968" s="16"/>
      <c r="Y968" s="6" t="s">
        <v>1655</v>
      </c>
      <c r="Z968" s="15"/>
      <c r="AA968" s="15" t="s">
        <v>1628</v>
      </c>
    </row>
    <row r="969" spans="1:27" ht="33" customHeight="1">
      <c r="A969" s="8" t="s">
        <v>7186</v>
      </c>
      <c r="B969" s="9">
        <v>2496</v>
      </c>
      <c r="C969" s="8" t="s">
        <v>6893</v>
      </c>
      <c r="D969" s="8" t="s">
        <v>1851</v>
      </c>
      <c r="E969" s="8" t="s">
        <v>1695</v>
      </c>
      <c r="F969" s="8" t="s">
        <v>482</v>
      </c>
      <c r="G969" s="8" t="s">
        <v>272</v>
      </c>
      <c r="H969" s="8"/>
      <c r="I969" s="14" t="s">
        <v>1642</v>
      </c>
      <c r="J969" s="15"/>
      <c r="K969" s="8" t="s">
        <v>1696</v>
      </c>
      <c r="L969" s="8" t="s">
        <v>3828</v>
      </c>
      <c r="M969" s="6" t="s">
        <v>1643</v>
      </c>
      <c r="N969" s="6" t="s">
        <v>1644</v>
      </c>
      <c r="O969" s="7">
        <f>SUMIFS('05_상품별배치367'!$K$7:$K$373,'05_상품별배치367'!$E$7:$E$373,A969,'05_상품별배치367'!$H$7:$H$373,"본진")</f>
        <v>0</v>
      </c>
      <c r="P969" s="7">
        <f>SUMIFS('05_상품별배치367'!$K$7:$K$373,'05_상품별배치367'!$E$7:$E$373,A969,'05_상품별배치367'!$H$7:$H$373,"추가 진열")</f>
        <v>0</v>
      </c>
      <c r="Q969" s="7">
        <f>O969+P969</f>
        <v>0</v>
      </c>
      <c r="R969" s="7">
        <v>1</v>
      </c>
      <c r="S969" s="6" t="s">
        <v>1942</v>
      </c>
      <c r="T969" s="6" t="s">
        <v>1637</v>
      </c>
      <c r="U969" s="6"/>
      <c r="V969" s="16"/>
      <c r="W969" s="16"/>
      <c r="X969" s="16"/>
      <c r="Y969" s="6" t="s">
        <v>1627</v>
      </c>
      <c r="Z969" s="15"/>
      <c r="AA969" s="15" t="s">
        <v>1628</v>
      </c>
    </row>
    <row r="970" spans="1:27" ht="33" customHeight="1">
      <c r="A970" s="6" t="s">
        <v>6892</v>
      </c>
      <c r="B970" s="7">
        <v>2357</v>
      </c>
      <c r="C970" s="6" t="s">
        <v>6893</v>
      </c>
      <c r="D970" s="6" t="s">
        <v>2133</v>
      </c>
      <c r="E970" s="6" t="s">
        <v>1695</v>
      </c>
      <c r="F970" s="6" t="s">
        <v>482</v>
      </c>
      <c r="G970" s="6" t="s">
        <v>272</v>
      </c>
      <c r="H970" s="6" t="s">
        <v>1054</v>
      </c>
      <c r="I970" s="14" t="s">
        <v>1633</v>
      </c>
      <c r="J970" s="15"/>
      <c r="K970" s="6" t="s">
        <v>1696</v>
      </c>
      <c r="L970" s="6" t="s">
        <v>3828</v>
      </c>
      <c r="M970" s="6" t="s">
        <v>1635</v>
      </c>
      <c r="N970" s="6" t="s">
        <v>1624</v>
      </c>
      <c r="O970" s="7">
        <f>SUMIFS('05_상품별배치367'!$K$7:$K$373,'05_상품별배치367'!$E$7:$E$373,A970,'05_상품별배치367'!$H$7:$H$373,"본진")</f>
        <v>1</v>
      </c>
      <c r="P970" s="7">
        <f>SUMIFS('05_상품별배치367'!$K$7:$K$373,'05_상품별배치367'!$E$7:$E$373,A970,'05_상품별배치367'!$H$7:$H$373,"추가 진열")</f>
        <v>0</v>
      </c>
      <c r="Q970" s="7">
        <f>O970+P970</f>
        <v>1</v>
      </c>
      <c r="R970" s="7">
        <v>1</v>
      </c>
      <c r="S970" s="6" t="s">
        <v>1636</v>
      </c>
      <c r="T970" s="6" t="s">
        <v>1637</v>
      </c>
      <c r="U970" s="6"/>
      <c r="V970" s="16"/>
      <c r="W970" s="16"/>
      <c r="X970" s="16"/>
      <c r="Y970" s="6" t="s">
        <v>1627</v>
      </c>
      <c r="Z970" s="15"/>
      <c r="AA970" s="15" t="s">
        <v>1628</v>
      </c>
    </row>
    <row r="971" spans="1:27" ht="33" customHeight="1">
      <c r="A971" s="8" t="s">
        <v>6919</v>
      </c>
      <c r="B971" s="9">
        <v>2370</v>
      </c>
      <c r="C971" s="8" t="s">
        <v>6920</v>
      </c>
      <c r="D971" s="8" t="s">
        <v>5049</v>
      </c>
      <c r="E971" s="8" t="s">
        <v>1814</v>
      </c>
      <c r="F971" s="8" t="s">
        <v>514</v>
      </c>
      <c r="G971" s="8" t="s">
        <v>423</v>
      </c>
      <c r="H971" s="8"/>
      <c r="I971" s="14" t="s">
        <v>1642</v>
      </c>
      <c r="J971" s="15"/>
      <c r="K971" s="8" t="s">
        <v>1976</v>
      </c>
      <c r="L971" s="8" t="s">
        <v>3828</v>
      </c>
      <c r="M971" s="6" t="s">
        <v>1643</v>
      </c>
      <c r="N971" s="6" t="s">
        <v>1644</v>
      </c>
      <c r="O971" s="7">
        <f>SUMIFS('05_상품별배치367'!$K$7:$K$373,'05_상품별배치367'!$E$7:$E$373,A971,'05_상품별배치367'!$H$7:$H$373,"본진")</f>
        <v>0</v>
      </c>
      <c r="P971" s="7">
        <f>SUMIFS('05_상품별배치367'!$K$7:$K$373,'05_상품별배치367'!$E$7:$E$373,A971,'05_상품별배치367'!$H$7:$H$373,"추가 진열")</f>
        <v>0</v>
      </c>
      <c r="Q971" s="7">
        <f>O971+P971</f>
        <v>0</v>
      </c>
      <c r="R971" s="7">
        <v>1</v>
      </c>
      <c r="S971" s="6" t="s">
        <v>1991</v>
      </c>
      <c r="T971" s="6" t="s">
        <v>1637</v>
      </c>
      <c r="U971" s="6"/>
      <c r="V971" s="16"/>
      <c r="W971" s="16"/>
      <c r="X971" s="16"/>
      <c r="Y971" s="6" t="s">
        <v>1627</v>
      </c>
      <c r="Z971" s="15"/>
      <c r="AA971" s="15" t="s">
        <v>1628</v>
      </c>
    </row>
    <row r="972" spans="1:27" ht="33" customHeight="1">
      <c r="A972" s="8" t="s">
        <v>6923</v>
      </c>
      <c r="B972" s="9">
        <v>2372</v>
      </c>
      <c r="C972" s="8" t="s">
        <v>6924</v>
      </c>
      <c r="D972" s="8" t="s">
        <v>5049</v>
      </c>
      <c r="E972" s="8" t="s">
        <v>1814</v>
      </c>
      <c r="F972" s="8" t="s">
        <v>514</v>
      </c>
      <c r="G972" s="8" t="s">
        <v>423</v>
      </c>
      <c r="H972" s="8" t="s">
        <v>1345</v>
      </c>
      <c r="I972" s="14" t="s">
        <v>1633</v>
      </c>
      <c r="J972" s="15"/>
      <c r="K972" s="8" t="s">
        <v>1976</v>
      </c>
      <c r="L972" s="8" t="s">
        <v>3828</v>
      </c>
      <c r="M972" s="6" t="s">
        <v>1635</v>
      </c>
      <c r="N972" s="6" t="s">
        <v>1624</v>
      </c>
      <c r="O972" s="7">
        <f>SUMIFS('05_상품별배치367'!$K$7:$K$373,'05_상품별배치367'!$E$7:$E$373,A972,'05_상품별배치367'!$H$7:$H$373,"본진")</f>
        <v>1</v>
      </c>
      <c r="P972" s="7">
        <f>SUMIFS('05_상품별배치367'!$K$7:$K$373,'05_상품별배치367'!$E$7:$E$373,A972,'05_상품별배치367'!$H$7:$H$373,"추가 진열")</f>
        <v>0</v>
      </c>
      <c r="Q972" s="7">
        <f>O972+P972</f>
        <v>1</v>
      </c>
      <c r="R972" s="7">
        <v>1</v>
      </c>
      <c r="S972" s="6" t="s">
        <v>1636</v>
      </c>
      <c r="T972" s="6" t="s">
        <v>1637</v>
      </c>
      <c r="U972" s="6"/>
      <c r="V972" s="16"/>
      <c r="W972" s="16"/>
      <c r="X972" s="16"/>
      <c r="Y972" s="6" t="s">
        <v>1627</v>
      </c>
      <c r="Z972" s="15"/>
      <c r="AA972" s="15" t="s">
        <v>1628</v>
      </c>
    </row>
    <row r="973" spans="1:27" ht="33" customHeight="1">
      <c r="A973" s="6" t="s">
        <v>1874</v>
      </c>
      <c r="B973" s="7">
        <v>87</v>
      </c>
      <c r="C973" s="6" t="s">
        <v>1875</v>
      </c>
      <c r="D973" s="6" t="s">
        <v>1876</v>
      </c>
      <c r="E973" s="6" t="s">
        <v>1814</v>
      </c>
      <c r="F973" s="6" t="s">
        <v>515</v>
      </c>
      <c r="G973" s="6" t="s">
        <v>431</v>
      </c>
      <c r="H973" s="6" t="s">
        <v>1371</v>
      </c>
      <c r="I973" s="14" t="s">
        <v>1621</v>
      </c>
      <c r="J973" s="15"/>
      <c r="K973" s="6" t="s">
        <v>1840</v>
      </c>
      <c r="L973" s="6"/>
      <c r="M973" s="6" t="s">
        <v>1623</v>
      </c>
      <c r="N973" s="6" t="s">
        <v>1624</v>
      </c>
      <c r="O973" s="7">
        <f>SUMIFS('05_상품별배치367'!$K$7:$K$373,'05_상품별배치367'!$E$7:$E$373,A973,'05_상품별배치367'!$H$7:$H$373,"본진")</f>
        <v>1</v>
      </c>
      <c r="P973" s="7">
        <f>SUMIFS('05_상품별배치367'!$K$7:$K$373,'05_상품별배치367'!$E$7:$E$373,A973,'05_상품별배치367'!$H$7:$H$373,"추가 진열")</f>
        <v>0</v>
      </c>
      <c r="Q973" s="7">
        <f>O973+P973</f>
        <v>1</v>
      </c>
      <c r="R973" s="7">
        <v>1</v>
      </c>
      <c r="S973" s="6" t="s">
        <v>1625</v>
      </c>
      <c r="T973" s="6" t="s">
        <v>1637</v>
      </c>
      <c r="U973" s="6"/>
      <c r="V973" s="16"/>
      <c r="W973" s="16"/>
      <c r="X973" s="16"/>
      <c r="Y973" s="6" t="s">
        <v>1627</v>
      </c>
      <c r="Z973" s="15"/>
      <c r="AA973" s="15" t="s">
        <v>1628</v>
      </c>
    </row>
    <row r="974" spans="1:27" ht="33" customHeight="1">
      <c r="A974" s="6" t="s">
        <v>1932</v>
      </c>
      <c r="B974" s="7">
        <v>111</v>
      </c>
      <c r="C974" s="6" t="s">
        <v>1933</v>
      </c>
      <c r="D974" s="6" t="s">
        <v>1934</v>
      </c>
      <c r="E974" s="6" t="s">
        <v>1814</v>
      </c>
      <c r="F974" s="6" t="s">
        <v>515</v>
      </c>
      <c r="G974" s="6" t="s">
        <v>431</v>
      </c>
      <c r="H974" s="6"/>
      <c r="I974" s="14" t="s">
        <v>1642</v>
      </c>
      <c r="J974" s="15"/>
      <c r="K974" s="6" t="s">
        <v>1840</v>
      </c>
      <c r="L974" s="6"/>
      <c r="M974" s="6" t="s">
        <v>1643</v>
      </c>
      <c r="N974" s="6" t="s">
        <v>1624</v>
      </c>
      <c r="O974" s="7">
        <f>SUMIFS('05_상품별배치367'!$K$7:$K$373,'05_상품별배치367'!$E$7:$E$373,A974,'05_상품별배치367'!$H$7:$H$373,"본진")</f>
        <v>0</v>
      </c>
      <c r="P974" s="7">
        <f>SUMIFS('05_상품별배치367'!$K$7:$K$373,'05_상품별배치367'!$E$7:$E$373,A974,'05_상품별배치367'!$H$7:$H$373,"추가 진열")</f>
        <v>0</v>
      </c>
      <c r="Q974" s="7">
        <f>O974+P974</f>
        <v>0</v>
      </c>
      <c r="R974" s="7">
        <v>1</v>
      </c>
      <c r="S974" s="6" t="s">
        <v>1841</v>
      </c>
      <c r="T974" s="6" t="s">
        <v>1637</v>
      </c>
      <c r="U974" s="6"/>
      <c r="V974" s="16"/>
      <c r="W974" s="16"/>
      <c r="X974" s="16"/>
      <c r="Y974" s="6" t="s">
        <v>1627</v>
      </c>
      <c r="Z974" s="15"/>
      <c r="AA974" s="15" t="s">
        <v>1628</v>
      </c>
    </row>
    <row r="975" spans="1:27" ht="33" customHeight="1">
      <c r="A975" s="8" t="s">
        <v>5895</v>
      </c>
      <c r="B975" s="9">
        <v>1902</v>
      </c>
      <c r="C975" s="8" t="s">
        <v>5896</v>
      </c>
      <c r="D975" s="8" t="s">
        <v>1724</v>
      </c>
      <c r="E975" s="8" t="s">
        <v>1632</v>
      </c>
      <c r="F975" s="8" t="s">
        <v>1014</v>
      </c>
      <c r="G975" s="8" t="s">
        <v>254</v>
      </c>
      <c r="H975" s="8"/>
      <c r="I975" s="14" t="s">
        <v>1642</v>
      </c>
      <c r="J975" s="15"/>
      <c r="K975" s="8" t="s">
        <v>1634</v>
      </c>
      <c r="L975" s="8" t="s">
        <v>3828</v>
      </c>
      <c r="M975" s="6" t="s">
        <v>1643</v>
      </c>
      <c r="N975" s="6" t="s">
        <v>1624</v>
      </c>
      <c r="O975" s="7">
        <f>SUMIFS('05_상품별배치367'!$K$7:$K$373,'05_상품별배치367'!$E$7:$E$373,A975,'05_상품별배치367'!$H$7:$H$373,"본진")</f>
        <v>0</v>
      </c>
      <c r="P975" s="7">
        <f>SUMIFS('05_상품별배치367'!$K$7:$K$373,'05_상품별배치367'!$E$7:$E$373,A975,'05_상품별배치367'!$H$7:$H$373,"추가 진열")</f>
        <v>0</v>
      </c>
      <c r="Q975" s="7">
        <f>O975+P975</f>
        <v>0</v>
      </c>
      <c r="R975" s="7">
        <v>1</v>
      </c>
      <c r="S975" s="6" t="s">
        <v>1725</v>
      </c>
      <c r="T975" s="6" t="s">
        <v>1637</v>
      </c>
      <c r="U975" s="6"/>
      <c r="V975" s="16"/>
      <c r="W975" s="16"/>
      <c r="X975" s="16"/>
      <c r="Y975" s="6" t="s">
        <v>1627</v>
      </c>
      <c r="Z975" s="15"/>
      <c r="AA975" s="15" t="s">
        <v>1628</v>
      </c>
    </row>
    <row r="976" spans="1:27" ht="33" customHeight="1">
      <c r="A976" s="8" t="s">
        <v>5247</v>
      </c>
      <c r="B976" s="9">
        <v>1594</v>
      </c>
      <c r="C976" s="8" t="s">
        <v>5248</v>
      </c>
      <c r="D976" s="8" t="s">
        <v>2133</v>
      </c>
      <c r="E976" s="8" t="s">
        <v>2134</v>
      </c>
      <c r="F976" s="8" t="s">
        <v>156</v>
      </c>
      <c r="G976" s="8" t="s">
        <v>3239</v>
      </c>
      <c r="H976" s="8"/>
      <c r="I976" s="14" t="s">
        <v>1642</v>
      </c>
      <c r="J976" s="15"/>
      <c r="K976" s="8" t="s">
        <v>1976</v>
      </c>
      <c r="L976" s="8"/>
      <c r="M976" s="6" t="s">
        <v>1643</v>
      </c>
      <c r="N976" s="6" t="s">
        <v>1644</v>
      </c>
      <c r="O976" s="7">
        <f>SUMIFS('05_상품별배치367'!$K$7:$K$373,'05_상품별배치367'!$E$7:$E$373,A976,'05_상품별배치367'!$H$7:$H$373,"본진")</f>
        <v>0</v>
      </c>
      <c r="P976" s="7">
        <f>SUMIFS('05_상품별배치367'!$K$7:$K$373,'05_상품별배치367'!$E$7:$E$373,A976,'05_상품별배치367'!$H$7:$H$373,"추가 진열")</f>
        <v>0</v>
      </c>
      <c r="Q976" s="7">
        <f>O976+P976</f>
        <v>0</v>
      </c>
      <c r="R976" s="7">
        <v>1</v>
      </c>
      <c r="S976" s="6" t="s">
        <v>3240</v>
      </c>
      <c r="T976" s="6" t="s">
        <v>1637</v>
      </c>
      <c r="U976" s="6"/>
      <c r="V976" s="16"/>
      <c r="W976" s="16"/>
      <c r="X976" s="16"/>
      <c r="Y976" s="6" t="s">
        <v>1627</v>
      </c>
      <c r="Z976" s="15"/>
      <c r="AA976" s="15" t="s">
        <v>1628</v>
      </c>
    </row>
    <row r="977" spans="1:27" ht="33" customHeight="1">
      <c r="A977" s="6" t="s">
        <v>5249</v>
      </c>
      <c r="B977" s="7">
        <v>1595</v>
      </c>
      <c r="C977" s="6" t="s">
        <v>5250</v>
      </c>
      <c r="D977" s="6" t="s">
        <v>2133</v>
      </c>
      <c r="E977" s="6" t="s">
        <v>2134</v>
      </c>
      <c r="F977" s="6" t="s">
        <v>156</v>
      </c>
      <c r="G977" s="6" t="s">
        <v>3239</v>
      </c>
      <c r="H977" s="6"/>
      <c r="I977" s="14" t="s">
        <v>1642</v>
      </c>
      <c r="J977" s="15"/>
      <c r="K977" s="6" t="s">
        <v>1976</v>
      </c>
      <c r="L977" s="6"/>
      <c r="M977" s="6" t="s">
        <v>1643</v>
      </c>
      <c r="N977" s="6" t="s">
        <v>1644</v>
      </c>
      <c r="O977" s="7">
        <f>SUMIFS('05_상품별배치367'!$K$7:$K$373,'05_상품별배치367'!$E$7:$E$373,A977,'05_상품별배치367'!$H$7:$H$373,"본진")</f>
        <v>0</v>
      </c>
      <c r="P977" s="7">
        <f>SUMIFS('05_상품별배치367'!$K$7:$K$373,'05_상품별배치367'!$E$7:$E$373,A977,'05_상품별배치367'!$H$7:$H$373,"추가 진열")</f>
        <v>0</v>
      </c>
      <c r="Q977" s="7">
        <f>O977+P977</f>
        <v>0</v>
      </c>
      <c r="R977" s="7">
        <v>1</v>
      </c>
      <c r="S977" s="6" t="s">
        <v>3240</v>
      </c>
      <c r="T977" s="6" t="s">
        <v>1637</v>
      </c>
      <c r="U977" s="6"/>
      <c r="V977" s="16"/>
      <c r="W977" s="16"/>
      <c r="X977" s="16"/>
      <c r="Y977" s="6" t="s">
        <v>1627</v>
      </c>
      <c r="Z977" s="15"/>
      <c r="AA977" s="15" t="s">
        <v>1628</v>
      </c>
    </row>
    <row r="978" spans="1:27" ht="33" customHeight="1">
      <c r="A978" s="8" t="s">
        <v>7067</v>
      </c>
      <c r="B978" s="9">
        <v>2438</v>
      </c>
      <c r="C978" s="8" t="s">
        <v>7068</v>
      </c>
      <c r="D978" s="8" t="s">
        <v>7069</v>
      </c>
      <c r="E978" s="8" t="s">
        <v>1641</v>
      </c>
      <c r="F978" s="8" t="s">
        <v>1691</v>
      </c>
      <c r="G978" s="8" t="s">
        <v>59</v>
      </c>
      <c r="H978" s="8"/>
      <c r="I978" s="14" t="s">
        <v>1642</v>
      </c>
      <c r="J978" s="15"/>
      <c r="K978" s="8" t="s">
        <v>1634</v>
      </c>
      <c r="L978" s="8" t="s">
        <v>3828</v>
      </c>
      <c r="M978" s="6" t="s">
        <v>1643</v>
      </c>
      <c r="N978" s="6" t="s">
        <v>1624</v>
      </c>
      <c r="O978" s="7">
        <f>SUMIFS('05_상품별배치367'!$K$7:$K$373,'05_상품별배치367'!$E$7:$E$373,A978,'05_상품별배치367'!$H$7:$H$373,"본진")</f>
        <v>0</v>
      </c>
      <c r="P978" s="7">
        <f>SUMIFS('05_상품별배치367'!$K$7:$K$373,'05_상품별배치367'!$E$7:$E$373,A978,'05_상품별배치367'!$H$7:$H$373,"추가 진열")</f>
        <v>0</v>
      </c>
      <c r="Q978" s="7">
        <f>O978+P978</f>
        <v>0</v>
      </c>
      <c r="R978" s="7">
        <v>1</v>
      </c>
      <c r="S978" s="6" t="s">
        <v>1721</v>
      </c>
      <c r="T978" s="6" t="s">
        <v>1637</v>
      </c>
      <c r="U978" s="6"/>
      <c r="V978" s="16"/>
      <c r="W978" s="16"/>
      <c r="X978" s="16"/>
      <c r="Y978" s="6" t="s">
        <v>1655</v>
      </c>
      <c r="Z978" s="15"/>
      <c r="AA978" s="15" t="s">
        <v>1628</v>
      </c>
    </row>
    <row r="979" spans="1:27" ht="33" customHeight="1">
      <c r="A979" s="8" t="s">
        <v>7106</v>
      </c>
      <c r="B979" s="9">
        <v>2458</v>
      </c>
      <c r="C979" s="8" t="s">
        <v>7107</v>
      </c>
      <c r="D979" s="8" t="s">
        <v>1876</v>
      </c>
      <c r="E979" s="8" t="s">
        <v>1641</v>
      </c>
      <c r="F979" s="8" t="s">
        <v>1691</v>
      </c>
      <c r="G979" s="8" t="s">
        <v>59</v>
      </c>
      <c r="H979" s="8"/>
      <c r="I979" s="14" t="s">
        <v>1642</v>
      </c>
      <c r="J979" s="15"/>
      <c r="K979" s="8" t="s">
        <v>1634</v>
      </c>
      <c r="L979" s="8" t="s">
        <v>3828</v>
      </c>
      <c r="M979" s="6" t="s">
        <v>1643</v>
      </c>
      <c r="N979" s="6" t="s">
        <v>1624</v>
      </c>
      <c r="O979" s="7">
        <f>SUMIFS('05_상품별배치367'!$K$7:$K$373,'05_상품별배치367'!$E$7:$E$373,A979,'05_상품별배치367'!$H$7:$H$373,"본진")</f>
        <v>0</v>
      </c>
      <c r="P979" s="7">
        <f>SUMIFS('05_상품별배치367'!$K$7:$K$373,'05_상품별배치367'!$E$7:$E$373,A979,'05_상품별배치367'!$H$7:$H$373,"추가 진열")</f>
        <v>0</v>
      </c>
      <c r="Q979" s="7">
        <f>O979+P979</f>
        <v>0</v>
      </c>
      <c r="R979" s="7">
        <v>1</v>
      </c>
      <c r="S979" s="6" t="s">
        <v>1721</v>
      </c>
      <c r="T979" s="6" t="s">
        <v>1637</v>
      </c>
      <c r="U979" s="6"/>
      <c r="V979" s="16"/>
      <c r="W979" s="16"/>
      <c r="X979" s="16"/>
      <c r="Y979" s="6" t="s">
        <v>1627</v>
      </c>
      <c r="Z979" s="15"/>
      <c r="AA979" s="15" t="s">
        <v>1628</v>
      </c>
    </row>
    <row r="980" spans="1:27" ht="33" customHeight="1">
      <c r="A980" s="8" t="s">
        <v>7038</v>
      </c>
      <c r="B980" s="9">
        <v>2424</v>
      </c>
      <c r="C980" s="8" t="s">
        <v>7039</v>
      </c>
      <c r="D980" s="8" t="s">
        <v>2148</v>
      </c>
      <c r="E980" s="8" t="s">
        <v>2134</v>
      </c>
      <c r="F980" s="8" t="s">
        <v>2933</v>
      </c>
      <c r="G980" s="8" t="s">
        <v>1668</v>
      </c>
      <c r="H980" s="8"/>
      <c r="I980" s="14" t="s">
        <v>1807</v>
      </c>
      <c r="J980" s="15"/>
      <c r="K980" s="8" t="s">
        <v>1976</v>
      </c>
      <c r="L980" s="8" t="s">
        <v>6125</v>
      </c>
      <c r="M980" s="6" t="s">
        <v>1809</v>
      </c>
      <c r="N980" s="6" t="s">
        <v>1624</v>
      </c>
      <c r="O980" s="7">
        <f>SUMIFS('05_상품별배치367'!$K$7:$K$373,'05_상품별배치367'!$E$7:$E$373,A980,'05_상품별배치367'!$H$7:$H$373,"본진")</f>
        <v>0</v>
      </c>
      <c r="P980" s="7">
        <f>SUMIFS('05_상품별배치367'!$K$7:$K$373,'05_상품별배치367'!$E$7:$E$373,A980,'05_상품별배치367'!$H$7:$H$373,"추가 진열")</f>
        <v>0</v>
      </c>
      <c r="Q980" s="7">
        <f>O980+P980</f>
        <v>0</v>
      </c>
      <c r="R980" s="7">
        <v>0</v>
      </c>
      <c r="S980" s="6" t="s">
        <v>1810</v>
      </c>
      <c r="T980" s="6" t="s">
        <v>1637</v>
      </c>
      <c r="U980" s="6"/>
      <c r="V980" s="16"/>
      <c r="W980" s="16"/>
      <c r="X980" s="16"/>
      <c r="Y980" s="6" t="s">
        <v>1627</v>
      </c>
      <c r="Z980" s="15"/>
      <c r="AA980" s="15" t="s">
        <v>1628</v>
      </c>
    </row>
    <row r="981" spans="1:27" ht="33" customHeight="1">
      <c r="A981" s="8" t="s">
        <v>4989</v>
      </c>
      <c r="B981" s="9">
        <v>1474</v>
      </c>
      <c r="C981" s="8" t="s">
        <v>4990</v>
      </c>
      <c r="D981" s="8" t="s">
        <v>4991</v>
      </c>
      <c r="E981" s="8" t="s">
        <v>1695</v>
      </c>
      <c r="F981" s="8" t="s">
        <v>482</v>
      </c>
      <c r="G981" s="8" t="s">
        <v>272</v>
      </c>
      <c r="H981" s="8"/>
      <c r="I981" s="14" t="s">
        <v>1642</v>
      </c>
      <c r="J981" s="15"/>
      <c r="K981" s="8" t="s">
        <v>1696</v>
      </c>
      <c r="L981" s="8"/>
      <c r="M981" s="6" t="s">
        <v>1643</v>
      </c>
      <c r="N981" s="6" t="s">
        <v>1644</v>
      </c>
      <c r="O981" s="7">
        <f>SUMIFS('05_상품별배치367'!$K$7:$K$373,'05_상품별배치367'!$E$7:$E$373,A981,'05_상품별배치367'!$H$7:$H$373,"본진")</f>
        <v>0</v>
      </c>
      <c r="P981" s="7">
        <f>SUMIFS('05_상품별배치367'!$K$7:$K$373,'05_상품별배치367'!$E$7:$E$373,A981,'05_상품별배치367'!$H$7:$H$373,"추가 진열")</f>
        <v>0</v>
      </c>
      <c r="Q981" s="7">
        <f>O981+P981</f>
        <v>0</v>
      </c>
      <c r="R981" s="7">
        <v>1</v>
      </c>
      <c r="S981" s="6" t="s">
        <v>1942</v>
      </c>
      <c r="T981" s="6" t="s">
        <v>1637</v>
      </c>
      <c r="U981" s="6"/>
      <c r="V981" s="16"/>
      <c r="W981" s="16"/>
      <c r="X981" s="16"/>
      <c r="Y981" s="6" t="s">
        <v>1655</v>
      </c>
      <c r="Z981" s="15"/>
      <c r="AA981" s="15" t="s">
        <v>1628</v>
      </c>
    </row>
    <row r="982" spans="1:27" ht="33" customHeight="1">
      <c r="A982" s="6" t="s">
        <v>4987</v>
      </c>
      <c r="B982" s="7">
        <v>1473</v>
      </c>
      <c r="C982" s="6" t="s">
        <v>4988</v>
      </c>
      <c r="D982" s="6" t="s">
        <v>3008</v>
      </c>
      <c r="E982" s="6" t="s">
        <v>2134</v>
      </c>
      <c r="F982" s="6" t="s">
        <v>2933</v>
      </c>
      <c r="G982" s="6" t="s">
        <v>1668</v>
      </c>
      <c r="H982" s="6"/>
      <c r="I982" s="14" t="s">
        <v>1807</v>
      </c>
      <c r="J982" s="15"/>
      <c r="K982" s="6" t="s">
        <v>1976</v>
      </c>
      <c r="L982" s="6" t="s">
        <v>2032</v>
      </c>
      <c r="M982" s="6" t="s">
        <v>1809</v>
      </c>
      <c r="N982" s="6" t="s">
        <v>1644</v>
      </c>
      <c r="O982" s="7">
        <f>SUMIFS('05_상품별배치367'!$K$7:$K$373,'05_상품별배치367'!$E$7:$E$373,A982,'05_상품별배치367'!$H$7:$H$373,"본진")</f>
        <v>0</v>
      </c>
      <c r="P982" s="7">
        <f>SUMIFS('05_상품별배치367'!$K$7:$K$373,'05_상품별배치367'!$E$7:$E$373,A982,'05_상품별배치367'!$H$7:$H$373,"추가 진열")</f>
        <v>0</v>
      </c>
      <c r="Q982" s="7">
        <f>O982+P982</f>
        <v>0</v>
      </c>
      <c r="R982" s="7">
        <v>0</v>
      </c>
      <c r="S982" s="6" t="s">
        <v>1810</v>
      </c>
      <c r="T982" s="6" t="s">
        <v>1637</v>
      </c>
      <c r="U982" s="6"/>
      <c r="V982" s="16"/>
      <c r="W982" s="16"/>
      <c r="X982" s="16"/>
      <c r="Y982" s="6" t="s">
        <v>1627</v>
      </c>
      <c r="Z982" s="15"/>
      <c r="AA982" s="15" t="s">
        <v>1628</v>
      </c>
    </row>
    <row r="983" spans="1:27" ht="33" customHeight="1">
      <c r="A983" s="6" t="s">
        <v>4997</v>
      </c>
      <c r="B983" s="7">
        <v>1477</v>
      </c>
      <c r="C983" s="6" t="s">
        <v>4998</v>
      </c>
      <c r="D983" s="6" t="s">
        <v>4999</v>
      </c>
      <c r="E983" s="6" t="s">
        <v>2134</v>
      </c>
      <c r="F983" s="6" t="s">
        <v>2933</v>
      </c>
      <c r="G983" s="6" t="s">
        <v>1668</v>
      </c>
      <c r="H983" s="6"/>
      <c r="I983" s="14" t="s">
        <v>1807</v>
      </c>
      <c r="J983" s="15"/>
      <c r="K983" s="6" t="s">
        <v>1976</v>
      </c>
      <c r="L983" s="6" t="s">
        <v>2032</v>
      </c>
      <c r="M983" s="6" t="s">
        <v>1809</v>
      </c>
      <c r="N983" s="6" t="s">
        <v>1644</v>
      </c>
      <c r="O983" s="7">
        <f>SUMIFS('05_상품별배치367'!$K$7:$K$373,'05_상품별배치367'!$E$7:$E$373,A983,'05_상품별배치367'!$H$7:$H$373,"본진")</f>
        <v>0</v>
      </c>
      <c r="P983" s="7">
        <f>SUMIFS('05_상품별배치367'!$K$7:$K$373,'05_상품별배치367'!$E$7:$E$373,A983,'05_상품별배치367'!$H$7:$H$373,"추가 진열")</f>
        <v>0</v>
      </c>
      <c r="Q983" s="7">
        <f>O983+P983</f>
        <v>0</v>
      </c>
      <c r="R983" s="7">
        <v>0</v>
      </c>
      <c r="S983" s="6" t="s">
        <v>1810</v>
      </c>
      <c r="T983" s="6" t="s">
        <v>1637</v>
      </c>
      <c r="U983" s="6"/>
      <c r="V983" s="16"/>
      <c r="W983" s="16"/>
      <c r="X983" s="16"/>
      <c r="Y983" s="6" t="s">
        <v>1627</v>
      </c>
      <c r="Z983" s="15"/>
      <c r="AA983" s="15" t="s">
        <v>1628</v>
      </c>
    </row>
    <row r="984" spans="1:27" ht="33" customHeight="1">
      <c r="A984" s="6" t="s">
        <v>5002</v>
      </c>
      <c r="B984" s="7">
        <v>1479</v>
      </c>
      <c r="C984" s="6" t="s">
        <v>5003</v>
      </c>
      <c r="D984" s="6" t="s">
        <v>2845</v>
      </c>
      <c r="E984" s="6" t="s">
        <v>1695</v>
      </c>
      <c r="F984" s="6" t="s">
        <v>482</v>
      </c>
      <c r="G984" s="6" t="s">
        <v>272</v>
      </c>
      <c r="H984" s="6"/>
      <c r="I984" s="14" t="s">
        <v>1642</v>
      </c>
      <c r="J984" s="15"/>
      <c r="K984" s="6" t="s">
        <v>1696</v>
      </c>
      <c r="L984" s="6"/>
      <c r="M984" s="6" t="s">
        <v>1643</v>
      </c>
      <c r="N984" s="6" t="s">
        <v>1644</v>
      </c>
      <c r="O984" s="7">
        <f>SUMIFS('05_상품별배치367'!$K$7:$K$373,'05_상품별배치367'!$E$7:$E$373,A984,'05_상품별배치367'!$H$7:$H$373,"본진")</f>
        <v>0</v>
      </c>
      <c r="P984" s="7">
        <f>SUMIFS('05_상품별배치367'!$K$7:$K$373,'05_상품별배치367'!$E$7:$E$373,A984,'05_상품별배치367'!$H$7:$H$373,"추가 진열")</f>
        <v>0</v>
      </c>
      <c r="Q984" s="7">
        <f>O984+P984</f>
        <v>0</v>
      </c>
      <c r="R984" s="7">
        <v>1</v>
      </c>
      <c r="S984" s="6" t="s">
        <v>1942</v>
      </c>
      <c r="T984" s="6" t="s">
        <v>1637</v>
      </c>
      <c r="U984" s="6"/>
      <c r="V984" s="16"/>
      <c r="W984" s="16"/>
      <c r="X984" s="16"/>
      <c r="Y984" s="6" t="s">
        <v>1627</v>
      </c>
      <c r="Z984" s="15"/>
      <c r="AA984" s="15" t="s">
        <v>1628</v>
      </c>
    </row>
    <row r="985" spans="1:27" ht="33" customHeight="1">
      <c r="A985" s="8" t="s">
        <v>5000</v>
      </c>
      <c r="B985" s="9">
        <v>1478</v>
      </c>
      <c r="C985" s="8" t="s">
        <v>5001</v>
      </c>
      <c r="D985" s="8" t="s">
        <v>4999</v>
      </c>
      <c r="E985" s="8" t="s">
        <v>2134</v>
      </c>
      <c r="F985" s="8" t="s">
        <v>2933</v>
      </c>
      <c r="G985" s="8" t="s">
        <v>1668</v>
      </c>
      <c r="H985" s="8"/>
      <c r="I985" s="14" t="s">
        <v>1807</v>
      </c>
      <c r="J985" s="15"/>
      <c r="K985" s="8" t="s">
        <v>1976</v>
      </c>
      <c r="L985" s="8" t="s">
        <v>2032</v>
      </c>
      <c r="M985" s="6" t="s">
        <v>1809</v>
      </c>
      <c r="N985" s="6" t="s">
        <v>1644</v>
      </c>
      <c r="O985" s="7">
        <f>SUMIFS('05_상품별배치367'!$K$7:$K$373,'05_상품별배치367'!$E$7:$E$373,A985,'05_상품별배치367'!$H$7:$H$373,"본진")</f>
        <v>0</v>
      </c>
      <c r="P985" s="7">
        <f>SUMIFS('05_상품별배치367'!$K$7:$K$373,'05_상품별배치367'!$E$7:$E$373,A985,'05_상품별배치367'!$H$7:$H$373,"추가 진열")</f>
        <v>0</v>
      </c>
      <c r="Q985" s="7">
        <f>O985+P985</f>
        <v>0</v>
      </c>
      <c r="R985" s="7">
        <v>0</v>
      </c>
      <c r="S985" s="6" t="s">
        <v>1810</v>
      </c>
      <c r="T985" s="6" t="s">
        <v>1637</v>
      </c>
      <c r="U985" s="6"/>
      <c r="V985" s="16"/>
      <c r="W985" s="16"/>
      <c r="X985" s="16"/>
      <c r="Y985" s="6" t="s">
        <v>1627</v>
      </c>
      <c r="Z985" s="15"/>
      <c r="AA985" s="15" t="s">
        <v>1628</v>
      </c>
    </row>
    <row r="986" spans="1:27" ht="33" customHeight="1">
      <c r="A986" s="6" t="s">
        <v>4992</v>
      </c>
      <c r="B986" s="7">
        <v>1475</v>
      </c>
      <c r="C986" s="6" t="s">
        <v>4993</v>
      </c>
      <c r="D986" s="6" t="s">
        <v>1937</v>
      </c>
      <c r="E986" s="6" t="s">
        <v>1695</v>
      </c>
      <c r="F986" s="6" t="s">
        <v>482</v>
      </c>
      <c r="G986" s="6" t="s">
        <v>272</v>
      </c>
      <c r="H986" s="6"/>
      <c r="I986" s="14" t="s">
        <v>1642</v>
      </c>
      <c r="J986" s="15"/>
      <c r="K986" s="6" t="s">
        <v>1696</v>
      </c>
      <c r="L986" s="6"/>
      <c r="M986" s="6" t="s">
        <v>1643</v>
      </c>
      <c r="N986" s="6" t="s">
        <v>1644</v>
      </c>
      <c r="O986" s="7">
        <f>SUMIFS('05_상품별배치367'!$K$7:$K$373,'05_상품별배치367'!$E$7:$E$373,A986,'05_상품별배치367'!$H$7:$H$373,"본진")</f>
        <v>0</v>
      </c>
      <c r="P986" s="7">
        <f>SUMIFS('05_상품별배치367'!$K$7:$K$373,'05_상품별배치367'!$E$7:$E$373,A986,'05_상품별배치367'!$H$7:$H$373,"추가 진열")</f>
        <v>0</v>
      </c>
      <c r="Q986" s="7">
        <f>O986+P986</f>
        <v>0</v>
      </c>
      <c r="R986" s="7">
        <v>1</v>
      </c>
      <c r="S986" s="6" t="s">
        <v>1942</v>
      </c>
      <c r="T986" s="6" t="s">
        <v>1637</v>
      </c>
      <c r="U986" s="6"/>
      <c r="V986" s="16"/>
      <c r="W986" s="16"/>
      <c r="X986" s="16"/>
      <c r="Y986" s="6" t="s">
        <v>1627</v>
      </c>
      <c r="Z986" s="15"/>
      <c r="AA986" s="15" t="s">
        <v>1628</v>
      </c>
    </row>
    <row r="987" spans="1:27" ht="33" customHeight="1">
      <c r="A987" s="8" t="s">
        <v>4994</v>
      </c>
      <c r="B987" s="9">
        <v>1476</v>
      </c>
      <c r="C987" s="8" t="s">
        <v>4995</v>
      </c>
      <c r="D987" s="8" t="s">
        <v>4996</v>
      </c>
      <c r="E987" s="8" t="s">
        <v>1695</v>
      </c>
      <c r="F987" s="8" t="s">
        <v>482</v>
      </c>
      <c r="G987" s="8" t="s">
        <v>272</v>
      </c>
      <c r="H987" s="8"/>
      <c r="I987" s="14" t="s">
        <v>1642</v>
      </c>
      <c r="J987" s="15"/>
      <c r="K987" s="8" t="s">
        <v>1696</v>
      </c>
      <c r="L987" s="8"/>
      <c r="M987" s="6" t="s">
        <v>1643</v>
      </c>
      <c r="N987" s="6" t="s">
        <v>1644</v>
      </c>
      <c r="O987" s="7">
        <f>SUMIFS('05_상품별배치367'!$K$7:$K$373,'05_상품별배치367'!$E$7:$E$373,A987,'05_상품별배치367'!$H$7:$H$373,"본진")</f>
        <v>0</v>
      </c>
      <c r="P987" s="7">
        <f>SUMIFS('05_상품별배치367'!$K$7:$K$373,'05_상품별배치367'!$E$7:$E$373,A987,'05_상품별배치367'!$H$7:$H$373,"추가 진열")</f>
        <v>0</v>
      </c>
      <c r="Q987" s="7">
        <f>O987+P987</f>
        <v>0</v>
      </c>
      <c r="R987" s="7">
        <v>1</v>
      </c>
      <c r="S987" s="6" t="s">
        <v>1942</v>
      </c>
      <c r="T987" s="6" t="s">
        <v>1637</v>
      </c>
      <c r="U987" s="6"/>
      <c r="V987" s="16"/>
      <c r="W987" s="16"/>
      <c r="X987" s="16"/>
      <c r="Y987" s="6" t="s">
        <v>1627</v>
      </c>
      <c r="Z987" s="15"/>
      <c r="AA987" s="15" t="s">
        <v>1628</v>
      </c>
    </row>
    <row r="988" spans="1:27" ht="33" customHeight="1">
      <c r="A988" s="8" t="s">
        <v>5004</v>
      </c>
      <c r="B988" s="9">
        <v>1480</v>
      </c>
      <c r="C988" s="8" t="s">
        <v>5005</v>
      </c>
      <c r="D988" s="8" t="s">
        <v>5006</v>
      </c>
      <c r="E988" s="8" t="s">
        <v>1986</v>
      </c>
      <c r="F988" s="8" t="s">
        <v>3378</v>
      </c>
      <c r="G988" s="8" t="s">
        <v>38</v>
      </c>
      <c r="H988" s="8"/>
      <c r="I988" s="14" t="s">
        <v>1642</v>
      </c>
      <c r="J988" s="15"/>
      <c r="K988" s="8" t="s">
        <v>1976</v>
      </c>
      <c r="L988" s="8"/>
      <c r="M988" s="6" t="s">
        <v>1643</v>
      </c>
      <c r="N988" s="6" t="s">
        <v>1644</v>
      </c>
      <c r="O988" s="7">
        <f>SUMIFS('05_상품별배치367'!$K$7:$K$373,'05_상품별배치367'!$E$7:$E$373,A988,'05_상품별배치367'!$H$7:$H$373,"본진")</f>
        <v>0</v>
      </c>
      <c r="P988" s="7">
        <f>SUMIFS('05_상품별배치367'!$K$7:$K$373,'05_상품별배치367'!$E$7:$E$373,A988,'05_상품별배치367'!$H$7:$H$373,"추가 진열")</f>
        <v>0</v>
      </c>
      <c r="Q988" s="7">
        <f>O988+P988</f>
        <v>0</v>
      </c>
      <c r="R988" s="7">
        <v>1</v>
      </c>
      <c r="S988" s="6" t="s">
        <v>3379</v>
      </c>
      <c r="T988" s="6" t="s">
        <v>1637</v>
      </c>
      <c r="U988" s="6"/>
      <c r="V988" s="16"/>
      <c r="W988" s="16"/>
      <c r="X988" s="16"/>
      <c r="Y988" s="6" t="s">
        <v>1627</v>
      </c>
      <c r="Z988" s="15"/>
      <c r="AA988" s="15" t="s">
        <v>1628</v>
      </c>
    </row>
    <row r="989" spans="1:27" ht="33" customHeight="1">
      <c r="A989" s="6" t="s">
        <v>6930</v>
      </c>
      <c r="B989" s="7">
        <v>2375</v>
      </c>
      <c r="C989" s="6" t="s">
        <v>6931</v>
      </c>
      <c r="D989" s="6" t="s">
        <v>6932</v>
      </c>
      <c r="E989" s="6" t="s">
        <v>1641</v>
      </c>
      <c r="F989" s="6" t="s">
        <v>670</v>
      </c>
      <c r="G989" s="6" t="s">
        <v>91</v>
      </c>
      <c r="H989" s="6"/>
      <c r="I989" s="14" t="s">
        <v>1642</v>
      </c>
      <c r="J989" s="15"/>
      <c r="K989" s="6" t="s">
        <v>1634</v>
      </c>
      <c r="L989" s="6" t="s">
        <v>3828</v>
      </c>
      <c r="M989" s="6" t="s">
        <v>1643</v>
      </c>
      <c r="N989" s="6" t="s">
        <v>1624</v>
      </c>
      <c r="O989" s="7">
        <f>SUMIFS('05_상품별배치367'!$K$7:$K$373,'05_상품별배치367'!$E$7:$E$373,A989,'05_상품별배치367'!$H$7:$H$373,"본진")</f>
        <v>0</v>
      </c>
      <c r="P989" s="7">
        <f>SUMIFS('05_상품별배치367'!$K$7:$K$373,'05_상품별배치367'!$E$7:$E$373,A989,'05_상품별배치367'!$H$7:$H$373,"추가 진열")</f>
        <v>0</v>
      </c>
      <c r="Q989" s="7">
        <f>O989+P989</f>
        <v>0</v>
      </c>
      <c r="R989" s="7">
        <v>1</v>
      </c>
      <c r="S989" s="6" t="s">
        <v>1645</v>
      </c>
      <c r="T989" s="6" t="s">
        <v>1637</v>
      </c>
      <c r="U989" s="6"/>
      <c r="V989" s="16"/>
      <c r="W989" s="16"/>
      <c r="X989" s="16"/>
      <c r="Y989" s="6" t="s">
        <v>1655</v>
      </c>
      <c r="Z989" s="15"/>
      <c r="AA989" s="15" t="s">
        <v>1628</v>
      </c>
    </row>
    <row r="990" spans="1:27" ht="33" customHeight="1">
      <c r="A990" s="8" t="s">
        <v>4532</v>
      </c>
      <c r="B990" s="9">
        <v>1254</v>
      </c>
      <c r="C990" s="8" t="s">
        <v>4533</v>
      </c>
      <c r="D990" s="8" t="s">
        <v>3008</v>
      </c>
      <c r="E990" s="8" t="s">
        <v>1986</v>
      </c>
      <c r="F990" s="8" t="s">
        <v>493</v>
      </c>
      <c r="G990" s="8" t="s">
        <v>299</v>
      </c>
      <c r="H990" s="8"/>
      <c r="I990" s="14" t="s">
        <v>1642</v>
      </c>
      <c r="J990" s="15"/>
      <c r="K990" s="8" t="s">
        <v>1976</v>
      </c>
      <c r="L990" s="8"/>
      <c r="M990" s="6" t="s">
        <v>1643</v>
      </c>
      <c r="N990" s="6" t="s">
        <v>1644</v>
      </c>
      <c r="O990" s="7">
        <f>SUMIFS('05_상품별배치367'!$K$7:$K$373,'05_상품별배치367'!$E$7:$E$373,A990,'05_상품별배치367'!$H$7:$H$373,"본진")</f>
        <v>0</v>
      </c>
      <c r="P990" s="7">
        <f>SUMIFS('05_상품별배치367'!$K$7:$K$373,'05_상품별배치367'!$E$7:$E$373,A990,'05_상품별배치367'!$H$7:$H$373,"추가 진열")</f>
        <v>0</v>
      </c>
      <c r="Q990" s="7">
        <f>O990+P990</f>
        <v>0</v>
      </c>
      <c r="R990" s="7">
        <v>1</v>
      </c>
      <c r="S990" s="6" t="s">
        <v>3084</v>
      </c>
      <c r="T990" s="6" t="s">
        <v>1637</v>
      </c>
      <c r="U990" s="6"/>
      <c r="V990" s="16"/>
      <c r="W990" s="16"/>
      <c r="X990" s="16"/>
      <c r="Y990" s="6" t="s">
        <v>1627</v>
      </c>
      <c r="Z990" s="15"/>
      <c r="AA990" s="15" t="s">
        <v>1628</v>
      </c>
    </row>
    <row r="991" spans="1:27" ht="33" customHeight="1">
      <c r="A991" s="6" t="s">
        <v>4530</v>
      </c>
      <c r="B991" s="7">
        <v>1253</v>
      </c>
      <c r="C991" s="6" t="s">
        <v>4531</v>
      </c>
      <c r="D991" s="6" t="s">
        <v>2133</v>
      </c>
      <c r="E991" s="6" t="s">
        <v>2134</v>
      </c>
      <c r="F991" s="6" t="s">
        <v>2933</v>
      </c>
      <c r="G991" s="6" t="s">
        <v>1668</v>
      </c>
      <c r="H991" s="6"/>
      <c r="I991" s="14" t="s">
        <v>1807</v>
      </c>
      <c r="J991" s="15"/>
      <c r="K991" s="6" t="s">
        <v>1976</v>
      </c>
      <c r="L991" s="6" t="s">
        <v>2032</v>
      </c>
      <c r="M991" s="6" t="s">
        <v>1809</v>
      </c>
      <c r="N991" s="6" t="s">
        <v>1644</v>
      </c>
      <c r="O991" s="7">
        <f>SUMIFS('05_상품별배치367'!$K$7:$K$373,'05_상품별배치367'!$E$7:$E$373,A991,'05_상품별배치367'!$H$7:$H$373,"본진")</f>
        <v>0</v>
      </c>
      <c r="P991" s="7">
        <f>SUMIFS('05_상품별배치367'!$K$7:$K$373,'05_상품별배치367'!$E$7:$E$373,A991,'05_상품별배치367'!$H$7:$H$373,"추가 진열")</f>
        <v>0</v>
      </c>
      <c r="Q991" s="7">
        <f>O991+P991</f>
        <v>0</v>
      </c>
      <c r="R991" s="7">
        <v>0</v>
      </c>
      <c r="S991" s="6" t="s">
        <v>1810</v>
      </c>
      <c r="T991" s="6" t="s">
        <v>1637</v>
      </c>
      <c r="U991" s="6"/>
      <c r="V991" s="16"/>
      <c r="W991" s="16"/>
      <c r="X991" s="16"/>
      <c r="Y991" s="6" t="s">
        <v>1627</v>
      </c>
      <c r="Z991" s="15"/>
      <c r="AA991" s="15" t="s">
        <v>1628</v>
      </c>
    </row>
    <row r="992" spans="1:27" ht="33" customHeight="1">
      <c r="A992" s="8" t="s">
        <v>5336</v>
      </c>
      <c r="B992" s="9">
        <v>1638</v>
      </c>
      <c r="C992" s="8" t="s">
        <v>5337</v>
      </c>
      <c r="D992" s="8" t="s">
        <v>2133</v>
      </c>
      <c r="E992" s="8" t="s">
        <v>2134</v>
      </c>
      <c r="F992" s="8" t="s">
        <v>1081</v>
      </c>
      <c r="G992" s="8" t="s">
        <v>290</v>
      </c>
      <c r="H992" s="8"/>
      <c r="I992" s="14" t="s">
        <v>1642</v>
      </c>
      <c r="J992" s="15"/>
      <c r="K992" s="8" t="s">
        <v>1976</v>
      </c>
      <c r="L992" s="8"/>
      <c r="M992" s="6" t="s">
        <v>1643</v>
      </c>
      <c r="N992" s="6" t="s">
        <v>1644</v>
      </c>
      <c r="O992" s="7">
        <f>SUMIFS('05_상품별배치367'!$K$7:$K$373,'05_상품별배치367'!$E$7:$E$373,A992,'05_상품별배치367'!$H$7:$H$373,"본진")</f>
        <v>0</v>
      </c>
      <c r="P992" s="7">
        <f>SUMIFS('05_상품별배치367'!$K$7:$K$373,'05_상품별배치367'!$E$7:$E$373,A992,'05_상품별배치367'!$H$7:$H$373,"추가 진열")</f>
        <v>0</v>
      </c>
      <c r="Q992" s="7">
        <f>O992+P992</f>
        <v>0</v>
      </c>
      <c r="R992" s="7">
        <v>1</v>
      </c>
      <c r="S992" s="6" t="s">
        <v>2135</v>
      </c>
      <c r="T992" s="6" t="s">
        <v>1637</v>
      </c>
      <c r="U992" s="6"/>
      <c r="V992" s="16"/>
      <c r="W992" s="16"/>
      <c r="X992" s="16"/>
      <c r="Y992" s="6" t="s">
        <v>1627</v>
      </c>
      <c r="Z992" s="15"/>
      <c r="AA992" s="15" t="s">
        <v>1628</v>
      </c>
    </row>
    <row r="993" spans="1:27" ht="33" customHeight="1">
      <c r="A993" s="6" t="s">
        <v>5338</v>
      </c>
      <c r="B993" s="7">
        <v>1639</v>
      </c>
      <c r="C993" s="6" t="s">
        <v>5339</v>
      </c>
      <c r="D993" s="6" t="s">
        <v>3008</v>
      </c>
      <c r="E993" s="6" t="s">
        <v>2746</v>
      </c>
      <c r="F993" s="6" t="s">
        <v>3635</v>
      </c>
      <c r="G993" s="6" t="s">
        <v>1668</v>
      </c>
      <c r="H993" s="6"/>
      <c r="I993" s="14" t="s">
        <v>1669</v>
      </c>
      <c r="J993" s="15"/>
      <c r="K993" s="6" t="s">
        <v>2748</v>
      </c>
      <c r="L993" s="6"/>
      <c r="M993" s="6" t="s">
        <v>1671</v>
      </c>
      <c r="N993" s="6" t="s">
        <v>1644</v>
      </c>
      <c r="O993" s="7">
        <f>SUMIFS('05_상품별배치367'!$K$7:$K$373,'05_상품별배치367'!$E$7:$E$373,A993,'05_상품별배치367'!$H$7:$H$373,"본진")</f>
        <v>0</v>
      </c>
      <c r="P993" s="7">
        <f>SUMIFS('05_상품별배치367'!$K$7:$K$373,'05_상품별배치367'!$E$7:$E$373,A993,'05_상품별배치367'!$H$7:$H$373,"추가 진열")</f>
        <v>0</v>
      </c>
      <c r="Q993" s="7">
        <f>O993+P993</f>
        <v>0</v>
      </c>
      <c r="R993" s="7">
        <v>0</v>
      </c>
      <c r="S993" s="6" t="s">
        <v>1672</v>
      </c>
      <c r="T993" s="6" t="s">
        <v>1637</v>
      </c>
      <c r="U993" s="6"/>
      <c r="V993" s="16"/>
      <c r="W993" s="16"/>
      <c r="X993" s="16"/>
      <c r="Y993" s="6" t="s">
        <v>1627</v>
      </c>
      <c r="Z993" s="15"/>
      <c r="AA993" s="15" t="s">
        <v>1628</v>
      </c>
    </row>
    <row r="994" spans="1:27" ht="33" customHeight="1">
      <c r="A994" s="8" t="s">
        <v>5340</v>
      </c>
      <c r="B994" s="9">
        <v>1640</v>
      </c>
      <c r="C994" s="8" t="s">
        <v>5341</v>
      </c>
      <c r="D994" s="8" t="s">
        <v>3558</v>
      </c>
      <c r="E994" s="8" t="s">
        <v>2134</v>
      </c>
      <c r="F994" s="8" t="s">
        <v>1081</v>
      </c>
      <c r="G994" s="8" t="s">
        <v>290</v>
      </c>
      <c r="H994" s="8"/>
      <c r="I994" s="14" t="s">
        <v>1642</v>
      </c>
      <c r="J994" s="15"/>
      <c r="K994" s="8" t="s">
        <v>1976</v>
      </c>
      <c r="L994" s="8"/>
      <c r="M994" s="6" t="s">
        <v>1643</v>
      </c>
      <c r="N994" s="6" t="s">
        <v>1644</v>
      </c>
      <c r="O994" s="7">
        <f>SUMIFS('05_상품별배치367'!$K$7:$K$373,'05_상품별배치367'!$E$7:$E$373,A994,'05_상품별배치367'!$H$7:$H$373,"본진")</f>
        <v>0</v>
      </c>
      <c r="P994" s="7">
        <f>SUMIFS('05_상품별배치367'!$K$7:$K$373,'05_상품별배치367'!$E$7:$E$373,A994,'05_상품별배치367'!$H$7:$H$373,"추가 진열")</f>
        <v>0</v>
      </c>
      <c r="Q994" s="7">
        <f>O994+P994</f>
        <v>0</v>
      </c>
      <c r="R994" s="7">
        <v>1</v>
      </c>
      <c r="S994" s="6" t="s">
        <v>2135</v>
      </c>
      <c r="T994" s="6" t="s">
        <v>1637</v>
      </c>
      <c r="U994" s="6"/>
      <c r="V994" s="16"/>
      <c r="W994" s="16"/>
      <c r="X994" s="16"/>
      <c r="Y994" s="6" t="s">
        <v>1627</v>
      </c>
      <c r="Z994" s="15"/>
      <c r="AA994" s="15" t="s">
        <v>1628</v>
      </c>
    </row>
    <row r="995" spans="1:27" ht="33" customHeight="1">
      <c r="A995" s="6" t="s">
        <v>5329</v>
      </c>
      <c r="B995" s="7">
        <v>1635</v>
      </c>
      <c r="C995" s="6" t="s">
        <v>5330</v>
      </c>
      <c r="D995" s="6" t="s">
        <v>1851</v>
      </c>
      <c r="E995" s="6" t="s">
        <v>2134</v>
      </c>
      <c r="F995" s="6" t="s">
        <v>161</v>
      </c>
      <c r="G995" s="6" t="s">
        <v>395</v>
      </c>
      <c r="H995" s="6"/>
      <c r="I995" s="14" t="s">
        <v>1642</v>
      </c>
      <c r="J995" s="15"/>
      <c r="K995" s="6" t="s">
        <v>1976</v>
      </c>
      <c r="L995" s="6"/>
      <c r="M995" s="6" t="s">
        <v>1643</v>
      </c>
      <c r="N995" s="6" t="s">
        <v>1644</v>
      </c>
      <c r="O995" s="7">
        <f>SUMIFS('05_상품별배치367'!$K$7:$K$373,'05_상품별배치367'!$E$7:$E$373,A995,'05_상품별배치367'!$H$7:$H$373,"본진")</f>
        <v>0</v>
      </c>
      <c r="P995" s="7">
        <f>SUMIFS('05_상품별배치367'!$K$7:$K$373,'05_상품별배치367'!$E$7:$E$373,A995,'05_상품별배치367'!$H$7:$H$373,"추가 진열")</f>
        <v>0</v>
      </c>
      <c r="Q995" s="7">
        <f>O995+P995</f>
        <v>0</v>
      </c>
      <c r="R995" s="7">
        <v>1</v>
      </c>
      <c r="S995" s="6" t="s">
        <v>3070</v>
      </c>
      <c r="T995" s="6" t="s">
        <v>1637</v>
      </c>
      <c r="U995" s="6"/>
      <c r="V995" s="16"/>
      <c r="W995" s="16"/>
      <c r="X995" s="16"/>
      <c r="Y995" s="6" t="s">
        <v>1627</v>
      </c>
      <c r="Z995" s="15"/>
      <c r="AA995" s="15" t="s">
        <v>1628</v>
      </c>
    </row>
    <row r="996" spans="1:27" ht="33" customHeight="1">
      <c r="A996" s="6" t="s">
        <v>5342</v>
      </c>
      <c r="B996" s="7">
        <v>1641</v>
      </c>
      <c r="C996" s="6" t="s">
        <v>5343</v>
      </c>
      <c r="D996" s="6" t="s">
        <v>5344</v>
      </c>
      <c r="E996" s="6" t="s">
        <v>2134</v>
      </c>
      <c r="F996" s="6" t="s">
        <v>1081</v>
      </c>
      <c r="G996" s="6" t="s">
        <v>290</v>
      </c>
      <c r="H996" s="6"/>
      <c r="I996" s="14" t="s">
        <v>1642</v>
      </c>
      <c r="J996" s="15"/>
      <c r="K996" s="6" t="s">
        <v>1976</v>
      </c>
      <c r="L996" s="6"/>
      <c r="M996" s="6" t="s">
        <v>1643</v>
      </c>
      <c r="N996" s="6" t="s">
        <v>1644</v>
      </c>
      <c r="O996" s="7">
        <f>SUMIFS('05_상품별배치367'!$K$7:$K$373,'05_상품별배치367'!$E$7:$E$373,A996,'05_상품별배치367'!$H$7:$H$373,"본진")</f>
        <v>0</v>
      </c>
      <c r="P996" s="7">
        <f>SUMIFS('05_상품별배치367'!$K$7:$K$373,'05_상품별배치367'!$E$7:$E$373,A996,'05_상품별배치367'!$H$7:$H$373,"추가 진열")</f>
        <v>0</v>
      </c>
      <c r="Q996" s="7">
        <f>O996+P996</f>
        <v>0</v>
      </c>
      <c r="R996" s="7">
        <v>1</v>
      </c>
      <c r="S996" s="6" t="s">
        <v>2135</v>
      </c>
      <c r="T996" s="6" t="s">
        <v>1637</v>
      </c>
      <c r="U996" s="6"/>
      <c r="V996" s="16"/>
      <c r="W996" s="16"/>
      <c r="X996" s="16"/>
      <c r="Y996" s="6" t="s">
        <v>1627</v>
      </c>
      <c r="Z996" s="15"/>
      <c r="AA996" s="15" t="s">
        <v>1628</v>
      </c>
    </row>
    <row r="997" spans="1:27" ht="33" customHeight="1">
      <c r="A997" s="8" t="s">
        <v>5331</v>
      </c>
      <c r="B997" s="9">
        <v>1636</v>
      </c>
      <c r="C997" s="8" t="s">
        <v>5332</v>
      </c>
      <c r="D997" s="8" t="s">
        <v>2133</v>
      </c>
      <c r="E997" s="8" t="s">
        <v>1986</v>
      </c>
      <c r="F997" s="8" t="s">
        <v>493</v>
      </c>
      <c r="G997" s="8" t="s">
        <v>299</v>
      </c>
      <c r="H997" s="8"/>
      <c r="I997" s="14" t="s">
        <v>1642</v>
      </c>
      <c r="J997" s="15"/>
      <c r="K997" s="8" t="s">
        <v>1976</v>
      </c>
      <c r="L997" s="8"/>
      <c r="M997" s="6" t="s">
        <v>1643</v>
      </c>
      <c r="N997" s="6" t="s">
        <v>1644</v>
      </c>
      <c r="O997" s="7">
        <f>SUMIFS('05_상품별배치367'!$K$7:$K$373,'05_상품별배치367'!$E$7:$E$373,A997,'05_상품별배치367'!$H$7:$H$373,"본진")</f>
        <v>0</v>
      </c>
      <c r="P997" s="7">
        <f>SUMIFS('05_상품별배치367'!$K$7:$K$373,'05_상품별배치367'!$E$7:$E$373,A997,'05_상품별배치367'!$H$7:$H$373,"추가 진열")</f>
        <v>0</v>
      </c>
      <c r="Q997" s="7">
        <f>O997+P997</f>
        <v>0</v>
      </c>
      <c r="R997" s="7">
        <v>1</v>
      </c>
      <c r="S997" s="6" t="s">
        <v>3084</v>
      </c>
      <c r="T997" s="6" t="s">
        <v>1637</v>
      </c>
      <c r="U997" s="6"/>
      <c r="V997" s="16"/>
      <c r="W997" s="16"/>
      <c r="X997" s="16"/>
      <c r="Y997" s="6" t="s">
        <v>1627</v>
      </c>
      <c r="Z997" s="15"/>
      <c r="AA997" s="15" t="s">
        <v>1628</v>
      </c>
    </row>
    <row r="998" spans="1:27" ht="33" customHeight="1">
      <c r="A998" s="8" t="s">
        <v>5327</v>
      </c>
      <c r="B998" s="9">
        <v>1634</v>
      </c>
      <c r="C998" s="8" t="s">
        <v>5328</v>
      </c>
      <c r="D998" s="8" t="s">
        <v>2007</v>
      </c>
      <c r="E998" s="8" t="s">
        <v>1986</v>
      </c>
      <c r="F998" s="8" t="s">
        <v>913</v>
      </c>
      <c r="G998" s="8" t="s">
        <v>201</v>
      </c>
      <c r="H998" s="8"/>
      <c r="I998" s="14" t="s">
        <v>1642</v>
      </c>
      <c r="J998" s="15"/>
      <c r="K998" s="8" t="s">
        <v>1976</v>
      </c>
      <c r="L998" s="8"/>
      <c r="M998" s="6" t="s">
        <v>1643</v>
      </c>
      <c r="N998" s="6" t="s">
        <v>1644</v>
      </c>
      <c r="O998" s="7">
        <f>SUMIFS('05_상품별배치367'!$K$7:$K$373,'05_상품별배치367'!$E$7:$E$373,A998,'05_상품별배치367'!$H$7:$H$373,"본진")</f>
        <v>0</v>
      </c>
      <c r="P998" s="7">
        <f>SUMIFS('05_상품별배치367'!$K$7:$K$373,'05_상품별배치367'!$E$7:$E$373,A998,'05_상품별배치367'!$H$7:$H$373,"추가 진열")</f>
        <v>0</v>
      </c>
      <c r="Q998" s="7">
        <f>O998+P998</f>
        <v>0</v>
      </c>
      <c r="R998" s="7">
        <v>1</v>
      </c>
      <c r="S998" s="6" t="s">
        <v>2907</v>
      </c>
      <c r="T998" s="6" t="s">
        <v>1637</v>
      </c>
      <c r="U998" s="6"/>
      <c r="V998" s="16"/>
      <c r="W998" s="16"/>
      <c r="X998" s="16"/>
      <c r="Y998" s="6" t="s">
        <v>1627</v>
      </c>
      <c r="Z998" s="15"/>
      <c r="AA998" s="15" t="s">
        <v>1628</v>
      </c>
    </row>
    <row r="999" spans="1:27" ht="33" customHeight="1">
      <c r="A999" s="6" t="s">
        <v>5333</v>
      </c>
      <c r="B999" s="7">
        <v>1637</v>
      </c>
      <c r="C999" s="6" t="s">
        <v>5334</v>
      </c>
      <c r="D999" s="6" t="s">
        <v>5335</v>
      </c>
      <c r="E999" s="6" t="s">
        <v>1986</v>
      </c>
      <c r="F999" s="6" t="s">
        <v>3378</v>
      </c>
      <c r="G999" s="6" t="s">
        <v>38</v>
      </c>
      <c r="H999" s="6"/>
      <c r="I999" s="14" t="s">
        <v>1642</v>
      </c>
      <c r="J999" s="15"/>
      <c r="K999" s="6" t="s">
        <v>1976</v>
      </c>
      <c r="L999" s="6"/>
      <c r="M999" s="6" t="s">
        <v>1643</v>
      </c>
      <c r="N999" s="6" t="s">
        <v>1644</v>
      </c>
      <c r="O999" s="7">
        <f>SUMIFS('05_상품별배치367'!$K$7:$K$373,'05_상품별배치367'!$E$7:$E$373,A999,'05_상품별배치367'!$H$7:$H$373,"본진")</f>
        <v>0</v>
      </c>
      <c r="P999" s="7">
        <f>SUMIFS('05_상품별배치367'!$K$7:$K$373,'05_상품별배치367'!$E$7:$E$373,A999,'05_상품별배치367'!$H$7:$H$373,"추가 진열")</f>
        <v>0</v>
      </c>
      <c r="Q999" s="7">
        <f>O999+P999</f>
        <v>0</v>
      </c>
      <c r="R999" s="7">
        <v>1</v>
      </c>
      <c r="S999" s="6" t="s">
        <v>3379</v>
      </c>
      <c r="T999" s="6" t="s">
        <v>1637</v>
      </c>
      <c r="U999" s="6"/>
      <c r="V999" s="16"/>
      <c r="W999" s="16"/>
      <c r="X999" s="16"/>
      <c r="Y999" s="6" t="s">
        <v>1627</v>
      </c>
      <c r="Z999" s="15"/>
      <c r="AA999" s="15" t="s">
        <v>1628</v>
      </c>
    </row>
    <row r="1000" spans="1:27" ht="33" customHeight="1">
      <c r="A1000" s="6" t="s">
        <v>3525</v>
      </c>
      <c r="B1000" s="7">
        <v>787</v>
      </c>
      <c r="C1000" s="6" t="s">
        <v>3526</v>
      </c>
      <c r="D1000" s="6" t="s">
        <v>1926</v>
      </c>
      <c r="E1000" s="6" t="s">
        <v>2134</v>
      </c>
      <c r="F1000" s="6" t="s">
        <v>163</v>
      </c>
      <c r="G1000" s="6" t="s">
        <v>414</v>
      </c>
      <c r="H1000" s="6"/>
      <c r="I1000" s="14" t="s">
        <v>1642</v>
      </c>
      <c r="J1000" s="15"/>
      <c r="K1000" s="6" t="s">
        <v>1976</v>
      </c>
      <c r="L1000" s="6"/>
      <c r="M1000" s="6" t="s">
        <v>1643</v>
      </c>
      <c r="N1000" s="6" t="s">
        <v>1644</v>
      </c>
      <c r="O1000" s="7">
        <f>SUMIFS('05_상품별배치367'!$K$7:$K$373,'05_상품별배치367'!$E$7:$E$373,A1000,'05_상품별배치367'!$H$7:$H$373,"본진")</f>
        <v>0</v>
      </c>
      <c r="P1000" s="7">
        <f>SUMIFS('05_상품별배치367'!$K$7:$K$373,'05_상품별배치367'!$E$7:$E$373,A1000,'05_상품별배치367'!$H$7:$H$373,"추가 진열")</f>
        <v>0</v>
      </c>
      <c r="Q1000" s="7">
        <f>O1000+P1000</f>
        <v>0</v>
      </c>
      <c r="R1000" s="7">
        <v>1</v>
      </c>
      <c r="S1000" s="6" t="s">
        <v>3048</v>
      </c>
      <c r="T1000" s="6" t="s">
        <v>1637</v>
      </c>
      <c r="U1000" s="6"/>
      <c r="V1000" s="16"/>
      <c r="W1000" s="16"/>
      <c r="X1000" s="16"/>
      <c r="Y1000" s="6" t="s">
        <v>1627</v>
      </c>
      <c r="Z1000" s="15"/>
      <c r="AA1000" s="15" t="s">
        <v>1628</v>
      </c>
    </row>
    <row r="1001" spans="1:27" ht="33" customHeight="1">
      <c r="A1001" s="6" t="s">
        <v>3521</v>
      </c>
      <c r="B1001" s="7">
        <v>785</v>
      </c>
      <c r="C1001" s="6" t="s">
        <v>3522</v>
      </c>
      <c r="D1001" s="6" t="s">
        <v>2133</v>
      </c>
      <c r="E1001" s="6" t="s">
        <v>2134</v>
      </c>
      <c r="F1001" s="6" t="s">
        <v>163</v>
      </c>
      <c r="G1001" s="6" t="s">
        <v>414</v>
      </c>
      <c r="H1001" s="6"/>
      <c r="I1001" s="14" t="s">
        <v>1642</v>
      </c>
      <c r="J1001" s="15"/>
      <c r="K1001" s="6" t="s">
        <v>1976</v>
      </c>
      <c r="L1001" s="6"/>
      <c r="M1001" s="6" t="s">
        <v>1643</v>
      </c>
      <c r="N1001" s="6" t="s">
        <v>1644</v>
      </c>
      <c r="O1001" s="7">
        <f>SUMIFS('05_상품별배치367'!$K$7:$K$373,'05_상품별배치367'!$E$7:$E$373,A1001,'05_상품별배치367'!$H$7:$H$373,"본진")</f>
        <v>0</v>
      </c>
      <c r="P1001" s="7">
        <f>SUMIFS('05_상품별배치367'!$K$7:$K$373,'05_상품별배치367'!$E$7:$E$373,A1001,'05_상품별배치367'!$H$7:$H$373,"추가 진열")</f>
        <v>0</v>
      </c>
      <c r="Q1001" s="7">
        <f>O1001+P1001</f>
        <v>0</v>
      </c>
      <c r="R1001" s="7">
        <v>1</v>
      </c>
      <c r="S1001" s="6" t="s">
        <v>3048</v>
      </c>
      <c r="T1001" s="6" t="s">
        <v>1637</v>
      </c>
      <c r="U1001" s="6"/>
      <c r="V1001" s="16"/>
      <c r="W1001" s="16"/>
      <c r="X1001" s="16"/>
      <c r="Y1001" s="6" t="s">
        <v>1627</v>
      </c>
      <c r="Z1001" s="15"/>
      <c r="AA1001" s="15" t="s">
        <v>1628</v>
      </c>
    </row>
    <row r="1002" spans="1:27" ht="33" customHeight="1">
      <c r="A1002" s="8" t="s">
        <v>3523</v>
      </c>
      <c r="B1002" s="9">
        <v>786</v>
      </c>
      <c r="C1002" s="8" t="s">
        <v>3524</v>
      </c>
      <c r="D1002" s="8" t="s">
        <v>2133</v>
      </c>
      <c r="E1002" s="8" t="s">
        <v>2134</v>
      </c>
      <c r="F1002" s="8" t="s">
        <v>163</v>
      </c>
      <c r="G1002" s="8" t="s">
        <v>414</v>
      </c>
      <c r="H1002" s="8"/>
      <c r="I1002" s="14" t="s">
        <v>1642</v>
      </c>
      <c r="J1002" s="15"/>
      <c r="K1002" s="8" t="s">
        <v>1976</v>
      </c>
      <c r="L1002" s="8"/>
      <c r="M1002" s="6" t="s">
        <v>1643</v>
      </c>
      <c r="N1002" s="6" t="s">
        <v>1644</v>
      </c>
      <c r="O1002" s="7">
        <f>SUMIFS('05_상품별배치367'!$K$7:$K$373,'05_상품별배치367'!$E$7:$E$373,A1002,'05_상품별배치367'!$H$7:$H$373,"본진")</f>
        <v>0</v>
      </c>
      <c r="P1002" s="7">
        <f>SUMIFS('05_상품별배치367'!$K$7:$K$373,'05_상품별배치367'!$E$7:$E$373,A1002,'05_상품별배치367'!$H$7:$H$373,"추가 진열")</f>
        <v>0</v>
      </c>
      <c r="Q1002" s="7">
        <f>O1002+P1002</f>
        <v>0</v>
      </c>
      <c r="R1002" s="7">
        <v>1</v>
      </c>
      <c r="S1002" s="6" t="s">
        <v>3048</v>
      </c>
      <c r="T1002" s="6" t="s">
        <v>1637</v>
      </c>
      <c r="U1002" s="6"/>
      <c r="V1002" s="16"/>
      <c r="W1002" s="16"/>
      <c r="X1002" s="16"/>
      <c r="Y1002" s="6" t="s">
        <v>1627</v>
      </c>
      <c r="Z1002" s="15"/>
      <c r="AA1002" s="15" t="s">
        <v>1628</v>
      </c>
    </row>
    <row r="1003" spans="1:27" ht="33" customHeight="1">
      <c r="A1003" s="8" t="s">
        <v>3519</v>
      </c>
      <c r="B1003" s="9">
        <v>784</v>
      </c>
      <c r="C1003" s="8" t="s">
        <v>3520</v>
      </c>
      <c r="D1003" s="8" t="s">
        <v>2899</v>
      </c>
      <c r="E1003" s="8" t="s">
        <v>2134</v>
      </c>
      <c r="F1003" s="8" t="s">
        <v>163</v>
      </c>
      <c r="G1003" s="8" t="s">
        <v>414</v>
      </c>
      <c r="H1003" s="8"/>
      <c r="I1003" s="14" t="s">
        <v>1642</v>
      </c>
      <c r="J1003" s="15"/>
      <c r="K1003" s="8" t="s">
        <v>1976</v>
      </c>
      <c r="L1003" s="8"/>
      <c r="M1003" s="6" t="s">
        <v>1643</v>
      </c>
      <c r="N1003" s="6" t="s">
        <v>1644</v>
      </c>
      <c r="O1003" s="7">
        <f>SUMIFS('05_상품별배치367'!$K$7:$K$373,'05_상품별배치367'!$E$7:$E$373,A1003,'05_상품별배치367'!$H$7:$H$373,"본진")</f>
        <v>0</v>
      </c>
      <c r="P1003" s="7">
        <f>SUMIFS('05_상품별배치367'!$K$7:$K$373,'05_상품별배치367'!$E$7:$E$373,A1003,'05_상품별배치367'!$H$7:$H$373,"추가 진열")</f>
        <v>0</v>
      </c>
      <c r="Q1003" s="7">
        <f>O1003+P1003</f>
        <v>0</v>
      </c>
      <c r="R1003" s="7">
        <v>1</v>
      </c>
      <c r="S1003" s="6" t="s">
        <v>3048</v>
      </c>
      <c r="T1003" s="6" t="s">
        <v>1637</v>
      </c>
      <c r="U1003" s="6"/>
      <c r="V1003" s="16"/>
      <c r="W1003" s="16"/>
      <c r="X1003" s="16"/>
      <c r="Y1003" s="6" t="s">
        <v>1627</v>
      </c>
      <c r="Z1003" s="15"/>
      <c r="AA1003" s="15" t="s">
        <v>1628</v>
      </c>
    </row>
    <row r="1004" spans="1:27" ht="33" customHeight="1">
      <c r="A1004" s="8" t="s">
        <v>3527</v>
      </c>
      <c r="B1004" s="9">
        <v>788</v>
      </c>
      <c r="C1004" s="8" t="s">
        <v>3528</v>
      </c>
      <c r="D1004" s="8" t="s">
        <v>2133</v>
      </c>
      <c r="E1004" s="8" t="s">
        <v>2134</v>
      </c>
      <c r="F1004" s="8" t="s">
        <v>161</v>
      </c>
      <c r="G1004" s="8" t="s">
        <v>395</v>
      </c>
      <c r="H1004" s="8"/>
      <c r="I1004" s="14" t="s">
        <v>1642</v>
      </c>
      <c r="J1004" s="15"/>
      <c r="K1004" s="8" t="s">
        <v>1976</v>
      </c>
      <c r="L1004" s="8"/>
      <c r="M1004" s="6" t="s">
        <v>1643</v>
      </c>
      <c r="N1004" s="6" t="s">
        <v>1644</v>
      </c>
      <c r="O1004" s="7">
        <f>SUMIFS('05_상품별배치367'!$K$7:$K$373,'05_상품별배치367'!$E$7:$E$373,A1004,'05_상품별배치367'!$H$7:$H$373,"본진")</f>
        <v>0</v>
      </c>
      <c r="P1004" s="7">
        <f>SUMIFS('05_상품별배치367'!$K$7:$K$373,'05_상품별배치367'!$E$7:$E$373,A1004,'05_상품별배치367'!$H$7:$H$373,"추가 진열")</f>
        <v>0</v>
      </c>
      <c r="Q1004" s="7">
        <f>O1004+P1004</f>
        <v>0</v>
      </c>
      <c r="R1004" s="7">
        <v>1</v>
      </c>
      <c r="S1004" s="6" t="s">
        <v>3070</v>
      </c>
      <c r="T1004" s="6" t="s">
        <v>1637</v>
      </c>
      <c r="U1004" s="6"/>
      <c r="V1004" s="16"/>
      <c r="W1004" s="16"/>
      <c r="X1004" s="16"/>
      <c r="Y1004" s="6" t="s">
        <v>1627</v>
      </c>
      <c r="Z1004" s="15"/>
      <c r="AA1004" s="15" t="s">
        <v>1628</v>
      </c>
    </row>
    <row r="1005" spans="1:27" ht="33" customHeight="1">
      <c r="A1005" s="6" t="s">
        <v>3529</v>
      </c>
      <c r="B1005" s="7">
        <v>789</v>
      </c>
      <c r="C1005" s="6" t="s">
        <v>3530</v>
      </c>
      <c r="D1005" s="6" t="s">
        <v>2856</v>
      </c>
      <c r="E1005" s="6" t="s">
        <v>2134</v>
      </c>
      <c r="F1005" s="6" t="s">
        <v>2933</v>
      </c>
      <c r="G1005" s="6" t="s">
        <v>1668</v>
      </c>
      <c r="H1005" s="6"/>
      <c r="I1005" s="14" t="s">
        <v>1807</v>
      </c>
      <c r="J1005" s="15"/>
      <c r="K1005" s="6" t="s">
        <v>1976</v>
      </c>
      <c r="L1005" s="6" t="s">
        <v>2032</v>
      </c>
      <c r="M1005" s="6" t="s">
        <v>1809</v>
      </c>
      <c r="N1005" s="6" t="s">
        <v>1644</v>
      </c>
      <c r="O1005" s="7">
        <f>SUMIFS('05_상품별배치367'!$K$7:$K$373,'05_상품별배치367'!$E$7:$E$373,A1005,'05_상품별배치367'!$H$7:$H$373,"본진")</f>
        <v>0</v>
      </c>
      <c r="P1005" s="7">
        <f>SUMIFS('05_상품별배치367'!$K$7:$K$373,'05_상품별배치367'!$E$7:$E$373,A1005,'05_상품별배치367'!$H$7:$H$373,"추가 진열")</f>
        <v>0</v>
      </c>
      <c r="Q1005" s="7">
        <f>O1005+P1005</f>
        <v>0</v>
      </c>
      <c r="R1005" s="7">
        <v>0</v>
      </c>
      <c r="S1005" s="6" t="s">
        <v>1810</v>
      </c>
      <c r="T1005" s="6" t="s">
        <v>1637</v>
      </c>
      <c r="U1005" s="6"/>
      <c r="V1005" s="16"/>
      <c r="W1005" s="16"/>
      <c r="X1005" s="16"/>
      <c r="Y1005" s="6" t="s">
        <v>1627</v>
      </c>
      <c r="Z1005" s="15"/>
      <c r="AA1005" s="15" t="s">
        <v>1628</v>
      </c>
    </row>
    <row r="1006" spans="1:27" ht="33" customHeight="1">
      <c r="A1006" s="8" t="s">
        <v>3531</v>
      </c>
      <c r="B1006" s="9">
        <v>790</v>
      </c>
      <c r="C1006" s="8" t="s">
        <v>3532</v>
      </c>
      <c r="D1006" s="8" t="s">
        <v>2133</v>
      </c>
      <c r="E1006" s="8" t="s">
        <v>2134</v>
      </c>
      <c r="F1006" s="8" t="s">
        <v>2933</v>
      </c>
      <c r="G1006" s="8" t="s">
        <v>1668</v>
      </c>
      <c r="H1006" s="8"/>
      <c r="I1006" s="14" t="s">
        <v>1807</v>
      </c>
      <c r="J1006" s="15"/>
      <c r="K1006" s="8" t="s">
        <v>1976</v>
      </c>
      <c r="L1006" s="8" t="s">
        <v>2032</v>
      </c>
      <c r="M1006" s="6" t="s">
        <v>1809</v>
      </c>
      <c r="N1006" s="6" t="s">
        <v>1644</v>
      </c>
      <c r="O1006" s="7">
        <f>SUMIFS('05_상품별배치367'!$K$7:$K$373,'05_상품별배치367'!$E$7:$E$373,A1006,'05_상품별배치367'!$H$7:$H$373,"본진")</f>
        <v>0</v>
      </c>
      <c r="P1006" s="7">
        <f>SUMIFS('05_상품별배치367'!$K$7:$K$373,'05_상품별배치367'!$E$7:$E$373,A1006,'05_상품별배치367'!$H$7:$H$373,"추가 진열")</f>
        <v>0</v>
      </c>
      <c r="Q1006" s="7">
        <f>O1006+P1006</f>
        <v>0</v>
      </c>
      <c r="R1006" s="7">
        <v>0</v>
      </c>
      <c r="S1006" s="6" t="s">
        <v>1810</v>
      </c>
      <c r="T1006" s="6" t="s">
        <v>1637</v>
      </c>
      <c r="U1006" s="6"/>
      <c r="V1006" s="16"/>
      <c r="W1006" s="16"/>
      <c r="X1006" s="16"/>
      <c r="Y1006" s="6" t="s">
        <v>1627</v>
      </c>
      <c r="Z1006" s="15"/>
      <c r="AA1006" s="15" t="s">
        <v>1628</v>
      </c>
    </row>
    <row r="1007" spans="1:27" ht="33" customHeight="1">
      <c r="A1007" s="6" t="s">
        <v>6201</v>
      </c>
      <c r="B1007" s="7">
        <v>2033</v>
      </c>
      <c r="C1007" s="6" t="s">
        <v>6202</v>
      </c>
      <c r="D1007" s="6" t="s">
        <v>1694</v>
      </c>
      <c r="E1007" s="6" t="s">
        <v>1641</v>
      </c>
      <c r="F1007" s="6" t="s">
        <v>670</v>
      </c>
      <c r="G1007" s="6" t="s">
        <v>91</v>
      </c>
      <c r="H1007" s="6"/>
      <c r="I1007" s="14" t="s">
        <v>1642</v>
      </c>
      <c r="J1007" s="15"/>
      <c r="K1007" s="6" t="s">
        <v>1634</v>
      </c>
      <c r="L1007" s="6" t="s">
        <v>3828</v>
      </c>
      <c r="M1007" s="6" t="s">
        <v>1643</v>
      </c>
      <c r="N1007" s="6" t="s">
        <v>1624</v>
      </c>
      <c r="O1007" s="7">
        <f>SUMIFS('05_상품별배치367'!$K$7:$K$373,'05_상품별배치367'!$E$7:$E$373,A1007,'05_상품별배치367'!$H$7:$H$373,"본진")</f>
        <v>0</v>
      </c>
      <c r="P1007" s="7">
        <f>SUMIFS('05_상품별배치367'!$K$7:$K$373,'05_상품별배치367'!$E$7:$E$373,A1007,'05_상품별배치367'!$H$7:$H$373,"추가 진열")</f>
        <v>0</v>
      </c>
      <c r="Q1007" s="7">
        <f>O1007+P1007</f>
        <v>0</v>
      </c>
      <c r="R1007" s="7">
        <v>1</v>
      </c>
      <c r="S1007" s="6" t="s">
        <v>1645</v>
      </c>
      <c r="T1007" s="6" t="s">
        <v>1637</v>
      </c>
      <c r="U1007" s="6"/>
      <c r="V1007" s="16"/>
      <c r="W1007" s="16"/>
      <c r="X1007" s="16"/>
      <c r="Y1007" s="6" t="s">
        <v>1627</v>
      </c>
      <c r="Z1007" s="15"/>
      <c r="AA1007" s="15" t="s">
        <v>1628</v>
      </c>
    </row>
    <row r="1008" spans="1:27" ht="33" customHeight="1">
      <c r="A1008" s="6" t="s">
        <v>6165</v>
      </c>
      <c r="B1008" s="7">
        <v>2019</v>
      </c>
      <c r="C1008" s="6" t="s">
        <v>6166</v>
      </c>
      <c r="D1008" s="6" t="s">
        <v>6017</v>
      </c>
      <c r="E1008" s="6" t="s">
        <v>1641</v>
      </c>
      <c r="F1008" s="6" t="s">
        <v>670</v>
      </c>
      <c r="G1008" s="6" t="s">
        <v>91</v>
      </c>
      <c r="H1008" s="6" t="s">
        <v>674</v>
      </c>
      <c r="I1008" s="14" t="s">
        <v>1621</v>
      </c>
      <c r="J1008" s="15"/>
      <c r="K1008" s="6" t="s">
        <v>1634</v>
      </c>
      <c r="L1008" s="6" t="s">
        <v>3828</v>
      </c>
      <c r="M1008" s="6" t="s">
        <v>1623</v>
      </c>
      <c r="N1008" s="6" t="s">
        <v>1624</v>
      </c>
      <c r="O1008" s="7">
        <f>SUMIFS('05_상품별배치367'!$K$7:$K$373,'05_상품별배치367'!$E$7:$E$373,A1008,'05_상품별배치367'!$H$7:$H$373,"본진")</f>
        <v>1</v>
      </c>
      <c r="P1008" s="7">
        <f>SUMIFS('05_상품별배치367'!$K$7:$K$373,'05_상품별배치367'!$E$7:$E$373,A1008,'05_상품별배치367'!$H$7:$H$373,"추가 진열")</f>
        <v>0</v>
      </c>
      <c r="Q1008" s="7">
        <f>O1008+P1008</f>
        <v>1</v>
      </c>
      <c r="R1008" s="7">
        <v>1</v>
      </c>
      <c r="S1008" s="6" t="s">
        <v>1625</v>
      </c>
      <c r="T1008" s="6" t="s">
        <v>1637</v>
      </c>
      <c r="U1008" s="6"/>
      <c r="V1008" s="16"/>
      <c r="W1008" s="16"/>
      <c r="X1008" s="16"/>
      <c r="Y1008" s="6" t="s">
        <v>1627</v>
      </c>
      <c r="Z1008" s="15"/>
      <c r="AA1008" s="15" t="s">
        <v>1628</v>
      </c>
    </row>
    <row r="1009" spans="1:27" ht="33" customHeight="1">
      <c r="A1009" s="6" t="s">
        <v>3435</v>
      </c>
      <c r="B1009" s="7">
        <v>743</v>
      </c>
      <c r="C1009" s="6" t="s">
        <v>3436</v>
      </c>
      <c r="D1009" s="6" t="s">
        <v>2714</v>
      </c>
      <c r="E1009" s="6" t="s">
        <v>2134</v>
      </c>
      <c r="F1009" s="6" t="s">
        <v>481</v>
      </c>
      <c r="G1009" s="6" t="s">
        <v>193</v>
      </c>
      <c r="H1009" s="6"/>
      <c r="I1009" s="14" t="s">
        <v>1642</v>
      </c>
      <c r="J1009" s="15"/>
      <c r="K1009" s="6" t="s">
        <v>1976</v>
      </c>
      <c r="L1009" s="6"/>
      <c r="M1009" s="6" t="s">
        <v>1643</v>
      </c>
      <c r="N1009" s="6" t="s">
        <v>1644</v>
      </c>
      <c r="O1009" s="7">
        <f>SUMIFS('05_상품별배치367'!$K$7:$K$373,'05_상품별배치367'!$E$7:$E$373,A1009,'05_상품별배치367'!$H$7:$H$373,"본진")</f>
        <v>0</v>
      </c>
      <c r="P1009" s="7">
        <f>SUMIFS('05_상품별배치367'!$K$7:$K$373,'05_상품별배치367'!$E$7:$E$373,A1009,'05_상품별배치367'!$H$7:$H$373,"추가 진열")</f>
        <v>0</v>
      </c>
      <c r="Q1009" s="7">
        <f>O1009+P1009</f>
        <v>0</v>
      </c>
      <c r="R1009" s="7">
        <v>1</v>
      </c>
      <c r="S1009" s="6" t="s">
        <v>3000</v>
      </c>
      <c r="T1009" s="6" t="s">
        <v>1637</v>
      </c>
      <c r="U1009" s="6"/>
      <c r="V1009" s="16"/>
      <c r="W1009" s="16"/>
      <c r="X1009" s="16"/>
      <c r="Y1009" s="6" t="s">
        <v>1627</v>
      </c>
      <c r="Z1009" s="15"/>
      <c r="AA1009" s="15" t="s">
        <v>1628</v>
      </c>
    </row>
    <row r="1010" spans="1:27" ht="33" customHeight="1">
      <c r="A1010" s="8" t="s">
        <v>3432</v>
      </c>
      <c r="B1010" s="9">
        <v>742</v>
      </c>
      <c r="C1010" s="8" t="s">
        <v>3433</v>
      </c>
      <c r="D1010" s="8" t="s">
        <v>3434</v>
      </c>
      <c r="E1010" s="8" t="s">
        <v>2134</v>
      </c>
      <c r="F1010" s="8" t="s">
        <v>162</v>
      </c>
      <c r="G1010" s="8" t="s">
        <v>404</v>
      </c>
      <c r="H1010" s="8"/>
      <c r="I1010" s="14" t="s">
        <v>1642</v>
      </c>
      <c r="J1010" s="15"/>
      <c r="K1010" s="8" t="s">
        <v>1976</v>
      </c>
      <c r="L1010" s="8"/>
      <c r="M1010" s="6" t="s">
        <v>1643</v>
      </c>
      <c r="N1010" s="6" t="s">
        <v>1644</v>
      </c>
      <c r="O1010" s="7">
        <f>SUMIFS('05_상품별배치367'!$K$7:$K$373,'05_상품별배치367'!$E$7:$E$373,A1010,'05_상품별배치367'!$H$7:$H$373,"본진")</f>
        <v>0</v>
      </c>
      <c r="P1010" s="7">
        <f>SUMIFS('05_상품별배치367'!$K$7:$K$373,'05_상품별배치367'!$E$7:$E$373,A1010,'05_상품별배치367'!$H$7:$H$373,"추가 진열")</f>
        <v>0</v>
      </c>
      <c r="Q1010" s="7">
        <f>O1010+P1010</f>
        <v>0</v>
      </c>
      <c r="R1010" s="7">
        <v>1</v>
      </c>
      <c r="S1010" s="6" t="s">
        <v>2996</v>
      </c>
      <c r="T1010" s="6" t="s">
        <v>1637</v>
      </c>
      <c r="U1010" s="6"/>
      <c r="V1010" s="16"/>
      <c r="W1010" s="16"/>
      <c r="X1010" s="16"/>
      <c r="Y1010" s="6" t="s">
        <v>1627</v>
      </c>
      <c r="Z1010" s="15"/>
      <c r="AA1010" s="15" t="s">
        <v>1628</v>
      </c>
    </row>
    <row r="1011" spans="1:27" ht="33" customHeight="1">
      <c r="A1011" s="6" t="s">
        <v>3430</v>
      </c>
      <c r="B1011" s="7">
        <v>741</v>
      </c>
      <c r="C1011" s="6" t="s">
        <v>3431</v>
      </c>
      <c r="D1011" s="6" t="s">
        <v>2913</v>
      </c>
      <c r="E1011" s="6" t="s">
        <v>2134</v>
      </c>
      <c r="F1011" s="6" t="s">
        <v>162</v>
      </c>
      <c r="G1011" s="6" t="s">
        <v>404</v>
      </c>
      <c r="H1011" s="6"/>
      <c r="I1011" s="14" t="s">
        <v>1642</v>
      </c>
      <c r="J1011" s="15"/>
      <c r="K1011" s="6" t="s">
        <v>1976</v>
      </c>
      <c r="L1011" s="6"/>
      <c r="M1011" s="6" t="s">
        <v>1643</v>
      </c>
      <c r="N1011" s="6" t="s">
        <v>1644</v>
      </c>
      <c r="O1011" s="7">
        <f>SUMIFS('05_상품별배치367'!$K$7:$K$373,'05_상품별배치367'!$E$7:$E$373,A1011,'05_상품별배치367'!$H$7:$H$373,"본진")</f>
        <v>0</v>
      </c>
      <c r="P1011" s="7">
        <f>SUMIFS('05_상품별배치367'!$K$7:$K$373,'05_상품별배치367'!$E$7:$E$373,A1011,'05_상품별배치367'!$H$7:$H$373,"추가 진열")</f>
        <v>0</v>
      </c>
      <c r="Q1011" s="7">
        <f>O1011+P1011</f>
        <v>0</v>
      </c>
      <c r="R1011" s="7">
        <v>1</v>
      </c>
      <c r="S1011" s="6" t="s">
        <v>2996</v>
      </c>
      <c r="T1011" s="6" t="s">
        <v>1637</v>
      </c>
      <c r="U1011" s="6"/>
      <c r="V1011" s="16"/>
      <c r="W1011" s="16"/>
      <c r="X1011" s="16"/>
      <c r="Y1011" s="6" t="s">
        <v>1627</v>
      </c>
      <c r="Z1011" s="15"/>
      <c r="AA1011" s="15" t="s">
        <v>1628</v>
      </c>
    </row>
    <row r="1012" spans="1:27" ht="33" customHeight="1">
      <c r="A1012" s="8" t="s">
        <v>5345</v>
      </c>
      <c r="B1012" s="9">
        <v>1642</v>
      </c>
      <c r="C1012" s="8" t="s">
        <v>5346</v>
      </c>
      <c r="D1012" s="8" t="s">
        <v>3350</v>
      </c>
      <c r="E1012" s="8" t="s">
        <v>2134</v>
      </c>
      <c r="F1012" s="8" t="s">
        <v>1263</v>
      </c>
      <c r="G1012" s="8" t="s">
        <v>376</v>
      </c>
      <c r="H1012" s="8"/>
      <c r="I1012" s="14" t="s">
        <v>1642</v>
      </c>
      <c r="J1012" s="15"/>
      <c r="K1012" s="8" t="s">
        <v>1976</v>
      </c>
      <c r="L1012" s="8"/>
      <c r="M1012" s="6" t="s">
        <v>1643</v>
      </c>
      <c r="N1012" s="6" t="s">
        <v>1644</v>
      </c>
      <c r="O1012" s="7">
        <f>SUMIFS('05_상품별배치367'!$K$7:$K$373,'05_상품별배치367'!$E$7:$E$373,A1012,'05_상품별배치367'!$H$7:$H$373,"본진")</f>
        <v>0</v>
      </c>
      <c r="P1012" s="7">
        <f>SUMIFS('05_상품별배치367'!$K$7:$K$373,'05_상품별배치367'!$E$7:$E$373,A1012,'05_상품별배치367'!$H$7:$H$373,"추가 진열")</f>
        <v>0</v>
      </c>
      <c r="Q1012" s="7">
        <f>O1012+P1012</f>
        <v>0</v>
      </c>
      <c r="R1012" s="7">
        <v>1</v>
      </c>
      <c r="S1012" s="6" t="s">
        <v>3016</v>
      </c>
      <c r="T1012" s="6" t="s">
        <v>1637</v>
      </c>
      <c r="U1012" s="6"/>
      <c r="V1012" s="16"/>
      <c r="W1012" s="16"/>
      <c r="X1012" s="16"/>
      <c r="Y1012" s="6" t="s">
        <v>1627</v>
      </c>
      <c r="Z1012" s="15"/>
      <c r="AA1012" s="15" t="s">
        <v>1628</v>
      </c>
    </row>
    <row r="1013" spans="1:27" ht="33" customHeight="1">
      <c r="A1013" s="6" t="s">
        <v>4824</v>
      </c>
      <c r="B1013" s="7">
        <v>1395</v>
      </c>
      <c r="C1013" s="6" t="s">
        <v>4825</v>
      </c>
      <c r="D1013" s="6" t="s">
        <v>3030</v>
      </c>
      <c r="E1013" s="6" t="s">
        <v>2134</v>
      </c>
      <c r="F1013" s="6" t="s">
        <v>1263</v>
      </c>
      <c r="G1013" s="6" t="s">
        <v>376</v>
      </c>
      <c r="H1013" s="6"/>
      <c r="I1013" s="14" t="s">
        <v>1642</v>
      </c>
      <c r="J1013" s="15"/>
      <c r="K1013" s="6" t="s">
        <v>1976</v>
      </c>
      <c r="L1013" s="6"/>
      <c r="M1013" s="6" t="s">
        <v>1643</v>
      </c>
      <c r="N1013" s="6" t="s">
        <v>1644</v>
      </c>
      <c r="O1013" s="7">
        <f>SUMIFS('05_상품별배치367'!$K$7:$K$373,'05_상품별배치367'!$E$7:$E$373,A1013,'05_상품별배치367'!$H$7:$H$373,"본진")</f>
        <v>0</v>
      </c>
      <c r="P1013" s="7">
        <f>SUMIFS('05_상품별배치367'!$K$7:$K$373,'05_상품별배치367'!$E$7:$E$373,A1013,'05_상품별배치367'!$H$7:$H$373,"추가 진열")</f>
        <v>0</v>
      </c>
      <c r="Q1013" s="7">
        <f>O1013+P1013</f>
        <v>0</v>
      </c>
      <c r="R1013" s="7">
        <v>1</v>
      </c>
      <c r="S1013" s="6" t="s">
        <v>3016</v>
      </c>
      <c r="T1013" s="6" t="s">
        <v>1637</v>
      </c>
      <c r="U1013" s="6"/>
      <c r="V1013" s="16"/>
      <c r="W1013" s="16"/>
      <c r="X1013" s="16"/>
      <c r="Y1013" s="6" t="s">
        <v>1627</v>
      </c>
      <c r="Z1013" s="15"/>
      <c r="AA1013" s="15" t="s">
        <v>1628</v>
      </c>
    </row>
    <row r="1014" spans="1:27" ht="33" customHeight="1">
      <c r="A1014" s="8" t="s">
        <v>4826</v>
      </c>
      <c r="B1014" s="9">
        <v>1396</v>
      </c>
      <c r="C1014" s="8" t="s">
        <v>4827</v>
      </c>
      <c r="D1014" s="8" t="s">
        <v>3008</v>
      </c>
      <c r="E1014" s="8" t="s">
        <v>2134</v>
      </c>
      <c r="F1014" s="8" t="s">
        <v>1081</v>
      </c>
      <c r="G1014" s="8" t="s">
        <v>290</v>
      </c>
      <c r="H1014" s="8"/>
      <c r="I1014" s="14" t="s">
        <v>1642</v>
      </c>
      <c r="J1014" s="15"/>
      <c r="K1014" s="8" t="s">
        <v>1976</v>
      </c>
      <c r="L1014" s="8"/>
      <c r="M1014" s="6" t="s">
        <v>1643</v>
      </c>
      <c r="N1014" s="6" t="s">
        <v>1644</v>
      </c>
      <c r="O1014" s="7">
        <f>SUMIFS('05_상품별배치367'!$K$7:$K$373,'05_상품별배치367'!$E$7:$E$373,A1014,'05_상품별배치367'!$H$7:$H$373,"본진")</f>
        <v>0</v>
      </c>
      <c r="P1014" s="7">
        <f>SUMIFS('05_상품별배치367'!$K$7:$K$373,'05_상품별배치367'!$E$7:$E$373,A1014,'05_상품별배치367'!$H$7:$H$373,"추가 진열")</f>
        <v>0</v>
      </c>
      <c r="Q1014" s="7">
        <f>O1014+P1014</f>
        <v>0</v>
      </c>
      <c r="R1014" s="7">
        <v>1</v>
      </c>
      <c r="S1014" s="6" t="s">
        <v>2135</v>
      </c>
      <c r="T1014" s="6" t="s">
        <v>1637</v>
      </c>
      <c r="U1014" s="6"/>
      <c r="V1014" s="16"/>
      <c r="W1014" s="16"/>
      <c r="X1014" s="16"/>
      <c r="Y1014" s="6" t="s">
        <v>1627</v>
      </c>
      <c r="Z1014" s="15"/>
      <c r="AA1014" s="15" t="s">
        <v>1628</v>
      </c>
    </row>
    <row r="1015" spans="1:27" ht="33" customHeight="1">
      <c r="A1015" s="6" t="s">
        <v>4828</v>
      </c>
      <c r="B1015" s="7">
        <v>1397</v>
      </c>
      <c r="C1015" s="6" t="s">
        <v>4829</v>
      </c>
      <c r="D1015" s="6" t="s">
        <v>3008</v>
      </c>
      <c r="E1015" s="6" t="s">
        <v>2134</v>
      </c>
      <c r="F1015" s="6" t="s">
        <v>2933</v>
      </c>
      <c r="G1015" s="6" t="s">
        <v>1668</v>
      </c>
      <c r="H1015" s="6"/>
      <c r="I1015" s="14" t="s">
        <v>1807</v>
      </c>
      <c r="J1015" s="15"/>
      <c r="K1015" s="6" t="s">
        <v>1976</v>
      </c>
      <c r="L1015" s="6" t="s">
        <v>2032</v>
      </c>
      <c r="M1015" s="6" t="s">
        <v>1809</v>
      </c>
      <c r="N1015" s="6" t="s">
        <v>1644</v>
      </c>
      <c r="O1015" s="7">
        <f>SUMIFS('05_상품별배치367'!$K$7:$K$373,'05_상품별배치367'!$E$7:$E$373,A1015,'05_상품별배치367'!$H$7:$H$373,"본진")</f>
        <v>0</v>
      </c>
      <c r="P1015" s="7">
        <f>SUMIFS('05_상품별배치367'!$K$7:$K$373,'05_상품별배치367'!$E$7:$E$373,A1015,'05_상품별배치367'!$H$7:$H$373,"추가 진열")</f>
        <v>0</v>
      </c>
      <c r="Q1015" s="7">
        <f>O1015+P1015</f>
        <v>0</v>
      </c>
      <c r="R1015" s="7">
        <v>0</v>
      </c>
      <c r="S1015" s="6" t="s">
        <v>1810</v>
      </c>
      <c r="T1015" s="6" t="s">
        <v>1637</v>
      </c>
      <c r="U1015" s="6"/>
      <c r="V1015" s="16"/>
      <c r="W1015" s="16"/>
      <c r="X1015" s="16"/>
      <c r="Y1015" s="6" t="s">
        <v>1627</v>
      </c>
      <c r="Z1015" s="15"/>
      <c r="AA1015" s="15" t="s">
        <v>1628</v>
      </c>
    </row>
    <row r="1016" spans="1:27" ht="33" customHeight="1">
      <c r="A1016" s="8" t="s">
        <v>4830</v>
      </c>
      <c r="B1016" s="9">
        <v>1398</v>
      </c>
      <c r="C1016" s="8" t="s">
        <v>4831</v>
      </c>
      <c r="D1016" s="8" t="s">
        <v>3055</v>
      </c>
      <c r="E1016" s="8" t="s">
        <v>2134</v>
      </c>
      <c r="F1016" s="8" t="s">
        <v>1263</v>
      </c>
      <c r="G1016" s="8" t="s">
        <v>376</v>
      </c>
      <c r="H1016" s="8"/>
      <c r="I1016" s="14" t="s">
        <v>1642</v>
      </c>
      <c r="J1016" s="15"/>
      <c r="K1016" s="8" t="s">
        <v>1976</v>
      </c>
      <c r="L1016" s="8"/>
      <c r="M1016" s="6" t="s">
        <v>1643</v>
      </c>
      <c r="N1016" s="6" t="s">
        <v>1644</v>
      </c>
      <c r="O1016" s="7">
        <f>SUMIFS('05_상품별배치367'!$K$7:$K$373,'05_상품별배치367'!$E$7:$E$373,A1016,'05_상품별배치367'!$H$7:$H$373,"본진")</f>
        <v>0</v>
      </c>
      <c r="P1016" s="7">
        <f>SUMIFS('05_상품별배치367'!$K$7:$K$373,'05_상품별배치367'!$E$7:$E$373,A1016,'05_상품별배치367'!$H$7:$H$373,"추가 진열")</f>
        <v>0</v>
      </c>
      <c r="Q1016" s="7">
        <f>O1016+P1016</f>
        <v>0</v>
      </c>
      <c r="R1016" s="7">
        <v>1</v>
      </c>
      <c r="S1016" s="6" t="s">
        <v>3016</v>
      </c>
      <c r="T1016" s="6" t="s">
        <v>1637</v>
      </c>
      <c r="U1016" s="6"/>
      <c r="V1016" s="16"/>
      <c r="W1016" s="16"/>
      <c r="X1016" s="16"/>
      <c r="Y1016" s="6" t="s">
        <v>1627</v>
      </c>
      <c r="Z1016" s="15"/>
      <c r="AA1016" s="15" t="s">
        <v>1628</v>
      </c>
    </row>
    <row r="1017" spans="1:27" ht="33" customHeight="1">
      <c r="A1017" s="6" t="s">
        <v>7168</v>
      </c>
      <c r="B1017" s="7">
        <v>2487</v>
      </c>
      <c r="C1017" s="6" t="s">
        <v>7169</v>
      </c>
      <c r="D1017" s="6" t="s">
        <v>5344</v>
      </c>
      <c r="E1017" s="6" t="s">
        <v>1666</v>
      </c>
      <c r="F1017" s="6" t="s">
        <v>1852</v>
      </c>
      <c r="G1017" s="6" t="s">
        <v>1853</v>
      </c>
      <c r="H1017" s="6"/>
      <c r="I1017" s="14" t="s">
        <v>1669</v>
      </c>
      <c r="J1017" s="15"/>
      <c r="K1017" s="6" t="s">
        <v>1670</v>
      </c>
      <c r="L1017" s="6" t="s">
        <v>3828</v>
      </c>
      <c r="M1017" s="6" t="s">
        <v>1671</v>
      </c>
      <c r="N1017" s="6" t="s">
        <v>1624</v>
      </c>
      <c r="O1017" s="7">
        <f>SUMIFS('05_상품별배치367'!$K$7:$K$373,'05_상품별배치367'!$E$7:$E$373,A1017,'05_상품별배치367'!$H$7:$H$373,"본진")</f>
        <v>0</v>
      </c>
      <c r="P1017" s="7">
        <f>SUMIFS('05_상품별배치367'!$K$7:$K$373,'05_상품별배치367'!$E$7:$E$373,A1017,'05_상품별배치367'!$H$7:$H$373,"추가 진열")</f>
        <v>0</v>
      </c>
      <c r="Q1017" s="7">
        <f>O1017+P1017</f>
        <v>0</v>
      </c>
      <c r="R1017" s="7">
        <v>0</v>
      </c>
      <c r="S1017" s="6" t="s">
        <v>1672</v>
      </c>
      <c r="T1017" s="6" t="s">
        <v>1637</v>
      </c>
      <c r="U1017" s="6"/>
      <c r="V1017" s="16"/>
      <c r="W1017" s="16"/>
      <c r="X1017" s="16"/>
      <c r="Y1017" s="6" t="s">
        <v>1627</v>
      </c>
      <c r="Z1017" s="15"/>
      <c r="AA1017" s="15" t="s">
        <v>1628</v>
      </c>
    </row>
    <row r="1018" spans="1:27" ht="33" customHeight="1">
      <c r="A1018" s="6" t="s">
        <v>6709</v>
      </c>
      <c r="B1018" s="7">
        <v>2263</v>
      </c>
      <c r="C1018" s="6" t="s">
        <v>6710</v>
      </c>
      <c r="D1018" s="6" t="s">
        <v>5344</v>
      </c>
      <c r="E1018" s="6" t="s">
        <v>1666</v>
      </c>
      <c r="F1018" s="6" t="s">
        <v>1852</v>
      </c>
      <c r="G1018" s="6" t="s">
        <v>1853</v>
      </c>
      <c r="H1018" s="6"/>
      <c r="I1018" s="14" t="s">
        <v>1669</v>
      </c>
      <c r="J1018" s="15"/>
      <c r="K1018" s="6" t="s">
        <v>1670</v>
      </c>
      <c r="L1018" s="6" t="s">
        <v>3828</v>
      </c>
      <c r="M1018" s="6" t="s">
        <v>1671</v>
      </c>
      <c r="N1018" s="6" t="s">
        <v>1624</v>
      </c>
      <c r="O1018" s="7">
        <f>SUMIFS('05_상품별배치367'!$K$7:$K$373,'05_상품별배치367'!$E$7:$E$373,A1018,'05_상품별배치367'!$H$7:$H$373,"본진")</f>
        <v>0</v>
      </c>
      <c r="P1018" s="7">
        <f>SUMIFS('05_상품별배치367'!$K$7:$K$373,'05_상품별배치367'!$E$7:$E$373,A1018,'05_상품별배치367'!$H$7:$H$373,"추가 진열")</f>
        <v>0</v>
      </c>
      <c r="Q1018" s="7">
        <f>O1018+P1018</f>
        <v>0</v>
      </c>
      <c r="R1018" s="7">
        <v>0</v>
      </c>
      <c r="S1018" s="6" t="s">
        <v>1672</v>
      </c>
      <c r="T1018" s="6" t="s">
        <v>1637</v>
      </c>
      <c r="U1018" s="6"/>
      <c r="V1018" s="16"/>
      <c r="W1018" s="16"/>
      <c r="X1018" s="16"/>
      <c r="Y1018" s="6" t="s">
        <v>1627</v>
      </c>
      <c r="Z1018" s="15"/>
      <c r="AA1018" s="15" t="s">
        <v>1628</v>
      </c>
    </row>
    <row r="1019" spans="1:27" ht="33" customHeight="1">
      <c r="A1019" s="8" t="s">
        <v>7170</v>
      </c>
      <c r="B1019" s="9">
        <v>2488</v>
      </c>
      <c r="C1019" s="8" t="s">
        <v>7171</v>
      </c>
      <c r="D1019" s="8" t="s">
        <v>5344</v>
      </c>
      <c r="E1019" s="8" t="s">
        <v>1666</v>
      </c>
      <c r="F1019" s="8" t="s">
        <v>1852</v>
      </c>
      <c r="G1019" s="8" t="s">
        <v>1853</v>
      </c>
      <c r="H1019" s="8"/>
      <c r="I1019" s="14" t="s">
        <v>1669</v>
      </c>
      <c r="J1019" s="15"/>
      <c r="K1019" s="8" t="s">
        <v>1670</v>
      </c>
      <c r="L1019" s="8" t="s">
        <v>3828</v>
      </c>
      <c r="M1019" s="6" t="s">
        <v>1671</v>
      </c>
      <c r="N1019" s="6" t="s">
        <v>1624</v>
      </c>
      <c r="O1019" s="7">
        <f>SUMIFS('05_상품별배치367'!$K$7:$K$373,'05_상품별배치367'!$E$7:$E$373,A1019,'05_상품별배치367'!$H$7:$H$373,"본진")</f>
        <v>0</v>
      </c>
      <c r="P1019" s="7">
        <f>SUMIFS('05_상품별배치367'!$K$7:$K$373,'05_상품별배치367'!$E$7:$E$373,A1019,'05_상품별배치367'!$H$7:$H$373,"추가 진열")</f>
        <v>0</v>
      </c>
      <c r="Q1019" s="7">
        <f>O1019+P1019</f>
        <v>0</v>
      </c>
      <c r="R1019" s="7">
        <v>0</v>
      </c>
      <c r="S1019" s="6" t="s">
        <v>1672</v>
      </c>
      <c r="T1019" s="6" t="s">
        <v>1637</v>
      </c>
      <c r="U1019" s="6"/>
      <c r="V1019" s="16"/>
      <c r="W1019" s="16"/>
      <c r="X1019" s="16"/>
      <c r="Y1019" s="6" t="s">
        <v>1627</v>
      </c>
      <c r="Z1019" s="15"/>
      <c r="AA1019" s="15" t="s">
        <v>1628</v>
      </c>
    </row>
    <row r="1020" spans="1:27" ht="33" customHeight="1">
      <c r="A1020" s="6" t="s">
        <v>6705</v>
      </c>
      <c r="B1020" s="7">
        <v>2261</v>
      </c>
      <c r="C1020" s="6" t="s">
        <v>6706</v>
      </c>
      <c r="D1020" s="6" t="s">
        <v>5344</v>
      </c>
      <c r="E1020" s="6" t="s">
        <v>1666</v>
      </c>
      <c r="F1020" s="6" t="s">
        <v>1852</v>
      </c>
      <c r="G1020" s="6" t="s">
        <v>1853</v>
      </c>
      <c r="H1020" s="6"/>
      <c r="I1020" s="14" t="s">
        <v>1669</v>
      </c>
      <c r="J1020" s="15"/>
      <c r="K1020" s="6" t="s">
        <v>1670</v>
      </c>
      <c r="L1020" s="6" t="s">
        <v>3828</v>
      </c>
      <c r="M1020" s="6" t="s">
        <v>1671</v>
      </c>
      <c r="N1020" s="6" t="s">
        <v>1624</v>
      </c>
      <c r="O1020" s="7">
        <f>SUMIFS('05_상품별배치367'!$K$7:$K$373,'05_상품별배치367'!$E$7:$E$373,A1020,'05_상품별배치367'!$H$7:$H$373,"본진")</f>
        <v>0</v>
      </c>
      <c r="P1020" s="7">
        <f>SUMIFS('05_상품별배치367'!$K$7:$K$373,'05_상품별배치367'!$E$7:$E$373,A1020,'05_상품별배치367'!$H$7:$H$373,"추가 진열")</f>
        <v>0</v>
      </c>
      <c r="Q1020" s="7">
        <f>O1020+P1020</f>
        <v>0</v>
      </c>
      <c r="R1020" s="7">
        <v>0</v>
      </c>
      <c r="S1020" s="6" t="s">
        <v>1672</v>
      </c>
      <c r="T1020" s="6" t="s">
        <v>1637</v>
      </c>
      <c r="U1020" s="6"/>
      <c r="V1020" s="16"/>
      <c r="W1020" s="16"/>
      <c r="X1020" s="16"/>
      <c r="Y1020" s="6" t="s">
        <v>1627</v>
      </c>
      <c r="Z1020" s="15"/>
      <c r="AA1020" s="15" t="s">
        <v>1628</v>
      </c>
    </row>
    <row r="1021" spans="1:27" ht="33" customHeight="1">
      <c r="A1021" s="8" t="s">
        <v>6905</v>
      </c>
      <c r="B1021" s="9">
        <v>2364</v>
      </c>
      <c r="C1021" s="8" t="s">
        <v>6906</v>
      </c>
      <c r="D1021" s="8" t="s">
        <v>1686</v>
      </c>
      <c r="E1021" s="8" t="s">
        <v>1632</v>
      </c>
      <c r="F1021" s="8" t="s">
        <v>1020</v>
      </c>
      <c r="G1021" s="8" t="s">
        <v>254</v>
      </c>
      <c r="H1021" s="8"/>
      <c r="I1021" s="14" t="s">
        <v>1642</v>
      </c>
      <c r="J1021" s="15"/>
      <c r="K1021" s="8" t="s">
        <v>1634</v>
      </c>
      <c r="L1021" s="8" t="s">
        <v>3828</v>
      </c>
      <c r="M1021" s="6" t="s">
        <v>1643</v>
      </c>
      <c r="N1021" s="6" t="s">
        <v>1624</v>
      </c>
      <c r="O1021" s="7">
        <f>SUMIFS('05_상품별배치367'!$K$7:$K$373,'05_상품별배치367'!$E$7:$E$373,A1021,'05_상품별배치367'!$H$7:$H$373,"본진")</f>
        <v>0</v>
      </c>
      <c r="P1021" s="7">
        <f>SUMIFS('05_상품별배치367'!$K$7:$K$373,'05_상품별배치367'!$E$7:$E$373,A1021,'05_상품별배치367'!$H$7:$H$373,"추가 진열")</f>
        <v>0</v>
      </c>
      <c r="Q1021" s="7">
        <f>O1021+P1021</f>
        <v>0</v>
      </c>
      <c r="R1021" s="7">
        <v>1</v>
      </c>
      <c r="S1021" s="6" t="s">
        <v>6907</v>
      </c>
      <c r="T1021" s="6" t="s">
        <v>1637</v>
      </c>
      <c r="U1021" s="6"/>
      <c r="V1021" s="16"/>
      <c r="W1021" s="16"/>
      <c r="X1021" s="16"/>
      <c r="Y1021" s="6" t="s">
        <v>1627</v>
      </c>
      <c r="Z1021" s="15"/>
      <c r="AA1021" s="15" t="s">
        <v>1628</v>
      </c>
    </row>
    <row r="1022" spans="1:27" ht="33" customHeight="1">
      <c r="A1022" s="6" t="s">
        <v>6955</v>
      </c>
      <c r="B1022" s="7">
        <v>2387</v>
      </c>
      <c r="C1022" s="6" t="s">
        <v>6956</v>
      </c>
      <c r="D1022" s="6" t="s">
        <v>4147</v>
      </c>
      <c r="E1022" s="6" t="s">
        <v>1620</v>
      </c>
      <c r="F1022" s="6" t="s">
        <v>1239</v>
      </c>
      <c r="G1022" s="6" t="s">
        <v>358</v>
      </c>
      <c r="H1022" s="6"/>
      <c r="I1022" s="14" t="s">
        <v>1642</v>
      </c>
      <c r="J1022" s="15"/>
      <c r="K1022" s="6" t="s">
        <v>1622</v>
      </c>
      <c r="L1022" s="6" t="s">
        <v>5771</v>
      </c>
      <c r="M1022" s="6" t="s">
        <v>1643</v>
      </c>
      <c r="N1022" s="6" t="s">
        <v>1644</v>
      </c>
      <c r="O1022" s="7">
        <f>SUMIFS('05_상품별배치367'!$K$7:$K$373,'05_상품별배치367'!$E$7:$E$373,A1022,'05_상품별배치367'!$H$7:$H$373,"본진")</f>
        <v>0</v>
      </c>
      <c r="P1022" s="7">
        <f>SUMIFS('05_상품별배치367'!$K$7:$K$373,'05_상품별배치367'!$E$7:$E$373,A1022,'05_상품별배치367'!$H$7:$H$373,"추가 진열")</f>
        <v>0</v>
      </c>
      <c r="Q1022" s="7">
        <f>O1022+P1022</f>
        <v>0</v>
      </c>
      <c r="R1022" s="7">
        <v>1</v>
      </c>
      <c r="S1022" s="6" t="s">
        <v>2187</v>
      </c>
      <c r="T1022" s="6" t="s">
        <v>1637</v>
      </c>
      <c r="U1022" s="6"/>
      <c r="V1022" s="16"/>
      <c r="W1022" s="16"/>
      <c r="X1022" s="16"/>
      <c r="Y1022" s="6" t="s">
        <v>1655</v>
      </c>
      <c r="Z1022" s="15"/>
      <c r="AA1022" s="15" t="s">
        <v>1628</v>
      </c>
    </row>
    <row r="1023" spans="1:27" ht="33" customHeight="1">
      <c r="A1023" s="6" t="s">
        <v>3481</v>
      </c>
      <c r="B1023" s="7">
        <v>765</v>
      </c>
      <c r="C1023" s="6" t="s">
        <v>3482</v>
      </c>
      <c r="D1023" s="6" t="s">
        <v>3338</v>
      </c>
      <c r="E1023" s="6" t="s">
        <v>2134</v>
      </c>
      <c r="F1023" s="6" t="s">
        <v>161</v>
      </c>
      <c r="G1023" s="6" t="s">
        <v>395</v>
      </c>
      <c r="H1023" s="6"/>
      <c r="I1023" s="14" t="s">
        <v>1642</v>
      </c>
      <c r="J1023" s="15"/>
      <c r="K1023" s="6" t="s">
        <v>1976</v>
      </c>
      <c r="L1023" s="6"/>
      <c r="M1023" s="6" t="s">
        <v>1643</v>
      </c>
      <c r="N1023" s="6" t="s">
        <v>1644</v>
      </c>
      <c r="O1023" s="7">
        <f>SUMIFS('05_상품별배치367'!$K$7:$K$373,'05_상품별배치367'!$E$7:$E$373,A1023,'05_상품별배치367'!$H$7:$H$373,"본진")</f>
        <v>0</v>
      </c>
      <c r="P1023" s="7">
        <f>SUMIFS('05_상품별배치367'!$K$7:$K$373,'05_상품별배치367'!$E$7:$E$373,A1023,'05_상품별배치367'!$H$7:$H$373,"추가 진열")</f>
        <v>0</v>
      </c>
      <c r="Q1023" s="7">
        <f>O1023+P1023</f>
        <v>0</v>
      </c>
      <c r="R1023" s="7">
        <v>1</v>
      </c>
      <c r="S1023" s="6" t="s">
        <v>3070</v>
      </c>
      <c r="T1023" s="6" t="s">
        <v>1637</v>
      </c>
      <c r="U1023" s="6"/>
      <c r="V1023" s="16"/>
      <c r="W1023" s="16"/>
      <c r="X1023" s="16"/>
      <c r="Y1023" s="6" t="s">
        <v>1627</v>
      </c>
      <c r="Z1023" s="15"/>
      <c r="AA1023" s="15" t="s">
        <v>1628</v>
      </c>
    </row>
    <row r="1024" spans="1:27" ht="33" customHeight="1">
      <c r="A1024" s="8" t="s">
        <v>3483</v>
      </c>
      <c r="B1024" s="9">
        <v>766</v>
      </c>
      <c r="C1024" s="8" t="s">
        <v>3484</v>
      </c>
      <c r="D1024" s="8" t="s">
        <v>2572</v>
      </c>
      <c r="E1024" s="8" t="s">
        <v>2134</v>
      </c>
      <c r="F1024" s="8" t="s">
        <v>162</v>
      </c>
      <c r="G1024" s="8" t="s">
        <v>404</v>
      </c>
      <c r="H1024" s="8"/>
      <c r="I1024" s="14" t="s">
        <v>1642</v>
      </c>
      <c r="J1024" s="15"/>
      <c r="K1024" s="8" t="s">
        <v>1976</v>
      </c>
      <c r="L1024" s="8"/>
      <c r="M1024" s="6" t="s">
        <v>1643</v>
      </c>
      <c r="N1024" s="6" t="s">
        <v>1644</v>
      </c>
      <c r="O1024" s="7">
        <f>SUMIFS('05_상품별배치367'!$K$7:$K$373,'05_상품별배치367'!$E$7:$E$373,A1024,'05_상품별배치367'!$H$7:$H$373,"본진")</f>
        <v>0</v>
      </c>
      <c r="P1024" s="7">
        <f>SUMIFS('05_상품별배치367'!$K$7:$K$373,'05_상품별배치367'!$E$7:$E$373,A1024,'05_상품별배치367'!$H$7:$H$373,"추가 진열")</f>
        <v>0</v>
      </c>
      <c r="Q1024" s="7">
        <f>O1024+P1024</f>
        <v>0</v>
      </c>
      <c r="R1024" s="7">
        <v>1</v>
      </c>
      <c r="S1024" s="6" t="s">
        <v>2996</v>
      </c>
      <c r="T1024" s="6" t="s">
        <v>1637</v>
      </c>
      <c r="U1024" s="6"/>
      <c r="V1024" s="16"/>
      <c r="W1024" s="16"/>
      <c r="X1024" s="16"/>
      <c r="Y1024" s="6" t="s">
        <v>1627</v>
      </c>
      <c r="Z1024" s="15"/>
      <c r="AA1024" s="15" t="s">
        <v>1628</v>
      </c>
    </row>
    <row r="1025" spans="1:27" ht="33" customHeight="1">
      <c r="A1025" s="8" t="s">
        <v>3487</v>
      </c>
      <c r="B1025" s="9">
        <v>768</v>
      </c>
      <c r="C1025" s="8" t="s">
        <v>3488</v>
      </c>
      <c r="D1025" s="8" t="s">
        <v>2078</v>
      </c>
      <c r="E1025" s="8" t="s">
        <v>1743</v>
      </c>
      <c r="F1025" s="8" t="s">
        <v>2129</v>
      </c>
      <c r="G1025" s="8" t="s">
        <v>1668</v>
      </c>
      <c r="H1025" s="8"/>
      <c r="I1025" s="14" t="s">
        <v>1642</v>
      </c>
      <c r="J1025" s="15"/>
      <c r="K1025" s="8" t="s">
        <v>1696</v>
      </c>
      <c r="L1025" s="8" t="s">
        <v>2079</v>
      </c>
      <c r="M1025" s="6" t="s">
        <v>1643</v>
      </c>
      <c r="N1025" s="6" t="s">
        <v>1644</v>
      </c>
      <c r="O1025" s="7">
        <f>SUMIFS('05_상품별배치367'!$K$7:$K$373,'05_상품별배치367'!$E$7:$E$373,A1025,'05_상품별배치367'!$H$7:$H$373,"본진")</f>
        <v>0</v>
      </c>
      <c r="P1025" s="7">
        <f>SUMIFS('05_상품별배치367'!$K$7:$K$373,'05_상품별배치367'!$E$7:$E$373,A1025,'05_상품별배치367'!$H$7:$H$373,"추가 진열")</f>
        <v>0</v>
      </c>
      <c r="Q1025" s="7">
        <f>O1025+P1025</f>
        <v>0</v>
      </c>
      <c r="R1025" s="7">
        <v>1</v>
      </c>
      <c r="S1025" s="6" t="s">
        <v>2130</v>
      </c>
      <c r="T1025" s="6" t="s">
        <v>1637</v>
      </c>
      <c r="U1025" s="6"/>
      <c r="V1025" s="16"/>
      <c r="W1025" s="16"/>
      <c r="X1025" s="16"/>
      <c r="Y1025" s="6" t="s">
        <v>1655</v>
      </c>
      <c r="Z1025" s="15"/>
      <c r="AA1025" s="15" t="s">
        <v>1628</v>
      </c>
    </row>
    <row r="1026" spans="1:27" ht="33" customHeight="1">
      <c r="A1026" s="6" t="s">
        <v>3485</v>
      </c>
      <c r="B1026" s="7">
        <v>767</v>
      </c>
      <c r="C1026" s="6" t="s">
        <v>3486</v>
      </c>
      <c r="D1026" s="6" t="s">
        <v>2845</v>
      </c>
      <c r="E1026" s="6" t="s">
        <v>2134</v>
      </c>
      <c r="F1026" s="6" t="s">
        <v>2933</v>
      </c>
      <c r="G1026" s="6" t="s">
        <v>1668</v>
      </c>
      <c r="H1026" s="6"/>
      <c r="I1026" s="14" t="s">
        <v>1807</v>
      </c>
      <c r="J1026" s="15"/>
      <c r="K1026" s="6" t="s">
        <v>1976</v>
      </c>
      <c r="L1026" s="6" t="s">
        <v>2032</v>
      </c>
      <c r="M1026" s="6" t="s">
        <v>1809</v>
      </c>
      <c r="N1026" s="6" t="s">
        <v>1644</v>
      </c>
      <c r="O1026" s="7">
        <f>SUMIFS('05_상품별배치367'!$K$7:$K$373,'05_상품별배치367'!$E$7:$E$373,A1026,'05_상품별배치367'!$H$7:$H$373,"본진")</f>
        <v>0</v>
      </c>
      <c r="P1026" s="7">
        <f>SUMIFS('05_상품별배치367'!$K$7:$K$373,'05_상품별배치367'!$E$7:$E$373,A1026,'05_상품별배치367'!$H$7:$H$373,"추가 진열")</f>
        <v>0</v>
      </c>
      <c r="Q1026" s="7">
        <f>O1026+P1026</f>
        <v>0</v>
      </c>
      <c r="R1026" s="7">
        <v>0</v>
      </c>
      <c r="S1026" s="6" t="s">
        <v>1810</v>
      </c>
      <c r="T1026" s="6" t="s">
        <v>1637</v>
      </c>
      <c r="U1026" s="6"/>
      <c r="V1026" s="16"/>
      <c r="W1026" s="16"/>
      <c r="X1026" s="16"/>
      <c r="Y1026" s="6" t="s">
        <v>1627</v>
      </c>
      <c r="Z1026" s="15"/>
      <c r="AA1026" s="15" t="s">
        <v>1628</v>
      </c>
    </row>
    <row r="1027" spans="1:27" ht="33" customHeight="1">
      <c r="A1027" s="6" t="s">
        <v>6230</v>
      </c>
      <c r="B1027" s="7">
        <v>2049</v>
      </c>
      <c r="C1027" s="6" t="s">
        <v>6231</v>
      </c>
      <c r="D1027" s="6" t="s">
        <v>6232</v>
      </c>
      <c r="E1027" s="6" t="s">
        <v>1641</v>
      </c>
      <c r="F1027" s="6" t="s">
        <v>689</v>
      </c>
      <c r="G1027" s="6" t="s">
        <v>91</v>
      </c>
      <c r="H1027" s="6" t="s">
        <v>688</v>
      </c>
      <c r="I1027" s="14" t="s">
        <v>1621</v>
      </c>
      <c r="J1027" s="15"/>
      <c r="K1027" s="6" t="s">
        <v>1634</v>
      </c>
      <c r="L1027" s="6" t="s">
        <v>3828</v>
      </c>
      <c r="M1027" s="6" t="s">
        <v>1623</v>
      </c>
      <c r="N1027" s="6" t="s">
        <v>1624</v>
      </c>
      <c r="O1027" s="7">
        <f>SUMIFS('05_상품별배치367'!$K$7:$K$373,'05_상품별배치367'!$E$7:$E$373,A1027,'05_상품별배치367'!$H$7:$H$373,"본진")</f>
        <v>1</v>
      </c>
      <c r="P1027" s="7">
        <f>SUMIFS('05_상품별배치367'!$K$7:$K$373,'05_상품별배치367'!$E$7:$E$373,A1027,'05_상품별배치367'!$H$7:$H$373,"추가 진열")</f>
        <v>0</v>
      </c>
      <c r="Q1027" s="7">
        <f>O1027+P1027</f>
        <v>1</v>
      </c>
      <c r="R1027" s="7">
        <v>1</v>
      </c>
      <c r="S1027" s="6" t="s">
        <v>1625</v>
      </c>
      <c r="T1027" s="6" t="s">
        <v>1637</v>
      </c>
      <c r="U1027" s="6"/>
      <c r="V1027" s="16"/>
      <c r="W1027" s="16"/>
      <c r="X1027" s="16"/>
      <c r="Y1027" s="6" t="s">
        <v>1627</v>
      </c>
      <c r="Z1027" s="15"/>
      <c r="AA1027" s="15" t="s">
        <v>1628</v>
      </c>
    </row>
    <row r="1028" spans="1:27" ht="33" customHeight="1">
      <c r="A1028" s="6" t="s">
        <v>6960</v>
      </c>
      <c r="B1028" s="7">
        <v>2389</v>
      </c>
      <c r="C1028" s="6" t="s">
        <v>6961</v>
      </c>
      <c r="D1028" s="6" t="s">
        <v>1876</v>
      </c>
      <c r="E1028" s="6" t="s">
        <v>1814</v>
      </c>
      <c r="F1028" s="6" t="s">
        <v>515</v>
      </c>
      <c r="G1028" s="6" t="s">
        <v>431</v>
      </c>
      <c r="H1028" s="6" t="s">
        <v>1371</v>
      </c>
      <c r="I1028" s="14" t="s">
        <v>1633</v>
      </c>
      <c r="J1028" s="15"/>
      <c r="K1028" s="6" t="s">
        <v>1840</v>
      </c>
      <c r="L1028" s="6" t="s">
        <v>3828</v>
      </c>
      <c r="M1028" s="6" t="s">
        <v>1635</v>
      </c>
      <c r="N1028" s="6" t="s">
        <v>1624</v>
      </c>
      <c r="O1028" s="7">
        <f>SUMIFS('05_상품별배치367'!$K$7:$K$373,'05_상품별배치367'!$E$7:$E$373,A1028,'05_상품별배치367'!$H$7:$H$373,"본진")</f>
        <v>1</v>
      </c>
      <c r="P1028" s="7">
        <f>SUMIFS('05_상품별배치367'!$K$7:$K$373,'05_상품별배치367'!$E$7:$E$373,A1028,'05_상품별배치367'!$H$7:$H$373,"추가 진열")</f>
        <v>0</v>
      </c>
      <c r="Q1028" s="7">
        <f>O1028+P1028</f>
        <v>1</v>
      </c>
      <c r="R1028" s="7">
        <v>1</v>
      </c>
      <c r="S1028" s="6" t="s">
        <v>1636</v>
      </c>
      <c r="T1028" s="6" t="s">
        <v>1637</v>
      </c>
      <c r="U1028" s="6"/>
      <c r="V1028" s="16"/>
      <c r="W1028" s="16"/>
      <c r="X1028" s="16"/>
      <c r="Y1028" s="6" t="s">
        <v>1627</v>
      </c>
      <c r="Z1028" s="15"/>
      <c r="AA1028" s="15" t="s">
        <v>1628</v>
      </c>
    </row>
    <row r="1029" spans="1:27" ht="33" customHeight="1">
      <c r="A1029" s="8" t="s">
        <v>6100</v>
      </c>
      <c r="B1029" s="9">
        <v>1994</v>
      </c>
      <c r="C1029" s="8" t="s">
        <v>6101</v>
      </c>
      <c r="D1029" s="8" t="s">
        <v>2856</v>
      </c>
      <c r="E1029" s="8" t="s">
        <v>1814</v>
      </c>
      <c r="F1029" s="8" t="s">
        <v>515</v>
      </c>
      <c r="G1029" s="8" t="s">
        <v>431</v>
      </c>
      <c r="H1029" s="8" t="s">
        <v>1371</v>
      </c>
      <c r="I1029" s="14" t="s">
        <v>1633</v>
      </c>
      <c r="J1029" s="15"/>
      <c r="K1029" s="8" t="s">
        <v>1840</v>
      </c>
      <c r="L1029" s="8" t="s">
        <v>3828</v>
      </c>
      <c r="M1029" s="6" t="s">
        <v>1635</v>
      </c>
      <c r="N1029" s="6" t="s">
        <v>1624</v>
      </c>
      <c r="O1029" s="7">
        <f>SUMIFS('05_상품별배치367'!$K$7:$K$373,'05_상품별배치367'!$E$7:$E$373,A1029,'05_상품별배치367'!$H$7:$H$373,"본진")</f>
        <v>1</v>
      </c>
      <c r="P1029" s="7">
        <f>SUMIFS('05_상품별배치367'!$K$7:$K$373,'05_상품별배치367'!$E$7:$E$373,A1029,'05_상품별배치367'!$H$7:$H$373,"추가 진열")</f>
        <v>0</v>
      </c>
      <c r="Q1029" s="7">
        <f>O1029+P1029</f>
        <v>1</v>
      </c>
      <c r="R1029" s="7">
        <v>1</v>
      </c>
      <c r="S1029" s="6" t="s">
        <v>1636</v>
      </c>
      <c r="T1029" s="6" t="s">
        <v>1637</v>
      </c>
      <c r="U1029" s="6"/>
      <c r="V1029" s="16"/>
      <c r="W1029" s="16"/>
      <c r="X1029" s="16"/>
      <c r="Y1029" s="6" t="s">
        <v>1627</v>
      </c>
      <c r="Z1029" s="15"/>
      <c r="AA1029" s="15" t="s">
        <v>1628</v>
      </c>
    </row>
    <row r="1030" spans="1:27" ht="33" customHeight="1">
      <c r="A1030" s="6" t="s">
        <v>3831</v>
      </c>
      <c r="B1030" s="7">
        <v>929</v>
      </c>
      <c r="C1030" s="6" t="s">
        <v>3832</v>
      </c>
      <c r="D1030" s="6" t="s">
        <v>2007</v>
      </c>
      <c r="E1030" s="6" t="s">
        <v>1986</v>
      </c>
      <c r="F1030" s="6" t="s">
        <v>913</v>
      </c>
      <c r="G1030" s="6" t="s">
        <v>201</v>
      </c>
      <c r="H1030" s="6"/>
      <c r="I1030" s="14" t="s">
        <v>1642</v>
      </c>
      <c r="J1030" s="15"/>
      <c r="K1030" s="6" t="s">
        <v>1976</v>
      </c>
      <c r="L1030" s="6"/>
      <c r="M1030" s="6" t="s">
        <v>1643</v>
      </c>
      <c r="N1030" s="6" t="s">
        <v>1644</v>
      </c>
      <c r="O1030" s="7">
        <f>SUMIFS('05_상품별배치367'!$K$7:$K$373,'05_상품별배치367'!$E$7:$E$373,A1030,'05_상품별배치367'!$H$7:$H$373,"본진")</f>
        <v>0</v>
      </c>
      <c r="P1030" s="7">
        <f>SUMIFS('05_상품별배치367'!$K$7:$K$373,'05_상품별배치367'!$E$7:$E$373,A1030,'05_상품별배치367'!$H$7:$H$373,"추가 진열")</f>
        <v>0</v>
      </c>
      <c r="Q1030" s="7">
        <f>O1030+P1030</f>
        <v>0</v>
      </c>
      <c r="R1030" s="7">
        <v>1</v>
      </c>
      <c r="S1030" s="6" t="s">
        <v>2907</v>
      </c>
      <c r="T1030" s="6" t="s">
        <v>1637</v>
      </c>
      <c r="U1030" s="6"/>
      <c r="V1030" s="16"/>
      <c r="W1030" s="16"/>
      <c r="X1030" s="16"/>
      <c r="Y1030" s="6" t="s">
        <v>1627</v>
      </c>
      <c r="Z1030" s="15"/>
      <c r="AA1030" s="15" t="s">
        <v>1628</v>
      </c>
    </row>
    <row r="1031" spans="1:27" ht="33" customHeight="1">
      <c r="A1031" s="8" t="s">
        <v>3829</v>
      </c>
      <c r="B1031" s="9">
        <v>928</v>
      </c>
      <c r="C1031" s="8" t="s">
        <v>3830</v>
      </c>
      <c r="D1031" s="8" t="s">
        <v>2007</v>
      </c>
      <c r="E1031" s="8" t="s">
        <v>1986</v>
      </c>
      <c r="F1031" s="8" t="s">
        <v>913</v>
      </c>
      <c r="G1031" s="8" t="s">
        <v>201</v>
      </c>
      <c r="H1031" s="8"/>
      <c r="I1031" s="14" t="s">
        <v>1642</v>
      </c>
      <c r="J1031" s="15"/>
      <c r="K1031" s="8" t="s">
        <v>1976</v>
      </c>
      <c r="L1031" s="8"/>
      <c r="M1031" s="6" t="s">
        <v>1643</v>
      </c>
      <c r="N1031" s="6" t="s">
        <v>1644</v>
      </c>
      <c r="O1031" s="7">
        <f>SUMIFS('05_상품별배치367'!$K$7:$K$373,'05_상품별배치367'!$E$7:$E$373,A1031,'05_상품별배치367'!$H$7:$H$373,"본진")</f>
        <v>0</v>
      </c>
      <c r="P1031" s="7">
        <f>SUMIFS('05_상품별배치367'!$K$7:$K$373,'05_상품별배치367'!$E$7:$E$373,A1031,'05_상품별배치367'!$H$7:$H$373,"추가 진열")</f>
        <v>0</v>
      </c>
      <c r="Q1031" s="7">
        <f>O1031+P1031</f>
        <v>0</v>
      </c>
      <c r="R1031" s="7">
        <v>1</v>
      </c>
      <c r="S1031" s="6" t="s">
        <v>2907</v>
      </c>
      <c r="T1031" s="6" t="s">
        <v>1637</v>
      </c>
      <c r="U1031" s="6"/>
      <c r="V1031" s="16"/>
      <c r="W1031" s="16"/>
      <c r="X1031" s="16"/>
      <c r="Y1031" s="6" t="s">
        <v>1627</v>
      </c>
      <c r="Z1031" s="15"/>
      <c r="AA1031" s="15" t="s">
        <v>1628</v>
      </c>
    </row>
    <row r="1032" spans="1:27" ht="33" customHeight="1">
      <c r="A1032" s="8" t="s">
        <v>5010</v>
      </c>
      <c r="B1032" s="9">
        <v>1482</v>
      </c>
      <c r="C1032" s="8" t="s">
        <v>5011</v>
      </c>
      <c r="D1032" s="8" t="s">
        <v>5012</v>
      </c>
      <c r="E1032" s="8" t="s">
        <v>2134</v>
      </c>
      <c r="F1032" s="8" t="s">
        <v>156</v>
      </c>
      <c r="G1032" s="8" t="s">
        <v>3239</v>
      </c>
      <c r="H1032" s="8"/>
      <c r="I1032" s="14" t="s">
        <v>1642</v>
      </c>
      <c r="J1032" s="15"/>
      <c r="K1032" s="8" t="s">
        <v>1976</v>
      </c>
      <c r="L1032" s="8"/>
      <c r="M1032" s="6" t="s">
        <v>1643</v>
      </c>
      <c r="N1032" s="6" t="s">
        <v>1644</v>
      </c>
      <c r="O1032" s="7">
        <f>SUMIFS('05_상품별배치367'!$K$7:$K$373,'05_상품별배치367'!$E$7:$E$373,A1032,'05_상품별배치367'!$H$7:$H$373,"본진")</f>
        <v>0</v>
      </c>
      <c r="P1032" s="7">
        <f>SUMIFS('05_상품별배치367'!$K$7:$K$373,'05_상품별배치367'!$E$7:$E$373,A1032,'05_상품별배치367'!$H$7:$H$373,"추가 진열")</f>
        <v>0</v>
      </c>
      <c r="Q1032" s="7">
        <f>O1032+P1032</f>
        <v>0</v>
      </c>
      <c r="R1032" s="7">
        <v>1</v>
      </c>
      <c r="S1032" s="6" t="s">
        <v>3240</v>
      </c>
      <c r="T1032" s="6" t="s">
        <v>1637</v>
      </c>
      <c r="U1032" s="6"/>
      <c r="V1032" s="16"/>
      <c r="W1032" s="16"/>
      <c r="X1032" s="16"/>
      <c r="Y1032" s="6" t="s">
        <v>1655</v>
      </c>
      <c r="Z1032" s="15"/>
      <c r="AA1032" s="15" t="s">
        <v>1628</v>
      </c>
    </row>
    <row r="1033" spans="1:27" ht="33" customHeight="1">
      <c r="A1033" s="8" t="s">
        <v>5019</v>
      </c>
      <c r="B1033" s="9">
        <v>1486</v>
      </c>
      <c r="C1033" s="8" t="s">
        <v>5020</v>
      </c>
      <c r="D1033" s="8" t="s">
        <v>2856</v>
      </c>
      <c r="E1033" s="8" t="s">
        <v>2134</v>
      </c>
      <c r="F1033" s="8" t="s">
        <v>2933</v>
      </c>
      <c r="G1033" s="8" t="s">
        <v>1668</v>
      </c>
      <c r="H1033" s="8"/>
      <c r="I1033" s="14" t="s">
        <v>1807</v>
      </c>
      <c r="J1033" s="15"/>
      <c r="K1033" s="8" t="s">
        <v>1976</v>
      </c>
      <c r="L1033" s="8" t="s">
        <v>2032</v>
      </c>
      <c r="M1033" s="6" t="s">
        <v>1809</v>
      </c>
      <c r="N1033" s="6" t="s">
        <v>1644</v>
      </c>
      <c r="O1033" s="7">
        <f>SUMIFS('05_상품별배치367'!$K$7:$K$373,'05_상품별배치367'!$E$7:$E$373,A1033,'05_상품별배치367'!$H$7:$H$373,"본진")</f>
        <v>0</v>
      </c>
      <c r="P1033" s="7">
        <f>SUMIFS('05_상품별배치367'!$K$7:$K$373,'05_상품별배치367'!$E$7:$E$373,A1033,'05_상품별배치367'!$H$7:$H$373,"추가 진열")</f>
        <v>0</v>
      </c>
      <c r="Q1033" s="7">
        <f>O1033+P1033</f>
        <v>0</v>
      </c>
      <c r="R1033" s="7">
        <v>0</v>
      </c>
      <c r="S1033" s="6" t="s">
        <v>1810</v>
      </c>
      <c r="T1033" s="6" t="s">
        <v>1637</v>
      </c>
      <c r="U1033" s="6"/>
      <c r="V1033" s="16"/>
      <c r="W1033" s="16"/>
      <c r="X1033" s="16"/>
      <c r="Y1033" s="6" t="s">
        <v>1627</v>
      </c>
      <c r="Z1033" s="15"/>
      <c r="AA1033" s="15" t="s">
        <v>1628</v>
      </c>
    </row>
    <row r="1034" spans="1:27" ht="33" customHeight="1">
      <c r="A1034" s="6" t="s">
        <v>5021</v>
      </c>
      <c r="B1034" s="7">
        <v>1487</v>
      </c>
      <c r="C1034" s="6" t="s">
        <v>5022</v>
      </c>
      <c r="D1034" s="6" t="s">
        <v>3600</v>
      </c>
      <c r="E1034" s="6" t="s">
        <v>2134</v>
      </c>
      <c r="F1034" s="6" t="s">
        <v>2933</v>
      </c>
      <c r="G1034" s="6" t="s">
        <v>1668</v>
      </c>
      <c r="H1034" s="6"/>
      <c r="I1034" s="14" t="s">
        <v>1807</v>
      </c>
      <c r="J1034" s="15"/>
      <c r="K1034" s="6" t="s">
        <v>1976</v>
      </c>
      <c r="L1034" s="6" t="s">
        <v>2032</v>
      </c>
      <c r="M1034" s="6" t="s">
        <v>1809</v>
      </c>
      <c r="N1034" s="6" t="s">
        <v>1644</v>
      </c>
      <c r="O1034" s="7">
        <f>SUMIFS('05_상품별배치367'!$K$7:$K$373,'05_상품별배치367'!$E$7:$E$373,A1034,'05_상품별배치367'!$H$7:$H$373,"본진")</f>
        <v>0</v>
      </c>
      <c r="P1034" s="7">
        <f>SUMIFS('05_상품별배치367'!$K$7:$K$373,'05_상품별배치367'!$E$7:$E$373,A1034,'05_상품별배치367'!$H$7:$H$373,"추가 진열")</f>
        <v>0</v>
      </c>
      <c r="Q1034" s="7">
        <f>O1034+P1034</f>
        <v>0</v>
      </c>
      <c r="R1034" s="7">
        <v>0</v>
      </c>
      <c r="S1034" s="6" t="s">
        <v>1810</v>
      </c>
      <c r="T1034" s="6" t="s">
        <v>1637</v>
      </c>
      <c r="U1034" s="6"/>
      <c r="V1034" s="16"/>
      <c r="W1034" s="16"/>
      <c r="X1034" s="16"/>
      <c r="Y1034" s="6" t="s">
        <v>1627</v>
      </c>
      <c r="Z1034" s="15"/>
      <c r="AA1034" s="15" t="s">
        <v>1628</v>
      </c>
    </row>
    <row r="1035" spans="1:27" ht="33" customHeight="1">
      <c r="A1035" s="6" t="s">
        <v>5007</v>
      </c>
      <c r="B1035" s="7">
        <v>1481</v>
      </c>
      <c r="C1035" s="6" t="s">
        <v>5008</v>
      </c>
      <c r="D1035" s="6" t="s">
        <v>5009</v>
      </c>
      <c r="E1035" s="6" t="s">
        <v>1986</v>
      </c>
      <c r="F1035" s="6" t="s">
        <v>1276</v>
      </c>
      <c r="G1035" s="6" t="s">
        <v>1987</v>
      </c>
      <c r="H1035" s="6"/>
      <c r="I1035" s="14" t="s">
        <v>1642</v>
      </c>
      <c r="J1035" s="15"/>
      <c r="K1035" s="6" t="s">
        <v>1976</v>
      </c>
      <c r="L1035" s="6"/>
      <c r="M1035" s="6" t="s">
        <v>1643</v>
      </c>
      <c r="N1035" s="6" t="s">
        <v>1644</v>
      </c>
      <c r="O1035" s="7">
        <f>SUMIFS('05_상품별배치367'!$K$7:$K$373,'05_상품별배치367'!$E$7:$E$373,A1035,'05_상품별배치367'!$H$7:$H$373,"본진")</f>
        <v>0</v>
      </c>
      <c r="P1035" s="7">
        <f>SUMIFS('05_상품별배치367'!$K$7:$K$373,'05_상품별배치367'!$E$7:$E$373,A1035,'05_상품별배치367'!$H$7:$H$373,"추가 진열")</f>
        <v>0</v>
      </c>
      <c r="Q1035" s="7">
        <f>O1035+P1035</f>
        <v>0</v>
      </c>
      <c r="R1035" s="7">
        <v>1</v>
      </c>
      <c r="S1035" s="6" t="s">
        <v>1988</v>
      </c>
      <c r="T1035" s="6" t="s">
        <v>1637</v>
      </c>
      <c r="U1035" s="6"/>
      <c r="V1035" s="16"/>
      <c r="W1035" s="16"/>
      <c r="X1035" s="16"/>
      <c r="Y1035" s="6" t="s">
        <v>1655</v>
      </c>
      <c r="Z1035" s="15"/>
      <c r="AA1035" s="15" t="s">
        <v>1628</v>
      </c>
    </row>
    <row r="1036" spans="1:27" ht="33" customHeight="1">
      <c r="A1036" s="6" t="s">
        <v>5013</v>
      </c>
      <c r="B1036" s="7">
        <v>1483</v>
      </c>
      <c r="C1036" s="6" t="s">
        <v>5014</v>
      </c>
      <c r="D1036" s="6" t="s">
        <v>3164</v>
      </c>
      <c r="E1036" s="6" t="s">
        <v>2134</v>
      </c>
      <c r="F1036" s="6" t="s">
        <v>2933</v>
      </c>
      <c r="G1036" s="6" t="s">
        <v>1668</v>
      </c>
      <c r="H1036" s="6"/>
      <c r="I1036" s="14" t="s">
        <v>1807</v>
      </c>
      <c r="J1036" s="15"/>
      <c r="K1036" s="6" t="s">
        <v>1976</v>
      </c>
      <c r="L1036" s="6" t="s">
        <v>2032</v>
      </c>
      <c r="M1036" s="6" t="s">
        <v>1809</v>
      </c>
      <c r="N1036" s="6" t="s">
        <v>1644</v>
      </c>
      <c r="O1036" s="7">
        <f>SUMIFS('05_상품별배치367'!$K$7:$K$373,'05_상품별배치367'!$E$7:$E$373,A1036,'05_상품별배치367'!$H$7:$H$373,"본진")</f>
        <v>0</v>
      </c>
      <c r="P1036" s="7">
        <f>SUMIFS('05_상품별배치367'!$K$7:$K$373,'05_상품별배치367'!$E$7:$E$373,A1036,'05_상품별배치367'!$H$7:$H$373,"추가 진열")</f>
        <v>0</v>
      </c>
      <c r="Q1036" s="7">
        <f>O1036+P1036</f>
        <v>0</v>
      </c>
      <c r="R1036" s="7">
        <v>0</v>
      </c>
      <c r="S1036" s="6" t="s">
        <v>1810</v>
      </c>
      <c r="T1036" s="6" t="s">
        <v>1637</v>
      </c>
      <c r="U1036" s="6"/>
      <c r="V1036" s="16"/>
      <c r="W1036" s="16"/>
      <c r="X1036" s="16"/>
      <c r="Y1036" s="6" t="s">
        <v>1627</v>
      </c>
      <c r="Z1036" s="15"/>
      <c r="AA1036" s="15" t="s">
        <v>1628</v>
      </c>
    </row>
    <row r="1037" spans="1:27" ht="33" customHeight="1">
      <c r="A1037" s="8" t="s">
        <v>5015</v>
      </c>
      <c r="B1037" s="9">
        <v>1484</v>
      </c>
      <c r="C1037" s="8" t="s">
        <v>5016</v>
      </c>
      <c r="D1037" s="8" t="s">
        <v>3008</v>
      </c>
      <c r="E1037" s="8" t="s">
        <v>2134</v>
      </c>
      <c r="F1037" s="8" t="s">
        <v>162</v>
      </c>
      <c r="G1037" s="8" t="s">
        <v>404</v>
      </c>
      <c r="H1037" s="8"/>
      <c r="I1037" s="14" t="s">
        <v>1642</v>
      </c>
      <c r="J1037" s="15"/>
      <c r="K1037" s="8" t="s">
        <v>1976</v>
      </c>
      <c r="L1037" s="8"/>
      <c r="M1037" s="6" t="s">
        <v>1643</v>
      </c>
      <c r="N1037" s="6" t="s">
        <v>1644</v>
      </c>
      <c r="O1037" s="7">
        <f>SUMIFS('05_상품별배치367'!$K$7:$K$373,'05_상품별배치367'!$E$7:$E$373,A1037,'05_상품별배치367'!$H$7:$H$373,"본진")</f>
        <v>0</v>
      </c>
      <c r="P1037" s="7">
        <f>SUMIFS('05_상품별배치367'!$K$7:$K$373,'05_상품별배치367'!$E$7:$E$373,A1037,'05_상품별배치367'!$H$7:$H$373,"추가 진열")</f>
        <v>0</v>
      </c>
      <c r="Q1037" s="7">
        <f>O1037+P1037</f>
        <v>0</v>
      </c>
      <c r="R1037" s="7">
        <v>1</v>
      </c>
      <c r="S1037" s="6" t="s">
        <v>2996</v>
      </c>
      <c r="T1037" s="6" t="s">
        <v>1637</v>
      </c>
      <c r="U1037" s="6"/>
      <c r="V1037" s="16"/>
      <c r="W1037" s="16"/>
      <c r="X1037" s="16"/>
      <c r="Y1037" s="6" t="s">
        <v>1627</v>
      </c>
      <c r="Z1037" s="15"/>
      <c r="AA1037" s="15" t="s">
        <v>1628</v>
      </c>
    </row>
    <row r="1038" spans="1:27" ht="33" customHeight="1">
      <c r="A1038" s="6" t="s">
        <v>5017</v>
      </c>
      <c r="B1038" s="7">
        <v>1485</v>
      </c>
      <c r="C1038" s="6" t="s">
        <v>5018</v>
      </c>
      <c r="D1038" s="6" t="s">
        <v>3008</v>
      </c>
      <c r="E1038" s="6" t="s">
        <v>2134</v>
      </c>
      <c r="F1038" s="6" t="s">
        <v>481</v>
      </c>
      <c r="G1038" s="6" t="s">
        <v>193</v>
      </c>
      <c r="H1038" s="6"/>
      <c r="I1038" s="14" t="s">
        <v>1642</v>
      </c>
      <c r="J1038" s="15"/>
      <c r="K1038" s="6" t="s">
        <v>1976</v>
      </c>
      <c r="L1038" s="6"/>
      <c r="M1038" s="6" t="s">
        <v>1643</v>
      </c>
      <c r="N1038" s="6" t="s">
        <v>1644</v>
      </c>
      <c r="O1038" s="7">
        <f>SUMIFS('05_상품별배치367'!$K$7:$K$373,'05_상품별배치367'!$E$7:$E$373,A1038,'05_상품별배치367'!$H$7:$H$373,"본진")</f>
        <v>0</v>
      </c>
      <c r="P1038" s="7">
        <f>SUMIFS('05_상품별배치367'!$K$7:$K$373,'05_상품별배치367'!$E$7:$E$373,A1038,'05_상품별배치367'!$H$7:$H$373,"추가 진열")</f>
        <v>0</v>
      </c>
      <c r="Q1038" s="7">
        <f>O1038+P1038</f>
        <v>0</v>
      </c>
      <c r="R1038" s="7">
        <v>1</v>
      </c>
      <c r="S1038" s="6" t="s">
        <v>3000</v>
      </c>
      <c r="T1038" s="6" t="s">
        <v>1637</v>
      </c>
      <c r="U1038" s="6"/>
      <c r="V1038" s="16"/>
      <c r="W1038" s="16"/>
      <c r="X1038" s="16"/>
      <c r="Y1038" s="6" t="s">
        <v>1627</v>
      </c>
      <c r="Z1038" s="15"/>
      <c r="AA1038" s="15" t="s">
        <v>1628</v>
      </c>
    </row>
    <row r="1039" spans="1:27" ht="33" customHeight="1">
      <c r="A1039" s="8" t="s">
        <v>5956</v>
      </c>
      <c r="B1039" s="9">
        <v>1930</v>
      </c>
      <c r="C1039" s="8" t="s">
        <v>5957</v>
      </c>
      <c r="D1039" s="8" t="s">
        <v>5958</v>
      </c>
      <c r="E1039" s="8" t="s">
        <v>1641</v>
      </c>
      <c r="F1039" s="8" t="s">
        <v>1806</v>
      </c>
      <c r="G1039" s="8" t="s">
        <v>1668</v>
      </c>
      <c r="H1039" s="8"/>
      <c r="I1039" s="14" t="s">
        <v>1807</v>
      </c>
      <c r="J1039" s="15"/>
      <c r="K1039" s="8" t="s">
        <v>1634</v>
      </c>
      <c r="L1039" s="8" t="s">
        <v>2001</v>
      </c>
      <c r="M1039" s="6" t="s">
        <v>1809</v>
      </c>
      <c r="N1039" s="6" t="s">
        <v>1624</v>
      </c>
      <c r="O1039" s="7">
        <f>SUMIFS('05_상품별배치367'!$K$7:$K$373,'05_상품별배치367'!$E$7:$E$373,A1039,'05_상품별배치367'!$H$7:$H$373,"본진")</f>
        <v>0</v>
      </c>
      <c r="P1039" s="7">
        <f>SUMIFS('05_상품별배치367'!$K$7:$K$373,'05_상품별배치367'!$E$7:$E$373,A1039,'05_상품별배치367'!$H$7:$H$373,"추가 진열")</f>
        <v>0</v>
      </c>
      <c r="Q1039" s="7">
        <f>O1039+P1039</f>
        <v>0</v>
      </c>
      <c r="R1039" s="7">
        <v>0</v>
      </c>
      <c r="S1039" s="6" t="s">
        <v>1810</v>
      </c>
      <c r="T1039" s="6" t="s">
        <v>1637</v>
      </c>
      <c r="U1039" s="6"/>
      <c r="V1039" s="16"/>
      <c r="W1039" s="16"/>
      <c r="X1039" s="16"/>
      <c r="Y1039" s="6" t="s">
        <v>1627</v>
      </c>
      <c r="Z1039" s="15"/>
      <c r="AA1039" s="15" t="s">
        <v>1628</v>
      </c>
    </row>
    <row r="1040" spans="1:27" ht="33" customHeight="1">
      <c r="A1040" s="8" t="s">
        <v>2911</v>
      </c>
      <c r="B1040" s="9">
        <v>508</v>
      </c>
      <c r="C1040" s="8" t="s">
        <v>2912</v>
      </c>
      <c r="D1040" s="8" t="s">
        <v>2913</v>
      </c>
      <c r="E1040" s="8" t="s">
        <v>1695</v>
      </c>
      <c r="F1040" s="8" t="s">
        <v>497</v>
      </c>
      <c r="G1040" s="8" t="s">
        <v>307</v>
      </c>
      <c r="H1040" s="8"/>
      <c r="I1040" s="14" t="s">
        <v>1642</v>
      </c>
      <c r="J1040" s="15"/>
      <c r="K1040" s="8" t="s">
        <v>1696</v>
      </c>
      <c r="L1040" s="8"/>
      <c r="M1040" s="6" t="s">
        <v>1643</v>
      </c>
      <c r="N1040" s="6" t="s">
        <v>1644</v>
      </c>
      <c r="O1040" s="7">
        <f>SUMIFS('05_상품별배치367'!$K$7:$K$373,'05_상품별배치367'!$E$7:$E$373,A1040,'05_상품별배치367'!$H$7:$H$373,"본진")</f>
        <v>0</v>
      </c>
      <c r="P1040" s="7">
        <f>SUMIFS('05_상품별배치367'!$K$7:$K$373,'05_상품별배치367'!$E$7:$E$373,A1040,'05_상품별배치367'!$H$7:$H$373,"추가 진열")</f>
        <v>0</v>
      </c>
      <c r="Q1040" s="7">
        <f>O1040+P1040</f>
        <v>0</v>
      </c>
      <c r="R1040" s="7">
        <v>1</v>
      </c>
      <c r="S1040" s="6" t="s">
        <v>2857</v>
      </c>
      <c r="T1040" s="6" t="s">
        <v>1637</v>
      </c>
      <c r="U1040" s="6"/>
      <c r="V1040" s="16"/>
      <c r="W1040" s="16"/>
      <c r="X1040" s="16"/>
      <c r="Y1040" s="6" t="s">
        <v>1627</v>
      </c>
      <c r="Z1040" s="15"/>
      <c r="AA1040" s="15" t="s">
        <v>1628</v>
      </c>
    </row>
    <row r="1041" spans="1:27" ht="33" customHeight="1">
      <c r="A1041" s="6" t="s">
        <v>2908</v>
      </c>
      <c r="B1041" s="7">
        <v>507</v>
      </c>
      <c r="C1041" s="6" t="s">
        <v>2909</v>
      </c>
      <c r="D1041" s="6" t="s">
        <v>2910</v>
      </c>
      <c r="E1041" s="6" t="s">
        <v>1695</v>
      </c>
      <c r="F1041" s="6" t="s">
        <v>1129</v>
      </c>
      <c r="G1041" s="6" t="s">
        <v>307</v>
      </c>
      <c r="H1041" s="6"/>
      <c r="I1041" s="14" t="s">
        <v>1642</v>
      </c>
      <c r="J1041" s="15"/>
      <c r="K1041" s="6" t="s">
        <v>1696</v>
      </c>
      <c r="L1041" s="6"/>
      <c r="M1041" s="6" t="s">
        <v>1643</v>
      </c>
      <c r="N1041" s="6" t="s">
        <v>1644</v>
      </c>
      <c r="O1041" s="7">
        <f>SUMIFS('05_상품별배치367'!$K$7:$K$373,'05_상품별배치367'!$E$7:$E$373,A1041,'05_상품별배치367'!$H$7:$H$373,"본진")</f>
        <v>0</v>
      </c>
      <c r="P1041" s="7">
        <f>SUMIFS('05_상품별배치367'!$K$7:$K$373,'05_상품별배치367'!$E$7:$E$373,A1041,'05_상품별배치367'!$H$7:$H$373,"추가 진열")</f>
        <v>0</v>
      </c>
      <c r="Q1041" s="7">
        <f>O1041+P1041</f>
        <v>0</v>
      </c>
      <c r="R1041" s="7">
        <v>1</v>
      </c>
      <c r="S1041" s="6" t="s">
        <v>2850</v>
      </c>
      <c r="T1041" s="6" t="s">
        <v>1637</v>
      </c>
      <c r="U1041" s="6"/>
      <c r="V1041" s="16"/>
      <c r="W1041" s="16"/>
      <c r="X1041" s="16"/>
      <c r="Y1041" s="6" t="s">
        <v>1627</v>
      </c>
      <c r="Z1041" s="15"/>
      <c r="AA1041" s="15" t="s">
        <v>1628</v>
      </c>
    </row>
    <row r="1042" spans="1:27" ht="33" customHeight="1">
      <c r="A1042" s="6" t="s">
        <v>2914</v>
      </c>
      <c r="B1042" s="7">
        <v>509</v>
      </c>
      <c r="C1042" s="6" t="s">
        <v>2915</v>
      </c>
      <c r="D1042" s="6" t="s">
        <v>1851</v>
      </c>
      <c r="E1042" s="6" t="s">
        <v>1695</v>
      </c>
      <c r="F1042" s="6" t="s">
        <v>497</v>
      </c>
      <c r="G1042" s="6" t="s">
        <v>307</v>
      </c>
      <c r="H1042" s="6"/>
      <c r="I1042" s="14" t="s">
        <v>1642</v>
      </c>
      <c r="J1042" s="15"/>
      <c r="K1042" s="6" t="s">
        <v>1696</v>
      </c>
      <c r="L1042" s="6"/>
      <c r="M1042" s="6" t="s">
        <v>1643</v>
      </c>
      <c r="N1042" s="6" t="s">
        <v>1644</v>
      </c>
      <c r="O1042" s="7">
        <f>SUMIFS('05_상품별배치367'!$K$7:$K$373,'05_상품별배치367'!$E$7:$E$373,A1042,'05_상품별배치367'!$H$7:$H$373,"본진")</f>
        <v>0</v>
      </c>
      <c r="P1042" s="7">
        <f>SUMIFS('05_상품별배치367'!$K$7:$K$373,'05_상품별배치367'!$E$7:$E$373,A1042,'05_상품별배치367'!$H$7:$H$373,"추가 진열")</f>
        <v>0</v>
      </c>
      <c r="Q1042" s="7">
        <f>O1042+P1042</f>
        <v>0</v>
      </c>
      <c r="R1042" s="7">
        <v>1</v>
      </c>
      <c r="S1042" s="6" t="s">
        <v>2857</v>
      </c>
      <c r="T1042" s="6" t="s">
        <v>1637</v>
      </c>
      <c r="U1042" s="6"/>
      <c r="V1042" s="16"/>
      <c r="W1042" s="16"/>
      <c r="X1042" s="16"/>
      <c r="Y1042" s="6" t="s">
        <v>1627</v>
      </c>
      <c r="Z1042" s="15"/>
      <c r="AA1042" s="15" t="s">
        <v>1628</v>
      </c>
    </row>
    <row r="1043" spans="1:27" ht="33" customHeight="1">
      <c r="A1043" s="8" t="s">
        <v>6894</v>
      </c>
      <c r="B1043" s="9">
        <v>2358</v>
      </c>
      <c r="C1043" s="8" t="s">
        <v>6895</v>
      </c>
      <c r="D1043" s="8" t="s">
        <v>2078</v>
      </c>
      <c r="E1043" s="8" t="s">
        <v>1666</v>
      </c>
      <c r="F1043" s="8" t="s">
        <v>1667</v>
      </c>
      <c r="G1043" s="8" t="s">
        <v>1668</v>
      </c>
      <c r="H1043" s="8"/>
      <c r="I1043" s="14" t="s">
        <v>1669</v>
      </c>
      <c r="J1043" s="15"/>
      <c r="K1043" s="8" t="s">
        <v>1670</v>
      </c>
      <c r="L1043" s="8" t="s">
        <v>5771</v>
      </c>
      <c r="M1043" s="6" t="s">
        <v>1671</v>
      </c>
      <c r="N1043" s="6" t="s">
        <v>1644</v>
      </c>
      <c r="O1043" s="7">
        <f>SUMIFS('05_상품별배치367'!$K$7:$K$373,'05_상품별배치367'!$E$7:$E$373,A1043,'05_상품별배치367'!$H$7:$H$373,"본진")</f>
        <v>0</v>
      </c>
      <c r="P1043" s="7">
        <f>SUMIFS('05_상품별배치367'!$K$7:$K$373,'05_상품별배치367'!$E$7:$E$373,A1043,'05_상품별배치367'!$H$7:$H$373,"추가 진열")</f>
        <v>0</v>
      </c>
      <c r="Q1043" s="7">
        <f>O1043+P1043</f>
        <v>0</v>
      </c>
      <c r="R1043" s="7">
        <v>0</v>
      </c>
      <c r="S1043" s="6" t="s">
        <v>1672</v>
      </c>
      <c r="T1043" s="6" t="s">
        <v>1637</v>
      </c>
      <c r="U1043" s="6"/>
      <c r="V1043" s="16"/>
      <c r="W1043" s="16"/>
      <c r="X1043" s="16"/>
      <c r="Y1043" s="6" t="s">
        <v>1655</v>
      </c>
      <c r="Z1043" s="15"/>
      <c r="AA1043" s="15" t="s">
        <v>1628</v>
      </c>
    </row>
    <row r="1044" spans="1:27" ht="33" customHeight="1">
      <c r="A1044" s="6" t="s">
        <v>6888</v>
      </c>
      <c r="B1044" s="7">
        <v>2355</v>
      </c>
      <c r="C1044" s="6" t="s">
        <v>6889</v>
      </c>
      <c r="D1044" s="6" t="s">
        <v>2078</v>
      </c>
      <c r="E1044" s="6" t="s">
        <v>1666</v>
      </c>
      <c r="F1044" s="6" t="s">
        <v>1667</v>
      </c>
      <c r="G1044" s="6" t="s">
        <v>1668</v>
      </c>
      <c r="H1044" s="6"/>
      <c r="I1044" s="14" t="s">
        <v>1669</v>
      </c>
      <c r="J1044" s="15"/>
      <c r="K1044" s="6" t="s">
        <v>1670</v>
      </c>
      <c r="L1044" s="6" t="s">
        <v>5771</v>
      </c>
      <c r="M1044" s="6" t="s">
        <v>1671</v>
      </c>
      <c r="N1044" s="6" t="s">
        <v>1644</v>
      </c>
      <c r="O1044" s="7">
        <f>SUMIFS('05_상품별배치367'!$K$7:$K$373,'05_상품별배치367'!$E$7:$E$373,A1044,'05_상품별배치367'!$H$7:$H$373,"본진")</f>
        <v>0</v>
      </c>
      <c r="P1044" s="7">
        <f>SUMIFS('05_상품별배치367'!$K$7:$K$373,'05_상품별배치367'!$E$7:$E$373,A1044,'05_상품별배치367'!$H$7:$H$373,"추가 진열")</f>
        <v>0</v>
      </c>
      <c r="Q1044" s="7">
        <f>O1044+P1044</f>
        <v>0</v>
      </c>
      <c r="R1044" s="7">
        <v>0</v>
      </c>
      <c r="S1044" s="6" t="s">
        <v>1672</v>
      </c>
      <c r="T1044" s="6" t="s">
        <v>1637</v>
      </c>
      <c r="U1044" s="6"/>
      <c r="V1044" s="16"/>
      <c r="W1044" s="16"/>
      <c r="X1044" s="16"/>
      <c r="Y1044" s="6" t="s">
        <v>1655</v>
      </c>
      <c r="Z1044" s="15"/>
      <c r="AA1044" s="15" t="s">
        <v>1628</v>
      </c>
    </row>
    <row r="1045" spans="1:27" ht="33" customHeight="1">
      <c r="A1045" s="8" t="s">
        <v>1369</v>
      </c>
      <c r="B1045" s="9">
        <v>1964</v>
      </c>
      <c r="C1045" s="8" t="s">
        <v>1368</v>
      </c>
      <c r="D1045" s="8" t="s">
        <v>2795</v>
      </c>
      <c r="E1045" s="8" t="s">
        <v>1814</v>
      </c>
      <c r="F1045" s="8" t="s">
        <v>515</v>
      </c>
      <c r="G1045" s="8" t="s">
        <v>431</v>
      </c>
      <c r="H1045" s="8" t="s">
        <v>1367</v>
      </c>
      <c r="I1045" s="14" t="s">
        <v>1621</v>
      </c>
      <c r="J1045" s="15"/>
      <c r="K1045" s="8" t="s">
        <v>1840</v>
      </c>
      <c r="L1045" s="8" t="s">
        <v>3828</v>
      </c>
      <c r="M1045" s="6" t="s">
        <v>1623</v>
      </c>
      <c r="N1045" s="6" t="s">
        <v>1624</v>
      </c>
      <c r="O1045" s="7">
        <f>SUMIFS('05_상품별배치367'!$K$7:$K$373,'05_상품별배치367'!$E$7:$E$373,A1045,'05_상품별배치367'!$H$7:$H$373,"본진")</f>
        <v>1</v>
      </c>
      <c r="P1045" s="7">
        <f>SUMIFS('05_상품별배치367'!$K$7:$K$373,'05_상품별배치367'!$E$7:$E$373,A1045,'05_상품별배치367'!$H$7:$H$373,"추가 진열")</f>
        <v>1</v>
      </c>
      <c r="Q1045" s="7">
        <f>O1045+P1045</f>
        <v>2</v>
      </c>
      <c r="R1045" s="7">
        <v>1</v>
      </c>
      <c r="S1045" s="6" t="s">
        <v>1625</v>
      </c>
      <c r="T1045" s="6" t="s">
        <v>1637</v>
      </c>
      <c r="U1045" s="6"/>
      <c r="V1045" s="16"/>
      <c r="W1045" s="16"/>
      <c r="X1045" s="16"/>
      <c r="Y1045" s="6" t="s">
        <v>1627</v>
      </c>
      <c r="Z1045" s="15"/>
      <c r="AA1045" s="15" t="s">
        <v>1628</v>
      </c>
    </row>
    <row r="1046" spans="1:27" ht="33" customHeight="1">
      <c r="A1046" s="8" t="s">
        <v>6035</v>
      </c>
      <c r="B1046" s="9">
        <v>1966</v>
      </c>
      <c r="C1046" s="8" t="s">
        <v>6036</v>
      </c>
      <c r="D1046" s="8"/>
      <c r="E1046" s="8" t="s">
        <v>1666</v>
      </c>
      <c r="F1046" s="8" t="s">
        <v>1667</v>
      </c>
      <c r="G1046" s="8" t="s">
        <v>1668</v>
      </c>
      <c r="H1046" s="8"/>
      <c r="I1046" s="14" t="s">
        <v>1669</v>
      </c>
      <c r="J1046" s="15"/>
      <c r="K1046" s="8" t="s">
        <v>1670</v>
      </c>
      <c r="L1046" s="8" t="s">
        <v>2079</v>
      </c>
      <c r="M1046" s="6" t="s">
        <v>1671</v>
      </c>
      <c r="N1046" s="6" t="s">
        <v>1644</v>
      </c>
      <c r="O1046" s="7">
        <f>SUMIFS('05_상품별배치367'!$K$7:$K$373,'05_상품별배치367'!$E$7:$E$373,A1046,'05_상품별배치367'!$H$7:$H$373,"본진")</f>
        <v>0</v>
      </c>
      <c r="P1046" s="7">
        <f>SUMIFS('05_상품별배치367'!$K$7:$K$373,'05_상품별배치367'!$E$7:$E$373,A1046,'05_상품별배치367'!$H$7:$H$373,"추가 진열")</f>
        <v>0</v>
      </c>
      <c r="Q1046" s="7">
        <f>O1046+P1046</f>
        <v>0</v>
      </c>
      <c r="R1046" s="7">
        <v>0</v>
      </c>
      <c r="S1046" s="6" t="s">
        <v>1672</v>
      </c>
      <c r="T1046" s="6" t="s">
        <v>1637</v>
      </c>
      <c r="U1046" s="6"/>
      <c r="V1046" s="16"/>
      <c r="W1046" s="16"/>
      <c r="X1046" s="16"/>
      <c r="Y1046" s="6" t="s">
        <v>5772</v>
      </c>
      <c r="Z1046" s="15"/>
      <c r="AA1046" s="15" t="s">
        <v>1628</v>
      </c>
    </row>
    <row r="1047" spans="1:27" ht="33" customHeight="1">
      <c r="A1047" s="8" t="s">
        <v>6360</v>
      </c>
      <c r="B1047" s="9">
        <v>2102</v>
      </c>
      <c r="C1047" s="8" t="s">
        <v>6361</v>
      </c>
      <c r="D1047" s="8" t="s">
        <v>2714</v>
      </c>
      <c r="E1047" s="8" t="s">
        <v>1814</v>
      </c>
      <c r="F1047" s="8" t="s">
        <v>726</v>
      </c>
      <c r="G1047" s="8" t="s">
        <v>107</v>
      </c>
      <c r="H1047" s="8" t="s">
        <v>725</v>
      </c>
      <c r="I1047" s="14" t="s">
        <v>1633</v>
      </c>
      <c r="J1047" s="15"/>
      <c r="K1047" s="8" t="s">
        <v>6293</v>
      </c>
      <c r="L1047" s="8"/>
      <c r="M1047" s="6" t="s">
        <v>1635</v>
      </c>
      <c r="N1047" s="6" t="s">
        <v>1624</v>
      </c>
      <c r="O1047" s="7">
        <f>SUMIFS('05_상품별배치367'!$K$7:$K$373,'05_상품별배치367'!$E$7:$E$373,A1047,'05_상품별배치367'!$H$7:$H$373,"본진")</f>
        <v>1</v>
      </c>
      <c r="P1047" s="7">
        <f>SUMIFS('05_상품별배치367'!$K$7:$K$373,'05_상품별배치367'!$E$7:$E$373,A1047,'05_상품별배치367'!$H$7:$H$373,"추가 진열")</f>
        <v>0</v>
      </c>
      <c r="Q1047" s="7">
        <f>O1047+P1047</f>
        <v>1</v>
      </c>
      <c r="R1047" s="7">
        <v>1</v>
      </c>
      <c r="S1047" s="6" t="s">
        <v>1636</v>
      </c>
      <c r="T1047" s="6" t="s">
        <v>1637</v>
      </c>
      <c r="U1047" s="6"/>
      <c r="V1047" s="16"/>
      <c r="W1047" s="16"/>
      <c r="X1047" s="16"/>
      <c r="Y1047" s="6" t="s">
        <v>1627</v>
      </c>
      <c r="Z1047" s="15"/>
      <c r="AA1047" s="15" t="s">
        <v>1628</v>
      </c>
    </row>
    <row r="1048" spans="1:27" ht="33" customHeight="1">
      <c r="A1048" s="6" t="s">
        <v>6362</v>
      </c>
      <c r="B1048" s="7">
        <v>2103</v>
      </c>
      <c r="C1048" s="6" t="s">
        <v>6363</v>
      </c>
      <c r="D1048" s="6" t="s">
        <v>2133</v>
      </c>
      <c r="E1048" s="6" t="s">
        <v>1814</v>
      </c>
      <c r="F1048" s="6" t="s">
        <v>726</v>
      </c>
      <c r="G1048" s="6" t="s">
        <v>107</v>
      </c>
      <c r="H1048" s="6"/>
      <c r="I1048" s="14" t="s">
        <v>1642</v>
      </c>
      <c r="J1048" s="15"/>
      <c r="K1048" s="6" t="s">
        <v>6293</v>
      </c>
      <c r="L1048" s="6"/>
      <c r="M1048" s="6" t="s">
        <v>1643</v>
      </c>
      <c r="N1048" s="6" t="s">
        <v>1644</v>
      </c>
      <c r="O1048" s="7">
        <f>SUMIFS('05_상품별배치367'!$K$7:$K$373,'05_상품별배치367'!$E$7:$E$373,A1048,'05_상품별배치367'!$H$7:$H$373,"본진")</f>
        <v>0</v>
      </c>
      <c r="P1048" s="7">
        <f>SUMIFS('05_상품별배치367'!$K$7:$K$373,'05_상품별배치367'!$E$7:$E$373,A1048,'05_상품별배치367'!$H$7:$H$373,"추가 진열")</f>
        <v>0</v>
      </c>
      <c r="Q1048" s="7">
        <f>O1048+P1048</f>
        <v>0</v>
      </c>
      <c r="R1048" s="7">
        <v>1</v>
      </c>
      <c r="S1048" s="6" t="s">
        <v>6364</v>
      </c>
      <c r="T1048" s="6" t="s">
        <v>1637</v>
      </c>
      <c r="U1048" s="6"/>
      <c r="V1048" s="16"/>
      <c r="W1048" s="16"/>
      <c r="X1048" s="16"/>
      <c r="Y1048" s="6" t="s">
        <v>1627</v>
      </c>
      <c r="Z1048" s="15"/>
      <c r="AA1048" s="15" t="s">
        <v>1628</v>
      </c>
    </row>
    <row r="1049" spans="1:27" ht="33" customHeight="1">
      <c r="A1049" s="6" t="s">
        <v>4745</v>
      </c>
      <c r="B1049" s="7">
        <v>1357</v>
      </c>
      <c r="C1049" s="6" t="s">
        <v>4746</v>
      </c>
      <c r="D1049" s="6" t="s">
        <v>2133</v>
      </c>
      <c r="E1049" s="6" t="s">
        <v>2134</v>
      </c>
      <c r="F1049" s="6" t="s">
        <v>163</v>
      </c>
      <c r="G1049" s="6" t="s">
        <v>414</v>
      </c>
      <c r="H1049" s="6"/>
      <c r="I1049" s="14" t="s">
        <v>1642</v>
      </c>
      <c r="J1049" s="15"/>
      <c r="K1049" s="6" t="s">
        <v>1976</v>
      </c>
      <c r="L1049" s="6"/>
      <c r="M1049" s="6" t="s">
        <v>1643</v>
      </c>
      <c r="N1049" s="6" t="s">
        <v>1644</v>
      </c>
      <c r="O1049" s="7">
        <f>SUMIFS('05_상품별배치367'!$K$7:$K$373,'05_상품별배치367'!$E$7:$E$373,A1049,'05_상품별배치367'!$H$7:$H$373,"본진")</f>
        <v>0</v>
      </c>
      <c r="P1049" s="7">
        <f>SUMIFS('05_상품별배치367'!$K$7:$K$373,'05_상품별배치367'!$E$7:$E$373,A1049,'05_상품별배치367'!$H$7:$H$373,"추가 진열")</f>
        <v>0</v>
      </c>
      <c r="Q1049" s="7">
        <f>O1049+P1049</f>
        <v>0</v>
      </c>
      <c r="R1049" s="7">
        <v>1</v>
      </c>
      <c r="S1049" s="6" t="s">
        <v>3048</v>
      </c>
      <c r="T1049" s="6" t="s">
        <v>1637</v>
      </c>
      <c r="U1049" s="6"/>
      <c r="V1049" s="16"/>
      <c r="W1049" s="16"/>
      <c r="X1049" s="16"/>
      <c r="Y1049" s="6" t="s">
        <v>1627</v>
      </c>
      <c r="Z1049" s="15"/>
      <c r="AA1049" s="15" t="s">
        <v>1628</v>
      </c>
    </row>
    <row r="1050" spans="1:27" ht="33" customHeight="1">
      <c r="A1050" s="6" t="s">
        <v>4749</v>
      </c>
      <c r="B1050" s="7">
        <v>1359</v>
      </c>
      <c r="C1050" s="6" t="s">
        <v>4750</v>
      </c>
      <c r="D1050" s="6" t="s">
        <v>2133</v>
      </c>
      <c r="E1050" s="6" t="s">
        <v>2134</v>
      </c>
      <c r="F1050" s="6" t="s">
        <v>2933</v>
      </c>
      <c r="G1050" s="6" t="s">
        <v>1668</v>
      </c>
      <c r="H1050" s="6"/>
      <c r="I1050" s="14" t="s">
        <v>1807</v>
      </c>
      <c r="J1050" s="15"/>
      <c r="K1050" s="6" t="s">
        <v>1976</v>
      </c>
      <c r="L1050" s="6" t="s">
        <v>2032</v>
      </c>
      <c r="M1050" s="6" t="s">
        <v>1809</v>
      </c>
      <c r="N1050" s="6" t="s">
        <v>1644</v>
      </c>
      <c r="O1050" s="7">
        <f>SUMIFS('05_상품별배치367'!$K$7:$K$373,'05_상품별배치367'!$E$7:$E$373,A1050,'05_상품별배치367'!$H$7:$H$373,"본진")</f>
        <v>0</v>
      </c>
      <c r="P1050" s="7">
        <f>SUMIFS('05_상품별배치367'!$K$7:$K$373,'05_상품별배치367'!$E$7:$E$373,A1050,'05_상품별배치367'!$H$7:$H$373,"추가 진열")</f>
        <v>0</v>
      </c>
      <c r="Q1050" s="7">
        <f>O1050+P1050</f>
        <v>0</v>
      </c>
      <c r="R1050" s="7">
        <v>0</v>
      </c>
      <c r="S1050" s="6" t="s">
        <v>1810</v>
      </c>
      <c r="T1050" s="6" t="s">
        <v>1637</v>
      </c>
      <c r="U1050" s="6"/>
      <c r="V1050" s="16"/>
      <c r="W1050" s="16"/>
      <c r="X1050" s="16"/>
      <c r="Y1050" s="6" t="s">
        <v>1627</v>
      </c>
      <c r="Z1050" s="15"/>
      <c r="AA1050" s="15" t="s">
        <v>1628</v>
      </c>
    </row>
    <row r="1051" spans="1:27" ht="33" customHeight="1">
      <c r="A1051" s="8" t="s">
        <v>4747</v>
      </c>
      <c r="B1051" s="9">
        <v>1358</v>
      </c>
      <c r="C1051" s="8" t="s">
        <v>4748</v>
      </c>
      <c r="D1051" s="8" t="s">
        <v>1658</v>
      </c>
      <c r="E1051" s="8" t="s">
        <v>2134</v>
      </c>
      <c r="F1051" s="8" t="s">
        <v>1263</v>
      </c>
      <c r="G1051" s="8" t="s">
        <v>376</v>
      </c>
      <c r="H1051" s="8"/>
      <c r="I1051" s="14" t="s">
        <v>1642</v>
      </c>
      <c r="J1051" s="15"/>
      <c r="K1051" s="8" t="s">
        <v>1976</v>
      </c>
      <c r="L1051" s="8"/>
      <c r="M1051" s="6" t="s">
        <v>1643</v>
      </c>
      <c r="N1051" s="6" t="s">
        <v>1644</v>
      </c>
      <c r="O1051" s="7">
        <f>SUMIFS('05_상품별배치367'!$K$7:$K$373,'05_상품별배치367'!$E$7:$E$373,A1051,'05_상품별배치367'!$H$7:$H$373,"본진")</f>
        <v>0</v>
      </c>
      <c r="P1051" s="7">
        <f>SUMIFS('05_상품별배치367'!$K$7:$K$373,'05_상품별배치367'!$E$7:$E$373,A1051,'05_상품별배치367'!$H$7:$H$373,"추가 진열")</f>
        <v>0</v>
      </c>
      <c r="Q1051" s="7">
        <f>O1051+P1051</f>
        <v>0</v>
      </c>
      <c r="R1051" s="7">
        <v>1</v>
      </c>
      <c r="S1051" s="6" t="s">
        <v>3016</v>
      </c>
      <c r="T1051" s="6" t="s">
        <v>1637</v>
      </c>
      <c r="U1051" s="6"/>
      <c r="V1051" s="16"/>
      <c r="W1051" s="16"/>
      <c r="X1051" s="16"/>
      <c r="Y1051" s="6" t="s">
        <v>1627</v>
      </c>
      <c r="Z1051" s="15"/>
      <c r="AA1051" s="15" t="s">
        <v>1628</v>
      </c>
    </row>
    <row r="1052" spans="1:27" ht="33" customHeight="1">
      <c r="A1052" s="6" t="s">
        <v>6303</v>
      </c>
      <c r="B1052" s="7">
        <v>2077</v>
      </c>
      <c r="C1052" s="6" t="s">
        <v>6304</v>
      </c>
      <c r="D1052" s="6" t="s">
        <v>6305</v>
      </c>
      <c r="E1052" s="6" t="s">
        <v>1620</v>
      </c>
      <c r="F1052" s="6" t="s">
        <v>505</v>
      </c>
      <c r="G1052" s="6" t="s">
        <v>358</v>
      </c>
      <c r="H1052" s="6"/>
      <c r="I1052" s="14" t="s">
        <v>1642</v>
      </c>
      <c r="J1052" s="15"/>
      <c r="K1052" s="6" t="s">
        <v>1622</v>
      </c>
      <c r="L1052" s="6" t="s">
        <v>3828</v>
      </c>
      <c r="M1052" s="6" t="s">
        <v>1643</v>
      </c>
      <c r="N1052" s="6" t="s">
        <v>1644</v>
      </c>
      <c r="O1052" s="7">
        <f>SUMIFS('05_상품별배치367'!$K$7:$K$373,'05_상품별배치367'!$E$7:$E$373,A1052,'05_상품별배치367'!$H$7:$H$373,"본진")</f>
        <v>0</v>
      </c>
      <c r="P1052" s="7">
        <f>SUMIFS('05_상품별배치367'!$K$7:$K$373,'05_상품별배치367'!$E$7:$E$373,A1052,'05_상품별배치367'!$H$7:$H$373,"추가 진열")</f>
        <v>0</v>
      </c>
      <c r="Q1052" s="7">
        <f>O1052+P1052</f>
        <v>0</v>
      </c>
      <c r="R1052" s="7">
        <v>1</v>
      </c>
      <c r="S1052" s="6" t="s">
        <v>1793</v>
      </c>
      <c r="T1052" s="6" t="s">
        <v>1637</v>
      </c>
      <c r="U1052" s="6"/>
      <c r="V1052" s="16"/>
      <c r="W1052" s="16"/>
      <c r="X1052" s="16"/>
      <c r="Y1052" s="6" t="s">
        <v>1627</v>
      </c>
      <c r="Z1052" s="15"/>
      <c r="AA1052" s="15" t="s">
        <v>1628</v>
      </c>
    </row>
    <row r="1053" spans="1:27" ht="33" customHeight="1">
      <c r="A1053" s="6" t="s">
        <v>6572</v>
      </c>
      <c r="B1053" s="7">
        <v>2201</v>
      </c>
      <c r="C1053" s="6" t="s">
        <v>6573</v>
      </c>
      <c r="D1053" s="6" t="s">
        <v>1851</v>
      </c>
      <c r="E1053" s="6" t="s">
        <v>1620</v>
      </c>
      <c r="F1053" s="6" t="s">
        <v>505</v>
      </c>
      <c r="G1053" s="6" t="s">
        <v>358</v>
      </c>
      <c r="H1053" s="6"/>
      <c r="I1053" s="14" t="s">
        <v>1642</v>
      </c>
      <c r="J1053" s="15"/>
      <c r="K1053" s="6" t="s">
        <v>1622</v>
      </c>
      <c r="L1053" s="6"/>
      <c r="M1053" s="6" t="s">
        <v>1643</v>
      </c>
      <c r="N1053" s="6" t="s">
        <v>1644</v>
      </c>
      <c r="O1053" s="7">
        <f>SUMIFS('05_상품별배치367'!$K$7:$K$373,'05_상품별배치367'!$E$7:$E$373,A1053,'05_상품별배치367'!$H$7:$H$373,"본진")</f>
        <v>0</v>
      </c>
      <c r="P1053" s="7">
        <f>SUMIFS('05_상품별배치367'!$K$7:$K$373,'05_상품별배치367'!$E$7:$E$373,A1053,'05_상품별배치367'!$H$7:$H$373,"추가 진열")</f>
        <v>0</v>
      </c>
      <c r="Q1053" s="7">
        <f>O1053+P1053</f>
        <v>0</v>
      </c>
      <c r="R1053" s="7">
        <v>1</v>
      </c>
      <c r="S1053" s="6" t="s">
        <v>1793</v>
      </c>
      <c r="T1053" s="6" t="s">
        <v>1637</v>
      </c>
      <c r="U1053" s="6"/>
      <c r="V1053" s="16"/>
      <c r="W1053" s="16"/>
      <c r="X1053" s="16"/>
      <c r="Y1053" s="6" t="s">
        <v>1627</v>
      </c>
      <c r="Z1053" s="15"/>
      <c r="AA1053" s="15" t="s">
        <v>1628</v>
      </c>
    </row>
    <row r="1054" spans="1:27" ht="33" customHeight="1">
      <c r="A1054" s="8" t="s">
        <v>6306</v>
      </c>
      <c r="B1054" s="9">
        <v>2078</v>
      </c>
      <c r="C1054" s="8" t="s">
        <v>6307</v>
      </c>
      <c r="D1054" s="8" t="s">
        <v>6305</v>
      </c>
      <c r="E1054" s="8" t="s">
        <v>1620</v>
      </c>
      <c r="F1054" s="8" t="s">
        <v>2158</v>
      </c>
      <c r="G1054" s="8" t="s">
        <v>358</v>
      </c>
      <c r="H1054" s="8"/>
      <c r="I1054" s="14" t="s">
        <v>1642</v>
      </c>
      <c r="J1054" s="15"/>
      <c r="K1054" s="8" t="s">
        <v>1622</v>
      </c>
      <c r="L1054" s="8" t="s">
        <v>3828</v>
      </c>
      <c r="M1054" s="6" t="s">
        <v>1643</v>
      </c>
      <c r="N1054" s="6" t="s">
        <v>1644</v>
      </c>
      <c r="O1054" s="7">
        <f>SUMIFS('05_상품별배치367'!$K$7:$K$373,'05_상품별배치367'!$E$7:$E$373,A1054,'05_상품별배치367'!$H$7:$H$373,"본진")</f>
        <v>0</v>
      </c>
      <c r="P1054" s="7">
        <f>SUMIFS('05_상품별배치367'!$K$7:$K$373,'05_상품별배치367'!$E$7:$E$373,A1054,'05_상품별배치367'!$H$7:$H$373,"추가 진열")</f>
        <v>0</v>
      </c>
      <c r="Q1054" s="7">
        <f>O1054+P1054</f>
        <v>0</v>
      </c>
      <c r="R1054" s="7">
        <v>1</v>
      </c>
      <c r="S1054" s="6" t="s">
        <v>2320</v>
      </c>
      <c r="T1054" s="6" t="s">
        <v>1637</v>
      </c>
      <c r="U1054" s="6"/>
      <c r="V1054" s="16"/>
      <c r="W1054" s="16"/>
      <c r="X1054" s="16"/>
      <c r="Y1054" s="6" t="s">
        <v>1627</v>
      </c>
      <c r="Z1054" s="15"/>
      <c r="AA1054" s="15" t="s">
        <v>1628</v>
      </c>
    </row>
    <row r="1055" spans="1:27" ht="33" customHeight="1">
      <c r="A1055" s="8" t="s">
        <v>6574</v>
      </c>
      <c r="B1055" s="9">
        <v>2202</v>
      </c>
      <c r="C1055" s="8" t="s">
        <v>6575</v>
      </c>
      <c r="D1055" s="8" t="s">
        <v>1851</v>
      </c>
      <c r="E1055" s="8" t="s">
        <v>1620</v>
      </c>
      <c r="F1055" s="8" t="s">
        <v>2158</v>
      </c>
      <c r="G1055" s="8" t="s">
        <v>358</v>
      </c>
      <c r="H1055" s="8"/>
      <c r="I1055" s="14" t="s">
        <v>1642</v>
      </c>
      <c r="J1055" s="15"/>
      <c r="K1055" s="8" t="s">
        <v>1622</v>
      </c>
      <c r="L1055" s="8"/>
      <c r="M1055" s="6" t="s">
        <v>1643</v>
      </c>
      <c r="N1055" s="6" t="s">
        <v>1644</v>
      </c>
      <c r="O1055" s="7">
        <f>SUMIFS('05_상품별배치367'!$K$7:$K$373,'05_상품별배치367'!$E$7:$E$373,A1055,'05_상품별배치367'!$H$7:$H$373,"본진")</f>
        <v>0</v>
      </c>
      <c r="P1055" s="7">
        <f>SUMIFS('05_상품별배치367'!$K$7:$K$373,'05_상품별배치367'!$E$7:$E$373,A1055,'05_상품별배치367'!$H$7:$H$373,"추가 진열")</f>
        <v>0</v>
      </c>
      <c r="Q1055" s="7">
        <f>O1055+P1055</f>
        <v>0</v>
      </c>
      <c r="R1055" s="7">
        <v>1</v>
      </c>
      <c r="S1055" s="6" t="s">
        <v>2320</v>
      </c>
      <c r="T1055" s="6" t="s">
        <v>1637</v>
      </c>
      <c r="U1055" s="6"/>
      <c r="V1055" s="16"/>
      <c r="W1055" s="16"/>
      <c r="X1055" s="16"/>
      <c r="Y1055" s="6" t="s">
        <v>1627</v>
      </c>
      <c r="Z1055" s="15"/>
      <c r="AA1055" s="15" t="s">
        <v>1628</v>
      </c>
    </row>
    <row r="1056" spans="1:27" ht="33" customHeight="1">
      <c r="A1056" s="6" t="s">
        <v>6308</v>
      </c>
      <c r="B1056" s="7">
        <v>2079</v>
      </c>
      <c r="C1056" s="6" t="s">
        <v>6309</v>
      </c>
      <c r="D1056" s="6" t="s">
        <v>6305</v>
      </c>
      <c r="E1056" s="6" t="s">
        <v>1666</v>
      </c>
      <c r="F1056" s="6" t="s">
        <v>347</v>
      </c>
      <c r="G1056" s="6" t="s">
        <v>341</v>
      </c>
      <c r="H1056" s="6"/>
      <c r="I1056" s="14" t="s">
        <v>1642</v>
      </c>
      <c r="J1056" s="15"/>
      <c r="K1056" s="6" t="s">
        <v>1670</v>
      </c>
      <c r="L1056" s="6" t="s">
        <v>3828</v>
      </c>
      <c r="M1056" s="6" t="s">
        <v>1643</v>
      </c>
      <c r="N1056" s="6" t="s">
        <v>1644</v>
      </c>
      <c r="O1056" s="7">
        <f>SUMIFS('05_상품별배치367'!$K$7:$K$373,'05_상품별배치367'!$E$7:$E$373,A1056,'05_상품별배치367'!$H$7:$H$373,"본진")</f>
        <v>0</v>
      </c>
      <c r="P1056" s="7">
        <f>SUMIFS('05_상품별배치367'!$K$7:$K$373,'05_상품별배치367'!$E$7:$E$373,A1056,'05_상품별배치367'!$H$7:$H$373,"추가 진열")</f>
        <v>0</v>
      </c>
      <c r="Q1056" s="7">
        <f>O1056+P1056</f>
        <v>0</v>
      </c>
      <c r="R1056" s="7">
        <v>1</v>
      </c>
      <c r="S1056" s="6" t="s">
        <v>2018</v>
      </c>
      <c r="T1056" s="6" t="s">
        <v>1637</v>
      </c>
      <c r="U1056" s="6"/>
      <c r="V1056" s="16"/>
      <c r="W1056" s="16"/>
      <c r="X1056" s="16"/>
      <c r="Y1056" s="6" t="s">
        <v>1627</v>
      </c>
      <c r="Z1056" s="15"/>
      <c r="AA1056" s="15" t="s">
        <v>1628</v>
      </c>
    </row>
    <row r="1057" spans="1:27" ht="33" customHeight="1">
      <c r="A1057" s="6" t="s">
        <v>6576</v>
      </c>
      <c r="B1057" s="7">
        <v>2203</v>
      </c>
      <c r="C1057" s="6" t="s">
        <v>6577</v>
      </c>
      <c r="D1057" s="6" t="s">
        <v>1851</v>
      </c>
      <c r="E1057" s="6" t="s">
        <v>1666</v>
      </c>
      <c r="F1057" s="6" t="s">
        <v>347</v>
      </c>
      <c r="G1057" s="6" t="s">
        <v>341</v>
      </c>
      <c r="H1057" s="6"/>
      <c r="I1057" s="14" t="s">
        <v>1642</v>
      </c>
      <c r="J1057" s="15"/>
      <c r="K1057" s="6" t="s">
        <v>1670</v>
      </c>
      <c r="L1057" s="6"/>
      <c r="M1057" s="6" t="s">
        <v>1643</v>
      </c>
      <c r="N1057" s="6" t="s">
        <v>1644</v>
      </c>
      <c r="O1057" s="7">
        <f>SUMIFS('05_상품별배치367'!$K$7:$K$373,'05_상품별배치367'!$E$7:$E$373,A1057,'05_상품별배치367'!$H$7:$H$373,"본진")</f>
        <v>0</v>
      </c>
      <c r="P1057" s="7">
        <f>SUMIFS('05_상품별배치367'!$K$7:$K$373,'05_상품별배치367'!$E$7:$E$373,A1057,'05_상품별배치367'!$H$7:$H$373,"추가 진열")</f>
        <v>0</v>
      </c>
      <c r="Q1057" s="7">
        <f>O1057+P1057</f>
        <v>0</v>
      </c>
      <c r="R1057" s="7">
        <v>1</v>
      </c>
      <c r="S1057" s="6" t="s">
        <v>2018</v>
      </c>
      <c r="T1057" s="6" t="s">
        <v>1637</v>
      </c>
      <c r="U1057" s="6"/>
      <c r="V1057" s="16"/>
      <c r="W1057" s="16"/>
      <c r="X1057" s="16"/>
      <c r="Y1057" s="6" t="s">
        <v>1627</v>
      </c>
      <c r="Z1057" s="15"/>
      <c r="AA1057" s="15" t="s">
        <v>1628</v>
      </c>
    </row>
    <row r="1058" spans="1:27" ht="33" customHeight="1">
      <c r="A1058" s="8" t="s">
        <v>6365</v>
      </c>
      <c r="B1058" s="9">
        <v>2104</v>
      </c>
      <c r="C1058" s="8" t="s">
        <v>6366</v>
      </c>
      <c r="D1058" s="8" t="s">
        <v>2883</v>
      </c>
      <c r="E1058" s="8" t="s">
        <v>1620</v>
      </c>
      <c r="F1058" s="8" t="s">
        <v>606</v>
      </c>
      <c r="G1058" s="8" t="s">
        <v>59</v>
      </c>
      <c r="H1058" s="8"/>
      <c r="I1058" s="14" t="s">
        <v>1642</v>
      </c>
      <c r="J1058" s="15"/>
      <c r="K1058" s="8" t="s">
        <v>1622</v>
      </c>
      <c r="L1058" s="8"/>
      <c r="M1058" s="6" t="s">
        <v>1643</v>
      </c>
      <c r="N1058" s="6" t="s">
        <v>1644</v>
      </c>
      <c r="O1058" s="7">
        <f>SUMIFS('05_상품별배치367'!$K$7:$K$373,'05_상품별배치367'!$E$7:$E$373,A1058,'05_상품별배치367'!$H$7:$H$373,"본진")</f>
        <v>0</v>
      </c>
      <c r="P1058" s="7">
        <f>SUMIFS('05_상품별배치367'!$K$7:$K$373,'05_상품별배치367'!$E$7:$E$373,A1058,'05_상품별배치367'!$H$7:$H$373,"추가 진열")</f>
        <v>0</v>
      </c>
      <c r="Q1058" s="7">
        <f>O1058+P1058</f>
        <v>0</v>
      </c>
      <c r="R1058" s="7">
        <v>1</v>
      </c>
      <c r="S1058" s="6" t="s">
        <v>6111</v>
      </c>
      <c r="T1058" s="6" t="s">
        <v>1637</v>
      </c>
      <c r="U1058" s="6"/>
      <c r="V1058" s="16"/>
      <c r="W1058" s="16"/>
      <c r="X1058" s="16"/>
      <c r="Y1058" s="6" t="s">
        <v>1627</v>
      </c>
      <c r="Z1058" s="15"/>
      <c r="AA1058" s="15" t="s">
        <v>1628</v>
      </c>
    </row>
    <row r="1059" spans="1:27" ht="33" customHeight="1">
      <c r="A1059" s="6" t="s">
        <v>6367</v>
      </c>
      <c r="B1059" s="7">
        <v>2105</v>
      </c>
      <c r="C1059" s="6" t="s">
        <v>6368</v>
      </c>
      <c r="D1059" s="6" t="s">
        <v>2883</v>
      </c>
      <c r="E1059" s="6" t="s">
        <v>1620</v>
      </c>
      <c r="F1059" s="6" t="s">
        <v>150</v>
      </c>
      <c r="G1059" s="6" t="s">
        <v>332</v>
      </c>
      <c r="H1059" s="6"/>
      <c r="I1059" s="14" t="s">
        <v>1642</v>
      </c>
      <c r="J1059" s="15"/>
      <c r="K1059" s="6" t="s">
        <v>1622</v>
      </c>
      <c r="L1059" s="6"/>
      <c r="M1059" s="6" t="s">
        <v>1643</v>
      </c>
      <c r="N1059" s="6" t="s">
        <v>1644</v>
      </c>
      <c r="O1059" s="7">
        <f>SUMIFS('05_상품별배치367'!$K$7:$K$373,'05_상품별배치367'!$E$7:$E$373,A1059,'05_상품별배치367'!$H$7:$H$373,"본진")</f>
        <v>0</v>
      </c>
      <c r="P1059" s="7">
        <f>SUMIFS('05_상품별배치367'!$K$7:$K$373,'05_상품별배치367'!$E$7:$E$373,A1059,'05_상품별배치367'!$H$7:$H$373,"추가 진열")</f>
        <v>0</v>
      </c>
      <c r="Q1059" s="7">
        <f>O1059+P1059</f>
        <v>0</v>
      </c>
      <c r="R1059" s="7">
        <v>1</v>
      </c>
      <c r="S1059" s="6" t="s">
        <v>2037</v>
      </c>
      <c r="T1059" s="6" t="s">
        <v>1637</v>
      </c>
      <c r="U1059" s="6"/>
      <c r="V1059" s="16"/>
      <c r="W1059" s="16"/>
      <c r="X1059" s="16"/>
      <c r="Y1059" s="6" t="s">
        <v>1627</v>
      </c>
      <c r="Z1059" s="15"/>
      <c r="AA1059" s="15" t="s">
        <v>1628</v>
      </c>
    </row>
    <row r="1060" spans="1:27" ht="33" customHeight="1">
      <c r="A1060" s="8" t="s">
        <v>6369</v>
      </c>
      <c r="B1060" s="9">
        <v>2106</v>
      </c>
      <c r="C1060" s="8" t="s">
        <v>6370</v>
      </c>
      <c r="D1060" s="8" t="s">
        <v>2883</v>
      </c>
      <c r="E1060" s="8" t="s">
        <v>1666</v>
      </c>
      <c r="F1060" s="8" t="s">
        <v>1852</v>
      </c>
      <c r="G1060" s="8" t="s">
        <v>1853</v>
      </c>
      <c r="H1060" s="8"/>
      <c r="I1060" s="14" t="s">
        <v>1669</v>
      </c>
      <c r="J1060" s="15"/>
      <c r="K1060" s="8" t="s">
        <v>1670</v>
      </c>
      <c r="L1060" s="8"/>
      <c r="M1060" s="6" t="s">
        <v>1671</v>
      </c>
      <c r="N1060" s="6" t="s">
        <v>1644</v>
      </c>
      <c r="O1060" s="7">
        <f>SUMIFS('05_상품별배치367'!$K$7:$K$373,'05_상품별배치367'!$E$7:$E$373,A1060,'05_상품별배치367'!$H$7:$H$373,"본진")</f>
        <v>0</v>
      </c>
      <c r="P1060" s="7">
        <f>SUMIFS('05_상품별배치367'!$K$7:$K$373,'05_상품별배치367'!$E$7:$E$373,A1060,'05_상품별배치367'!$H$7:$H$373,"추가 진열")</f>
        <v>0</v>
      </c>
      <c r="Q1060" s="7">
        <f>O1060+P1060</f>
        <v>0</v>
      </c>
      <c r="R1060" s="7">
        <v>0</v>
      </c>
      <c r="S1060" s="6" t="s">
        <v>1672</v>
      </c>
      <c r="T1060" s="6" t="s">
        <v>1637</v>
      </c>
      <c r="U1060" s="6"/>
      <c r="V1060" s="16"/>
      <c r="W1060" s="16"/>
      <c r="X1060" s="16"/>
      <c r="Y1060" s="6" t="s">
        <v>1627</v>
      </c>
      <c r="Z1060" s="15"/>
      <c r="AA1060" s="15" t="s">
        <v>1628</v>
      </c>
    </row>
    <row r="1061" spans="1:27" ht="33" customHeight="1">
      <c r="A1061" s="8" t="s">
        <v>6310</v>
      </c>
      <c r="B1061" s="9">
        <v>2080</v>
      </c>
      <c r="C1061" s="8" t="s">
        <v>6311</v>
      </c>
      <c r="D1061" s="8" t="s">
        <v>6305</v>
      </c>
      <c r="E1061" s="8" t="s">
        <v>1666</v>
      </c>
      <c r="F1061" s="8" t="s">
        <v>1852</v>
      </c>
      <c r="G1061" s="8" t="s">
        <v>1853</v>
      </c>
      <c r="H1061" s="8"/>
      <c r="I1061" s="14" t="s">
        <v>1669</v>
      </c>
      <c r="J1061" s="15"/>
      <c r="K1061" s="8" t="s">
        <v>1670</v>
      </c>
      <c r="L1061" s="8" t="s">
        <v>3828</v>
      </c>
      <c r="M1061" s="6" t="s">
        <v>1671</v>
      </c>
      <c r="N1061" s="6" t="s">
        <v>1644</v>
      </c>
      <c r="O1061" s="7">
        <f>SUMIFS('05_상품별배치367'!$K$7:$K$373,'05_상품별배치367'!$E$7:$E$373,A1061,'05_상품별배치367'!$H$7:$H$373,"본진")</f>
        <v>0</v>
      </c>
      <c r="P1061" s="7">
        <f>SUMIFS('05_상품별배치367'!$K$7:$K$373,'05_상품별배치367'!$E$7:$E$373,A1061,'05_상품별배치367'!$H$7:$H$373,"추가 진열")</f>
        <v>0</v>
      </c>
      <c r="Q1061" s="7">
        <f>O1061+P1061</f>
        <v>0</v>
      </c>
      <c r="R1061" s="7">
        <v>0</v>
      </c>
      <c r="S1061" s="6" t="s">
        <v>1672</v>
      </c>
      <c r="T1061" s="6" t="s">
        <v>1637</v>
      </c>
      <c r="U1061" s="6"/>
      <c r="V1061" s="16"/>
      <c r="W1061" s="16"/>
      <c r="X1061" s="16"/>
      <c r="Y1061" s="6" t="s">
        <v>1627</v>
      </c>
      <c r="Z1061" s="15"/>
      <c r="AA1061" s="15" t="s">
        <v>1628</v>
      </c>
    </row>
    <row r="1062" spans="1:27" ht="33" customHeight="1">
      <c r="A1062" s="8" t="s">
        <v>6578</v>
      </c>
      <c r="B1062" s="9">
        <v>2204</v>
      </c>
      <c r="C1062" s="8" t="s">
        <v>6579</v>
      </c>
      <c r="D1062" s="8" t="s">
        <v>1851</v>
      </c>
      <c r="E1062" s="8" t="s">
        <v>1666</v>
      </c>
      <c r="F1062" s="8" t="s">
        <v>1852</v>
      </c>
      <c r="G1062" s="8" t="s">
        <v>1853</v>
      </c>
      <c r="H1062" s="8"/>
      <c r="I1062" s="14" t="s">
        <v>1669</v>
      </c>
      <c r="J1062" s="15"/>
      <c r="K1062" s="8" t="s">
        <v>1670</v>
      </c>
      <c r="L1062" s="8"/>
      <c r="M1062" s="6" t="s">
        <v>1671</v>
      </c>
      <c r="N1062" s="6" t="s">
        <v>1644</v>
      </c>
      <c r="O1062" s="7">
        <f>SUMIFS('05_상품별배치367'!$K$7:$K$373,'05_상품별배치367'!$E$7:$E$373,A1062,'05_상품별배치367'!$H$7:$H$373,"본진")</f>
        <v>0</v>
      </c>
      <c r="P1062" s="7">
        <f>SUMIFS('05_상품별배치367'!$K$7:$K$373,'05_상품별배치367'!$E$7:$E$373,A1062,'05_상품별배치367'!$H$7:$H$373,"추가 진열")</f>
        <v>0</v>
      </c>
      <c r="Q1062" s="7">
        <f>O1062+P1062</f>
        <v>0</v>
      </c>
      <c r="R1062" s="7">
        <v>0</v>
      </c>
      <c r="S1062" s="6" t="s">
        <v>1672</v>
      </c>
      <c r="T1062" s="6" t="s">
        <v>1637</v>
      </c>
      <c r="U1062" s="6"/>
      <c r="V1062" s="16"/>
      <c r="W1062" s="16"/>
      <c r="X1062" s="16"/>
      <c r="Y1062" s="6" t="s">
        <v>1627</v>
      </c>
      <c r="Z1062" s="15"/>
      <c r="AA1062" s="15" t="s">
        <v>1628</v>
      </c>
    </row>
    <row r="1063" spans="1:27" ht="33" customHeight="1">
      <c r="A1063" s="6" t="s">
        <v>2922</v>
      </c>
      <c r="B1063" s="7">
        <v>513</v>
      </c>
      <c r="C1063" s="6" t="s">
        <v>2923</v>
      </c>
      <c r="D1063" s="6" t="s">
        <v>1937</v>
      </c>
      <c r="E1063" s="6" t="s">
        <v>1695</v>
      </c>
      <c r="F1063" s="6" t="s">
        <v>1129</v>
      </c>
      <c r="G1063" s="6" t="s">
        <v>307</v>
      </c>
      <c r="H1063" s="6"/>
      <c r="I1063" s="14" t="s">
        <v>1642</v>
      </c>
      <c r="J1063" s="15"/>
      <c r="K1063" s="6" t="s">
        <v>1696</v>
      </c>
      <c r="L1063" s="6"/>
      <c r="M1063" s="6" t="s">
        <v>1643</v>
      </c>
      <c r="N1063" s="6" t="s">
        <v>1644</v>
      </c>
      <c r="O1063" s="7">
        <f>SUMIFS('05_상품별배치367'!$K$7:$K$373,'05_상품별배치367'!$E$7:$E$373,A1063,'05_상품별배치367'!$H$7:$H$373,"본진")</f>
        <v>0</v>
      </c>
      <c r="P1063" s="7">
        <f>SUMIFS('05_상품별배치367'!$K$7:$K$373,'05_상품별배치367'!$E$7:$E$373,A1063,'05_상품별배치367'!$H$7:$H$373,"추가 진열")</f>
        <v>0</v>
      </c>
      <c r="Q1063" s="7">
        <f>O1063+P1063</f>
        <v>0</v>
      </c>
      <c r="R1063" s="7">
        <v>1</v>
      </c>
      <c r="S1063" s="6" t="s">
        <v>2850</v>
      </c>
      <c r="T1063" s="6" t="s">
        <v>1637</v>
      </c>
      <c r="U1063" s="6"/>
      <c r="V1063" s="16"/>
      <c r="W1063" s="16"/>
      <c r="X1063" s="16"/>
      <c r="Y1063" s="6" t="s">
        <v>1627</v>
      </c>
      <c r="Z1063" s="15"/>
      <c r="AA1063" s="15" t="s">
        <v>1628</v>
      </c>
    </row>
    <row r="1064" spans="1:27" ht="33" customHeight="1">
      <c r="A1064" s="8" t="s">
        <v>2929</v>
      </c>
      <c r="B1064" s="9">
        <v>516</v>
      </c>
      <c r="C1064" s="8" t="s">
        <v>2930</v>
      </c>
      <c r="D1064" s="8" t="s">
        <v>1937</v>
      </c>
      <c r="E1064" s="8" t="s">
        <v>1695</v>
      </c>
      <c r="F1064" s="8" t="s">
        <v>1129</v>
      </c>
      <c r="G1064" s="8" t="s">
        <v>307</v>
      </c>
      <c r="H1064" s="8"/>
      <c r="I1064" s="14" t="s">
        <v>1642</v>
      </c>
      <c r="J1064" s="15"/>
      <c r="K1064" s="8" t="s">
        <v>1696</v>
      </c>
      <c r="L1064" s="8"/>
      <c r="M1064" s="6" t="s">
        <v>1643</v>
      </c>
      <c r="N1064" s="6" t="s">
        <v>1644</v>
      </c>
      <c r="O1064" s="7">
        <f>SUMIFS('05_상품별배치367'!$K$7:$K$373,'05_상품별배치367'!$E$7:$E$373,A1064,'05_상품별배치367'!$H$7:$H$373,"본진")</f>
        <v>0</v>
      </c>
      <c r="P1064" s="7">
        <f>SUMIFS('05_상품별배치367'!$K$7:$K$373,'05_상품별배치367'!$E$7:$E$373,A1064,'05_상품별배치367'!$H$7:$H$373,"추가 진열")</f>
        <v>0</v>
      </c>
      <c r="Q1064" s="7">
        <f>O1064+P1064</f>
        <v>0</v>
      </c>
      <c r="R1064" s="7">
        <v>1</v>
      </c>
      <c r="S1064" s="6" t="s">
        <v>2850</v>
      </c>
      <c r="T1064" s="6" t="s">
        <v>1637</v>
      </c>
      <c r="U1064" s="6"/>
      <c r="V1064" s="16"/>
      <c r="W1064" s="16"/>
      <c r="X1064" s="16"/>
      <c r="Y1064" s="6" t="s">
        <v>1627</v>
      </c>
      <c r="Z1064" s="15"/>
      <c r="AA1064" s="15" t="s">
        <v>1628</v>
      </c>
    </row>
    <row r="1065" spans="1:27" ht="33" customHeight="1">
      <c r="A1065" s="8" t="s">
        <v>2924</v>
      </c>
      <c r="B1065" s="9">
        <v>514</v>
      </c>
      <c r="C1065" s="8" t="s">
        <v>2925</v>
      </c>
      <c r="D1065" s="8" t="s">
        <v>1937</v>
      </c>
      <c r="E1065" s="8" t="s">
        <v>1695</v>
      </c>
      <c r="F1065" s="8" t="s">
        <v>1129</v>
      </c>
      <c r="G1065" s="8" t="s">
        <v>307</v>
      </c>
      <c r="H1065" s="8"/>
      <c r="I1065" s="14" t="s">
        <v>1642</v>
      </c>
      <c r="J1065" s="15"/>
      <c r="K1065" s="8" t="s">
        <v>1696</v>
      </c>
      <c r="L1065" s="8"/>
      <c r="M1065" s="6" t="s">
        <v>1643</v>
      </c>
      <c r="N1065" s="6" t="s">
        <v>1644</v>
      </c>
      <c r="O1065" s="7">
        <f>SUMIFS('05_상품별배치367'!$K$7:$K$373,'05_상품별배치367'!$E$7:$E$373,A1065,'05_상품별배치367'!$H$7:$H$373,"본진")</f>
        <v>0</v>
      </c>
      <c r="P1065" s="7">
        <f>SUMIFS('05_상품별배치367'!$K$7:$K$373,'05_상품별배치367'!$E$7:$E$373,A1065,'05_상품별배치367'!$H$7:$H$373,"추가 진열")</f>
        <v>0</v>
      </c>
      <c r="Q1065" s="7">
        <f>O1065+P1065</f>
        <v>0</v>
      </c>
      <c r="R1065" s="7">
        <v>1</v>
      </c>
      <c r="S1065" s="6" t="s">
        <v>2850</v>
      </c>
      <c r="T1065" s="6" t="s">
        <v>1637</v>
      </c>
      <c r="U1065" s="6"/>
      <c r="V1065" s="16"/>
      <c r="W1065" s="16"/>
      <c r="X1065" s="16"/>
      <c r="Y1065" s="6" t="s">
        <v>1627</v>
      </c>
      <c r="Z1065" s="15"/>
      <c r="AA1065" s="15" t="s">
        <v>1628</v>
      </c>
    </row>
    <row r="1066" spans="1:27" ht="33" customHeight="1">
      <c r="A1066" s="6" t="s">
        <v>2926</v>
      </c>
      <c r="B1066" s="7">
        <v>515</v>
      </c>
      <c r="C1066" s="6" t="s">
        <v>2927</v>
      </c>
      <c r="D1066" s="6" t="s">
        <v>2928</v>
      </c>
      <c r="E1066" s="6" t="s">
        <v>1695</v>
      </c>
      <c r="F1066" s="6" t="s">
        <v>2846</v>
      </c>
      <c r="G1066" s="6" t="s">
        <v>1668</v>
      </c>
      <c r="H1066" s="6"/>
      <c r="I1066" s="14" t="s">
        <v>1669</v>
      </c>
      <c r="J1066" s="15"/>
      <c r="K1066" s="6" t="s">
        <v>1696</v>
      </c>
      <c r="L1066" s="6"/>
      <c r="M1066" s="6" t="s">
        <v>1671</v>
      </c>
      <c r="N1066" s="6" t="s">
        <v>1644</v>
      </c>
      <c r="O1066" s="7">
        <f>SUMIFS('05_상품별배치367'!$K$7:$K$373,'05_상품별배치367'!$E$7:$E$373,A1066,'05_상품별배치367'!$H$7:$H$373,"본진")</f>
        <v>0</v>
      </c>
      <c r="P1066" s="7">
        <f>SUMIFS('05_상품별배치367'!$K$7:$K$373,'05_상품별배치367'!$E$7:$E$373,A1066,'05_상품별배치367'!$H$7:$H$373,"추가 진열")</f>
        <v>0</v>
      </c>
      <c r="Q1066" s="7">
        <f>O1066+P1066</f>
        <v>0</v>
      </c>
      <c r="R1066" s="7">
        <v>0</v>
      </c>
      <c r="S1066" s="6" t="s">
        <v>1672</v>
      </c>
      <c r="T1066" s="6" t="s">
        <v>1637</v>
      </c>
      <c r="U1066" s="6"/>
      <c r="V1066" s="16"/>
      <c r="W1066" s="16"/>
      <c r="X1066" s="16"/>
      <c r="Y1066" s="6" t="s">
        <v>1627</v>
      </c>
      <c r="Z1066" s="15"/>
      <c r="AA1066" s="15" t="s">
        <v>1628</v>
      </c>
    </row>
    <row r="1067" spans="1:27" ht="33" customHeight="1">
      <c r="A1067" s="8" t="s">
        <v>2934</v>
      </c>
      <c r="B1067" s="9">
        <v>518</v>
      </c>
      <c r="C1067" s="8" t="s">
        <v>2935</v>
      </c>
      <c r="D1067" s="8" t="s">
        <v>2928</v>
      </c>
      <c r="E1067" s="8" t="s">
        <v>1695</v>
      </c>
      <c r="F1067" s="8" t="s">
        <v>2846</v>
      </c>
      <c r="G1067" s="8" t="s">
        <v>1668</v>
      </c>
      <c r="H1067" s="8"/>
      <c r="I1067" s="14" t="s">
        <v>1669</v>
      </c>
      <c r="J1067" s="15"/>
      <c r="K1067" s="8" t="s">
        <v>1696</v>
      </c>
      <c r="L1067" s="8"/>
      <c r="M1067" s="6" t="s">
        <v>1671</v>
      </c>
      <c r="N1067" s="6" t="s">
        <v>1644</v>
      </c>
      <c r="O1067" s="7">
        <f>SUMIFS('05_상품별배치367'!$K$7:$K$373,'05_상품별배치367'!$E$7:$E$373,A1067,'05_상품별배치367'!$H$7:$H$373,"본진")</f>
        <v>0</v>
      </c>
      <c r="P1067" s="7">
        <f>SUMIFS('05_상품별배치367'!$K$7:$K$373,'05_상품별배치367'!$E$7:$E$373,A1067,'05_상품별배치367'!$H$7:$H$373,"추가 진열")</f>
        <v>0</v>
      </c>
      <c r="Q1067" s="7">
        <f>O1067+P1067</f>
        <v>0</v>
      </c>
      <c r="R1067" s="7">
        <v>0</v>
      </c>
      <c r="S1067" s="6" t="s">
        <v>1672</v>
      </c>
      <c r="T1067" s="6" t="s">
        <v>1637</v>
      </c>
      <c r="U1067" s="6"/>
      <c r="V1067" s="16"/>
      <c r="W1067" s="16"/>
      <c r="X1067" s="16"/>
      <c r="Y1067" s="6" t="s">
        <v>1627</v>
      </c>
      <c r="Z1067" s="15"/>
      <c r="AA1067" s="15" t="s">
        <v>1628</v>
      </c>
    </row>
    <row r="1068" spans="1:27" ht="33" customHeight="1">
      <c r="A1068" s="6" t="s">
        <v>2931</v>
      </c>
      <c r="B1068" s="7">
        <v>517</v>
      </c>
      <c r="C1068" s="6" t="s">
        <v>2932</v>
      </c>
      <c r="D1068" s="6" t="s">
        <v>1937</v>
      </c>
      <c r="E1068" s="6" t="s">
        <v>2134</v>
      </c>
      <c r="F1068" s="6" t="s">
        <v>2933</v>
      </c>
      <c r="G1068" s="6" t="s">
        <v>1668</v>
      </c>
      <c r="H1068" s="6"/>
      <c r="I1068" s="14" t="s">
        <v>1807</v>
      </c>
      <c r="J1068" s="15"/>
      <c r="K1068" s="6" t="s">
        <v>1976</v>
      </c>
      <c r="L1068" s="6" t="s">
        <v>2032</v>
      </c>
      <c r="M1068" s="6" t="s">
        <v>1809</v>
      </c>
      <c r="N1068" s="6" t="s">
        <v>1644</v>
      </c>
      <c r="O1068" s="7">
        <f>SUMIFS('05_상품별배치367'!$K$7:$K$373,'05_상품별배치367'!$E$7:$E$373,A1068,'05_상품별배치367'!$H$7:$H$373,"본진")</f>
        <v>0</v>
      </c>
      <c r="P1068" s="7">
        <f>SUMIFS('05_상품별배치367'!$K$7:$K$373,'05_상품별배치367'!$E$7:$E$373,A1068,'05_상품별배치367'!$H$7:$H$373,"추가 진열")</f>
        <v>0</v>
      </c>
      <c r="Q1068" s="7">
        <f>O1068+P1068</f>
        <v>0</v>
      </c>
      <c r="R1068" s="7">
        <v>0</v>
      </c>
      <c r="S1068" s="6" t="s">
        <v>1810</v>
      </c>
      <c r="T1068" s="6" t="s">
        <v>1637</v>
      </c>
      <c r="U1068" s="6"/>
      <c r="V1068" s="16"/>
      <c r="W1068" s="16"/>
      <c r="X1068" s="16"/>
      <c r="Y1068" s="6" t="s">
        <v>1627</v>
      </c>
      <c r="Z1068" s="15"/>
      <c r="AA1068" s="15" t="s">
        <v>1628</v>
      </c>
    </row>
    <row r="1069" spans="1:27" ht="33" customHeight="1">
      <c r="A1069" s="8" t="s">
        <v>5748</v>
      </c>
      <c r="B1069" s="9">
        <v>1828</v>
      </c>
      <c r="C1069" s="8" t="s">
        <v>5749</v>
      </c>
      <c r="D1069" s="8" t="s">
        <v>5739</v>
      </c>
      <c r="E1069" s="8" t="s">
        <v>1997</v>
      </c>
      <c r="F1069" s="8" t="s">
        <v>5740</v>
      </c>
      <c r="G1069" s="8" t="s">
        <v>1668</v>
      </c>
      <c r="H1069" s="8"/>
      <c r="I1069" s="14" t="s">
        <v>1999</v>
      </c>
      <c r="J1069" s="15"/>
      <c r="K1069" s="8" t="s">
        <v>5741</v>
      </c>
      <c r="L1069" s="8" t="s">
        <v>3828</v>
      </c>
      <c r="M1069" s="6" t="s">
        <v>1671</v>
      </c>
      <c r="N1069" s="6" t="s">
        <v>1644</v>
      </c>
      <c r="O1069" s="7">
        <f>SUMIFS('05_상품별배치367'!$K$7:$K$373,'05_상품별배치367'!$E$7:$E$373,A1069,'05_상품별배치367'!$H$7:$H$373,"본진")</f>
        <v>0</v>
      </c>
      <c r="P1069" s="7">
        <f>SUMIFS('05_상품별배치367'!$K$7:$K$373,'05_상품별배치367'!$E$7:$E$373,A1069,'05_상품별배치367'!$H$7:$H$373,"추가 진열")</f>
        <v>0</v>
      </c>
      <c r="Q1069" s="7">
        <f>O1069+P1069</f>
        <v>0</v>
      </c>
      <c r="R1069" s="7">
        <v>0</v>
      </c>
      <c r="S1069" s="6" t="s">
        <v>2002</v>
      </c>
      <c r="T1069" s="6" t="s">
        <v>1637</v>
      </c>
      <c r="U1069" s="6"/>
      <c r="V1069" s="16"/>
      <c r="W1069" s="16"/>
      <c r="X1069" s="16"/>
      <c r="Y1069" s="6" t="s">
        <v>1627</v>
      </c>
      <c r="Z1069" s="15"/>
      <c r="AA1069" s="15" t="s">
        <v>1628</v>
      </c>
    </row>
    <row r="1070" spans="1:27" ht="33" customHeight="1">
      <c r="A1070" s="6" t="s">
        <v>6105</v>
      </c>
      <c r="B1070" s="7">
        <v>1997</v>
      </c>
      <c r="C1070" s="6" t="s">
        <v>6106</v>
      </c>
      <c r="D1070" s="6" t="s">
        <v>6107</v>
      </c>
      <c r="E1070" s="6" t="s">
        <v>1620</v>
      </c>
      <c r="F1070" s="6" t="s">
        <v>606</v>
      </c>
      <c r="G1070" s="6" t="s">
        <v>59</v>
      </c>
      <c r="H1070" s="6" t="s">
        <v>607</v>
      </c>
      <c r="I1070" s="14" t="s">
        <v>1621</v>
      </c>
      <c r="J1070" s="15"/>
      <c r="K1070" s="6" t="s">
        <v>1622</v>
      </c>
      <c r="L1070" s="6" t="s">
        <v>3828</v>
      </c>
      <c r="M1070" s="6" t="s">
        <v>1623</v>
      </c>
      <c r="N1070" s="6" t="s">
        <v>1624</v>
      </c>
      <c r="O1070" s="7">
        <f>SUMIFS('05_상품별배치367'!$K$7:$K$373,'05_상품별배치367'!$E$7:$E$373,A1070,'05_상품별배치367'!$H$7:$H$373,"본진")</f>
        <v>1</v>
      </c>
      <c r="P1070" s="7">
        <f>SUMIFS('05_상품별배치367'!$K$7:$K$373,'05_상품별배치367'!$E$7:$E$373,A1070,'05_상품별배치367'!$H$7:$H$373,"추가 진열")</f>
        <v>0</v>
      </c>
      <c r="Q1070" s="7">
        <f>O1070+P1070</f>
        <v>1</v>
      </c>
      <c r="R1070" s="7">
        <v>1</v>
      </c>
      <c r="S1070" s="6" t="s">
        <v>1625</v>
      </c>
      <c r="T1070" s="6" t="s">
        <v>1637</v>
      </c>
      <c r="U1070" s="6"/>
      <c r="V1070" s="16"/>
      <c r="W1070" s="16"/>
      <c r="X1070" s="16"/>
      <c r="Y1070" s="6" t="s">
        <v>1655</v>
      </c>
      <c r="Z1070" s="15"/>
      <c r="AA1070" s="15" t="s">
        <v>1628</v>
      </c>
    </row>
    <row r="1071" spans="1:27" ht="33" customHeight="1">
      <c r="A1071" s="6" t="s">
        <v>6117</v>
      </c>
      <c r="B1071" s="7">
        <v>2001</v>
      </c>
      <c r="C1071" s="6" t="s">
        <v>6118</v>
      </c>
      <c r="D1071" s="6" t="s">
        <v>6110</v>
      </c>
      <c r="E1071" s="6" t="s">
        <v>1620</v>
      </c>
      <c r="F1071" s="6" t="s">
        <v>606</v>
      </c>
      <c r="G1071" s="6" t="s">
        <v>59</v>
      </c>
      <c r="H1071" s="6" t="s">
        <v>607</v>
      </c>
      <c r="I1071" s="14" t="s">
        <v>1633</v>
      </c>
      <c r="J1071" s="15"/>
      <c r="K1071" s="6" t="s">
        <v>1622</v>
      </c>
      <c r="L1071" s="6" t="s">
        <v>3828</v>
      </c>
      <c r="M1071" s="6" t="s">
        <v>1635</v>
      </c>
      <c r="N1071" s="6" t="s">
        <v>1624</v>
      </c>
      <c r="O1071" s="7">
        <f>SUMIFS('05_상품별배치367'!$K$7:$K$373,'05_상품별배치367'!$E$7:$E$373,A1071,'05_상품별배치367'!$H$7:$H$373,"본진")</f>
        <v>1</v>
      </c>
      <c r="P1071" s="7">
        <f>SUMIFS('05_상품별배치367'!$K$7:$K$373,'05_상품별배치367'!$E$7:$E$373,A1071,'05_상품별배치367'!$H$7:$H$373,"추가 진열")</f>
        <v>0</v>
      </c>
      <c r="Q1071" s="7">
        <f>O1071+P1071</f>
        <v>1</v>
      </c>
      <c r="R1071" s="7">
        <v>1</v>
      </c>
      <c r="S1071" s="6" t="s">
        <v>1636</v>
      </c>
      <c r="T1071" s="6" t="s">
        <v>1637</v>
      </c>
      <c r="U1071" s="6"/>
      <c r="V1071" s="16"/>
      <c r="W1071" s="16"/>
      <c r="X1071" s="16"/>
      <c r="Y1071" s="6" t="s">
        <v>1655</v>
      </c>
      <c r="Z1071" s="15"/>
      <c r="AA1071" s="15" t="s">
        <v>1628</v>
      </c>
    </row>
    <row r="1072" spans="1:27" ht="33" customHeight="1">
      <c r="A1072" s="8" t="s">
        <v>6108</v>
      </c>
      <c r="B1072" s="9">
        <v>1998</v>
      </c>
      <c r="C1072" s="8" t="s">
        <v>6109</v>
      </c>
      <c r="D1072" s="8" t="s">
        <v>6110</v>
      </c>
      <c r="E1072" s="8" t="s">
        <v>1620</v>
      </c>
      <c r="F1072" s="8" t="s">
        <v>606</v>
      </c>
      <c r="G1072" s="8" t="s">
        <v>59</v>
      </c>
      <c r="H1072" s="8"/>
      <c r="I1072" s="14" t="s">
        <v>1642</v>
      </c>
      <c r="J1072" s="15"/>
      <c r="K1072" s="8" t="s">
        <v>1622</v>
      </c>
      <c r="L1072" s="8" t="s">
        <v>3828</v>
      </c>
      <c r="M1072" s="6" t="s">
        <v>1643</v>
      </c>
      <c r="N1072" s="6" t="s">
        <v>1624</v>
      </c>
      <c r="O1072" s="7">
        <f>SUMIFS('05_상품별배치367'!$K$7:$K$373,'05_상품별배치367'!$E$7:$E$373,A1072,'05_상품별배치367'!$H$7:$H$373,"본진")</f>
        <v>0</v>
      </c>
      <c r="P1072" s="7">
        <f>SUMIFS('05_상품별배치367'!$K$7:$K$373,'05_상품별배치367'!$E$7:$E$373,A1072,'05_상품별배치367'!$H$7:$H$373,"추가 진열")</f>
        <v>0</v>
      </c>
      <c r="Q1072" s="7">
        <f>O1072+P1072</f>
        <v>0</v>
      </c>
      <c r="R1072" s="7">
        <v>1</v>
      </c>
      <c r="S1072" s="6" t="s">
        <v>6111</v>
      </c>
      <c r="T1072" s="6" t="s">
        <v>1637</v>
      </c>
      <c r="U1072" s="6"/>
      <c r="V1072" s="16"/>
      <c r="W1072" s="16"/>
      <c r="X1072" s="16"/>
      <c r="Y1072" s="6" t="s">
        <v>1655</v>
      </c>
      <c r="Z1072" s="15"/>
      <c r="AA1072" s="15" t="s">
        <v>1628</v>
      </c>
    </row>
    <row r="1073" spans="1:27" ht="33" customHeight="1">
      <c r="A1073" s="8" t="s">
        <v>6115</v>
      </c>
      <c r="B1073" s="9">
        <v>2000</v>
      </c>
      <c r="C1073" s="8" t="s">
        <v>6116</v>
      </c>
      <c r="D1073" s="8" t="s">
        <v>5925</v>
      </c>
      <c r="E1073" s="8" t="s">
        <v>1620</v>
      </c>
      <c r="F1073" s="8" t="s">
        <v>606</v>
      </c>
      <c r="G1073" s="8" t="s">
        <v>59</v>
      </c>
      <c r="H1073" s="8"/>
      <c r="I1073" s="14" t="s">
        <v>1642</v>
      </c>
      <c r="J1073" s="15"/>
      <c r="K1073" s="8" t="s">
        <v>1622</v>
      </c>
      <c r="L1073" s="8" t="s">
        <v>3828</v>
      </c>
      <c r="M1073" s="6" t="s">
        <v>1643</v>
      </c>
      <c r="N1073" s="6" t="s">
        <v>1624</v>
      </c>
      <c r="O1073" s="7">
        <f>SUMIFS('05_상품별배치367'!$K$7:$K$373,'05_상품별배치367'!$E$7:$E$373,A1073,'05_상품별배치367'!$H$7:$H$373,"본진")</f>
        <v>0</v>
      </c>
      <c r="P1073" s="7">
        <f>SUMIFS('05_상품별배치367'!$K$7:$K$373,'05_상품별배치367'!$E$7:$E$373,A1073,'05_상품별배치367'!$H$7:$H$373,"추가 진열")</f>
        <v>0</v>
      </c>
      <c r="Q1073" s="7">
        <f>O1073+P1073</f>
        <v>0</v>
      </c>
      <c r="R1073" s="7">
        <v>1</v>
      </c>
      <c r="S1073" s="6" t="s">
        <v>6111</v>
      </c>
      <c r="T1073" s="6" t="s">
        <v>1637</v>
      </c>
      <c r="U1073" s="6"/>
      <c r="V1073" s="16"/>
      <c r="W1073" s="16"/>
      <c r="X1073" s="16"/>
      <c r="Y1073" s="6" t="s">
        <v>1655</v>
      </c>
      <c r="Z1073" s="15"/>
      <c r="AA1073" s="15" t="s">
        <v>1628</v>
      </c>
    </row>
    <row r="1074" spans="1:27" ht="33" customHeight="1">
      <c r="A1074" s="6" t="s">
        <v>6112</v>
      </c>
      <c r="B1074" s="7">
        <v>1999</v>
      </c>
      <c r="C1074" s="6" t="s">
        <v>6113</v>
      </c>
      <c r="D1074" s="6" t="s">
        <v>6114</v>
      </c>
      <c r="E1074" s="6" t="s">
        <v>1620</v>
      </c>
      <c r="F1074" s="6" t="s">
        <v>606</v>
      </c>
      <c r="G1074" s="6" t="s">
        <v>59</v>
      </c>
      <c r="H1074" s="6"/>
      <c r="I1074" s="14" t="s">
        <v>1642</v>
      </c>
      <c r="J1074" s="15"/>
      <c r="K1074" s="6" t="s">
        <v>1622</v>
      </c>
      <c r="L1074" s="6" t="s">
        <v>3828</v>
      </c>
      <c r="M1074" s="6" t="s">
        <v>1643</v>
      </c>
      <c r="N1074" s="6" t="s">
        <v>1624</v>
      </c>
      <c r="O1074" s="7">
        <f>SUMIFS('05_상품별배치367'!$K$7:$K$373,'05_상품별배치367'!$E$7:$E$373,A1074,'05_상품별배치367'!$H$7:$H$373,"본진")</f>
        <v>0</v>
      </c>
      <c r="P1074" s="7">
        <f>SUMIFS('05_상품별배치367'!$K$7:$K$373,'05_상품별배치367'!$E$7:$E$373,A1074,'05_상품별배치367'!$H$7:$H$373,"추가 진열")</f>
        <v>0</v>
      </c>
      <c r="Q1074" s="7">
        <f>O1074+P1074</f>
        <v>0</v>
      </c>
      <c r="R1074" s="7">
        <v>1</v>
      </c>
      <c r="S1074" s="6" t="s">
        <v>6111</v>
      </c>
      <c r="T1074" s="6" t="s">
        <v>1637</v>
      </c>
      <c r="U1074" s="6"/>
      <c r="V1074" s="16"/>
      <c r="W1074" s="16"/>
      <c r="X1074" s="16"/>
      <c r="Y1074" s="6" t="s">
        <v>1627</v>
      </c>
      <c r="Z1074" s="15"/>
      <c r="AA1074" s="15" t="s">
        <v>1628</v>
      </c>
    </row>
    <row r="1075" spans="1:27" ht="33" customHeight="1">
      <c r="A1075" s="6" t="s">
        <v>6205</v>
      </c>
      <c r="B1075" s="7">
        <v>2035</v>
      </c>
      <c r="C1075" s="6" t="s">
        <v>6206</v>
      </c>
      <c r="D1075" s="6" t="s">
        <v>6207</v>
      </c>
      <c r="E1075" s="6" t="s">
        <v>1641</v>
      </c>
      <c r="F1075" s="6" t="s">
        <v>1806</v>
      </c>
      <c r="G1075" s="6" t="s">
        <v>1668</v>
      </c>
      <c r="H1075" s="6"/>
      <c r="I1075" s="14" t="s">
        <v>1807</v>
      </c>
      <c r="J1075" s="15"/>
      <c r="K1075" s="6" t="s">
        <v>1634</v>
      </c>
      <c r="L1075" s="6" t="s">
        <v>2001</v>
      </c>
      <c r="M1075" s="6" t="s">
        <v>1809</v>
      </c>
      <c r="N1075" s="6" t="s">
        <v>1644</v>
      </c>
      <c r="O1075" s="7">
        <f>SUMIFS('05_상품별배치367'!$K$7:$K$373,'05_상품별배치367'!$E$7:$E$373,A1075,'05_상품별배치367'!$H$7:$H$373,"본진")</f>
        <v>0</v>
      </c>
      <c r="P1075" s="7">
        <f>SUMIFS('05_상품별배치367'!$K$7:$K$373,'05_상품별배치367'!$E$7:$E$373,A1075,'05_상품별배치367'!$H$7:$H$373,"추가 진열")</f>
        <v>0</v>
      </c>
      <c r="Q1075" s="7">
        <f>O1075+P1075</f>
        <v>0</v>
      </c>
      <c r="R1075" s="7">
        <v>0</v>
      </c>
      <c r="S1075" s="6" t="s">
        <v>1810</v>
      </c>
      <c r="T1075" s="6" t="s">
        <v>1637</v>
      </c>
      <c r="U1075" s="6"/>
      <c r="V1075" s="16"/>
      <c r="W1075" s="16"/>
      <c r="X1075" s="16"/>
      <c r="Y1075" s="6" t="s">
        <v>1627</v>
      </c>
      <c r="Z1075" s="15"/>
      <c r="AA1075" s="15" t="s">
        <v>1628</v>
      </c>
    </row>
    <row r="1076" spans="1:27" ht="33" customHeight="1">
      <c r="A1076" s="6" t="s">
        <v>7187</v>
      </c>
      <c r="B1076" s="7">
        <v>2497</v>
      </c>
      <c r="C1076" s="6" t="s">
        <v>7188</v>
      </c>
      <c r="D1076" s="6" t="s">
        <v>6912</v>
      </c>
      <c r="E1076" s="6" t="s">
        <v>1620</v>
      </c>
      <c r="F1076" s="6" t="s">
        <v>150</v>
      </c>
      <c r="G1076" s="6" t="s">
        <v>332</v>
      </c>
      <c r="H1076" s="6"/>
      <c r="I1076" s="14" t="s">
        <v>1642</v>
      </c>
      <c r="J1076" s="15"/>
      <c r="K1076" s="6" t="s">
        <v>1622</v>
      </c>
      <c r="L1076" s="6" t="s">
        <v>3828</v>
      </c>
      <c r="M1076" s="6" t="s">
        <v>1643</v>
      </c>
      <c r="N1076" s="6" t="s">
        <v>1644</v>
      </c>
      <c r="O1076" s="7">
        <f>SUMIFS('05_상품별배치367'!$K$7:$K$373,'05_상품별배치367'!$E$7:$E$373,A1076,'05_상품별배치367'!$H$7:$H$373,"본진")</f>
        <v>0</v>
      </c>
      <c r="P1076" s="7">
        <f>SUMIFS('05_상품별배치367'!$K$7:$K$373,'05_상품별배치367'!$E$7:$E$373,A1076,'05_상품별배치367'!$H$7:$H$373,"추가 진열")</f>
        <v>0</v>
      </c>
      <c r="Q1076" s="7">
        <f>O1076+P1076</f>
        <v>0</v>
      </c>
      <c r="R1076" s="7">
        <v>1</v>
      </c>
      <c r="S1076" s="6" t="s">
        <v>2037</v>
      </c>
      <c r="T1076" s="6" t="s">
        <v>1637</v>
      </c>
      <c r="U1076" s="6"/>
      <c r="V1076" s="16"/>
      <c r="W1076" s="16"/>
      <c r="X1076" s="16"/>
      <c r="Y1076" s="6" t="s">
        <v>1627</v>
      </c>
      <c r="Z1076" s="15"/>
      <c r="AA1076" s="15" t="s">
        <v>1628</v>
      </c>
    </row>
    <row r="1077" spans="1:27" ht="33" customHeight="1">
      <c r="A1077" s="6" t="s">
        <v>2411</v>
      </c>
      <c r="B1077" s="7">
        <v>287</v>
      </c>
      <c r="C1077" s="6" t="s">
        <v>2412</v>
      </c>
      <c r="D1077" s="6" t="s">
        <v>2226</v>
      </c>
      <c r="E1077" s="6" t="s">
        <v>1620</v>
      </c>
      <c r="F1077" s="6" t="s">
        <v>339</v>
      </c>
      <c r="G1077" s="6" t="s">
        <v>332</v>
      </c>
      <c r="H1077" s="6"/>
      <c r="I1077" s="14" t="s">
        <v>1642</v>
      </c>
      <c r="J1077" s="15"/>
      <c r="K1077" s="6" t="s">
        <v>1622</v>
      </c>
      <c r="L1077" s="6"/>
      <c r="M1077" s="6" t="s">
        <v>1643</v>
      </c>
      <c r="N1077" s="6" t="s">
        <v>1644</v>
      </c>
      <c r="O1077" s="7">
        <f>SUMIFS('05_상품별배치367'!$K$7:$K$373,'05_상품별배치367'!$E$7:$E$373,A1077,'05_상품별배치367'!$H$7:$H$373,"본진")</f>
        <v>0</v>
      </c>
      <c r="P1077" s="7">
        <f>SUMIFS('05_상품별배치367'!$K$7:$K$373,'05_상품별배치367'!$E$7:$E$373,A1077,'05_상품별배치367'!$H$7:$H$373,"추가 진열")</f>
        <v>0</v>
      </c>
      <c r="Q1077" s="7">
        <f>O1077+P1077</f>
        <v>0</v>
      </c>
      <c r="R1077" s="7">
        <v>1</v>
      </c>
      <c r="S1077" s="6" t="s">
        <v>2375</v>
      </c>
      <c r="T1077" s="6" t="s">
        <v>1637</v>
      </c>
      <c r="U1077" s="6"/>
      <c r="V1077" s="16"/>
      <c r="W1077" s="16"/>
      <c r="X1077" s="16"/>
      <c r="Y1077" s="6" t="s">
        <v>1655</v>
      </c>
      <c r="Z1077" s="15"/>
      <c r="AA1077" s="15" t="s">
        <v>1628</v>
      </c>
    </row>
    <row r="1078" spans="1:27" ht="33" customHeight="1">
      <c r="A1078" s="8" t="s">
        <v>2393</v>
      </c>
      <c r="B1078" s="9">
        <v>280</v>
      </c>
      <c r="C1078" s="8" t="s">
        <v>2394</v>
      </c>
      <c r="D1078" s="8" t="s">
        <v>2226</v>
      </c>
      <c r="E1078" s="8" t="s">
        <v>1620</v>
      </c>
      <c r="F1078" s="8" t="s">
        <v>151</v>
      </c>
      <c r="G1078" s="8" t="s">
        <v>332</v>
      </c>
      <c r="H1078" s="8" t="s">
        <v>1185</v>
      </c>
      <c r="I1078" s="14" t="s">
        <v>1642</v>
      </c>
      <c r="J1078" s="15"/>
      <c r="K1078" s="8" t="s">
        <v>1622</v>
      </c>
      <c r="L1078" s="8"/>
      <c r="M1078" s="6" t="s">
        <v>1643</v>
      </c>
      <c r="N1078" s="6" t="s">
        <v>1644</v>
      </c>
      <c r="O1078" s="7">
        <f>SUMIFS('05_상품별배치367'!$K$7:$K$373,'05_상품별배치367'!$E$7:$E$373,A1078,'05_상품별배치367'!$H$7:$H$373,"본진")</f>
        <v>0</v>
      </c>
      <c r="P1078" s="7">
        <f>SUMIFS('05_상품별배치367'!$K$7:$K$373,'05_상품별배치367'!$E$7:$E$373,A1078,'05_상품별배치367'!$H$7:$H$373,"추가 진열")</f>
        <v>0</v>
      </c>
      <c r="Q1078" s="7">
        <f>O1078+P1078</f>
        <v>0</v>
      </c>
      <c r="R1078" s="7">
        <v>1</v>
      </c>
      <c r="S1078" s="6" t="s">
        <v>1676</v>
      </c>
      <c r="T1078" s="6" t="s">
        <v>1637</v>
      </c>
      <c r="U1078" s="6"/>
      <c r="V1078" s="16"/>
      <c r="W1078" s="16"/>
      <c r="X1078" s="16"/>
      <c r="Y1078" s="6" t="s">
        <v>1655</v>
      </c>
      <c r="Z1078" s="15"/>
      <c r="AA1078" s="15" t="s">
        <v>1628</v>
      </c>
    </row>
    <row r="1079" spans="1:27" ht="33" customHeight="1">
      <c r="A1079" s="8" t="s">
        <v>2404</v>
      </c>
      <c r="B1079" s="9">
        <v>284</v>
      </c>
      <c r="C1079" s="8" t="s">
        <v>2405</v>
      </c>
      <c r="D1079" s="8" t="s">
        <v>2226</v>
      </c>
      <c r="E1079" s="8" t="s">
        <v>1620</v>
      </c>
      <c r="F1079" s="8" t="s">
        <v>504</v>
      </c>
      <c r="G1079" s="8" t="s">
        <v>341</v>
      </c>
      <c r="H1079" s="8"/>
      <c r="I1079" s="14" t="s">
        <v>1642</v>
      </c>
      <c r="J1079" s="15"/>
      <c r="K1079" s="8" t="s">
        <v>1622</v>
      </c>
      <c r="L1079" s="8"/>
      <c r="M1079" s="6" t="s">
        <v>1643</v>
      </c>
      <c r="N1079" s="6" t="s">
        <v>1644</v>
      </c>
      <c r="O1079" s="7">
        <f>SUMIFS('05_상품별배치367'!$K$7:$K$373,'05_상품별배치367'!$E$7:$E$373,A1079,'05_상품별배치367'!$H$7:$H$373,"본진")</f>
        <v>0</v>
      </c>
      <c r="P1079" s="7">
        <f>SUMIFS('05_상품별배치367'!$K$7:$K$373,'05_상품별배치367'!$E$7:$E$373,A1079,'05_상품별배치367'!$H$7:$H$373,"추가 진열")</f>
        <v>0</v>
      </c>
      <c r="Q1079" s="7">
        <f>O1079+P1079</f>
        <v>0</v>
      </c>
      <c r="R1079" s="7">
        <v>1</v>
      </c>
      <c r="S1079" s="6" t="s">
        <v>2199</v>
      </c>
      <c r="T1079" s="6" t="s">
        <v>1637</v>
      </c>
      <c r="U1079" s="6"/>
      <c r="V1079" s="16"/>
      <c r="W1079" s="16"/>
      <c r="X1079" s="16"/>
      <c r="Y1079" s="6" t="s">
        <v>1655</v>
      </c>
      <c r="Z1079" s="15"/>
      <c r="AA1079" s="15" t="s">
        <v>1628</v>
      </c>
    </row>
    <row r="1080" spans="1:27" ht="33" customHeight="1">
      <c r="A1080" s="6" t="s">
        <v>2401</v>
      </c>
      <c r="B1080" s="7">
        <v>283</v>
      </c>
      <c r="C1080" s="6" t="s">
        <v>2402</v>
      </c>
      <c r="D1080" s="6" t="s">
        <v>2403</v>
      </c>
      <c r="E1080" s="6" t="s">
        <v>1620</v>
      </c>
      <c r="F1080" s="6" t="s">
        <v>2048</v>
      </c>
      <c r="G1080" s="6" t="s">
        <v>1668</v>
      </c>
      <c r="H1080" s="6"/>
      <c r="I1080" s="14" t="s">
        <v>1669</v>
      </c>
      <c r="J1080" s="15"/>
      <c r="K1080" s="6" t="s">
        <v>1622</v>
      </c>
      <c r="L1080" s="6"/>
      <c r="M1080" s="6" t="s">
        <v>1671</v>
      </c>
      <c r="N1080" s="6" t="s">
        <v>1644</v>
      </c>
      <c r="O1080" s="7">
        <f>SUMIFS('05_상품별배치367'!$K$7:$K$373,'05_상품별배치367'!$E$7:$E$373,A1080,'05_상품별배치367'!$H$7:$H$373,"본진")</f>
        <v>0</v>
      </c>
      <c r="P1080" s="7">
        <f>SUMIFS('05_상품별배치367'!$K$7:$K$373,'05_상품별배치367'!$E$7:$E$373,A1080,'05_상품별배치367'!$H$7:$H$373,"추가 진열")</f>
        <v>0</v>
      </c>
      <c r="Q1080" s="7">
        <f>O1080+P1080</f>
        <v>0</v>
      </c>
      <c r="R1080" s="7">
        <v>0</v>
      </c>
      <c r="S1080" s="6" t="s">
        <v>1672</v>
      </c>
      <c r="T1080" s="6" t="s">
        <v>1637</v>
      </c>
      <c r="U1080" s="6"/>
      <c r="V1080" s="16"/>
      <c r="W1080" s="16"/>
      <c r="X1080" s="16"/>
      <c r="Y1080" s="6" t="s">
        <v>1655</v>
      </c>
      <c r="Z1080" s="15"/>
      <c r="AA1080" s="15" t="s">
        <v>1628</v>
      </c>
    </row>
    <row r="1081" spans="1:27" ht="33" customHeight="1">
      <c r="A1081" s="8" t="s">
        <v>2413</v>
      </c>
      <c r="B1081" s="9">
        <v>288</v>
      </c>
      <c r="C1081" s="8" t="s">
        <v>2414</v>
      </c>
      <c r="D1081" s="8" t="s">
        <v>2415</v>
      </c>
      <c r="E1081" s="8" t="s">
        <v>1620</v>
      </c>
      <c r="F1081" s="8" t="s">
        <v>1163</v>
      </c>
      <c r="G1081" s="8" t="s">
        <v>323</v>
      </c>
      <c r="H1081" s="8"/>
      <c r="I1081" s="14" t="s">
        <v>1642</v>
      </c>
      <c r="J1081" s="15"/>
      <c r="K1081" s="8" t="s">
        <v>1622</v>
      </c>
      <c r="L1081" s="8"/>
      <c r="M1081" s="6" t="s">
        <v>1643</v>
      </c>
      <c r="N1081" s="6" t="s">
        <v>1644</v>
      </c>
      <c r="O1081" s="7">
        <f>SUMIFS('05_상품별배치367'!$K$7:$K$373,'05_상품별배치367'!$E$7:$E$373,A1081,'05_상품별배치367'!$H$7:$H$373,"본진")</f>
        <v>0</v>
      </c>
      <c r="P1081" s="7">
        <f>SUMIFS('05_상품별배치367'!$K$7:$K$373,'05_상품별배치367'!$E$7:$E$373,A1081,'05_상품별배치367'!$H$7:$H$373,"추가 진열")</f>
        <v>0</v>
      </c>
      <c r="Q1081" s="7">
        <f>O1081+P1081</f>
        <v>0</v>
      </c>
      <c r="R1081" s="7">
        <v>1</v>
      </c>
      <c r="S1081" s="6" t="s">
        <v>1654</v>
      </c>
      <c r="T1081" s="6" t="s">
        <v>1637</v>
      </c>
      <c r="U1081" s="6"/>
      <c r="V1081" s="16"/>
      <c r="W1081" s="16"/>
      <c r="X1081" s="16"/>
      <c r="Y1081" s="6" t="s">
        <v>1655</v>
      </c>
      <c r="Z1081" s="15"/>
      <c r="AA1081" s="15" t="s">
        <v>1628</v>
      </c>
    </row>
    <row r="1082" spans="1:27" ht="33" customHeight="1">
      <c r="A1082" s="6" t="s">
        <v>2390</v>
      </c>
      <c r="B1082" s="7">
        <v>279</v>
      </c>
      <c r="C1082" s="6" t="s">
        <v>2391</v>
      </c>
      <c r="D1082" s="6" t="s">
        <v>2392</v>
      </c>
      <c r="E1082" s="6" t="s">
        <v>1620</v>
      </c>
      <c r="F1082" s="6" t="s">
        <v>2048</v>
      </c>
      <c r="G1082" s="6" t="s">
        <v>1668</v>
      </c>
      <c r="H1082" s="6"/>
      <c r="I1082" s="14" t="s">
        <v>1669</v>
      </c>
      <c r="J1082" s="15"/>
      <c r="K1082" s="6" t="s">
        <v>1622</v>
      </c>
      <c r="L1082" s="6"/>
      <c r="M1082" s="6" t="s">
        <v>1671</v>
      </c>
      <c r="N1082" s="6" t="s">
        <v>1644</v>
      </c>
      <c r="O1082" s="7">
        <f>SUMIFS('05_상품별배치367'!$K$7:$K$373,'05_상품별배치367'!$E$7:$E$373,A1082,'05_상품별배치367'!$H$7:$H$373,"본진")</f>
        <v>0</v>
      </c>
      <c r="P1082" s="7">
        <f>SUMIFS('05_상품별배치367'!$K$7:$K$373,'05_상품별배치367'!$E$7:$E$373,A1082,'05_상품별배치367'!$H$7:$H$373,"추가 진열")</f>
        <v>0</v>
      </c>
      <c r="Q1082" s="7">
        <f>O1082+P1082</f>
        <v>0</v>
      </c>
      <c r="R1082" s="7">
        <v>0</v>
      </c>
      <c r="S1082" s="6" t="s">
        <v>1672</v>
      </c>
      <c r="T1082" s="6" t="s">
        <v>1637</v>
      </c>
      <c r="U1082" s="6"/>
      <c r="V1082" s="16"/>
      <c r="W1082" s="16"/>
      <c r="X1082" s="16"/>
      <c r="Y1082" s="6" t="s">
        <v>1655</v>
      </c>
      <c r="Z1082" s="15"/>
      <c r="AA1082" s="15" t="s">
        <v>1628</v>
      </c>
    </row>
    <row r="1083" spans="1:27" ht="33" customHeight="1">
      <c r="A1083" s="8" t="s">
        <v>2398</v>
      </c>
      <c r="B1083" s="9">
        <v>282</v>
      </c>
      <c r="C1083" s="8" t="s">
        <v>2399</v>
      </c>
      <c r="D1083" s="8" t="s">
        <v>2400</v>
      </c>
      <c r="E1083" s="8" t="s">
        <v>1666</v>
      </c>
      <c r="F1083" s="8" t="s">
        <v>1667</v>
      </c>
      <c r="G1083" s="8" t="s">
        <v>1668</v>
      </c>
      <c r="H1083" s="8"/>
      <c r="I1083" s="14" t="s">
        <v>1669</v>
      </c>
      <c r="J1083" s="15"/>
      <c r="K1083" s="8" t="s">
        <v>1670</v>
      </c>
      <c r="L1083" s="8"/>
      <c r="M1083" s="6" t="s">
        <v>1671</v>
      </c>
      <c r="N1083" s="6" t="s">
        <v>1644</v>
      </c>
      <c r="O1083" s="7">
        <f>SUMIFS('05_상품별배치367'!$K$7:$K$373,'05_상품별배치367'!$E$7:$E$373,A1083,'05_상품별배치367'!$H$7:$H$373,"본진")</f>
        <v>0</v>
      </c>
      <c r="P1083" s="7">
        <f>SUMIFS('05_상품별배치367'!$K$7:$K$373,'05_상품별배치367'!$E$7:$E$373,A1083,'05_상품별배치367'!$H$7:$H$373,"추가 진열")</f>
        <v>0</v>
      </c>
      <c r="Q1083" s="7">
        <f>O1083+P1083</f>
        <v>0</v>
      </c>
      <c r="R1083" s="7">
        <v>0</v>
      </c>
      <c r="S1083" s="6" t="s">
        <v>1672</v>
      </c>
      <c r="T1083" s="6" t="s">
        <v>1637</v>
      </c>
      <c r="U1083" s="6"/>
      <c r="V1083" s="16"/>
      <c r="W1083" s="16"/>
      <c r="X1083" s="16"/>
      <c r="Y1083" s="6" t="s">
        <v>1655</v>
      </c>
      <c r="Z1083" s="15"/>
      <c r="AA1083" s="15" t="s">
        <v>1628</v>
      </c>
    </row>
    <row r="1084" spans="1:27" ht="33" customHeight="1">
      <c r="A1084" s="6" t="s">
        <v>2406</v>
      </c>
      <c r="B1084" s="7">
        <v>285</v>
      </c>
      <c r="C1084" s="6" t="s">
        <v>2407</v>
      </c>
      <c r="D1084" s="6" t="s">
        <v>2232</v>
      </c>
      <c r="E1084" s="6" t="s">
        <v>1620</v>
      </c>
      <c r="F1084" s="6" t="s">
        <v>2121</v>
      </c>
      <c r="G1084" s="6" t="s">
        <v>1668</v>
      </c>
      <c r="H1084" s="6"/>
      <c r="I1084" s="14" t="s">
        <v>1642</v>
      </c>
      <c r="J1084" s="15"/>
      <c r="K1084" s="6" t="s">
        <v>1622</v>
      </c>
      <c r="L1084" s="6"/>
      <c r="M1084" s="6" t="s">
        <v>1643</v>
      </c>
      <c r="N1084" s="6" t="s">
        <v>1644</v>
      </c>
      <c r="O1084" s="7">
        <f>SUMIFS('05_상품별배치367'!$K$7:$K$373,'05_상품별배치367'!$E$7:$E$373,A1084,'05_상품별배치367'!$H$7:$H$373,"본진")</f>
        <v>0</v>
      </c>
      <c r="P1084" s="7">
        <f>SUMIFS('05_상품별배치367'!$K$7:$K$373,'05_상품별배치367'!$E$7:$E$373,A1084,'05_상품별배치367'!$H$7:$H$373,"추가 진열")</f>
        <v>0</v>
      </c>
      <c r="Q1084" s="7">
        <f>O1084+P1084</f>
        <v>0</v>
      </c>
      <c r="R1084" s="7">
        <v>1</v>
      </c>
      <c r="S1084" s="6" t="s">
        <v>2122</v>
      </c>
      <c r="T1084" s="6" t="s">
        <v>1637</v>
      </c>
      <c r="U1084" s="6"/>
      <c r="V1084" s="16"/>
      <c r="W1084" s="16"/>
      <c r="X1084" s="16"/>
      <c r="Y1084" s="6" t="s">
        <v>1655</v>
      </c>
      <c r="Z1084" s="15"/>
      <c r="AA1084" s="15" t="s">
        <v>1628</v>
      </c>
    </row>
    <row r="1085" spans="1:27" ht="33" customHeight="1">
      <c r="A1085" s="8" t="s">
        <v>2408</v>
      </c>
      <c r="B1085" s="9">
        <v>286</v>
      </c>
      <c r="C1085" s="8" t="s">
        <v>2409</v>
      </c>
      <c r="D1085" s="8" t="s">
        <v>2410</v>
      </c>
      <c r="E1085" s="8" t="s">
        <v>1620</v>
      </c>
      <c r="F1085" s="8" t="s">
        <v>151</v>
      </c>
      <c r="G1085" s="8" t="s">
        <v>349</v>
      </c>
      <c r="H1085" s="8"/>
      <c r="I1085" s="14" t="s">
        <v>1642</v>
      </c>
      <c r="J1085" s="15"/>
      <c r="K1085" s="8" t="s">
        <v>1622</v>
      </c>
      <c r="L1085" s="8"/>
      <c r="M1085" s="6" t="s">
        <v>1643</v>
      </c>
      <c r="N1085" s="6" t="s">
        <v>1644</v>
      </c>
      <c r="O1085" s="7">
        <f>SUMIFS('05_상품별배치367'!$K$7:$K$373,'05_상품별배치367'!$E$7:$E$373,A1085,'05_상품별배치367'!$H$7:$H$373,"본진")</f>
        <v>0</v>
      </c>
      <c r="P1085" s="7">
        <f>SUMIFS('05_상품별배치367'!$K$7:$K$373,'05_상품별배치367'!$E$7:$E$373,A1085,'05_상품별배치367'!$H$7:$H$373,"추가 진열")</f>
        <v>0</v>
      </c>
      <c r="Q1085" s="7">
        <f>O1085+P1085</f>
        <v>0</v>
      </c>
      <c r="R1085" s="7">
        <v>1</v>
      </c>
      <c r="S1085" s="6" t="s">
        <v>1676</v>
      </c>
      <c r="T1085" s="6" t="s">
        <v>1637</v>
      </c>
      <c r="U1085" s="6"/>
      <c r="V1085" s="16"/>
      <c r="W1085" s="16"/>
      <c r="X1085" s="16"/>
      <c r="Y1085" s="6" t="s">
        <v>1655</v>
      </c>
      <c r="Z1085" s="15"/>
      <c r="AA1085" s="15" t="s">
        <v>1628</v>
      </c>
    </row>
    <row r="1086" spans="1:27" ht="33" customHeight="1">
      <c r="A1086" s="6" t="s">
        <v>2395</v>
      </c>
      <c r="B1086" s="7">
        <v>281</v>
      </c>
      <c r="C1086" s="6" t="s">
        <v>2396</v>
      </c>
      <c r="D1086" s="6" t="s">
        <v>2397</v>
      </c>
      <c r="E1086" s="6" t="s">
        <v>1620</v>
      </c>
      <c r="F1086" s="6" t="s">
        <v>2048</v>
      </c>
      <c r="G1086" s="6" t="s">
        <v>1668</v>
      </c>
      <c r="H1086" s="6"/>
      <c r="I1086" s="14" t="s">
        <v>1669</v>
      </c>
      <c r="J1086" s="15"/>
      <c r="K1086" s="6" t="s">
        <v>1622</v>
      </c>
      <c r="L1086" s="6"/>
      <c r="M1086" s="6" t="s">
        <v>1671</v>
      </c>
      <c r="N1086" s="6" t="s">
        <v>1644</v>
      </c>
      <c r="O1086" s="7">
        <f>SUMIFS('05_상품별배치367'!$K$7:$K$373,'05_상품별배치367'!$E$7:$E$373,A1086,'05_상품별배치367'!$H$7:$H$373,"본진")</f>
        <v>0</v>
      </c>
      <c r="P1086" s="7">
        <f>SUMIFS('05_상품별배치367'!$K$7:$K$373,'05_상품별배치367'!$E$7:$E$373,A1086,'05_상품별배치367'!$H$7:$H$373,"추가 진열")</f>
        <v>0</v>
      </c>
      <c r="Q1086" s="7">
        <f>O1086+P1086</f>
        <v>0</v>
      </c>
      <c r="R1086" s="7">
        <v>0</v>
      </c>
      <c r="S1086" s="6" t="s">
        <v>1672</v>
      </c>
      <c r="T1086" s="6" t="s">
        <v>1637</v>
      </c>
      <c r="U1086" s="6"/>
      <c r="V1086" s="16"/>
      <c r="W1086" s="16"/>
      <c r="X1086" s="16"/>
      <c r="Y1086" s="6" t="s">
        <v>1655</v>
      </c>
      <c r="Z1086" s="15"/>
      <c r="AA1086" s="15" t="s">
        <v>1628</v>
      </c>
    </row>
    <row r="1087" spans="1:27" ht="33" customHeight="1">
      <c r="A1087" s="6" t="s">
        <v>1179</v>
      </c>
      <c r="B1087" s="7">
        <v>1995</v>
      </c>
      <c r="C1087" s="6" t="s">
        <v>1178</v>
      </c>
      <c r="D1087" s="6" t="s">
        <v>6102</v>
      </c>
      <c r="E1087" s="6" t="s">
        <v>1620</v>
      </c>
      <c r="F1087" s="6" t="s">
        <v>150</v>
      </c>
      <c r="G1087" s="6" t="s">
        <v>332</v>
      </c>
      <c r="H1087" s="6" t="s">
        <v>1177</v>
      </c>
      <c r="I1087" s="14" t="s">
        <v>1633</v>
      </c>
      <c r="J1087" s="15"/>
      <c r="K1087" s="6" t="s">
        <v>1622</v>
      </c>
      <c r="L1087" s="6" t="s">
        <v>3828</v>
      </c>
      <c r="M1087" s="6" t="s">
        <v>1635</v>
      </c>
      <c r="N1087" s="6" t="s">
        <v>1624</v>
      </c>
      <c r="O1087" s="7">
        <f>SUMIFS('05_상품별배치367'!$K$7:$K$373,'05_상품별배치367'!$E$7:$E$373,A1087,'05_상품별배치367'!$H$7:$H$373,"본진")</f>
        <v>1</v>
      </c>
      <c r="P1087" s="7">
        <f>SUMIFS('05_상품별배치367'!$K$7:$K$373,'05_상품별배치367'!$E$7:$E$373,A1087,'05_상품별배치367'!$H$7:$H$373,"추가 진열")</f>
        <v>0</v>
      </c>
      <c r="Q1087" s="7">
        <f>O1087+P1087</f>
        <v>1</v>
      </c>
      <c r="R1087" s="7">
        <v>1</v>
      </c>
      <c r="S1087" s="6" t="s">
        <v>1636</v>
      </c>
      <c r="T1087" s="6" t="s">
        <v>1637</v>
      </c>
      <c r="U1087" s="6"/>
      <c r="V1087" s="16"/>
      <c r="W1087" s="16"/>
      <c r="X1087" s="16"/>
      <c r="Y1087" s="6" t="s">
        <v>1627</v>
      </c>
      <c r="Z1087" s="15"/>
      <c r="AA1087" s="15" t="s">
        <v>1628</v>
      </c>
    </row>
    <row r="1088" spans="1:27" ht="33" customHeight="1">
      <c r="A1088" s="8" t="s">
        <v>6096</v>
      </c>
      <c r="B1088" s="9">
        <v>1992</v>
      </c>
      <c r="C1088" s="8" t="s">
        <v>1178</v>
      </c>
      <c r="D1088" s="8" t="s">
        <v>6097</v>
      </c>
      <c r="E1088" s="8" t="s">
        <v>1620</v>
      </c>
      <c r="F1088" s="8" t="s">
        <v>150</v>
      </c>
      <c r="G1088" s="8" t="s">
        <v>332</v>
      </c>
      <c r="H1088" s="8"/>
      <c r="I1088" s="14" t="s">
        <v>1642</v>
      </c>
      <c r="J1088" s="15"/>
      <c r="K1088" s="8" t="s">
        <v>1622</v>
      </c>
      <c r="L1088" s="8" t="s">
        <v>3828</v>
      </c>
      <c r="M1088" s="6" t="s">
        <v>1643</v>
      </c>
      <c r="N1088" s="6" t="s">
        <v>1624</v>
      </c>
      <c r="O1088" s="7">
        <f>SUMIFS('05_상품별배치367'!$K$7:$K$373,'05_상품별배치367'!$E$7:$E$373,A1088,'05_상품별배치367'!$H$7:$H$373,"본진")</f>
        <v>0</v>
      </c>
      <c r="P1088" s="7">
        <f>SUMIFS('05_상품별배치367'!$K$7:$K$373,'05_상품별배치367'!$E$7:$E$373,A1088,'05_상품별배치367'!$H$7:$H$373,"추가 진열")</f>
        <v>0</v>
      </c>
      <c r="Q1088" s="7">
        <f>O1088+P1088</f>
        <v>0</v>
      </c>
      <c r="R1088" s="7">
        <v>1</v>
      </c>
      <c r="S1088" s="6" t="s">
        <v>2037</v>
      </c>
      <c r="T1088" s="6" t="s">
        <v>1637</v>
      </c>
      <c r="U1088" s="6"/>
      <c r="V1088" s="16"/>
      <c r="W1088" s="16"/>
      <c r="X1088" s="16"/>
      <c r="Y1088" s="6" t="s">
        <v>1627</v>
      </c>
      <c r="Z1088" s="15"/>
      <c r="AA1088" s="15" t="s">
        <v>1628</v>
      </c>
    </row>
    <row r="1089" spans="1:27" ht="33" customHeight="1">
      <c r="A1089" s="8" t="s">
        <v>6953</v>
      </c>
      <c r="B1089" s="9">
        <v>2386</v>
      </c>
      <c r="C1089" s="8" t="s">
        <v>6954</v>
      </c>
      <c r="D1089" s="8" t="s">
        <v>2343</v>
      </c>
      <c r="E1089" s="8" t="s">
        <v>1620</v>
      </c>
      <c r="F1089" s="8" t="s">
        <v>505</v>
      </c>
      <c r="G1089" s="8" t="s">
        <v>69</v>
      </c>
      <c r="H1089" s="8" t="s">
        <v>626</v>
      </c>
      <c r="I1089" s="14" t="s">
        <v>1633</v>
      </c>
      <c r="J1089" s="15"/>
      <c r="K1089" s="8" t="s">
        <v>1622</v>
      </c>
      <c r="L1089" s="8" t="s">
        <v>3828</v>
      </c>
      <c r="M1089" s="6" t="s">
        <v>1635</v>
      </c>
      <c r="N1089" s="6" t="s">
        <v>1624</v>
      </c>
      <c r="O1089" s="7">
        <f>SUMIFS('05_상품별배치367'!$K$7:$K$373,'05_상품별배치367'!$E$7:$E$373,A1089,'05_상품별배치367'!$H$7:$H$373,"본진")</f>
        <v>1</v>
      </c>
      <c r="P1089" s="7">
        <f>SUMIFS('05_상품별배치367'!$K$7:$K$373,'05_상품별배치367'!$E$7:$E$373,A1089,'05_상품별배치367'!$H$7:$H$373,"추가 진열")</f>
        <v>0</v>
      </c>
      <c r="Q1089" s="7">
        <f>O1089+P1089</f>
        <v>1</v>
      </c>
      <c r="R1089" s="7">
        <v>1</v>
      </c>
      <c r="S1089" s="6" t="s">
        <v>1636</v>
      </c>
      <c r="T1089" s="6" t="s">
        <v>1637</v>
      </c>
      <c r="U1089" s="6"/>
      <c r="V1089" s="16"/>
      <c r="W1089" s="16"/>
      <c r="X1089" s="16"/>
      <c r="Y1089" s="6" t="s">
        <v>1655</v>
      </c>
      <c r="Z1089" s="15"/>
      <c r="AA1089" s="15" t="s">
        <v>1628</v>
      </c>
    </row>
    <row r="1090" spans="1:27" ht="33" customHeight="1">
      <c r="A1090" s="8" t="s">
        <v>1790</v>
      </c>
      <c r="B1090" s="9">
        <v>58</v>
      </c>
      <c r="C1090" s="8" t="s">
        <v>1791</v>
      </c>
      <c r="D1090" s="8" t="s">
        <v>1792</v>
      </c>
      <c r="E1090" s="8" t="s">
        <v>1620</v>
      </c>
      <c r="F1090" s="8" t="s">
        <v>505</v>
      </c>
      <c r="G1090" s="8" t="s">
        <v>358</v>
      </c>
      <c r="H1090" s="8"/>
      <c r="I1090" s="14" t="s">
        <v>1642</v>
      </c>
      <c r="J1090" s="15"/>
      <c r="K1090" s="8" t="s">
        <v>1622</v>
      </c>
      <c r="L1090" s="8"/>
      <c r="M1090" s="6" t="s">
        <v>1643</v>
      </c>
      <c r="N1090" s="6" t="s">
        <v>1644</v>
      </c>
      <c r="O1090" s="7">
        <f>SUMIFS('05_상품별배치367'!$K$7:$K$373,'05_상품별배치367'!$E$7:$E$373,A1090,'05_상품별배치367'!$H$7:$H$373,"본진")</f>
        <v>0</v>
      </c>
      <c r="P1090" s="7">
        <f>SUMIFS('05_상품별배치367'!$K$7:$K$373,'05_상품별배치367'!$E$7:$E$373,A1090,'05_상품별배치367'!$H$7:$H$373,"추가 진열")</f>
        <v>0</v>
      </c>
      <c r="Q1090" s="7">
        <f>O1090+P1090</f>
        <v>0</v>
      </c>
      <c r="R1090" s="7">
        <v>1</v>
      </c>
      <c r="S1090" s="6" t="s">
        <v>1793</v>
      </c>
      <c r="T1090" s="6" t="s">
        <v>1637</v>
      </c>
      <c r="U1090" s="6"/>
      <c r="V1090" s="16"/>
      <c r="W1090" s="16"/>
      <c r="X1090" s="16"/>
      <c r="Y1090" s="6" t="s">
        <v>1655</v>
      </c>
      <c r="Z1090" s="15"/>
      <c r="AA1090" s="15" t="s">
        <v>1628</v>
      </c>
    </row>
    <row r="1091" spans="1:27" ht="33" customHeight="1">
      <c r="A1091" s="8" t="s">
        <v>5913</v>
      </c>
      <c r="B1091" s="9">
        <v>1910</v>
      </c>
      <c r="C1091" s="8" t="s">
        <v>5914</v>
      </c>
      <c r="D1091" s="8" t="s">
        <v>5915</v>
      </c>
      <c r="E1091" s="8" t="s">
        <v>1641</v>
      </c>
      <c r="F1091" s="8" t="s">
        <v>1806</v>
      </c>
      <c r="G1091" s="8" t="s">
        <v>1668</v>
      </c>
      <c r="H1091" s="8"/>
      <c r="I1091" s="14" t="s">
        <v>1807</v>
      </c>
      <c r="J1091" s="15"/>
      <c r="K1091" s="8" t="s">
        <v>1634</v>
      </c>
      <c r="L1091" s="8" t="s">
        <v>2001</v>
      </c>
      <c r="M1091" s="6" t="s">
        <v>1809</v>
      </c>
      <c r="N1091" s="6" t="s">
        <v>1644</v>
      </c>
      <c r="O1091" s="7">
        <f>SUMIFS('05_상품별배치367'!$K$7:$K$373,'05_상품별배치367'!$E$7:$E$373,A1091,'05_상품별배치367'!$H$7:$H$373,"본진")</f>
        <v>0</v>
      </c>
      <c r="P1091" s="7">
        <f>SUMIFS('05_상품별배치367'!$K$7:$K$373,'05_상품별배치367'!$E$7:$E$373,A1091,'05_상품별배치367'!$H$7:$H$373,"추가 진열")</f>
        <v>0</v>
      </c>
      <c r="Q1091" s="7">
        <f>O1091+P1091</f>
        <v>0</v>
      </c>
      <c r="R1091" s="7">
        <v>0</v>
      </c>
      <c r="S1091" s="6" t="s">
        <v>1810</v>
      </c>
      <c r="T1091" s="6" t="s">
        <v>1637</v>
      </c>
      <c r="U1091" s="6"/>
      <c r="V1091" s="16"/>
      <c r="W1091" s="16"/>
      <c r="X1091" s="16"/>
      <c r="Y1091" s="6" t="s">
        <v>1655</v>
      </c>
      <c r="Z1091" s="15"/>
      <c r="AA1091" s="15" t="s">
        <v>1628</v>
      </c>
    </row>
    <row r="1092" spans="1:27" ht="33" customHeight="1">
      <c r="A1092" s="8" t="s">
        <v>6962</v>
      </c>
      <c r="B1092" s="9">
        <v>2390</v>
      </c>
      <c r="C1092" s="8" t="s">
        <v>6963</v>
      </c>
      <c r="D1092" s="8" t="s">
        <v>6964</v>
      </c>
      <c r="E1092" s="8" t="s">
        <v>1986</v>
      </c>
      <c r="F1092" s="8" t="s">
        <v>3378</v>
      </c>
      <c r="G1092" s="8" t="s">
        <v>38</v>
      </c>
      <c r="H1092" s="8"/>
      <c r="I1092" s="14" t="s">
        <v>1642</v>
      </c>
      <c r="J1092" s="15"/>
      <c r="K1092" s="8" t="s">
        <v>1976</v>
      </c>
      <c r="L1092" s="8" t="s">
        <v>3828</v>
      </c>
      <c r="M1092" s="6" t="s">
        <v>1643</v>
      </c>
      <c r="N1092" s="6" t="s">
        <v>1644</v>
      </c>
      <c r="O1092" s="7">
        <f>SUMIFS('05_상품별배치367'!$K$7:$K$373,'05_상품별배치367'!$E$7:$E$373,A1092,'05_상품별배치367'!$H$7:$H$373,"본진")</f>
        <v>0</v>
      </c>
      <c r="P1092" s="7">
        <f>SUMIFS('05_상품별배치367'!$K$7:$K$373,'05_상품별배치367'!$E$7:$E$373,A1092,'05_상품별배치367'!$H$7:$H$373,"추가 진열")</f>
        <v>0</v>
      </c>
      <c r="Q1092" s="7">
        <f>O1092+P1092</f>
        <v>0</v>
      </c>
      <c r="R1092" s="7">
        <v>1</v>
      </c>
      <c r="S1092" s="6" t="s">
        <v>3379</v>
      </c>
      <c r="T1092" s="6" t="s">
        <v>1637</v>
      </c>
      <c r="U1092" s="6"/>
      <c r="V1092" s="16"/>
      <c r="W1092" s="16"/>
      <c r="X1092" s="16"/>
      <c r="Y1092" s="6" t="s">
        <v>1655</v>
      </c>
      <c r="Z1092" s="15"/>
      <c r="AA1092" s="15" t="s">
        <v>1628</v>
      </c>
    </row>
    <row r="1093" spans="1:27" ht="33" customHeight="1">
      <c r="A1093" s="8" t="s">
        <v>3136</v>
      </c>
      <c r="B1093" s="9">
        <v>608</v>
      </c>
      <c r="C1093" s="8" t="s">
        <v>3137</v>
      </c>
      <c r="D1093" s="8" t="s">
        <v>2856</v>
      </c>
      <c r="E1093" s="8" t="s">
        <v>1986</v>
      </c>
      <c r="F1093" s="8" t="s">
        <v>493</v>
      </c>
      <c r="G1093" s="8" t="s">
        <v>299</v>
      </c>
      <c r="H1093" s="8"/>
      <c r="I1093" s="14" t="s">
        <v>1642</v>
      </c>
      <c r="J1093" s="15"/>
      <c r="K1093" s="8" t="s">
        <v>1976</v>
      </c>
      <c r="L1093" s="8"/>
      <c r="M1093" s="6" t="s">
        <v>1643</v>
      </c>
      <c r="N1093" s="6" t="s">
        <v>1644</v>
      </c>
      <c r="O1093" s="7">
        <f>SUMIFS('05_상품별배치367'!$K$7:$K$373,'05_상품별배치367'!$E$7:$E$373,A1093,'05_상품별배치367'!$H$7:$H$373,"본진")</f>
        <v>0</v>
      </c>
      <c r="P1093" s="7">
        <f>SUMIFS('05_상품별배치367'!$K$7:$K$373,'05_상품별배치367'!$E$7:$E$373,A1093,'05_상품별배치367'!$H$7:$H$373,"추가 진열")</f>
        <v>0</v>
      </c>
      <c r="Q1093" s="7">
        <f>O1093+P1093</f>
        <v>0</v>
      </c>
      <c r="R1093" s="7">
        <v>1</v>
      </c>
      <c r="S1093" s="6" t="s">
        <v>3084</v>
      </c>
      <c r="T1093" s="6" t="s">
        <v>1637</v>
      </c>
      <c r="U1093" s="6"/>
      <c r="V1093" s="16"/>
      <c r="W1093" s="16"/>
      <c r="X1093" s="16"/>
      <c r="Y1093" s="6" t="s">
        <v>1627</v>
      </c>
      <c r="Z1093" s="15"/>
      <c r="AA1093" s="15" t="s">
        <v>1628</v>
      </c>
    </row>
    <row r="1094" spans="1:27" ht="33" customHeight="1">
      <c r="A1094" s="6" t="s">
        <v>3138</v>
      </c>
      <c r="B1094" s="7">
        <v>609</v>
      </c>
      <c r="C1094" s="6" t="s">
        <v>3139</v>
      </c>
      <c r="D1094" s="6" t="s">
        <v>2714</v>
      </c>
      <c r="E1094" s="6" t="s">
        <v>2134</v>
      </c>
      <c r="F1094" s="6" t="s">
        <v>2933</v>
      </c>
      <c r="G1094" s="6" t="s">
        <v>1668</v>
      </c>
      <c r="H1094" s="6"/>
      <c r="I1094" s="14" t="s">
        <v>1807</v>
      </c>
      <c r="J1094" s="15"/>
      <c r="K1094" s="6" t="s">
        <v>1976</v>
      </c>
      <c r="L1094" s="6" t="s">
        <v>2032</v>
      </c>
      <c r="M1094" s="6" t="s">
        <v>1809</v>
      </c>
      <c r="N1094" s="6" t="s">
        <v>1644</v>
      </c>
      <c r="O1094" s="7">
        <f>SUMIFS('05_상품별배치367'!$K$7:$K$373,'05_상품별배치367'!$E$7:$E$373,A1094,'05_상품별배치367'!$H$7:$H$373,"본진")</f>
        <v>0</v>
      </c>
      <c r="P1094" s="7">
        <f>SUMIFS('05_상품별배치367'!$K$7:$K$373,'05_상품별배치367'!$E$7:$E$373,A1094,'05_상품별배치367'!$H$7:$H$373,"추가 진열")</f>
        <v>0</v>
      </c>
      <c r="Q1094" s="7">
        <f>O1094+P1094</f>
        <v>0</v>
      </c>
      <c r="R1094" s="7">
        <v>0</v>
      </c>
      <c r="S1094" s="6" t="s">
        <v>1810</v>
      </c>
      <c r="T1094" s="6" t="s">
        <v>1637</v>
      </c>
      <c r="U1094" s="6"/>
      <c r="V1094" s="16"/>
      <c r="W1094" s="16"/>
      <c r="X1094" s="16"/>
      <c r="Y1094" s="6" t="s">
        <v>1627</v>
      </c>
      <c r="Z1094" s="15"/>
      <c r="AA1094" s="15" t="s">
        <v>1628</v>
      </c>
    </row>
    <row r="1095" spans="1:27" ht="33" customHeight="1">
      <c r="A1095" s="8" t="s">
        <v>3132</v>
      </c>
      <c r="B1095" s="9">
        <v>606</v>
      </c>
      <c r="C1095" s="8" t="s">
        <v>3133</v>
      </c>
      <c r="D1095" s="8" t="s">
        <v>2845</v>
      </c>
      <c r="E1095" s="8" t="s">
        <v>1986</v>
      </c>
      <c r="F1095" s="8" t="s">
        <v>913</v>
      </c>
      <c r="G1095" s="8" t="s">
        <v>201</v>
      </c>
      <c r="H1095" s="8"/>
      <c r="I1095" s="14" t="s">
        <v>1642</v>
      </c>
      <c r="J1095" s="15"/>
      <c r="K1095" s="8" t="s">
        <v>1976</v>
      </c>
      <c r="L1095" s="8"/>
      <c r="M1095" s="6" t="s">
        <v>1643</v>
      </c>
      <c r="N1095" s="6" t="s">
        <v>1644</v>
      </c>
      <c r="O1095" s="7">
        <f>SUMIFS('05_상품별배치367'!$K$7:$K$373,'05_상품별배치367'!$E$7:$E$373,A1095,'05_상품별배치367'!$H$7:$H$373,"본진")</f>
        <v>0</v>
      </c>
      <c r="P1095" s="7">
        <f>SUMIFS('05_상품별배치367'!$K$7:$K$373,'05_상품별배치367'!$E$7:$E$373,A1095,'05_상품별배치367'!$H$7:$H$373,"추가 진열")</f>
        <v>0</v>
      </c>
      <c r="Q1095" s="7">
        <f>O1095+P1095</f>
        <v>0</v>
      </c>
      <c r="R1095" s="7">
        <v>1</v>
      </c>
      <c r="S1095" s="6" t="s">
        <v>2907</v>
      </c>
      <c r="T1095" s="6" t="s">
        <v>1637</v>
      </c>
      <c r="U1095" s="6"/>
      <c r="V1095" s="16"/>
      <c r="W1095" s="16"/>
      <c r="X1095" s="16"/>
      <c r="Y1095" s="6" t="s">
        <v>1627</v>
      </c>
      <c r="Z1095" s="15"/>
      <c r="AA1095" s="15" t="s">
        <v>1628</v>
      </c>
    </row>
    <row r="1096" spans="1:27" ht="33" customHeight="1">
      <c r="A1096" s="6" t="s">
        <v>3134</v>
      </c>
      <c r="B1096" s="7">
        <v>607</v>
      </c>
      <c r="C1096" s="6" t="s">
        <v>3135</v>
      </c>
      <c r="D1096" s="6" t="s">
        <v>1851</v>
      </c>
      <c r="E1096" s="6" t="s">
        <v>2134</v>
      </c>
      <c r="F1096" s="6" t="s">
        <v>161</v>
      </c>
      <c r="G1096" s="6" t="s">
        <v>395</v>
      </c>
      <c r="H1096" s="6"/>
      <c r="I1096" s="14" t="s">
        <v>1642</v>
      </c>
      <c r="J1096" s="15"/>
      <c r="K1096" s="6" t="s">
        <v>1976</v>
      </c>
      <c r="L1096" s="6"/>
      <c r="M1096" s="6" t="s">
        <v>1643</v>
      </c>
      <c r="N1096" s="6" t="s">
        <v>1644</v>
      </c>
      <c r="O1096" s="7">
        <f>SUMIFS('05_상품별배치367'!$K$7:$K$373,'05_상품별배치367'!$E$7:$E$373,A1096,'05_상품별배치367'!$H$7:$H$373,"본진")</f>
        <v>0</v>
      </c>
      <c r="P1096" s="7">
        <f>SUMIFS('05_상품별배치367'!$K$7:$K$373,'05_상품별배치367'!$E$7:$E$373,A1096,'05_상품별배치367'!$H$7:$H$373,"추가 진열")</f>
        <v>0</v>
      </c>
      <c r="Q1096" s="7">
        <f>O1096+P1096</f>
        <v>0</v>
      </c>
      <c r="R1096" s="7">
        <v>1</v>
      </c>
      <c r="S1096" s="6" t="s">
        <v>3070</v>
      </c>
      <c r="T1096" s="6" t="s">
        <v>1637</v>
      </c>
      <c r="U1096" s="6"/>
      <c r="V1096" s="16"/>
      <c r="W1096" s="16"/>
      <c r="X1096" s="16"/>
      <c r="Y1096" s="6" t="s">
        <v>1627</v>
      </c>
      <c r="Z1096" s="15"/>
      <c r="AA1096" s="15" t="s">
        <v>1628</v>
      </c>
    </row>
    <row r="1097" spans="1:27" ht="33" customHeight="1">
      <c r="A1097" s="8" t="s">
        <v>3127</v>
      </c>
      <c r="B1097" s="9">
        <v>604</v>
      </c>
      <c r="C1097" s="8" t="s">
        <v>3128</v>
      </c>
      <c r="D1097" s="8" t="s">
        <v>1851</v>
      </c>
      <c r="E1097" s="8" t="s">
        <v>1981</v>
      </c>
      <c r="F1097" s="8" t="s">
        <v>570</v>
      </c>
      <c r="G1097" s="8" t="s">
        <v>25</v>
      </c>
      <c r="H1097" s="8" t="s">
        <v>569</v>
      </c>
      <c r="I1097" s="14" t="s">
        <v>1633</v>
      </c>
      <c r="J1097" s="15"/>
      <c r="K1097" s="8" t="s">
        <v>1982</v>
      </c>
      <c r="L1097" s="8"/>
      <c r="M1097" s="6" t="s">
        <v>1635</v>
      </c>
      <c r="N1097" s="6" t="s">
        <v>1624</v>
      </c>
      <c r="O1097" s="7">
        <f>SUMIFS('05_상품별배치367'!$K$7:$K$373,'05_상품별배치367'!$E$7:$E$373,A1097,'05_상품별배치367'!$H$7:$H$373,"본진")</f>
        <v>1</v>
      </c>
      <c r="P1097" s="7">
        <f>SUMIFS('05_상품별배치367'!$K$7:$K$373,'05_상품별배치367'!$E$7:$E$373,A1097,'05_상품별배치367'!$H$7:$H$373,"추가 진열")</f>
        <v>0</v>
      </c>
      <c r="Q1097" s="7">
        <f>O1097+P1097</f>
        <v>1</v>
      </c>
      <c r="R1097" s="7">
        <v>1</v>
      </c>
      <c r="S1097" s="6" t="s">
        <v>1636</v>
      </c>
      <c r="T1097" s="6" t="s">
        <v>1637</v>
      </c>
      <c r="U1097" s="6"/>
      <c r="V1097" s="16"/>
      <c r="W1097" s="16"/>
      <c r="X1097" s="16"/>
      <c r="Y1097" s="6" t="s">
        <v>1627</v>
      </c>
      <c r="Z1097" s="15"/>
      <c r="AA1097" s="15" t="s">
        <v>1628</v>
      </c>
    </row>
    <row r="1098" spans="1:27" ht="33" customHeight="1">
      <c r="A1098" s="6" t="s">
        <v>3129</v>
      </c>
      <c r="B1098" s="7">
        <v>605</v>
      </c>
      <c r="C1098" s="6" t="s">
        <v>3128</v>
      </c>
      <c r="D1098" s="6" t="s">
        <v>3130</v>
      </c>
      <c r="E1098" s="6" t="s">
        <v>1981</v>
      </c>
      <c r="F1098" s="6" t="s">
        <v>570</v>
      </c>
      <c r="G1098" s="6" t="s">
        <v>25</v>
      </c>
      <c r="H1098" s="6"/>
      <c r="I1098" s="14" t="s">
        <v>1642</v>
      </c>
      <c r="J1098" s="15"/>
      <c r="K1098" s="6" t="s">
        <v>1982</v>
      </c>
      <c r="L1098" s="6"/>
      <c r="M1098" s="6" t="s">
        <v>1643</v>
      </c>
      <c r="N1098" s="6" t="s">
        <v>1644</v>
      </c>
      <c r="O1098" s="7">
        <f>SUMIFS('05_상품별배치367'!$K$7:$K$373,'05_상품별배치367'!$E$7:$E$373,A1098,'05_상품별배치367'!$H$7:$H$373,"본진")</f>
        <v>0</v>
      </c>
      <c r="P1098" s="7">
        <f>SUMIFS('05_상품별배치367'!$K$7:$K$373,'05_상품별배치367'!$E$7:$E$373,A1098,'05_상품별배치367'!$H$7:$H$373,"추가 진열")</f>
        <v>0</v>
      </c>
      <c r="Q1098" s="7">
        <f>O1098+P1098</f>
        <v>0</v>
      </c>
      <c r="R1098" s="7">
        <v>1</v>
      </c>
      <c r="S1098" s="6" t="s">
        <v>3131</v>
      </c>
      <c r="T1098" s="6" t="s">
        <v>1637</v>
      </c>
      <c r="U1098" s="6"/>
      <c r="V1098" s="16"/>
      <c r="W1098" s="16"/>
      <c r="X1098" s="16"/>
      <c r="Y1098" s="6" t="s">
        <v>1627</v>
      </c>
      <c r="Z1098" s="15"/>
      <c r="AA1098" s="15" t="s">
        <v>1628</v>
      </c>
    </row>
    <row r="1099" spans="1:27" ht="33" customHeight="1">
      <c r="A1099" s="8" t="s">
        <v>3140</v>
      </c>
      <c r="B1099" s="9">
        <v>610</v>
      </c>
      <c r="C1099" s="8" t="s">
        <v>3141</v>
      </c>
      <c r="D1099" s="8" t="s">
        <v>2714</v>
      </c>
      <c r="E1099" s="8" t="s">
        <v>2134</v>
      </c>
      <c r="F1099" s="8" t="s">
        <v>2933</v>
      </c>
      <c r="G1099" s="8" t="s">
        <v>1668</v>
      </c>
      <c r="H1099" s="8"/>
      <c r="I1099" s="14" t="s">
        <v>1807</v>
      </c>
      <c r="J1099" s="15"/>
      <c r="K1099" s="8" t="s">
        <v>1976</v>
      </c>
      <c r="L1099" s="8" t="s">
        <v>2032</v>
      </c>
      <c r="M1099" s="6" t="s">
        <v>1809</v>
      </c>
      <c r="N1099" s="6" t="s">
        <v>1644</v>
      </c>
      <c r="O1099" s="7">
        <f>SUMIFS('05_상품별배치367'!$K$7:$K$373,'05_상품별배치367'!$E$7:$E$373,A1099,'05_상품별배치367'!$H$7:$H$373,"본진")</f>
        <v>0</v>
      </c>
      <c r="P1099" s="7">
        <f>SUMIFS('05_상품별배치367'!$K$7:$K$373,'05_상품별배치367'!$E$7:$E$373,A1099,'05_상품별배치367'!$H$7:$H$373,"추가 진열")</f>
        <v>0</v>
      </c>
      <c r="Q1099" s="7">
        <f>O1099+P1099</f>
        <v>0</v>
      </c>
      <c r="R1099" s="7">
        <v>0</v>
      </c>
      <c r="S1099" s="6" t="s">
        <v>1810</v>
      </c>
      <c r="T1099" s="6" t="s">
        <v>1637</v>
      </c>
      <c r="U1099" s="6"/>
      <c r="V1099" s="16"/>
      <c r="W1099" s="16"/>
      <c r="X1099" s="16"/>
      <c r="Y1099" s="6" t="s">
        <v>1627</v>
      </c>
      <c r="Z1099" s="15"/>
      <c r="AA1099" s="15" t="s">
        <v>1628</v>
      </c>
    </row>
    <row r="1100" spans="1:27" ht="33" customHeight="1">
      <c r="A1100" s="8" t="s">
        <v>5773</v>
      </c>
      <c r="B1100" s="9">
        <v>1842</v>
      </c>
      <c r="C1100" s="8" t="s">
        <v>1044</v>
      </c>
      <c r="D1100" s="8" t="s">
        <v>1631</v>
      </c>
      <c r="E1100" s="8" t="s">
        <v>1632</v>
      </c>
      <c r="F1100" s="8" t="s">
        <v>1034</v>
      </c>
      <c r="G1100" s="8" t="s">
        <v>263</v>
      </c>
      <c r="H1100" s="8" t="s">
        <v>1035</v>
      </c>
      <c r="I1100" s="14" t="s">
        <v>1621</v>
      </c>
      <c r="J1100" s="15"/>
      <c r="K1100" s="8" t="s">
        <v>1634</v>
      </c>
      <c r="L1100" s="8" t="s">
        <v>3828</v>
      </c>
      <c r="M1100" s="6" t="s">
        <v>1623</v>
      </c>
      <c r="N1100" s="6" t="s">
        <v>1624</v>
      </c>
      <c r="O1100" s="7">
        <f>SUMIFS('05_상품별배치367'!$K$7:$K$373,'05_상품별배치367'!$E$7:$E$373,A1100,'05_상품별배치367'!$H$7:$H$373,"본진")</f>
        <v>1</v>
      </c>
      <c r="P1100" s="7">
        <f>SUMIFS('05_상품별배치367'!$K$7:$K$373,'05_상품별배치367'!$E$7:$E$373,A1100,'05_상품별배치367'!$H$7:$H$373,"추가 진열")</f>
        <v>0</v>
      </c>
      <c r="Q1100" s="7">
        <f>O1100+P1100</f>
        <v>1</v>
      </c>
      <c r="R1100" s="7">
        <v>1</v>
      </c>
      <c r="S1100" s="6" t="s">
        <v>1625</v>
      </c>
      <c r="T1100" s="6" t="s">
        <v>1637</v>
      </c>
      <c r="U1100" s="6"/>
      <c r="V1100" s="16"/>
      <c r="W1100" s="16"/>
      <c r="X1100" s="16"/>
      <c r="Y1100" s="6" t="s">
        <v>1627</v>
      </c>
      <c r="Z1100" s="15"/>
      <c r="AA1100" s="15" t="s">
        <v>1628</v>
      </c>
    </row>
    <row r="1101" spans="1:27" ht="33" customHeight="1">
      <c r="A1101" s="8" t="s">
        <v>1045</v>
      </c>
      <c r="B1101" s="9">
        <v>1840</v>
      </c>
      <c r="C1101" s="8" t="s">
        <v>1044</v>
      </c>
      <c r="D1101" s="8" t="s">
        <v>1937</v>
      </c>
      <c r="E1101" s="8" t="s">
        <v>1632</v>
      </c>
      <c r="F1101" s="8" t="s">
        <v>1034</v>
      </c>
      <c r="G1101" s="8" t="s">
        <v>263</v>
      </c>
      <c r="H1101" s="8" t="s">
        <v>1043</v>
      </c>
      <c r="I1101" s="14" t="s">
        <v>1633</v>
      </c>
      <c r="J1101" s="15"/>
      <c r="K1101" s="8" t="s">
        <v>1634</v>
      </c>
      <c r="L1101" s="8" t="s">
        <v>3828</v>
      </c>
      <c r="M1101" s="6" t="s">
        <v>1635</v>
      </c>
      <c r="N1101" s="6" t="s">
        <v>1624</v>
      </c>
      <c r="O1101" s="7">
        <f>SUMIFS('05_상품별배치367'!$K$7:$K$373,'05_상품별배치367'!$E$7:$E$373,A1101,'05_상품별배치367'!$H$7:$H$373,"본진")</f>
        <v>1</v>
      </c>
      <c r="P1101" s="7">
        <f>SUMIFS('05_상품별배치367'!$K$7:$K$373,'05_상품별배치367'!$E$7:$E$373,A1101,'05_상품별배치367'!$H$7:$H$373,"추가 진열")</f>
        <v>0</v>
      </c>
      <c r="Q1101" s="7">
        <f>O1101+P1101</f>
        <v>1</v>
      </c>
      <c r="R1101" s="7">
        <v>1</v>
      </c>
      <c r="S1101" s="6" t="s">
        <v>1636</v>
      </c>
      <c r="T1101" s="6" t="s">
        <v>1637</v>
      </c>
      <c r="U1101" s="6"/>
      <c r="V1101" s="16"/>
      <c r="W1101" s="16"/>
      <c r="X1101" s="16"/>
      <c r="Y1101" s="6" t="s">
        <v>1627</v>
      </c>
      <c r="Z1101" s="15"/>
      <c r="AA1101" s="15" t="s">
        <v>1628</v>
      </c>
    </row>
    <row r="1102" spans="1:27" ht="33" customHeight="1">
      <c r="A1102" s="6" t="s">
        <v>2088</v>
      </c>
      <c r="B1102" s="7">
        <v>165</v>
      </c>
      <c r="C1102" s="6" t="s">
        <v>2089</v>
      </c>
      <c r="D1102" s="6" t="s">
        <v>1619</v>
      </c>
      <c r="E1102" s="6" t="s">
        <v>1620</v>
      </c>
      <c r="F1102" s="6" t="s">
        <v>2048</v>
      </c>
      <c r="G1102" s="6" t="s">
        <v>1668</v>
      </c>
      <c r="H1102" s="6"/>
      <c r="I1102" s="14" t="s">
        <v>1669</v>
      </c>
      <c r="J1102" s="15"/>
      <c r="K1102" s="6" t="s">
        <v>1622</v>
      </c>
      <c r="L1102" s="6"/>
      <c r="M1102" s="6" t="s">
        <v>1671</v>
      </c>
      <c r="N1102" s="6" t="s">
        <v>1644</v>
      </c>
      <c r="O1102" s="7">
        <f>SUMIFS('05_상품별배치367'!$K$7:$K$373,'05_상품별배치367'!$E$7:$E$373,A1102,'05_상품별배치367'!$H$7:$H$373,"본진")</f>
        <v>0</v>
      </c>
      <c r="P1102" s="7">
        <f>SUMIFS('05_상품별배치367'!$K$7:$K$373,'05_상품별배치367'!$E$7:$E$373,A1102,'05_상품별배치367'!$H$7:$H$373,"추가 진열")</f>
        <v>0</v>
      </c>
      <c r="Q1102" s="7">
        <f>O1102+P1102</f>
        <v>0</v>
      </c>
      <c r="R1102" s="7">
        <v>0</v>
      </c>
      <c r="S1102" s="6" t="s">
        <v>1672</v>
      </c>
      <c r="T1102" s="6" t="s">
        <v>1637</v>
      </c>
      <c r="U1102" s="6"/>
      <c r="V1102" s="16"/>
      <c r="W1102" s="16"/>
      <c r="X1102" s="16"/>
      <c r="Y1102" s="6" t="s">
        <v>1627</v>
      </c>
      <c r="Z1102" s="15"/>
      <c r="AA1102" s="15" t="s">
        <v>1628</v>
      </c>
    </row>
    <row r="1103" spans="1:27" ht="33" customHeight="1">
      <c r="A1103" s="8" t="s">
        <v>2090</v>
      </c>
      <c r="B1103" s="9">
        <v>166</v>
      </c>
      <c r="C1103" s="8" t="s">
        <v>2091</v>
      </c>
      <c r="D1103" s="8" t="s">
        <v>1619</v>
      </c>
      <c r="E1103" s="8" t="s">
        <v>1620</v>
      </c>
      <c r="F1103" s="8" t="s">
        <v>2048</v>
      </c>
      <c r="G1103" s="8" t="s">
        <v>1668</v>
      </c>
      <c r="H1103" s="8"/>
      <c r="I1103" s="14" t="s">
        <v>1669</v>
      </c>
      <c r="J1103" s="15"/>
      <c r="K1103" s="8" t="s">
        <v>1622</v>
      </c>
      <c r="L1103" s="8"/>
      <c r="M1103" s="6" t="s">
        <v>1671</v>
      </c>
      <c r="N1103" s="6" t="s">
        <v>1644</v>
      </c>
      <c r="O1103" s="7">
        <f>SUMIFS('05_상품별배치367'!$K$7:$K$373,'05_상품별배치367'!$E$7:$E$373,A1103,'05_상품별배치367'!$H$7:$H$373,"본진")</f>
        <v>0</v>
      </c>
      <c r="P1103" s="7">
        <f>SUMIFS('05_상품별배치367'!$K$7:$K$373,'05_상품별배치367'!$E$7:$E$373,A1103,'05_상품별배치367'!$H$7:$H$373,"추가 진열")</f>
        <v>0</v>
      </c>
      <c r="Q1103" s="7">
        <f>O1103+P1103</f>
        <v>0</v>
      </c>
      <c r="R1103" s="7">
        <v>0</v>
      </c>
      <c r="S1103" s="6" t="s">
        <v>1672</v>
      </c>
      <c r="T1103" s="6" t="s">
        <v>1637</v>
      </c>
      <c r="U1103" s="6"/>
      <c r="V1103" s="16"/>
      <c r="W1103" s="16"/>
      <c r="X1103" s="16"/>
      <c r="Y1103" s="6" t="s">
        <v>1627</v>
      </c>
      <c r="Z1103" s="15"/>
      <c r="AA1103" s="15" t="s">
        <v>1628</v>
      </c>
    </row>
    <row r="1104" spans="1:27" ht="33" customHeight="1">
      <c r="A1104" s="6" t="s">
        <v>2076</v>
      </c>
      <c r="B1104" s="7">
        <v>161</v>
      </c>
      <c r="C1104" s="6" t="s">
        <v>2077</v>
      </c>
      <c r="D1104" s="6" t="s">
        <v>2078</v>
      </c>
      <c r="E1104" s="6" t="s">
        <v>1620</v>
      </c>
      <c r="F1104" s="6" t="s">
        <v>1220</v>
      </c>
      <c r="G1104" s="6" t="s">
        <v>349</v>
      </c>
      <c r="H1104" s="6"/>
      <c r="I1104" s="14" t="s">
        <v>1642</v>
      </c>
      <c r="J1104" s="15"/>
      <c r="K1104" s="6" t="s">
        <v>1622</v>
      </c>
      <c r="L1104" s="6" t="s">
        <v>2079</v>
      </c>
      <c r="M1104" s="6" t="s">
        <v>1643</v>
      </c>
      <c r="N1104" s="6" t="s">
        <v>1644</v>
      </c>
      <c r="O1104" s="7">
        <f>SUMIFS('05_상품별배치367'!$K$7:$K$373,'05_상품별배치367'!$E$7:$E$373,A1104,'05_상품별배치367'!$H$7:$H$373,"본진")</f>
        <v>0</v>
      </c>
      <c r="P1104" s="7">
        <f>SUMIFS('05_상품별배치367'!$K$7:$K$373,'05_상품별배치367'!$E$7:$E$373,A1104,'05_상품별배치367'!$H$7:$H$373,"추가 진열")</f>
        <v>0</v>
      </c>
      <c r="Q1104" s="7">
        <f>O1104+P1104</f>
        <v>0</v>
      </c>
      <c r="R1104" s="7">
        <v>1</v>
      </c>
      <c r="S1104" s="6" t="s">
        <v>2080</v>
      </c>
      <c r="T1104" s="6" t="s">
        <v>1637</v>
      </c>
      <c r="U1104" s="6"/>
      <c r="V1104" s="16"/>
      <c r="W1104" s="16"/>
      <c r="X1104" s="16"/>
      <c r="Y1104" s="6" t="s">
        <v>1655</v>
      </c>
      <c r="Z1104" s="15"/>
      <c r="AA1104" s="15" t="s">
        <v>1628</v>
      </c>
    </row>
    <row r="1105" spans="1:27" ht="33" customHeight="1">
      <c r="A1105" s="8" t="s">
        <v>2081</v>
      </c>
      <c r="B1105" s="9">
        <v>162</v>
      </c>
      <c r="C1105" s="8" t="s">
        <v>2082</v>
      </c>
      <c r="D1105" s="8" t="s">
        <v>2083</v>
      </c>
      <c r="E1105" s="8" t="s">
        <v>1620</v>
      </c>
      <c r="F1105" s="8" t="s">
        <v>1220</v>
      </c>
      <c r="G1105" s="8" t="s">
        <v>349</v>
      </c>
      <c r="H1105" s="8"/>
      <c r="I1105" s="14" t="s">
        <v>1642</v>
      </c>
      <c r="J1105" s="15"/>
      <c r="K1105" s="8" t="s">
        <v>1622</v>
      </c>
      <c r="L1105" s="8"/>
      <c r="M1105" s="6" t="s">
        <v>1643</v>
      </c>
      <c r="N1105" s="6" t="s">
        <v>1644</v>
      </c>
      <c r="O1105" s="7">
        <f>SUMIFS('05_상품별배치367'!$K$7:$K$373,'05_상품별배치367'!$E$7:$E$373,A1105,'05_상품별배치367'!$H$7:$H$373,"본진")</f>
        <v>0</v>
      </c>
      <c r="P1105" s="7">
        <f>SUMIFS('05_상품별배치367'!$K$7:$K$373,'05_상품별배치367'!$E$7:$E$373,A1105,'05_상품별배치367'!$H$7:$H$373,"추가 진열")</f>
        <v>0</v>
      </c>
      <c r="Q1105" s="7">
        <f>O1105+P1105</f>
        <v>0</v>
      </c>
      <c r="R1105" s="7">
        <v>1</v>
      </c>
      <c r="S1105" s="6" t="s">
        <v>2080</v>
      </c>
      <c r="T1105" s="6" t="s">
        <v>1637</v>
      </c>
      <c r="U1105" s="6"/>
      <c r="V1105" s="16"/>
      <c r="W1105" s="16"/>
      <c r="X1105" s="16"/>
      <c r="Y1105" s="6" t="s">
        <v>1627</v>
      </c>
      <c r="Z1105" s="15"/>
      <c r="AA1105" s="15" t="s">
        <v>1628</v>
      </c>
    </row>
    <row r="1106" spans="1:27" ht="33" customHeight="1">
      <c r="A1106" s="6" t="s">
        <v>2084</v>
      </c>
      <c r="B1106" s="7">
        <v>163</v>
      </c>
      <c r="C1106" s="6" t="s">
        <v>2085</v>
      </c>
      <c r="D1106" s="6" t="s">
        <v>2078</v>
      </c>
      <c r="E1106" s="6" t="s">
        <v>1620</v>
      </c>
      <c r="F1106" s="6" t="s">
        <v>1220</v>
      </c>
      <c r="G1106" s="6" t="s">
        <v>349</v>
      </c>
      <c r="H1106" s="6"/>
      <c r="I1106" s="14" t="s">
        <v>1642</v>
      </c>
      <c r="J1106" s="15"/>
      <c r="K1106" s="6" t="s">
        <v>1622</v>
      </c>
      <c r="L1106" s="6" t="s">
        <v>2079</v>
      </c>
      <c r="M1106" s="6" t="s">
        <v>1643</v>
      </c>
      <c r="N1106" s="6" t="s">
        <v>1644</v>
      </c>
      <c r="O1106" s="7">
        <f>SUMIFS('05_상품별배치367'!$K$7:$K$373,'05_상품별배치367'!$E$7:$E$373,A1106,'05_상품별배치367'!$H$7:$H$373,"본진")</f>
        <v>0</v>
      </c>
      <c r="P1106" s="7">
        <f>SUMIFS('05_상품별배치367'!$K$7:$K$373,'05_상품별배치367'!$E$7:$E$373,A1106,'05_상품별배치367'!$H$7:$H$373,"추가 진열")</f>
        <v>0</v>
      </c>
      <c r="Q1106" s="7">
        <f>O1106+P1106</f>
        <v>0</v>
      </c>
      <c r="R1106" s="7">
        <v>1</v>
      </c>
      <c r="S1106" s="6" t="s">
        <v>2080</v>
      </c>
      <c r="T1106" s="6" t="s">
        <v>1637</v>
      </c>
      <c r="U1106" s="6"/>
      <c r="V1106" s="16"/>
      <c r="W1106" s="16"/>
      <c r="X1106" s="16"/>
      <c r="Y1106" s="6" t="s">
        <v>1655</v>
      </c>
      <c r="Z1106" s="15"/>
      <c r="AA1106" s="15" t="s">
        <v>1628</v>
      </c>
    </row>
    <row r="1107" spans="1:27" ht="33" customHeight="1">
      <c r="A1107" s="8" t="s">
        <v>2086</v>
      </c>
      <c r="B1107" s="9">
        <v>164</v>
      </c>
      <c r="C1107" s="8" t="s">
        <v>2087</v>
      </c>
      <c r="D1107" s="8" t="s">
        <v>2083</v>
      </c>
      <c r="E1107" s="8" t="s">
        <v>1620</v>
      </c>
      <c r="F1107" s="8" t="s">
        <v>1220</v>
      </c>
      <c r="G1107" s="8" t="s">
        <v>349</v>
      </c>
      <c r="H1107" s="8"/>
      <c r="I1107" s="14" t="s">
        <v>1642</v>
      </c>
      <c r="J1107" s="15"/>
      <c r="K1107" s="8" t="s">
        <v>1622</v>
      </c>
      <c r="L1107" s="8"/>
      <c r="M1107" s="6" t="s">
        <v>1643</v>
      </c>
      <c r="N1107" s="6" t="s">
        <v>1644</v>
      </c>
      <c r="O1107" s="7">
        <f>SUMIFS('05_상품별배치367'!$K$7:$K$373,'05_상품별배치367'!$E$7:$E$373,A1107,'05_상품별배치367'!$H$7:$H$373,"본진")</f>
        <v>0</v>
      </c>
      <c r="P1107" s="7">
        <f>SUMIFS('05_상품별배치367'!$K$7:$K$373,'05_상품별배치367'!$E$7:$E$373,A1107,'05_상품별배치367'!$H$7:$H$373,"추가 진열")</f>
        <v>0</v>
      </c>
      <c r="Q1107" s="7">
        <f>O1107+P1107</f>
        <v>0</v>
      </c>
      <c r="R1107" s="7">
        <v>1</v>
      </c>
      <c r="S1107" s="6" t="s">
        <v>2080</v>
      </c>
      <c r="T1107" s="6" t="s">
        <v>1637</v>
      </c>
      <c r="U1107" s="6"/>
      <c r="V1107" s="16"/>
      <c r="W1107" s="16"/>
      <c r="X1107" s="16"/>
      <c r="Y1107" s="6" t="s">
        <v>1627</v>
      </c>
      <c r="Z1107" s="15"/>
      <c r="AA1107" s="15" t="s">
        <v>1628</v>
      </c>
    </row>
    <row r="1108" spans="1:27" ht="33" customHeight="1">
      <c r="A1108" s="6" t="s">
        <v>6716</v>
      </c>
      <c r="B1108" s="7">
        <v>2267</v>
      </c>
      <c r="C1108" s="6" t="s">
        <v>6717</v>
      </c>
      <c r="D1108" s="6" t="s">
        <v>1662</v>
      </c>
      <c r="E1108" s="6" t="s">
        <v>2134</v>
      </c>
      <c r="F1108" s="6" t="s">
        <v>163</v>
      </c>
      <c r="G1108" s="6" t="s">
        <v>414</v>
      </c>
      <c r="H1108" s="6" t="s">
        <v>1335</v>
      </c>
      <c r="I1108" s="14" t="s">
        <v>1633</v>
      </c>
      <c r="J1108" s="15"/>
      <c r="K1108" s="6" t="s">
        <v>1976</v>
      </c>
      <c r="L1108" s="6"/>
      <c r="M1108" s="6" t="s">
        <v>1635</v>
      </c>
      <c r="N1108" s="6" t="s">
        <v>1624</v>
      </c>
      <c r="O1108" s="7">
        <f>SUMIFS('05_상품별배치367'!$K$7:$K$373,'05_상품별배치367'!$E$7:$E$373,A1108,'05_상품별배치367'!$H$7:$H$373,"본진")</f>
        <v>1</v>
      </c>
      <c r="P1108" s="7">
        <f>SUMIFS('05_상품별배치367'!$K$7:$K$373,'05_상품별배치367'!$E$7:$E$373,A1108,'05_상품별배치367'!$H$7:$H$373,"추가 진열")</f>
        <v>0</v>
      </c>
      <c r="Q1108" s="7">
        <f>O1108+P1108</f>
        <v>1</v>
      </c>
      <c r="R1108" s="7">
        <v>1</v>
      </c>
      <c r="S1108" s="6" t="s">
        <v>1636</v>
      </c>
      <c r="T1108" s="6" t="s">
        <v>6701</v>
      </c>
      <c r="U1108" s="6"/>
      <c r="V1108" s="16"/>
      <c r="W1108" s="16"/>
      <c r="X1108" s="16"/>
      <c r="Y1108" s="6" t="s">
        <v>1627</v>
      </c>
      <c r="Z1108" s="15"/>
      <c r="AA1108" s="15" t="s">
        <v>1628</v>
      </c>
    </row>
    <row r="1109" spans="1:27" ht="33" customHeight="1">
      <c r="A1109" s="6" t="s">
        <v>6731</v>
      </c>
      <c r="B1109" s="7">
        <v>2275</v>
      </c>
      <c r="C1109" s="6" t="s">
        <v>6732</v>
      </c>
      <c r="D1109" s="6" t="s">
        <v>3384</v>
      </c>
      <c r="E1109" s="6" t="s">
        <v>2134</v>
      </c>
      <c r="F1109" s="6" t="s">
        <v>163</v>
      </c>
      <c r="G1109" s="6" t="s">
        <v>414</v>
      </c>
      <c r="H1109" s="6" t="s">
        <v>1335</v>
      </c>
      <c r="I1109" s="14" t="s">
        <v>1633</v>
      </c>
      <c r="J1109" s="15"/>
      <c r="K1109" s="6" t="s">
        <v>1976</v>
      </c>
      <c r="L1109" s="6"/>
      <c r="M1109" s="6" t="s">
        <v>1635</v>
      </c>
      <c r="N1109" s="6" t="s">
        <v>1624</v>
      </c>
      <c r="O1109" s="7">
        <f>SUMIFS('05_상품별배치367'!$K$7:$K$373,'05_상품별배치367'!$E$7:$E$373,A1109,'05_상품별배치367'!$H$7:$H$373,"본진")</f>
        <v>1</v>
      </c>
      <c r="P1109" s="7">
        <f>SUMIFS('05_상품별배치367'!$K$7:$K$373,'05_상품별배치367'!$E$7:$E$373,A1109,'05_상품별배치367'!$H$7:$H$373,"추가 진열")</f>
        <v>0</v>
      </c>
      <c r="Q1109" s="7">
        <f>O1109+P1109</f>
        <v>1</v>
      </c>
      <c r="R1109" s="7">
        <v>1</v>
      </c>
      <c r="S1109" s="6" t="s">
        <v>1636</v>
      </c>
      <c r="T1109" s="6" t="s">
        <v>6701</v>
      </c>
      <c r="U1109" s="6"/>
      <c r="V1109" s="16"/>
      <c r="W1109" s="16"/>
      <c r="X1109" s="16"/>
      <c r="Y1109" s="6" t="s">
        <v>1627</v>
      </c>
      <c r="Z1109" s="15"/>
      <c r="AA1109" s="15" t="s">
        <v>1628</v>
      </c>
    </row>
    <row r="1110" spans="1:27" ht="33" customHeight="1">
      <c r="A1110" s="8" t="s">
        <v>6729</v>
      </c>
      <c r="B1110" s="9">
        <v>2274</v>
      </c>
      <c r="C1110" s="8" t="s">
        <v>6730</v>
      </c>
      <c r="D1110" s="8" t="s">
        <v>1662</v>
      </c>
      <c r="E1110" s="8" t="s">
        <v>2134</v>
      </c>
      <c r="F1110" s="8" t="s">
        <v>162</v>
      </c>
      <c r="G1110" s="8" t="s">
        <v>404</v>
      </c>
      <c r="H1110" s="8"/>
      <c r="I1110" s="14" t="s">
        <v>1642</v>
      </c>
      <c r="J1110" s="15"/>
      <c r="K1110" s="8" t="s">
        <v>1976</v>
      </c>
      <c r="L1110" s="8"/>
      <c r="M1110" s="6" t="s">
        <v>1643</v>
      </c>
      <c r="N1110" s="6" t="s">
        <v>1644</v>
      </c>
      <c r="O1110" s="7">
        <f>SUMIFS('05_상품별배치367'!$K$7:$K$373,'05_상품별배치367'!$E$7:$E$373,A1110,'05_상품별배치367'!$H$7:$H$373,"본진")</f>
        <v>0</v>
      </c>
      <c r="P1110" s="7">
        <f>SUMIFS('05_상품별배치367'!$K$7:$K$373,'05_상품별배치367'!$E$7:$E$373,A1110,'05_상품별배치367'!$H$7:$H$373,"추가 진열")</f>
        <v>0</v>
      </c>
      <c r="Q1110" s="7">
        <f>O1110+P1110</f>
        <v>0</v>
      </c>
      <c r="R1110" s="7">
        <v>1</v>
      </c>
      <c r="S1110" s="6" t="s">
        <v>2996</v>
      </c>
      <c r="T1110" s="6" t="s">
        <v>6701</v>
      </c>
      <c r="U1110" s="6"/>
      <c r="V1110" s="16"/>
      <c r="W1110" s="16"/>
      <c r="X1110" s="16"/>
      <c r="Y1110" s="6" t="s">
        <v>1627</v>
      </c>
      <c r="Z1110" s="15"/>
      <c r="AA1110" s="15" t="s">
        <v>1628</v>
      </c>
    </row>
    <row r="1111" spans="1:27" ht="33" customHeight="1">
      <c r="A1111" s="8" t="s">
        <v>6733</v>
      </c>
      <c r="B1111" s="9">
        <v>2276</v>
      </c>
      <c r="C1111" s="8" t="s">
        <v>6734</v>
      </c>
      <c r="D1111" s="8" t="s">
        <v>3384</v>
      </c>
      <c r="E1111" s="8" t="s">
        <v>2134</v>
      </c>
      <c r="F1111" s="8" t="s">
        <v>162</v>
      </c>
      <c r="G1111" s="8" t="s">
        <v>404</v>
      </c>
      <c r="H1111" s="8" t="s">
        <v>1325</v>
      </c>
      <c r="I1111" s="14" t="s">
        <v>1633</v>
      </c>
      <c r="J1111" s="15"/>
      <c r="K1111" s="8" t="s">
        <v>1976</v>
      </c>
      <c r="L1111" s="8"/>
      <c r="M1111" s="6" t="s">
        <v>1635</v>
      </c>
      <c r="N1111" s="6" t="s">
        <v>1624</v>
      </c>
      <c r="O1111" s="7">
        <f>SUMIFS('05_상품별배치367'!$K$7:$K$373,'05_상품별배치367'!$E$7:$E$373,A1111,'05_상품별배치367'!$H$7:$H$373,"본진")</f>
        <v>1</v>
      </c>
      <c r="P1111" s="7">
        <f>SUMIFS('05_상품별배치367'!$K$7:$K$373,'05_상품별배치367'!$E$7:$E$373,A1111,'05_상품별배치367'!$H$7:$H$373,"추가 진열")</f>
        <v>0</v>
      </c>
      <c r="Q1111" s="7">
        <f>O1111+P1111</f>
        <v>1</v>
      </c>
      <c r="R1111" s="7">
        <v>1</v>
      </c>
      <c r="S1111" s="6" t="s">
        <v>1636</v>
      </c>
      <c r="T1111" s="6" t="s">
        <v>6701</v>
      </c>
      <c r="U1111" s="6"/>
      <c r="V1111" s="16"/>
      <c r="W1111" s="16"/>
      <c r="X1111" s="16"/>
      <c r="Y1111" s="6" t="s">
        <v>1627</v>
      </c>
      <c r="Z1111" s="15"/>
      <c r="AA1111" s="15" t="s">
        <v>1628</v>
      </c>
    </row>
    <row r="1112" spans="1:27" ht="33" customHeight="1">
      <c r="A1112" s="6" t="s">
        <v>6724</v>
      </c>
      <c r="B1112" s="7">
        <v>2271</v>
      </c>
      <c r="C1112" s="6" t="s">
        <v>6725</v>
      </c>
      <c r="D1112" s="6" t="s">
        <v>6726</v>
      </c>
      <c r="E1112" s="6" t="s">
        <v>1814</v>
      </c>
      <c r="F1112" s="6" t="s">
        <v>514</v>
      </c>
      <c r="G1112" s="6" t="s">
        <v>423</v>
      </c>
      <c r="H1112" s="6" t="s">
        <v>1349</v>
      </c>
      <c r="I1112" s="14" t="s">
        <v>1633</v>
      </c>
      <c r="J1112" s="15"/>
      <c r="K1112" s="6" t="s">
        <v>1976</v>
      </c>
      <c r="L1112" s="6"/>
      <c r="M1112" s="6" t="s">
        <v>1635</v>
      </c>
      <c r="N1112" s="6" t="s">
        <v>1624</v>
      </c>
      <c r="O1112" s="7">
        <f>SUMIFS('05_상품별배치367'!$K$7:$K$373,'05_상품별배치367'!$E$7:$E$373,A1112,'05_상품별배치367'!$H$7:$H$373,"본진")</f>
        <v>1</v>
      </c>
      <c r="P1112" s="7">
        <f>SUMIFS('05_상품별배치367'!$K$7:$K$373,'05_상품별배치367'!$E$7:$E$373,A1112,'05_상품별배치367'!$H$7:$H$373,"추가 진열")</f>
        <v>0</v>
      </c>
      <c r="Q1112" s="7">
        <f>O1112+P1112</f>
        <v>1</v>
      </c>
      <c r="R1112" s="7">
        <v>1</v>
      </c>
      <c r="S1112" s="6" t="s">
        <v>1636</v>
      </c>
      <c r="T1112" s="6" t="s">
        <v>6701</v>
      </c>
      <c r="U1112" s="6"/>
      <c r="V1112" s="16"/>
      <c r="W1112" s="16"/>
      <c r="X1112" s="16"/>
      <c r="Y1112" s="6" t="s">
        <v>1627</v>
      </c>
      <c r="Z1112" s="15"/>
      <c r="AA1112" s="15" t="s">
        <v>1628</v>
      </c>
    </row>
    <row r="1113" spans="1:27" ht="33" customHeight="1">
      <c r="A1113" s="8" t="s">
        <v>6727</v>
      </c>
      <c r="B1113" s="9">
        <v>2272</v>
      </c>
      <c r="C1113" s="8" t="s">
        <v>6728</v>
      </c>
      <c r="D1113" s="8" t="s">
        <v>6726</v>
      </c>
      <c r="E1113" s="8" t="s">
        <v>2134</v>
      </c>
      <c r="F1113" s="8" t="s">
        <v>161</v>
      </c>
      <c r="G1113" s="8" t="s">
        <v>395</v>
      </c>
      <c r="H1113" s="8"/>
      <c r="I1113" s="14" t="s">
        <v>1642</v>
      </c>
      <c r="J1113" s="15"/>
      <c r="K1113" s="8" t="s">
        <v>1976</v>
      </c>
      <c r="L1113" s="8"/>
      <c r="M1113" s="6" t="s">
        <v>1643</v>
      </c>
      <c r="N1113" s="6" t="s">
        <v>1644</v>
      </c>
      <c r="O1113" s="7">
        <f>SUMIFS('05_상품별배치367'!$K$7:$K$373,'05_상품별배치367'!$E$7:$E$373,A1113,'05_상품별배치367'!$H$7:$H$373,"본진")</f>
        <v>0</v>
      </c>
      <c r="P1113" s="7">
        <f>SUMIFS('05_상품별배치367'!$K$7:$K$373,'05_상품별배치367'!$E$7:$E$373,A1113,'05_상품별배치367'!$H$7:$H$373,"추가 진열")</f>
        <v>0</v>
      </c>
      <c r="Q1113" s="7">
        <f>O1113+P1113</f>
        <v>0</v>
      </c>
      <c r="R1113" s="7">
        <v>1</v>
      </c>
      <c r="S1113" s="6" t="s">
        <v>3070</v>
      </c>
      <c r="T1113" s="6" t="s">
        <v>6701</v>
      </c>
      <c r="U1113" s="6"/>
      <c r="V1113" s="16"/>
      <c r="W1113" s="16"/>
      <c r="X1113" s="16"/>
      <c r="Y1113" s="6" t="s">
        <v>1627</v>
      </c>
      <c r="Z1113" s="15"/>
      <c r="AA1113" s="15" t="s">
        <v>1628</v>
      </c>
    </row>
    <row r="1114" spans="1:27" ht="33" customHeight="1">
      <c r="A1114" s="6" t="s">
        <v>1309</v>
      </c>
      <c r="B1114" s="7">
        <v>2273</v>
      </c>
      <c r="C1114" s="6" t="s">
        <v>1308</v>
      </c>
      <c r="D1114" s="6" t="s">
        <v>2845</v>
      </c>
      <c r="E1114" s="6" t="s">
        <v>2134</v>
      </c>
      <c r="F1114" s="6" t="s">
        <v>161</v>
      </c>
      <c r="G1114" s="6" t="s">
        <v>395</v>
      </c>
      <c r="H1114" s="6" t="s">
        <v>1307</v>
      </c>
      <c r="I1114" s="14" t="s">
        <v>1633</v>
      </c>
      <c r="J1114" s="15"/>
      <c r="K1114" s="6" t="s">
        <v>1976</v>
      </c>
      <c r="L1114" s="6"/>
      <c r="M1114" s="6" t="s">
        <v>1635</v>
      </c>
      <c r="N1114" s="6" t="s">
        <v>1624</v>
      </c>
      <c r="O1114" s="7">
        <f>SUMIFS('05_상품별배치367'!$K$7:$K$373,'05_상품별배치367'!$E$7:$E$373,A1114,'05_상품별배치367'!$H$7:$H$373,"본진")</f>
        <v>1</v>
      </c>
      <c r="P1114" s="7">
        <f>SUMIFS('05_상품별배치367'!$K$7:$K$373,'05_상품별배치367'!$E$7:$E$373,A1114,'05_상품별배치367'!$H$7:$H$373,"추가 진열")</f>
        <v>0</v>
      </c>
      <c r="Q1114" s="7">
        <f>O1114+P1114</f>
        <v>1</v>
      </c>
      <c r="R1114" s="7">
        <v>1</v>
      </c>
      <c r="S1114" s="6" t="s">
        <v>1636</v>
      </c>
      <c r="T1114" s="6" t="s">
        <v>6701</v>
      </c>
      <c r="U1114" s="6"/>
      <c r="V1114" s="16"/>
      <c r="W1114" s="16"/>
      <c r="X1114" s="16"/>
      <c r="Y1114" s="6" t="s">
        <v>1627</v>
      </c>
      <c r="Z1114" s="15"/>
      <c r="AA1114" s="15" t="s">
        <v>1628</v>
      </c>
    </row>
    <row r="1115" spans="1:27" ht="33" customHeight="1">
      <c r="A1115" s="8" t="s">
        <v>6722</v>
      </c>
      <c r="B1115" s="9">
        <v>2270</v>
      </c>
      <c r="C1115" s="8" t="s">
        <v>6723</v>
      </c>
      <c r="D1115" s="8" t="s">
        <v>2133</v>
      </c>
      <c r="E1115" s="8" t="s">
        <v>1986</v>
      </c>
      <c r="F1115" s="8" t="s">
        <v>493</v>
      </c>
      <c r="G1115" s="8" t="s">
        <v>299</v>
      </c>
      <c r="H1115" s="8" t="s">
        <v>1107</v>
      </c>
      <c r="I1115" s="14" t="s">
        <v>1633</v>
      </c>
      <c r="J1115" s="15"/>
      <c r="K1115" s="8" t="s">
        <v>1976</v>
      </c>
      <c r="L1115" s="8"/>
      <c r="M1115" s="6" t="s">
        <v>1635</v>
      </c>
      <c r="N1115" s="6" t="s">
        <v>1624</v>
      </c>
      <c r="O1115" s="7">
        <f>SUMIFS('05_상품별배치367'!$K$7:$K$373,'05_상품별배치367'!$E$7:$E$373,A1115,'05_상품별배치367'!$H$7:$H$373,"본진")</f>
        <v>1</v>
      </c>
      <c r="P1115" s="7">
        <f>SUMIFS('05_상품별배치367'!$K$7:$K$373,'05_상품별배치367'!$E$7:$E$373,A1115,'05_상품별배치367'!$H$7:$H$373,"추가 진열")</f>
        <v>0</v>
      </c>
      <c r="Q1115" s="7">
        <f>O1115+P1115</f>
        <v>1</v>
      </c>
      <c r="R1115" s="7">
        <v>1</v>
      </c>
      <c r="S1115" s="6" t="s">
        <v>1636</v>
      </c>
      <c r="T1115" s="6" t="s">
        <v>6701</v>
      </c>
      <c r="U1115" s="6"/>
      <c r="V1115" s="16"/>
      <c r="W1115" s="16"/>
      <c r="X1115" s="16"/>
      <c r="Y1115" s="6" t="s">
        <v>1627</v>
      </c>
      <c r="Z1115" s="15"/>
      <c r="AA1115" s="15" t="s">
        <v>1628</v>
      </c>
    </row>
    <row r="1116" spans="1:27" ht="33" customHeight="1">
      <c r="A1116" s="8" t="s">
        <v>6718</v>
      </c>
      <c r="B1116" s="9">
        <v>2268</v>
      </c>
      <c r="C1116" s="8" t="s">
        <v>6719</v>
      </c>
      <c r="D1116" s="8" t="s">
        <v>2133</v>
      </c>
      <c r="E1116" s="8" t="s">
        <v>1986</v>
      </c>
      <c r="F1116" s="8" t="s">
        <v>493</v>
      </c>
      <c r="G1116" s="8" t="s">
        <v>299</v>
      </c>
      <c r="H1116" s="8" t="s">
        <v>1107</v>
      </c>
      <c r="I1116" s="14" t="s">
        <v>1633</v>
      </c>
      <c r="J1116" s="15"/>
      <c r="K1116" s="8" t="s">
        <v>1976</v>
      </c>
      <c r="L1116" s="8"/>
      <c r="M1116" s="6" t="s">
        <v>1635</v>
      </c>
      <c r="N1116" s="6" t="s">
        <v>1624</v>
      </c>
      <c r="O1116" s="7">
        <f>SUMIFS('05_상품별배치367'!$K$7:$K$373,'05_상품별배치367'!$E$7:$E$373,A1116,'05_상품별배치367'!$H$7:$H$373,"본진")</f>
        <v>1</v>
      </c>
      <c r="P1116" s="7">
        <f>SUMIFS('05_상품별배치367'!$K$7:$K$373,'05_상품별배치367'!$E$7:$E$373,A1116,'05_상품별배치367'!$H$7:$H$373,"추가 진열")</f>
        <v>0</v>
      </c>
      <c r="Q1116" s="7">
        <f>O1116+P1116</f>
        <v>1</v>
      </c>
      <c r="R1116" s="7">
        <v>1</v>
      </c>
      <c r="S1116" s="6" t="s">
        <v>1636</v>
      </c>
      <c r="T1116" s="6" t="s">
        <v>6701</v>
      </c>
      <c r="U1116" s="6"/>
      <c r="V1116" s="16"/>
      <c r="W1116" s="16"/>
      <c r="X1116" s="16"/>
      <c r="Y1116" s="6" t="s">
        <v>1627</v>
      </c>
      <c r="Z1116" s="15"/>
      <c r="AA1116" s="15" t="s">
        <v>1628</v>
      </c>
    </row>
    <row r="1117" spans="1:27" ht="33" customHeight="1">
      <c r="A1117" s="6" t="s">
        <v>6720</v>
      </c>
      <c r="B1117" s="7">
        <v>2269</v>
      </c>
      <c r="C1117" s="6" t="s">
        <v>6721</v>
      </c>
      <c r="D1117" s="6" t="s">
        <v>2133</v>
      </c>
      <c r="E1117" s="6" t="s">
        <v>1986</v>
      </c>
      <c r="F1117" s="6" t="s">
        <v>493</v>
      </c>
      <c r="G1117" s="6" t="s">
        <v>299</v>
      </c>
      <c r="H1117" s="6" t="s">
        <v>1103</v>
      </c>
      <c r="I1117" s="14" t="s">
        <v>1642</v>
      </c>
      <c r="J1117" s="15"/>
      <c r="K1117" s="6" t="s">
        <v>1976</v>
      </c>
      <c r="L1117" s="6"/>
      <c r="M1117" s="6" t="s">
        <v>1643</v>
      </c>
      <c r="N1117" s="6" t="s">
        <v>1644</v>
      </c>
      <c r="O1117" s="7">
        <f>SUMIFS('05_상품별배치367'!$K$7:$K$373,'05_상품별배치367'!$E$7:$E$373,A1117,'05_상품별배치367'!$H$7:$H$373,"본진")</f>
        <v>0</v>
      </c>
      <c r="P1117" s="7">
        <f>SUMIFS('05_상품별배치367'!$K$7:$K$373,'05_상품별배치367'!$E$7:$E$373,A1117,'05_상품별배치367'!$H$7:$H$373,"추가 진열")</f>
        <v>0</v>
      </c>
      <c r="Q1117" s="7">
        <f>O1117+P1117</f>
        <v>0</v>
      </c>
      <c r="R1117" s="7">
        <v>1</v>
      </c>
      <c r="S1117" s="6" t="s">
        <v>3084</v>
      </c>
      <c r="T1117" s="6" t="s">
        <v>6701</v>
      </c>
      <c r="U1117" s="6"/>
      <c r="V1117" s="16"/>
      <c r="W1117" s="16"/>
      <c r="X1117" s="16"/>
      <c r="Y1117" s="6" t="s">
        <v>1627</v>
      </c>
      <c r="Z1117" s="15"/>
      <c r="AA1117" s="15" t="s">
        <v>1628</v>
      </c>
    </row>
    <row r="1118" spans="1:27" ht="33" customHeight="1">
      <c r="A1118" s="8" t="s">
        <v>6707</v>
      </c>
      <c r="B1118" s="9">
        <v>2262</v>
      </c>
      <c r="C1118" s="8" t="s">
        <v>6708</v>
      </c>
      <c r="D1118" s="8" t="s">
        <v>2133</v>
      </c>
      <c r="E1118" s="8" t="s">
        <v>2134</v>
      </c>
      <c r="F1118" s="8" t="s">
        <v>156</v>
      </c>
      <c r="G1118" s="8" t="s">
        <v>3239</v>
      </c>
      <c r="H1118" s="8"/>
      <c r="I1118" s="14" t="s">
        <v>1642</v>
      </c>
      <c r="J1118" s="15"/>
      <c r="K1118" s="8" t="s">
        <v>1976</v>
      </c>
      <c r="L1118" s="8"/>
      <c r="M1118" s="6" t="s">
        <v>1643</v>
      </c>
      <c r="N1118" s="6" t="s">
        <v>1644</v>
      </c>
      <c r="O1118" s="7">
        <f>SUMIFS('05_상품별배치367'!$K$7:$K$373,'05_상품별배치367'!$E$7:$E$373,A1118,'05_상품별배치367'!$H$7:$H$373,"본진")</f>
        <v>0</v>
      </c>
      <c r="P1118" s="7">
        <f>SUMIFS('05_상품별배치367'!$K$7:$K$373,'05_상품별배치367'!$E$7:$E$373,A1118,'05_상품별배치367'!$H$7:$H$373,"추가 진열")</f>
        <v>0</v>
      </c>
      <c r="Q1118" s="7">
        <f>O1118+P1118</f>
        <v>0</v>
      </c>
      <c r="R1118" s="7">
        <v>1</v>
      </c>
      <c r="S1118" s="6" t="s">
        <v>3240</v>
      </c>
      <c r="T1118" s="6" t="s">
        <v>6701</v>
      </c>
      <c r="U1118" s="6"/>
      <c r="V1118" s="16"/>
      <c r="W1118" s="16"/>
      <c r="X1118" s="16"/>
      <c r="Y1118" s="6" t="s">
        <v>1627</v>
      </c>
      <c r="Z1118" s="15"/>
      <c r="AA1118" s="15" t="s">
        <v>1628</v>
      </c>
    </row>
    <row r="1119" spans="1:27" ht="33" customHeight="1">
      <c r="A1119" s="6" t="s">
        <v>6699</v>
      </c>
      <c r="B1119" s="7">
        <v>2259</v>
      </c>
      <c r="C1119" s="6" t="s">
        <v>6700</v>
      </c>
      <c r="D1119" s="6" t="s">
        <v>2856</v>
      </c>
      <c r="E1119" s="6" t="s">
        <v>2134</v>
      </c>
      <c r="F1119" s="6" t="s">
        <v>156</v>
      </c>
      <c r="G1119" s="6" t="s">
        <v>3239</v>
      </c>
      <c r="H1119" s="6"/>
      <c r="I1119" s="14" t="s">
        <v>1642</v>
      </c>
      <c r="J1119" s="15"/>
      <c r="K1119" s="6" t="s">
        <v>1976</v>
      </c>
      <c r="L1119" s="6"/>
      <c r="M1119" s="6" t="s">
        <v>1643</v>
      </c>
      <c r="N1119" s="6" t="s">
        <v>1644</v>
      </c>
      <c r="O1119" s="7">
        <f>SUMIFS('05_상품별배치367'!$K$7:$K$373,'05_상품별배치367'!$E$7:$E$373,A1119,'05_상품별배치367'!$H$7:$H$373,"본진")</f>
        <v>0</v>
      </c>
      <c r="P1119" s="7">
        <f>SUMIFS('05_상품별배치367'!$K$7:$K$373,'05_상품별배치367'!$E$7:$E$373,A1119,'05_상품별배치367'!$H$7:$H$373,"추가 진열")</f>
        <v>0</v>
      </c>
      <c r="Q1119" s="7">
        <f>O1119+P1119</f>
        <v>0</v>
      </c>
      <c r="R1119" s="7">
        <v>1</v>
      </c>
      <c r="S1119" s="6" t="s">
        <v>3240</v>
      </c>
      <c r="T1119" s="6" t="s">
        <v>6701</v>
      </c>
      <c r="U1119" s="6"/>
      <c r="V1119" s="16"/>
      <c r="W1119" s="16"/>
      <c r="X1119" s="16"/>
      <c r="Y1119" s="6" t="s">
        <v>1627</v>
      </c>
      <c r="Z1119" s="15"/>
      <c r="AA1119" s="15" t="s">
        <v>1628</v>
      </c>
    </row>
    <row r="1120" spans="1:27" ht="33" customHeight="1">
      <c r="A1120" s="6" t="s">
        <v>6896</v>
      </c>
      <c r="B1120" s="7">
        <v>2359</v>
      </c>
      <c r="C1120" s="6" t="s">
        <v>6897</v>
      </c>
      <c r="D1120" s="6" t="s">
        <v>2714</v>
      </c>
      <c r="E1120" s="6" t="s">
        <v>2134</v>
      </c>
      <c r="F1120" s="6" t="s">
        <v>481</v>
      </c>
      <c r="G1120" s="6" t="s">
        <v>193</v>
      </c>
      <c r="H1120" s="6" t="s">
        <v>904</v>
      </c>
      <c r="I1120" s="14" t="s">
        <v>1633</v>
      </c>
      <c r="J1120" s="15"/>
      <c r="K1120" s="6" t="s">
        <v>1976</v>
      </c>
      <c r="L1120" s="6" t="s">
        <v>3828</v>
      </c>
      <c r="M1120" s="6" t="s">
        <v>1635</v>
      </c>
      <c r="N1120" s="6" t="s">
        <v>1624</v>
      </c>
      <c r="O1120" s="7">
        <f>SUMIFS('05_상품별배치367'!$K$7:$K$373,'05_상품별배치367'!$E$7:$E$373,A1120,'05_상품별배치367'!$H$7:$H$373,"본진")</f>
        <v>1</v>
      </c>
      <c r="P1120" s="7">
        <f>SUMIFS('05_상품별배치367'!$K$7:$K$373,'05_상품별배치367'!$E$7:$E$373,A1120,'05_상품별배치367'!$H$7:$H$373,"추가 진열")</f>
        <v>0</v>
      </c>
      <c r="Q1120" s="7">
        <f>O1120+P1120</f>
        <v>1</v>
      </c>
      <c r="R1120" s="7">
        <v>1</v>
      </c>
      <c r="S1120" s="6" t="s">
        <v>1636</v>
      </c>
      <c r="T1120" s="6" t="s">
        <v>6701</v>
      </c>
      <c r="U1120" s="6"/>
      <c r="V1120" s="16"/>
      <c r="W1120" s="16"/>
      <c r="X1120" s="16"/>
      <c r="Y1120" s="6" t="s">
        <v>1627</v>
      </c>
      <c r="Z1120" s="15"/>
      <c r="AA1120" s="15" t="s">
        <v>1628</v>
      </c>
    </row>
    <row r="1121" spans="1:27" ht="33" customHeight="1">
      <c r="A1121" s="8" t="s">
        <v>6711</v>
      </c>
      <c r="B1121" s="9">
        <v>2264</v>
      </c>
      <c r="C1121" s="8" t="s">
        <v>6712</v>
      </c>
      <c r="D1121" s="8" t="s">
        <v>6713</v>
      </c>
      <c r="E1121" s="8" t="s">
        <v>1981</v>
      </c>
      <c r="F1121" s="8" t="s">
        <v>122</v>
      </c>
      <c r="G1121" s="8" t="s">
        <v>185</v>
      </c>
      <c r="H1121" s="8"/>
      <c r="I1121" s="14" t="s">
        <v>1642</v>
      </c>
      <c r="J1121" s="15"/>
      <c r="K1121" s="8" t="s">
        <v>1982</v>
      </c>
      <c r="L1121" s="8"/>
      <c r="M1121" s="6" t="s">
        <v>1643</v>
      </c>
      <c r="N1121" s="6" t="s">
        <v>1644</v>
      </c>
      <c r="O1121" s="7">
        <f>SUMIFS('05_상품별배치367'!$K$7:$K$373,'05_상품별배치367'!$E$7:$E$373,A1121,'05_상품별배치367'!$H$7:$H$373,"본진")</f>
        <v>0</v>
      </c>
      <c r="P1121" s="7">
        <f>SUMIFS('05_상품별배치367'!$K$7:$K$373,'05_상품별배치367'!$E$7:$E$373,A1121,'05_상품별배치367'!$H$7:$H$373,"추가 진열")</f>
        <v>0</v>
      </c>
      <c r="Q1121" s="7">
        <f>O1121+P1121</f>
        <v>0</v>
      </c>
      <c r="R1121" s="7">
        <v>1</v>
      </c>
      <c r="S1121" s="6" t="s">
        <v>1983</v>
      </c>
      <c r="T1121" s="6" t="s">
        <v>6701</v>
      </c>
      <c r="U1121" s="6"/>
      <c r="V1121" s="16"/>
      <c r="W1121" s="16"/>
      <c r="X1121" s="16"/>
      <c r="Y1121" s="6" t="s">
        <v>1627</v>
      </c>
      <c r="Z1121" s="15"/>
      <c r="AA1121" s="15" t="s">
        <v>1628</v>
      </c>
    </row>
    <row r="1122" spans="1:27" ht="33" customHeight="1">
      <c r="A1122" s="6" t="s">
        <v>6714</v>
      </c>
      <c r="B1122" s="7">
        <v>2265</v>
      </c>
      <c r="C1122" s="6" t="s">
        <v>6715</v>
      </c>
      <c r="D1122" s="6" t="s">
        <v>2856</v>
      </c>
      <c r="E1122" s="6" t="s">
        <v>2134</v>
      </c>
      <c r="F1122" s="6" t="s">
        <v>163</v>
      </c>
      <c r="G1122" s="6" t="s">
        <v>414</v>
      </c>
      <c r="H1122" s="6" t="s">
        <v>1330</v>
      </c>
      <c r="I1122" s="14" t="s">
        <v>1633</v>
      </c>
      <c r="J1122" s="15"/>
      <c r="K1122" s="6" t="s">
        <v>1976</v>
      </c>
      <c r="L1122" s="6"/>
      <c r="M1122" s="6" t="s">
        <v>1635</v>
      </c>
      <c r="N1122" s="6" t="s">
        <v>1624</v>
      </c>
      <c r="O1122" s="7">
        <f>SUMIFS('05_상품별배치367'!$K$7:$K$373,'05_상품별배치367'!$E$7:$E$373,A1122,'05_상품별배치367'!$H$7:$H$373,"본진")</f>
        <v>1</v>
      </c>
      <c r="P1122" s="7">
        <f>SUMIFS('05_상품별배치367'!$K$7:$K$373,'05_상품별배치367'!$E$7:$E$373,A1122,'05_상품별배치367'!$H$7:$H$373,"추가 진열")</f>
        <v>0</v>
      </c>
      <c r="Q1122" s="7">
        <f>O1122+P1122</f>
        <v>1</v>
      </c>
      <c r="R1122" s="7">
        <v>1</v>
      </c>
      <c r="S1122" s="6" t="s">
        <v>1636</v>
      </c>
      <c r="T1122" s="6" t="s">
        <v>6701</v>
      </c>
      <c r="U1122" s="6"/>
      <c r="V1122" s="16"/>
      <c r="W1122" s="16"/>
      <c r="X1122" s="16"/>
      <c r="Y1122" s="6" t="s">
        <v>1627</v>
      </c>
      <c r="Z1122" s="15"/>
      <c r="AA1122" s="15" t="s">
        <v>1628</v>
      </c>
    </row>
    <row r="1123" spans="1:27" ht="33" customHeight="1">
      <c r="A1123" s="8" t="s">
        <v>838</v>
      </c>
      <c r="B1123" s="9">
        <v>2266</v>
      </c>
      <c r="C1123" s="8" t="s">
        <v>837</v>
      </c>
      <c r="D1123" s="8" t="s">
        <v>3338</v>
      </c>
      <c r="E1123" s="8" t="s">
        <v>2134</v>
      </c>
      <c r="F1123" s="8" t="s">
        <v>163</v>
      </c>
      <c r="G1123" s="8" t="s">
        <v>414</v>
      </c>
      <c r="H1123" s="8" t="s">
        <v>1334</v>
      </c>
      <c r="I1123" s="14" t="s">
        <v>1633</v>
      </c>
      <c r="J1123" s="15"/>
      <c r="K1123" s="8" t="s">
        <v>1976</v>
      </c>
      <c r="L1123" s="8"/>
      <c r="M1123" s="6" t="s">
        <v>1635</v>
      </c>
      <c r="N1123" s="6" t="s">
        <v>1624</v>
      </c>
      <c r="O1123" s="7">
        <f>SUMIFS('05_상품별배치367'!$K$7:$K$373,'05_상품별배치367'!$E$7:$E$373,A1123,'05_상품별배치367'!$H$7:$H$373,"본진")</f>
        <v>1</v>
      </c>
      <c r="P1123" s="7">
        <f>SUMIFS('05_상품별배치367'!$K$7:$K$373,'05_상품별배치367'!$E$7:$E$373,A1123,'05_상품별배치367'!$H$7:$H$373,"추가 진열")</f>
        <v>1</v>
      </c>
      <c r="Q1123" s="7">
        <f>O1123+P1123</f>
        <v>2</v>
      </c>
      <c r="R1123" s="7">
        <v>1</v>
      </c>
      <c r="S1123" s="6" t="s">
        <v>1636</v>
      </c>
      <c r="T1123" s="6" t="s">
        <v>6701</v>
      </c>
      <c r="U1123" s="6"/>
      <c r="V1123" s="16"/>
      <c r="W1123" s="16"/>
      <c r="X1123" s="16"/>
      <c r="Y1123" s="6" t="s">
        <v>1627</v>
      </c>
      <c r="Z1123" s="15"/>
      <c r="AA1123" s="15" t="s">
        <v>1628</v>
      </c>
    </row>
    <row r="1124" spans="1:27" ht="33" customHeight="1">
      <c r="A1124" s="6" t="s">
        <v>3673</v>
      </c>
      <c r="B1124" s="7">
        <v>855</v>
      </c>
      <c r="C1124" s="6" t="s">
        <v>3674</v>
      </c>
      <c r="D1124" s="6" t="s">
        <v>3675</v>
      </c>
      <c r="E1124" s="6" t="s">
        <v>1986</v>
      </c>
      <c r="F1124" s="6" t="s">
        <v>493</v>
      </c>
      <c r="G1124" s="6" t="s">
        <v>299</v>
      </c>
      <c r="H1124" s="6"/>
      <c r="I1124" s="14" t="s">
        <v>1642</v>
      </c>
      <c r="J1124" s="15"/>
      <c r="K1124" s="6" t="s">
        <v>1976</v>
      </c>
      <c r="L1124" s="6"/>
      <c r="M1124" s="6" t="s">
        <v>1643</v>
      </c>
      <c r="N1124" s="6" t="s">
        <v>1644</v>
      </c>
      <c r="O1124" s="7">
        <f>SUMIFS('05_상품별배치367'!$K$7:$K$373,'05_상품별배치367'!$E$7:$E$373,A1124,'05_상품별배치367'!$H$7:$H$373,"본진")</f>
        <v>0</v>
      </c>
      <c r="P1124" s="7">
        <f>SUMIFS('05_상품별배치367'!$K$7:$K$373,'05_상품별배치367'!$E$7:$E$373,A1124,'05_상품별배치367'!$H$7:$H$373,"추가 진열")</f>
        <v>0</v>
      </c>
      <c r="Q1124" s="7">
        <f>O1124+P1124</f>
        <v>0</v>
      </c>
      <c r="R1124" s="7">
        <v>1</v>
      </c>
      <c r="S1124" s="6" t="s">
        <v>3084</v>
      </c>
      <c r="T1124" s="6" t="s">
        <v>1637</v>
      </c>
      <c r="U1124" s="6"/>
      <c r="V1124" s="16"/>
      <c r="W1124" s="16"/>
      <c r="X1124" s="16"/>
      <c r="Y1124" s="6" t="s">
        <v>1627</v>
      </c>
      <c r="Z1124" s="15"/>
      <c r="AA1124" s="15" t="s">
        <v>1628</v>
      </c>
    </row>
    <row r="1125" spans="1:27" ht="33" customHeight="1">
      <c r="A1125" s="8" t="s">
        <v>3671</v>
      </c>
      <c r="B1125" s="9">
        <v>854</v>
      </c>
      <c r="C1125" s="8" t="s">
        <v>3672</v>
      </c>
      <c r="D1125" s="8" t="s">
        <v>2133</v>
      </c>
      <c r="E1125" s="8" t="s">
        <v>1986</v>
      </c>
      <c r="F1125" s="8" t="s">
        <v>493</v>
      </c>
      <c r="G1125" s="8" t="s">
        <v>299</v>
      </c>
      <c r="H1125" s="8"/>
      <c r="I1125" s="14" t="s">
        <v>1642</v>
      </c>
      <c r="J1125" s="15"/>
      <c r="K1125" s="8" t="s">
        <v>1976</v>
      </c>
      <c r="L1125" s="8"/>
      <c r="M1125" s="6" t="s">
        <v>1643</v>
      </c>
      <c r="N1125" s="6" t="s">
        <v>1644</v>
      </c>
      <c r="O1125" s="7">
        <f>SUMIFS('05_상품별배치367'!$K$7:$K$373,'05_상품별배치367'!$E$7:$E$373,A1125,'05_상품별배치367'!$H$7:$H$373,"본진")</f>
        <v>0</v>
      </c>
      <c r="P1125" s="7">
        <f>SUMIFS('05_상품별배치367'!$K$7:$K$373,'05_상품별배치367'!$E$7:$E$373,A1125,'05_상품별배치367'!$H$7:$H$373,"추가 진열")</f>
        <v>0</v>
      </c>
      <c r="Q1125" s="7">
        <f>O1125+P1125</f>
        <v>0</v>
      </c>
      <c r="R1125" s="7">
        <v>1</v>
      </c>
      <c r="S1125" s="6" t="s">
        <v>3084</v>
      </c>
      <c r="T1125" s="6" t="s">
        <v>1637</v>
      </c>
      <c r="U1125" s="6"/>
      <c r="V1125" s="16"/>
      <c r="W1125" s="16"/>
      <c r="X1125" s="16"/>
      <c r="Y1125" s="6" t="s">
        <v>1627</v>
      </c>
      <c r="Z1125" s="15"/>
      <c r="AA1125" s="15" t="s">
        <v>1628</v>
      </c>
    </row>
    <row r="1126" spans="1:27" ht="33" customHeight="1">
      <c r="A1126" s="6" t="s">
        <v>3678</v>
      </c>
      <c r="B1126" s="7">
        <v>857</v>
      </c>
      <c r="C1126" s="6" t="s">
        <v>3679</v>
      </c>
      <c r="D1126" s="6" t="s">
        <v>3150</v>
      </c>
      <c r="E1126" s="6" t="s">
        <v>2134</v>
      </c>
      <c r="F1126" s="6" t="s">
        <v>1263</v>
      </c>
      <c r="G1126" s="6" t="s">
        <v>376</v>
      </c>
      <c r="H1126" s="6"/>
      <c r="I1126" s="14" t="s">
        <v>1642</v>
      </c>
      <c r="J1126" s="15"/>
      <c r="K1126" s="6" t="s">
        <v>1976</v>
      </c>
      <c r="L1126" s="6"/>
      <c r="M1126" s="6" t="s">
        <v>1643</v>
      </c>
      <c r="N1126" s="6" t="s">
        <v>1644</v>
      </c>
      <c r="O1126" s="7">
        <f>SUMIFS('05_상품별배치367'!$K$7:$K$373,'05_상품별배치367'!$E$7:$E$373,A1126,'05_상품별배치367'!$H$7:$H$373,"본진")</f>
        <v>0</v>
      </c>
      <c r="P1126" s="7">
        <f>SUMIFS('05_상품별배치367'!$K$7:$K$373,'05_상품별배치367'!$E$7:$E$373,A1126,'05_상품별배치367'!$H$7:$H$373,"추가 진열")</f>
        <v>0</v>
      </c>
      <c r="Q1126" s="7">
        <f>O1126+P1126</f>
        <v>0</v>
      </c>
      <c r="R1126" s="7">
        <v>1</v>
      </c>
      <c r="S1126" s="6" t="s">
        <v>3016</v>
      </c>
      <c r="T1126" s="6" t="s">
        <v>1637</v>
      </c>
      <c r="U1126" s="6"/>
      <c r="V1126" s="16"/>
      <c r="W1126" s="16"/>
      <c r="X1126" s="16"/>
      <c r="Y1126" s="6" t="s">
        <v>1627</v>
      </c>
      <c r="Z1126" s="15"/>
      <c r="AA1126" s="15" t="s">
        <v>1628</v>
      </c>
    </row>
    <row r="1127" spans="1:27" ht="33" customHeight="1">
      <c r="A1127" s="8" t="s">
        <v>3680</v>
      </c>
      <c r="B1127" s="9">
        <v>858</v>
      </c>
      <c r="C1127" s="8" t="s">
        <v>3679</v>
      </c>
      <c r="D1127" s="8" t="s">
        <v>1820</v>
      </c>
      <c r="E1127" s="8" t="s">
        <v>2134</v>
      </c>
      <c r="F1127" s="8" t="s">
        <v>1263</v>
      </c>
      <c r="G1127" s="8" t="s">
        <v>376</v>
      </c>
      <c r="H1127" s="8"/>
      <c r="I1127" s="14" t="s">
        <v>1642</v>
      </c>
      <c r="J1127" s="15"/>
      <c r="K1127" s="8" t="s">
        <v>1976</v>
      </c>
      <c r="L1127" s="8"/>
      <c r="M1127" s="6" t="s">
        <v>1643</v>
      </c>
      <c r="N1127" s="6" t="s">
        <v>1644</v>
      </c>
      <c r="O1127" s="7">
        <f>SUMIFS('05_상품별배치367'!$K$7:$K$373,'05_상품별배치367'!$E$7:$E$373,A1127,'05_상품별배치367'!$H$7:$H$373,"본진")</f>
        <v>0</v>
      </c>
      <c r="P1127" s="7">
        <f>SUMIFS('05_상품별배치367'!$K$7:$K$373,'05_상품별배치367'!$E$7:$E$373,A1127,'05_상품별배치367'!$H$7:$H$373,"추가 진열")</f>
        <v>0</v>
      </c>
      <c r="Q1127" s="7">
        <f>O1127+P1127</f>
        <v>0</v>
      </c>
      <c r="R1127" s="7">
        <v>1</v>
      </c>
      <c r="S1127" s="6" t="s">
        <v>3016</v>
      </c>
      <c r="T1127" s="6" t="s">
        <v>1637</v>
      </c>
      <c r="U1127" s="6"/>
      <c r="V1127" s="16"/>
      <c r="W1127" s="16"/>
      <c r="X1127" s="16"/>
      <c r="Y1127" s="6" t="s">
        <v>1627</v>
      </c>
      <c r="Z1127" s="15"/>
      <c r="AA1127" s="15" t="s">
        <v>1628</v>
      </c>
    </row>
    <row r="1128" spans="1:27" ht="33" customHeight="1">
      <c r="A1128" s="6" t="s">
        <v>3681</v>
      </c>
      <c r="B1128" s="7">
        <v>859</v>
      </c>
      <c r="C1128" s="6" t="s">
        <v>3682</v>
      </c>
      <c r="D1128" s="6" t="s">
        <v>3338</v>
      </c>
      <c r="E1128" s="6" t="s">
        <v>2134</v>
      </c>
      <c r="F1128" s="6" t="s">
        <v>2933</v>
      </c>
      <c r="G1128" s="6" t="s">
        <v>1668</v>
      </c>
      <c r="H1128" s="6"/>
      <c r="I1128" s="14" t="s">
        <v>1807</v>
      </c>
      <c r="J1128" s="15"/>
      <c r="K1128" s="6" t="s">
        <v>1976</v>
      </c>
      <c r="L1128" s="6" t="s">
        <v>2032</v>
      </c>
      <c r="M1128" s="6" t="s">
        <v>1809</v>
      </c>
      <c r="N1128" s="6" t="s">
        <v>1644</v>
      </c>
      <c r="O1128" s="7">
        <f>SUMIFS('05_상품별배치367'!$K$7:$K$373,'05_상품별배치367'!$E$7:$E$373,A1128,'05_상품별배치367'!$H$7:$H$373,"본진")</f>
        <v>0</v>
      </c>
      <c r="P1128" s="7">
        <f>SUMIFS('05_상품별배치367'!$K$7:$K$373,'05_상품별배치367'!$E$7:$E$373,A1128,'05_상품별배치367'!$H$7:$H$373,"추가 진열")</f>
        <v>0</v>
      </c>
      <c r="Q1128" s="7">
        <f>O1128+P1128</f>
        <v>0</v>
      </c>
      <c r="R1128" s="7">
        <v>0</v>
      </c>
      <c r="S1128" s="6" t="s">
        <v>1810</v>
      </c>
      <c r="T1128" s="6" t="s">
        <v>1637</v>
      </c>
      <c r="U1128" s="6"/>
      <c r="V1128" s="16"/>
      <c r="W1128" s="16"/>
      <c r="X1128" s="16"/>
      <c r="Y1128" s="6" t="s">
        <v>1627</v>
      </c>
      <c r="Z1128" s="15"/>
      <c r="AA1128" s="15" t="s">
        <v>1628</v>
      </c>
    </row>
    <row r="1129" spans="1:27" ht="33" customHeight="1">
      <c r="A1129" s="6" t="s">
        <v>3633</v>
      </c>
      <c r="B1129" s="7">
        <v>837</v>
      </c>
      <c r="C1129" s="6" t="s">
        <v>3634</v>
      </c>
      <c r="D1129" s="6" t="s">
        <v>1686</v>
      </c>
      <c r="E1129" s="6" t="s">
        <v>2746</v>
      </c>
      <c r="F1129" s="6" t="s">
        <v>3635</v>
      </c>
      <c r="G1129" s="6" t="s">
        <v>1668</v>
      </c>
      <c r="H1129" s="6"/>
      <c r="I1129" s="14" t="s">
        <v>1669</v>
      </c>
      <c r="J1129" s="15"/>
      <c r="K1129" s="6" t="s">
        <v>2748</v>
      </c>
      <c r="L1129" s="6"/>
      <c r="M1129" s="6" t="s">
        <v>1671</v>
      </c>
      <c r="N1129" s="6" t="s">
        <v>1644</v>
      </c>
      <c r="O1129" s="7">
        <f>SUMIFS('05_상품별배치367'!$K$7:$K$373,'05_상품별배치367'!$E$7:$E$373,A1129,'05_상품별배치367'!$H$7:$H$373,"본진")</f>
        <v>0</v>
      </c>
      <c r="P1129" s="7">
        <f>SUMIFS('05_상품별배치367'!$K$7:$K$373,'05_상품별배치367'!$E$7:$E$373,A1129,'05_상품별배치367'!$H$7:$H$373,"추가 진열")</f>
        <v>0</v>
      </c>
      <c r="Q1129" s="7">
        <f>O1129+P1129</f>
        <v>0</v>
      </c>
      <c r="R1129" s="7">
        <v>0</v>
      </c>
      <c r="S1129" s="6" t="s">
        <v>1672</v>
      </c>
      <c r="T1129" s="6" t="s">
        <v>1637</v>
      </c>
      <c r="U1129" s="6"/>
      <c r="V1129" s="16"/>
      <c r="W1129" s="16"/>
      <c r="X1129" s="16"/>
      <c r="Y1129" s="6" t="s">
        <v>1627</v>
      </c>
      <c r="Z1129" s="15"/>
      <c r="AA1129" s="15" t="s">
        <v>1628</v>
      </c>
    </row>
    <row r="1130" spans="1:27" ht="33" customHeight="1">
      <c r="A1130" s="6" t="s">
        <v>3638</v>
      </c>
      <c r="B1130" s="7">
        <v>839</v>
      </c>
      <c r="C1130" s="6" t="s">
        <v>3639</v>
      </c>
      <c r="D1130" s="6" t="s">
        <v>1686</v>
      </c>
      <c r="E1130" s="6" t="s">
        <v>2746</v>
      </c>
      <c r="F1130" s="6" t="s">
        <v>3635</v>
      </c>
      <c r="G1130" s="6" t="s">
        <v>1668</v>
      </c>
      <c r="H1130" s="6"/>
      <c r="I1130" s="14" t="s">
        <v>1669</v>
      </c>
      <c r="J1130" s="15"/>
      <c r="K1130" s="6" t="s">
        <v>2748</v>
      </c>
      <c r="L1130" s="6"/>
      <c r="M1130" s="6" t="s">
        <v>1671</v>
      </c>
      <c r="N1130" s="6" t="s">
        <v>1644</v>
      </c>
      <c r="O1130" s="7">
        <f>SUMIFS('05_상품별배치367'!$K$7:$K$373,'05_상품별배치367'!$E$7:$E$373,A1130,'05_상품별배치367'!$H$7:$H$373,"본진")</f>
        <v>0</v>
      </c>
      <c r="P1130" s="7">
        <f>SUMIFS('05_상품별배치367'!$K$7:$K$373,'05_상품별배치367'!$E$7:$E$373,A1130,'05_상품별배치367'!$H$7:$H$373,"추가 진열")</f>
        <v>0</v>
      </c>
      <c r="Q1130" s="7">
        <f>O1130+P1130</f>
        <v>0</v>
      </c>
      <c r="R1130" s="7">
        <v>0</v>
      </c>
      <c r="S1130" s="6" t="s">
        <v>1672</v>
      </c>
      <c r="T1130" s="6" t="s">
        <v>1637</v>
      </c>
      <c r="U1130" s="6"/>
      <c r="V1130" s="16"/>
      <c r="W1130" s="16"/>
      <c r="X1130" s="16"/>
      <c r="Y1130" s="6" t="s">
        <v>1627</v>
      </c>
      <c r="Z1130" s="15"/>
      <c r="AA1130" s="15" t="s">
        <v>1628</v>
      </c>
    </row>
    <row r="1131" spans="1:27" ht="33" customHeight="1">
      <c r="A1131" s="8" t="s">
        <v>3636</v>
      </c>
      <c r="B1131" s="9">
        <v>838</v>
      </c>
      <c r="C1131" s="8" t="s">
        <v>3637</v>
      </c>
      <c r="D1131" s="8" t="s">
        <v>1686</v>
      </c>
      <c r="E1131" s="8" t="s">
        <v>2746</v>
      </c>
      <c r="F1131" s="8" t="s">
        <v>3635</v>
      </c>
      <c r="G1131" s="8" t="s">
        <v>1668</v>
      </c>
      <c r="H1131" s="8"/>
      <c r="I1131" s="14" t="s">
        <v>1669</v>
      </c>
      <c r="J1131" s="15"/>
      <c r="K1131" s="8" t="s">
        <v>2748</v>
      </c>
      <c r="L1131" s="8"/>
      <c r="M1131" s="6" t="s">
        <v>1671</v>
      </c>
      <c r="N1131" s="6" t="s">
        <v>1644</v>
      </c>
      <c r="O1131" s="7">
        <f>SUMIFS('05_상품별배치367'!$K$7:$K$373,'05_상품별배치367'!$E$7:$E$373,A1131,'05_상품별배치367'!$H$7:$H$373,"본진")</f>
        <v>0</v>
      </c>
      <c r="P1131" s="7">
        <f>SUMIFS('05_상품별배치367'!$K$7:$K$373,'05_상품별배치367'!$E$7:$E$373,A1131,'05_상품별배치367'!$H$7:$H$373,"추가 진열")</f>
        <v>0</v>
      </c>
      <c r="Q1131" s="7">
        <f>O1131+P1131</f>
        <v>0</v>
      </c>
      <c r="R1131" s="7">
        <v>0</v>
      </c>
      <c r="S1131" s="6" t="s">
        <v>1672</v>
      </c>
      <c r="T1131" s="6" t="s">
        <v>1637</v>
      </c>
      <c r="U1131" s="6"/>
      <c r="V1131" s="16"/>
      <c r="W1131" s="16"/>
      <c r="X1131" s="16"/>
      <c r="Y1131" s="6" t="s">
        <v>1627</v>
      </c>
      <c r="Z1131" s="15"/>
      <c r="AA1131" s="15" t="s">
        <v>1628</v>
      </c>
    </row>
    <row r="1132" spans="1:27" ht="33" customHeight="1">
      <c r="A1132" s="8" t="s">
        <v>3640</v>
      </c>
      <c r="B1132" s="9">
        <v>840</v>
      </c>
      <c r="C1132" s="8" t="s">
        <v>3641</v>
      </c>
      <c r="D1132" s="8" t="s">
        <v>1686</v>
      </c>
      <c r="E1132" s="8" t="s">
        <v>2746</v>
      </c>
      <c r="F1132" s="8" t="s">
        <v>3635</v>
      </c>
      <c r="G1132" s="8" t="s">
        <v>1668</v>
      </c>
      <c r="H1132" s="8"/>
      <c r="I1132" s="14" t="s">
        <v>1669</v>
      </c>
      <c r="J1132" s="15"/>
      <c r="K1132" s="8" t="s">
        <v>2748</v>
      </c>
      <c r="L1132" s="8"/>
      <c r="M1132" s="6" t="s">
        <v>1671</v>
      </c>
      <c r="N1132" s="6" t="s">
        <v>1644</v>
      </c>
      <c r="O1132" s="7">
        <f>SUMIFS('05_상품별배치367'!$K$7:$K$373,'05_상품별배치367'!$E$7:$E$373,A1132,'05_상품별배치367'!$H$7:$H$373,"본진")</f>
        <v>0</v>
      </c>
      <c r="P1132" s="7">
        <f>SUMIFS('05_상품별배치367'!$K$7:$K$373,'05_상품별배치367'!$E$7:$E$373,A1132,'05_상품별배치367'!$H$7:$H$373,"추가 진열")</f>
        <v>0</v>
      </c>
      <c r="Q1132" s="7">
        <f>O1132+P1132</f>
        <v>0</v>
      </c>
      <c r="R1132" s="7">
        <v>0</v>
      </c>
      <c r="S1132" s="6" t="s">
        <v>1672</v>
      </c>
      <c r="T1132" s="6" t="s">
        <v>1637</v>
      </c>
      <c r="U1132" s="6"/>
      <c r="V1132" s="16"/>
      <c r="W1132" s="16"/>
      <c r="X1132" s="16"/>
      <c r="Y1132" s="6" t="s">
        <v>1627</v>
      </c>
      <c r="Z1132" s="15"/>
      <c r="AA1132" s="15" t="s">
        <v>1628</v>
      </c>
    </row>
    <row r="1133" spans="1:27" ht="33" customHeight="1">
      <c r="A1133" s="6" t="s">
        <v>3664</v>
      </c>
      <c r="B1133" s="7">
        <v>851</v>
      </c>
      <c r="C1133" s="6" t="s">
        <v>3665</v>
      </c>
      <c r="D1133" s="6" t="s">
        <v>3666</v>
      </c>
      <c r="E1133" s="6" t="s">
        <v>2746</v>
      </c>
      <c r="F1133" s="6" t="s">
        <v>3635</v>
      </c>
      <c r="G1133" s="6" t="s">
        <v>1668</v>
      </c>
      <c r="H1133" s="6"/>
      <c r="I1133" s="14" t="s">
        <v>1669</v>
      </c>
      <c r="J1133" s="15"/>
      <c r="K1133" s="6" t="s">
        <v>2748</v>
      </c>
      <c r="L1133" s="6"/>
      <c r="M1133" s="6" t="s">
        <v>1671</v>
      </c>
      <c r="N1133" s="6" t="s">
        <v>1644</v>
      </c>
      <c r="O1133" s="7">
        <f>SUMIFS('05_상품별배치367'!$K$7:$K$373,'05_상품별배치367'!$E$7:$E$373,A1133,'05_상품별배치367'!$H$7:$H$373,"본진")</f>
        <v>0</v>
      </c>
      <c r="P1133" s="7">
        <f>SUMIFS('05_상품별배치367'!$K$7:$K$373,'05_상품별배치367'!$E$7:$E$373,A1133,'05_상품별배치367'!$H$7:$H$373,"추가 진열")</f>
        <v>0</v>
      </c>
      <c r="Q1133" s="7">
        <f>O1133+P1133</f>
        <v>0</v>
      </c>
      <c r="R1133" s="7">
        <v>0</v>
      </c>
      <c r="S1133" s="6" t="s">
        <v>1672</v>
      </c>
      <c r="T1133" s="6" t="s">
        <v>1637</v>
      </c>
      <c r="U1133" s="6"/>
      <c r="V1133" s="16"/>
      <c r="W1133" s="16"/>
      <c r="X1133" s="16"/>
      <c r="Y1133" s="6" t="s">
        <v>1627</v>
      </c>
      <c r="Z1133" s="15"/>
      <c r="AA1133" s="15" t="s">
        <v>1628</v>
      </c>
    </row>
    <row r="1134" spans="1:27" ht="33" customHeight="1">
      <c r="A1134" s="8" t="s">
        <v>3667</v>
      </c>
      <c r="B1134" s="9">
        <v>852</v>
      </c>
      <c r="C1134" s="8" t="s">
        <v>3668</v>
      </c>
      <c r="D1134" s="8" t="s">
        <v>3666</v>
      </c>
      <c r="E1134" s="8" t="s">
        <v>2746</v>
      </c>
      <c r="F1134" s="8" t="s">
        <v>3635</v>
      </c>
      <c r="G1134" s="8" t="s">
        <v>1668</v>
      </c>
      <c r="H1134" s="8"/>
      <c r="I1134" s="14" t="s">
        <v>1669</v>
      </c>
      <c r="J1134" s="15"/>
      <c r="K1134" s="8" t="s">
        <v>2748</v>
      </c>
      <c r="L1134" s="8"/>
      <c r="M1134" s="6" t="s">
        <v>1671</v>
      </c>
      <c r="N1134" s="6" t="s">
        <v>1644</v>
      </c>
      <c r="O1134" s="7">
        <f>SUMIFS('05_상품별배치367'!$K$7:$K$373,'05_상품별배치367'!$E$7:$E$373,A1134,'05_상품별배치367'!$H$7:$H$373,"본진")</f>
        <v>0</v>
      </c>
      <c r="P1134" s="7">
        <f>SUMIFS('05_상품별배치367'!$K$7:$K$373,'05_상품별배치367'!$E$7:$E$373,A1134,'05_상품별배치367'!$H$7:$H$373,"추가 진열")</f>
        <v>0</v>
      </c>
      <c r="Q1134" s="7">
        <f>O1134+P1134</f>
        <v>0</v>
      </c>
      <c r="R1134" s="7">
        <v>0</v>
      </c>
      <c r="S1134" s="6" t="s">
        <v>1672</v>
      </c>
      <c r="T1134" s="6" t="s">
        <v>1637</v>
      </c>
      <c r="U1134" s="6"/>
      <c r="V1134" s="16"/>
      <c r="W1134" s="16"/>
      <c r="X1134" s="16"/>
      <c r="Y1134" s="6" t="s">
        <v>1627</v>
      </c>
      <c r="Z1134" s="15"/>
      <c r="AA1134" s="15" t="s">
        <v>1628</v>
      </c>
    </row>
    <row r="1135" spans="1:27" ht="33" customHeight="1">
      <c r="A1135" s="6" t="s">
        <v>3669</v>
      </c>
      <c r="B1135" s="7">
        <v>853</v>
      </c>
      <c r="C1135" s="6" t="s">
        <v>3670</v>
      </c>
      <c r="D1135" s="6" t="s">
        <v>3666</v>
      </c>
      <c r="E1135" s="6" t="s">
        <v>2746</v>
      </c>
      <c r="F1135" s="6" t="s">
        <v>3635</v>
      </c>
      <c r="G1135" s="6" t="s">
        <v>1668</v>
      </c>
      <c r="H1135" s="6"/>
      <c r="I1135" s="14" t="s">
        <v>1669</v>
      </c>
      <c r="J1135" s="15"/>
      <c r="K1135" s="6" t="s">
        <v>2748</v>
      </c>
      <c r="L1135" s="6"/>
      <c r="M1135" s="6" t="s">
        <v>1671</v>
      </c>
      <c r="N1135" s="6" t="s">
        <v>1644</v>
      </c>
      <c r="O1135" s="7">
        <f>SUMIFS('05_상품별배치367'!$K$7:$K$373,'05_상품별배치367'!$E$7:$E$373,A1135,'05_상품별배치367'!$H$7:$H$373,"본진")</f>
        <v>0</v>
      </c>
      <c r="P1135" s="7">
        <f>SUMIFS('05_상품별배치367'!$K$7:$K$373,'05_상품별배치367'!$E$7:$E$373,A1135,'05_상품별배치367'!$H$7:$H$373,"추가 진열")</f>
        <v>0</v>
      </c>
      <c r="Q1135" s="7">
        <f>O1135+P1135</f>
        <v>0</v>
      </c>
      <c r="R1135" s="7">
        <v>0</v>
      </c>
      <c r="S1135" s="6" t="s">
        <v>1672</v>
      </c>
      <c r="T1135" s="6" t="s">
        <v>1637</v>
      </c>
      <c r="U1135" s="6"/>
      <c r="V1135" s="16"/>
      <c r="W1135" s="16"/>
      <c r="X1135" s="16"/>
      <c r="Y1135" s="6" t="s">
        <v>1627</v>
      </c>
      <c r="Z1135" s="15"/>
      <c r="AA1135" s="15" t="s">
        <v>1628</v>
      </c>
    </row>
    <row r="1136" spans="1:27" ht="33" customHeight="1">
      <c r="A1136" s="8" t="s">
        <v>3676</v>
      </c>
      <c r="B1136" s="9">
        <v>856</v>
      </c>
      <c r="C1136" s="8" t="s">
        <v>3677</v>
      </c>
      <c r="D1136" s="8" t="s">
        <v>1876</v>
      </c>
      <c r="E1136" s="8" t="s">
        <v>1986</v>
      </c>
      <c r="F1136" s="8" t="s">
        <v>913</v>
      </c>
      <c r="G1136" s="8" t="s">
        <v>201</v>
      </c>
      <c r="H1136" s="8"/>
      <c r="I1136" s="14" t="s">
        <v>1642</v>
      </c>
      <c r="J1136" s="15"/>
      <c r="K1136" s="8" t="s">
        <v>1976</v>
      </c>
      <c r="L1136" s="8"/>
      <c r="M1136" s="6" t="s">
        <v>1643</v>
      </c>
      <c r="N1136" s="6" t="s">
        <v>1644</v>
      </c>
      <c r="O1136" s="7">
        <f>SUMIFS('05_상품별배치367'!$K$7:$K$373,'05_상품별배치367'!$E$7:$E$373,A1136,'05_상품별배치367'!$H$7:$H$373,"본진")</f>
        <v>0</v>
      </c>
      <c r="P1136" s="7">
        <f>SUMIFS('05_상품별배치367'!$K$7:$K$373,'05_상품별배치367'!$E$7:$E$373,A1136,'05_상품별배치367'!$H$7:$H$373,"추가 진열")</f>
        <v>0</v>
      </c>
      <c r="Q1136" s="7">
        <f>O1136+P1136</f>
        <v>0</v>
      </c>
      <c r="R1136" s="7">
        <v>1</v>
      </c>
      <c r="S1136" s="6" t="s">
        <v>2907</v>
      </c>
      <c r="T1136" s="6" t="s">
        <v>1637</v>
      </c>
      <c r="U1136" s="6"/>
      <c r="V1136" s="16"/>
      <c r="W1136" s="16"/>
      <c r="X1136" s="16"/>
      <c r="Y1136" s="6" t="s">
        <v>1627</v>
      </c>
      <c r="Z1136" s="15"/>
      <c r="AA1136" s="15" t="s">
        <v>1628</v>
      </c>
    </row>
    <row r="1137" spans="1:27" ht="33" customHeight="1">
      <c r="A1137" s="6" t="s">
        <v>3642</v>
      </c>
      <c r="B1137" s="7">
        <v>841</v>
      </c>
      <c r="C1137" s="6" t="s">
        <v>3643</v>
      </c>
      <c r="D1137" s="6" t="s">
        <v>1686</v>
      </c>
      <c r="E1137" s="6" t="s">
        <v>2746</v>
      </c>
      <c r="F1137" s="6" t="s">
        <v>3635</v>
      </c>
      <c r="G1137" s="6" t="s">
        <v>1668</v>
      </c>
      <c r="H1137" s="6"/>
      <c r="I1137" s="14" t="s">
        <v>1669</v>
      </c>
      <c r="J1137" s="15"/>
      <c r="K1137" s="6" t="s">
        <v>2748</v>
      </c>
      <c r="L1137" s="6"/>
      <c r="M1137" s="6" t="s">
        <v>1671</v>
      </c>
      <c r="N1137" s="6" t="s">
        <v>1644</v>
      </c>
      <c r="O1137" s="7">
        <f>SUMIFS('05_상품별배치367'!$K$7:$K$373,'05_상품별배치367'!$E$7:$E$373,A1137,'05_상품별배치367'!$H$7:$H$373,"본진")</f>
        <v>0</v>
      </c>
      <c r="P1137" s="7">
        <f>SUMIFS('05_상품별배치367'!$K$7:$K$373,'05_상품별배치367'!$E$7:$E$373,A1137,'05_상품별배치367'!$H$7:$H$373,"추가 진열")</f>
        <v>0</v>
      </c>
      <c r="Q1137" s="7">
        <f>O1137+P1137</f>
        <v>0</v>
      </c>
      <c r="R1137" s="7">
        <v>0</v>
      </c>
      <c r="S1137" s="6" t="s">
        <v>1672</v>
      </c>
      <c r="T1137" s="6" t="s">
        <v>1637</v>
      </c>
      <c r="U1137" s="6"/>
      <c r="V1137" s="16"/>
      <c r="W1137" s="16"/>
      <c r="X1137" s="16"/>
      <c r="Y1137" s="6" t="s">
        <v>1627</v>
      </c>
      <c r="Z1137" s="15"/>
      <c r="AA1137" s="15" t="s">
        <v>1628</v>
      </c>
    </row>
    <row r="1138" spans="1:27" ht="33" customHeight="1">
      <c r="A1138" s="6" t="s">
        <v>3646</v>
      </c>
      <c r="B1138" s="7">
        <v>843</v>
      </c>
      <c r="C1138" s="6" t="s">
        <v>3647</v>
      </c>
      <c r="D1138" s="6" t="s">
        <v>1686</v>
      </c>
      <c r="E1138" s="6" t="s">
        <v>2746</v>
      </c>
      <c r="F1138" s="6" t="s">
        <v>3635</v>
      </c>
      <c r="G1138" s="6" t="s">
        <v>1668</v>
      </c>
      <c r="H1138" s="6"/>
      <c r="I1138" s="14" t="s">
        <v>1669</v>
      </c>
      <c r="J1138" s="15"/>
      <c r="K1138" s="6" t="s">
        <v>2748</v>
      </c>
      <c r="L1138" s="6"/>
      <c r="M1138" s="6" t="s">
        <v>1671</v>
      </c>
      <c r="N1138" s="6" t="s">
        <v>1644</v>
      </c>
      <c r="O1138" s="7">
        <f>SUMIFS('05_상품별배치367'!$K$7:$K$373,'05_상품별배치367'!$E$7:$E$373,A1138,'05_상품별배치367'!$H$7:$H$373,"본진")</f>
        <v>0</v>
      </c>
      <c r="P1138" s="7">
        <f>SUMIFS('05_상품별배치367'!$K$7:$K$373,'05_상품별배치367'!$E$7:$E$373,A1138,'05_상품별배치367'!$H$7:$H$373,"추가 진열")</f>
        <v>0</v>
      </c>
      <c r="Q1138" s="7">
        <f>O1138+P1138</f>
        <v>0</v>
      </c>
      <c r="R1138" s="7">
        <v>0</v>
      </c>
      <c r="S1138" s="6" t="s">
        <v>1672</v>
      </c>
      <c r="T1138" s="6" t="s">
        <v>1637</v>
      </c>
      <c r="U1138" s="6"/>
      <c r="V1138" s="16"/>
      <c r="W1138" s="16"/>
      <c r="X1138" s="16"/>
      <c r="Y1138" s="6" t="s">
        <v>1627</v>
      </c>
      <c r="Z1138" s="15"/>
      <c r="AA1138" s="15" t="s">
        <v>1628</v>
      </c>
    </row>
    <row r="1139" spans="1:27" ht="33" customHeight="1">
      <c r="A1139" s="8" t="s">
        <v>3644</v>
      </c>
      <c r="B1139" s="9">
        <v>842</v>
      </c>
      <c r="C1139" s="8" t="s">
        <v>3645</v>
      </c>
      <c r="D1139" s="8" t="s">
        <v>1686</v>
      </c>
      <c r="E1139" s="8" t="s">
        <v>2746</v>
      </c>
      <c r="F1139" s="8" t="s">
        <v>3635</v>
      </c>
      <c r="G1139" s="8" t="s">
        <v>1668</v>
      </c>
      <c r="H1139" s="8"/>
      <c r="I1139" s="14" t="s">
        <v>1669</v>
      </c>
      <c r="J1139" s="15"/>
      <c r="K1139" s="8" t="s">
        <v>2748</v>
      </c>
      <c r="L1139" s="8"/>
      <c r="M1139" s="6" t="s">
        <v>1671</v>
      </c>
      <c r="N1139" s="6" t="s">
        <v>1644</v>
      </c>
      <c r="O1139" s="7">
        <f>SUMIFS('05_상품별배치367'!$K$7:$K$373,'05_상품별배치367'!$E$7:$E$373,A1139,'05_상품별배치367'!$H$7:$H$373,"본진")</f>
        <v>0</v>
      </c>
      <c r="P1139" s="7">
        <f>SUMIFS('05_상품별배치367'!$K$7:$K$373,'05_상품별배치367'!$E$7:$E$373,A1139,'05_상품별배치367'!$H$7:$H$373,"추가 진열")</f>
        <v>0</v>
      </c>
      <c r="Q1139" s="7">
        <f>O1139+P1139</f>
        <v>0</v>
      </c>
      <c r="R1139" s="7">
        <v>0</v>
      </c>
      <c r="S1139" s="6" t="s">
        <v>1672</v>
      </c>
      <c r="T1139" s="6" t="s">
        <v>1637</v>
      </c>
      <c r="U1139" s="6"/>
      <c r="V1139" s="16"/>
      <c r="W1139" s="16"/>
      <c r="X1139" s="16"/>
      <c r="Y1139" s="6" t="s">
        <v>1627</v>
      </c>
      <c r="Z1139" s="15"/>
      <c r="AA1139" s="15" t="s">
        <v>1628</v>
      </c>
    </row>
    <row r="1140" spans="1:27" ht="33" customHeight="1">
      <c r="A1140" s="8" t="s">
        <v>3648</v>
      </c>
      <c r="B1140" s="9">
        <v>844</v>
      </c>
      <c r="C1140" s="8" t="s">
        <v>3649</v>
      </c>
      <c r="D1140" s="8" t="s">
        <v>1686</v>
      </c>
      <c r="E1140" s="8" t="s">
        <v>2746</v>
      </c>
      <c r="F1140" s="8" t="s">
        <v>3635</v>
      </c>
      <c r="G1140" s="8" t="s">
        <v>1668</v>
      </c>
      <c r="H1140" s="8"/>
      <c r="I1140" s="14" t="s">
        <v>1669</v>
      </c>
      <c r="J1140" s="15"/>
      <c r="K1140" s="8" t="s">
        <v>2748</v>
      </c>
      <c r="L1140" s="8"/>
      <c r="M1140" s="6" t="s">
        <v>1671</v>
      </c>
      <c r="N1140" s="6" t="s">
        <v>1644</v>
      </c>
      <c r="O1140" s="7">
        <f>SUMIFS('05_상품별배치367'!$K$7:$K$373,'05_상품별배치367'!$E$7:$E$373,A1140,'05_상품별배치367'!$H$7:$H$373,"본진")</f>
        <v>0</v>
      </c>
      <c r="P1140" s="7">
        <f>SUMIFS('05_상품별배치367'!$K$7:$K$373,'05_상품별배치367'!$E$7:$E$373,A1140,'05_상품별배치367'!$H$7:$H$373,"추가 진열")</f>
        <v>0</v>
      </c>
      <c r="Q1140" s="7">
        <f>O1140+P1140</f>
        <v>0</v>
      </c>
      <c r="R1140" s="7">
        <v>0</v>
      </c>
      <c r="S1140" s="6" t="s">
        <v>1672</v>
      </c>
      <c r="T1140" s="6" t="s">
        <v>1637</v>
      </c>
      <c r="U1140" s="6"/>
      <c r="V1140" s="16"/>
      <c r="W1140" s="16"/>
      <c r="X1140" s="16"/>
      <c r="Y1140" s="6" t="s">
        <v>1627</v>
      </c>
      <c r="Z1140" s="15"/>
      <c r="AA1140" s="15" t="s">
        <v>1628</v>
      </c>
    </row>
    <row r="1141" spans="1:27" ht="33" customHeight="1">
      <c r="A1141" s="6" t="s">
        <v>3650</v>
      </c>
      <c r="B1141" s="7">
        <v>845</v>
      </c>
      <c r="C1141" s="6" t="s">
        <v>3651</v>
      </c>
      <c r="D1141" s="6" t="s">
        <v>3652</v>
      </c>
      <c r="E1141" s="6" t="s">
        <v>2746</v>
      </c>
      <c r="F1141" s="6" t="s">
        <v>3653</v>
      </c>
      <c r="G1141" s="6" t="s">
        <v>1668</v>
      </c>
      <c r="H1141" s="6"/>
      <c r="I1141" s="14" t="s">
        <v>1669</v>
      </c>
      <c r="J1141" s="15"/>
      <c r="K1141" s="6" t="s">
        <v>2748</v>
      </c>
      <c r="L1141" s="6"/>
      <c r="M1141" s="6" t="s">
        <v>1671</v>
      </c>
      <c r="N1141" s="6" t="s">
        <v>1644</v>
      </c>
      <c r="O1141" s="7">
        <f>SUMIFS('05_상품별배치367'!$K$7:$K$373,'05_상품별배치367'!$E$7:$E$373,A1141,'05_상품별배치367'!$H$7:$H$373,"본진")</f>
        <v>0</v>
      </c>
      <c r="P1141" s="7">
        <f>SUMIFS('05_상품별배치367'!$K$7:$K$373,'05_상품별배치367'!$E$7:$E$373,A1141,'05_상품별배치367'!$H$7:$H$373,"추가 진열")</f>
        <v>0</v>
      </c>
      <c r="Q1141" s="7">
        <f>O1141+P1141</f>
        <v>0</v>
      </c>
      <c r="R1141" s="7">
        <v>0</v>
      </c>
      <c r="S1141" s="6" t="s">
        <v>1672</v>
      </c>
      <c r="T1141" s="6" t="s">
        <v>1637</v>
      </c>
      <c r="U1141" s="6"/>
      <c r="V1141" s="16"/>
      <c r="W1141" s="16"/>
      <c r="X1141" s="16"/>
      <c r="Y1141" s="6" t="s">
        <v>1627</v>
      </c>
      <c r="Z1141" s="15"/>
      <c r="AA1141" s="15" t="s">
        <v>1628</v>
      </c>
    </row>
    <row r="1142" spans="1:27" ht="33" customHeight="1">
      <c r="A1142" s="8" t="s">
        <v>3654</v>
      </c>
      <c r="B1142" s="9">
        <v>846</v>
      </c>
      <c r="C1142" s="8" t="s">
        <v>3655</v>
      </c>
      <c r="D1142" s="8" t="s">
        <v>3652</v>
      </c>
      <c r="E1142" s="8" t="s">
        <v>2746</v>
      </c>
      <c r="F1142" s="8" t="s">
        <v>3653</v>
      </c>
      <c r="G1142" s="8" t="s">
        <v>1668</v>
      </c>
      <c r="H1142" s="8"/>
      <c r="I1142" s="14" t="s">
        <v>1669</v>
      </c>
      <c r="J1142" s="15"/>
      <c r="K1142" s="8" t="s">
        <v>2748</v>
      </c>
      <c r="L1142" s="8"/>
      <c r="M1142" s="6" t="s">
        <v>1671</v>
      </c>
      <c r="N1142" s="6" t="s">
        <v>1644</v>
      </c>
      <c r="O1142" s="7">
        <f>SUMIFS('05_상품별배치367'!$K$7:$K$373,'05_상품별배치367'!$E$7:$E$373,A1142,'05_상품별배치367'!$H$7:$H$373,"본진")</f>
        <v>0</v>
      </c>
      <c r="P1142" s="7">
        <f>SUMIFS('05_상품별배치367'!$K$7:$K$373,'05_상품별배치367'!$E$7:$E$373,A1142,'05_상품별배치367'!$H$7:$H$373,"추가 진열")</f>
        <v>0</v>
      </c>
      <c r="Q1142" s="7">
        <f>O1142+P1142</f>
        <v>0</v>
      </c>
      <c r="R1142" s="7">
        <v>0</v>
      </c>
      <c r="S1142" s="6" t="s">
        <v>1672</v>
      </c>
      <c r="T1142" s="6" t="s">
        <v>1637</v>
      </c>
      <c r="U1142" s="6"/>
      <c r="V1142" s="16"/>
      <c r="W1142" s="16"/>
      <c r="X1142" s="16"/>
      <c r="Y1142" s="6" t="s">
        <v>1627</v>
      </c>
      <c r="Z1142" s="15"/>
      <c r="AA1142" s="15" t="s">
        <v>1628</v>
      </c>
    </row>
    <row r="1143" spans="1:27" ht="33" customHeight="1">
      <c r="A1143" s="6" t="s">
        <v>3656</v>
      </c>
      <c r="B1143" s="7">
        <v>847</v>
      </c>
      <c r="C1143" s="6" t="s">
        <v>3657</v>
      </c>
      <c r="D1143" s="6" t="s">
        <v>3652</v>
      </c>
      <c r="E1143" s="6" t="s">
        <v>2746</v>
      </c>
      <c r="F1143" s="6" t="s">
        <v>3653</v>
      </c>
      <c r="G1143" s="6" t="s">
        <v>1668</v>
      </c>
      <c r="H1143" s="6"/>
      <c r="I1143" s="14" t="s">
        <v>1669</v>
      </c>
      <c r="J1143" s="15"/>
      <c r="K1143" s="6" t="s">
        <v>2748</v>
      </c>
      <c r="L1143" s="6"/>
      <c r="M1143" s="6" t="s">
        <v>1671</v>
      </c>
      <c r="N1143" s="6" t="s">
        <v>1644</v>
      </c>
      <c r="O1143" s="7">
        <f>SUMIFS('05_상품별배치367'!$K$7:$K$373,'05_상품별배치367'!$E$7:$E$373,A1143,'05_상품별배치367'!$H$7:$H$373,"본진")</f>
        <v>0</v>
      </c>
      <c r="P1143" s="7">
        <f>SUMIFS('05_상품별배치367'!$K$7:$K$373,'05_상품별배치367'!$E$7:$E$373,A1143,'05_상품별배치367'!$H$7:$H$373,"추가 진열")</f>
        <v>0</v>
      </c>
      <c r="Q1143" s="7">
        <f>O1143+P1143</f>
        <v>0</v>
      </c>
      <c r="R1143" s="7">
        <v>0</v>
      </c>
      <c r="S1143" s="6" t="s">
        <v>1672</v>
      </c>
      <c r="T1143" s="6" t="s">
        <v>1637</v>
      </c>
      <c r="U1143" s="6"/>
      <c r="V1143" s="16"/>
      <c r="W1143" s="16"/>
      <c r="X1143" s="16"/>
      <c r="Y1143" s="6" t="s">
        <v>1627</v>
      </c>
      <c r="Z1143" s="15"/>
      <c r="AA1143" s="15" t="s">
        <v>1628</v>
      </c>
    </row>
    <row r="1144" spans="1:27" ht="33" customHeight="1">
      <c r="A1144" s="8" t="s">
        <v>3658</v>
      </c>
      <c r="B1144" s="9">
        <v>848</v>
      </c>
      <c r="C1144" s="8" t="s">
        <v>3659</v>
      </c>
      <c r="D1144" s="8" t="s">
        <v>3652</v>
      </c>
      <c r="E1144" s="8" t="s">
        <v>2746</v>
      </c>
      <c r="F1144" s="8" t="s">
        <v>3653</v>
      </c>
      <c r="G1144" s="8" t="s">
        <v>1668</v>
      </c>
      <c r="H1144" s="8"/>
      <c r="I1144" s="14" t="s">
        <v>1669</v>
      </c>
      <c r="J1144" s="15"/>
      <c r="K1144" s="8" t="s">
        <v>2748</v>
      </c>
      <c r="L1144" s="8"/>
      <c r="M1144" s="6" t="s">
        <v>1671</v>
      </c>
      <c r="N1144" s="6" t="s">
        <v>1644</v>
      </c>
      <c r="O1144" s="7">
        <f>SUMIFS('05_상품별배치367'!$K$7:$K$373,'05_상품별배치367'!$E$7:$E$373,A1144,'05_상품별배치367'!$H$7:$H$373,"본진")</f>
        <v>0</v>
      </c>
      <c r="P1144" s="7">
        <f>SUMIFS('05_상품별배치367'!$K$7:$K$373,'05_상품별배치367'!$E$7:$E$373,A1144,'05_상품별배치367'!$H$7:$H$373,"추가 진열")</f>
        <v>0</v>
      </c>
      <c r="Q1144" s="7">
        <f>O1144+P1144</f>
        <v>0</v>
      </c>
      <c r="R1144" s="7">
        <v>0</v>
      </c>
      <c r="S1144" s="6" t="s">
        <v>1672</v>
      </c>
      <c r="T1144" s="6" t="s">
        <v>1637</v>
      </c>
      <c r="U1144" s="6"/>
      <c r="V1144" s="16"/>
      <c r="W1144" s="16"/>
      <c r="X1144" s="16"/>
      <c r="Y1144" s="6" t="s">
        <v>1627</v>
      </c>
      <c r="Z1144" s="15"/>
      <c r="AA1144" s="15" t="s">
        <v>1628</v>
      </c>
    </row>
    <row r="1145" spans="1:27" ht="33" customHeight="1">
      <c r="A1145" s="6" t="s">
        <v>3660</v>
      </c>
      <c r="B1145" s="7">
        <v>849</v>
      </c>
      <c r="C1145" s="6" t="s">
        <v>3661</v>
      </c>
      <c r="D1145" s="6" t="s">
        <v>3652</v>
      </c>
      <c r="E1145" s="6" t="s">
        <v>2746</v>
      </c>
      <c r="F1145" s="6" t="s">
        <v>3653</v>
      </c>
      <c r="G1145" s="6" t="s">
        <v>1668</v>
      </c>
      <c r="H1145" s="6"/>
      <c r="I1145" s="14" t="s">
        <v>1669</v>
      </c>
      <c r="J1145" s="15"/>
      <c r="K1145" s="6" t="s">
        <v>2748</v>
      </c>
      <c r="L1145" s="6"/>
      <c r="M1145" s="6" t="s">
        <v>1671</v>
      </c>
      <c r="N1145" s="6" t="s">
        <v>1644</v>
      </c>
      <c r="O1145" s="7">
        <f>SUMIFS('05_상품별배치367'!$K$7:$K$373,'05_상품별배치367'!$E$7:$E$373,A1145,'05_상품별배치367'!$H$7:$H$373,"본진")</f>
        <v>0</v>
      </c>
      <c r="P1145" s="7">
        <f>SUMIFS('05_상품별배치367'!$K$7:$K$373,'05_상품별배치367'!$E$7:$E$373,A1145,'05_상품별배치367'!$H$7:$H$373,"추가 진열")</f>
        <v>0</v>
      </c>
      <c r="Q1145" s="7">
        <f>O1145+P1145</f>
        <v>0</v>
      </c>
      <c r="R1145" s="7">
        <v>0</v>
      </c>
      <c r="S1145" s="6" t="s">
        <v>1672</v>
      </c>
      <c r="T1145" s="6" t="s">
        <v>1637</v>
      </c>
      <c r="U1145" s="6"/>
      <c r="V1145" s="16"/>
      <c r="W1145" s="16"/>
      <c r="X1145" s="16"/>
      <c r="Y1145" s="6" t="s">
        <v>1627</v>
      </c>
      <c r="Z1145" s="15"/>
      <c r="AA1145" s="15" t="s">
        <v>1628</v>
      </c>
    </row>
    <row r="1146" spans="1:27" ht="33" customHeight="1">
      <c r="A1146" s="8" t="s">
        <v>3662</v>
      </c>
      <c r="B1146" s="9">
        <v>850</v>
      </c>
      <c r="C1146" s="8" t="s">
        <v>3663</v>
      </c>
      <c r="D1146" s="8" t="s">
        <v>3652</v>
      </c>
      <c r="E1146" s="8" t="s">
        <v>2746</v>
      </c>
      <c r="F1146" s="8" t="s">
        <v>3653</v>
      </c>
      <c r="G1146" s="8" t="s">
        <v>1668</v>
      </c>
      <c r="H1146" s="8"/>
      <c r="I1146" s="14" t="s">
        <v>1669</v>
      </c>
      <c r="J1146" s="15"/>
      <c r="K1146" s="8" t="s">
        <v>2748</v>
      </c>
      <c r="L1146" s="8"/>
      <c r="M1146" s="6" t="s">
        <v>1671</v>
      </c>
      <c r="N1146" s="6" t="s">
        <v>1644</v>
      </c>
      <c r="O1146" s="7">
        <f>SUMIFS('05_상품별배치367'!$K$7:$K$373,'05_상품별배치367'!$E$7:$E$373,A1146,'05_상품별배치367'!$H$7:$H$373,"본진")</f>
        <v>0</v>
      </c>
      <c r="P1146" s="7">
        <f>SUMIFS('05_상품별배치367'!$K$7:$K$373,'05_상품별배치367'!$E$7:$E$373,A1146,'05_상품별배치367'!$H$7:$H$373,"추가 진열")</f>
        <v>0</v>
      </c>
      <c r="Q1146" s="7">
        <f>O1146+P1146</f>
        <v>0</v>
      </c>
      <c r="R1146" s="7">
        <v>0</v>
      </c>
      <c r="S1146" s="6" t="s">
        <v>1672</v>
      </c>
      <c r="T1146" s="6" t="s">
        <v>1637</v>
      </c>
      <c r="U1146" s="6"/>
      <c r="V1146" s="16"/>
      <c r="W1146" s="16"/>
      <c r="X1146" s="16"/>
      <c r="Y1146" s="6" t="s">
        <v>1627</v>
      </c>
      <c r="Z1146" s="15"/>
      <c r="AA1146" s="15" t="s">
        <v>1628</v>
      </c>
    </row>
    <row r="1147" spans="1:27" ht="33" customHeight="1">
      <c r="A1147" s="8" t="s">
        <v>6151</v>
      </c>
      <c r="B1147" s="9">
        <v>2014</v>
      </c>
      <c r="C1147" s="8" t="s">
        <v>6152</v>
      </c>
      <c r="D1147" s="8" t="s">
        <v>6153</v>
      </c>
      <c r="E1147" s="8" t="s">
        <v>1620</v>
      </c>
      <c r="F1147" s="8" t="s">
        <v>152</v>
      </c>
      <c r="G1147" s="8" t="s">
        <v>69</v>
      </c>
      <c r="H1147" s="8"/>
      <c r="I1147" s="14" t="s">
        <v>1642</v>
      </c>
      <c r="J1147" s="15"/>
      <c r="K1147" s="8" t="s">
        <v>1622</v>
      </c>
      <c r="L1147" s="8"/>
      <c r="M1147" s="6" t="s">
        <v>1643</v>
      </c>
      <c r="N1147" s="6" t="s">
        <v>1624</v>
      </c>
      <c r="O1147" s="7">
        <f>SUMIFS('05_상품별배치367'!$K$7:$K$373,'05_상품별배치367'!$E$7:$E$373,A1147,'05_상품별배치367'!$H$7:$H$373,"본진")</f>
        <v>0</v>
      </c>
      <c r="P1147" s="7">
        <f>SUMIFS('05_상품별배치367'!$K$7:$K$373,'05_상품별배치367'!$E$7:$E$373,A1147,'05_상품별배치367'!$H$7:$H$373,"추가 진열")</f>
        <v>0</v>
      </c>
      <c r="Q1147" s="7">
        <f>O1147+P1147</f>
        <v>0</v>
      </c>
      <c r="R1147" s="7">
        <v>1</v>
      </c>
      <c r="S1147" s="6" t="s">
        <v>2056</v>
      </c>
      <c r="T1147" s="6" t="s">
        <v>1637</v>
      </c>
      <c r="U1147" s="6"/>
      <c r="V1147" s="16"/>
      <c r="W1147" s="16"/>
      <c r="X1147" s="16"/>
      <c r="Y1147" s="6" t="s">
        <v>1655</v>
      </c>
      <c r="Z1147" s="15"/>
      <c r="AA1147" s="15" t="s">
        <v>1628</v>
      </c>
    </row>
    <row r="1148" spans="1:27" ht="33" customHeight="1">
      <c r="A1148" s="6" t="s">
        <v>6371</v>
      </c>
      <c r="B1148" s="7">
        <v>2107</v>
      </c>
      <c r="C1148" s="6" t="s">
        <v>6372</v>
      </c>
      <c r="D1148" s="6" t="s">
        <v>6373</v>
      </c>
      <c r="E1148" s="6" t="s">
        <v>1743</v>
      </c>
      <c r="F1148" s="6" t="s">
        <v>776</v>
      </c>
      <c r="G1148" s="6" t="s">
        <v>131</v>
      </c>
      <c r="H1148" s="6" t="s">
        <v>775</v>
      </c>
      <c r="I1148" s="14" t="s">
        <v>1621</v>
      </c>
      <c r="J1148" s="15"/>
      <c r="K1148" s="6" t="s">
        <v>1696</v>
      </c>
      <c r="L1148" s="6"/>
      <c r="M1148" s="6" t="s">
        <v>1623</v>
      </c>
      <c r="N1148" s="6" t="s">
        <v>1624</v>
      </c>
      <c r="O1148" s="7">
        <f>SUMIFS('05_상품별배치367'!$K$7:$K$373,'05_상품별배치367'!$E$7:$E$373,A1148,'05_상품별배치367'!$H$7:$H$373,"본진")</f>
        <v>1</v>
      </c>
      <c r="P1148" s="7">
        <f>SUMIFS('05_상품별배치367'!$K$7:$K$373,'05_상품별배치367'!$E$7:$E$373,A1148,'05_상품별배치367'!$H$7:$H$373,"추가 진열")</f>
        <v>0</v>
      </c>
      <c r="Q1148" s="7">
        <f>O1148+P1148</f>
        <v>1</v>
      </c>
      <c r="R1148" s="7">
        <v>1</v>
      </c>
      <c r="S1148" s="6" t="s">
        <v>1625</v>
      </c>
      <c r="T1148" s="6" t="s">
        <v>1637</v>
      </c>
      <c r="U1148" s="6"/>
      <c r="V1148" s="16"/>
      <c r="W1148" s="16"/>
      <c r="X1148" s="16"/>
      <c r="Y1148" s="6" t="s">
        <v>1627</v>
      </c>
      <c r="Z1148" s="15"/>
      <c r="AA1148" s="15" t="s">
        <v>1628</v>
      </c>
    </row>
    <row r="1149" spans="1:27" ht="33" customHeight="1">
      <c r="A1149" s="8" t="s">
        <v>6374</v>
      </c>
      <c r="B1149" s="9">
        <v>2108</v>
      </c>
      <c r="C1149" s="8" t="s">
        <v>6375</v>
      </c>
      <c r="D1149" s="8" t="s">
        <v>6373</v>
      </c>
      <c r="E1149" s="8" t="s">
        <v>1743</v>
      </c>
      <c r="F1149" s="8" t="s">
        <v>776</v>
      </c>
      <c r="G1149" s="8" t="s">
        <v>131</v>
      </c>
      <c r="H1149" s="8"/>
      <c r="I1149" s="14" t="s">
        <v>1642</v>
      </c>
      <c r="J1149" s="15"/>
      <c r="K1149" s="8" t="s">
        <v>1696</v>
      </c>
      <c r="L1149" s="8"/>
      <c r="M1149" s="6" t="s">
        <v>1643</v>
      </c>
      <c r="N1149" s="6" t="s">
        <v>1624</v>
      </c>
      <c r="O1149" s="7">
        <f>SUMIFS('05_상품별배치367'!$K$7:$K$373,'05_상품별배치367'!$E$7:$E$373,A1149,'05_상품별배치367'!$H$7:$H$373,"본진")</f>
        <v>0</v>
      </c>
      <c r="P1149" s="7">
        <f>SUMIFS('05_상품별배치367'!$K$7:$K$373,'05_상품별배치367'!$E$7:$E$373,A1149,'05_상품별배치367'!$H$7:$H$373,"추가 진열")</f>
        <v>0</v>
      </c>
      <c r="Q1149" s="7">
        <f>O1149+P1149</f>
        <v>0</v>
      </c>
      <c r="R1149" s="7">
        <v>1</v>
      </c>
      <c r="S1149" s="6" t="s">
        <v>6376</v>
      </c>
      <c r="T1149" s="6" t="s">
        <v>1637</v>
      </c>
      <c r="U1149" s="6"/>
      <c r="V1149" s="16"/>
      <c r="W1149" s="16"/>
      <c r="X1149" s="16"/>
      <c r="Y1149" s="6" t="s">
        <v>1627</v>
      </c>
      <c r="Z1149" s="15"/>
      <c r="AA1149" s="15" t="s">
        <v>1628</v>
      </c>
    </row>
    <row r="1150" spans="1:27" ht="33" customHeight="1">
      <c r="A1150" s="8" t="s">
        <v>5918</v>
      </c>
      <c r="B1150" s="9">
        <v>1912</v>
      </c>
      <c r="C1150" s="8" t="s">
        <v>5919</v>
      </c>
      <c r="D1150" s="8"/>
      <c r="E1150" s="8" t="s">
        <v>1743</v>
      </c>
      <c r="F1150" s="8" t="s">
        <v>776</v>
      </c>
      <c r="G1150" s="8" t="s">
        <v>131</v>
      </c>
      <c r="H1150" s="8"/>
      <c r="I1150" s="14" t="s">
        <v>1807</v>
      </c>
      <c r="J1150" s="15"/>
      <c r="K1150" s="8" t="s">
        <v>1696</v>
      </c>
      <c r="L1150" s="8" t="s">
        <v>2079</v>
      </c>
      <c r="M1150" s="6" t="s">
        <v>1809</v>
      </c>
      <c r="N1150" s="6" t="s">
        <v>1644</v>
      </c>
      <c r="O1150" s="7">
        <f>SUMIFS('05_상품별배치367'!$K$7:$K$373,'05_상품별배치367'!$E$7:$E$373,A1150,'05_상품별배치367'!$H$7:$H$373,"본진")</f>
        <v>0</v>
      </c>
      <c r="P1150" s="7">
        <f>SUMIFS('05_상품별배치367'!$K$7:$K$373,'05_상품별배치367'!$E$7:$E$373,A1150,'05_상품별배치367'!$H$7:$H$373,"추가 진열")</f>
        <v>0</v>
      </c>
      <c r="Q1150" s="7">
        <f>O1150+P1150</f>
        <v>0</v>
      </c>
      <c r="R1150" s="7">
        <v>0</v>
      </c>
      <c r="S1150" s="6" t="s">
        <v>1810</v>
      </c>
      <c r="T1150" s="6" t="s">
        <v>1637</v>
      </c>
      <c r="U1150" s="6"/>
      <c r="V1150" s="16"/>
      <c r="W1150" s="16"/>
      <c r="X1150" s="16"/>
      <c r="Y1150" s="6" t="s">
        <v>5772</v>
      </c>
      <c r="Z1150" s="15"/>
      <c r="AA1150" s="15" t="s">
        <v>1628</v>
      </c>
    </row>
    <row r="1151" spans="1:27" ht="33" customHeight="1">
      <c r="A1151" s="6" t="s">
        <v>6377</v>
      </c>
      <c r="B1151" s="7">
        <v>2109</v>
      </c>
      <c r="C1151" s="6" t="s">
        <v>6378</v>
      </c>
      <c r="D1151" s="6" t="s">
        <v>6373</v>
      </c>
      <c r="E1151" s="6" t="s">
        <v>1743</v>
      </c>
      <c r="F1151" s="6" t="s">
        <v>776</v>
      </c>
      <c r="G1151" s="6" t="s">
        <v>131</v>
      </c>
      <c r="H1151" s="6" t="s">
        <v>775</v>
      </c>
      <c r="I1151" s="14" t="s">
        <v>1633</v>
      </c>
      <c r="J1151" s="15"/>
      <c r="K1151" s="6" t="s">
        <v>1696</v>
      </c>
      <c r="L1151" s="6"/>
      <c r="M1151" s="6" t="s">
        <v>1635</v>
      </c>
      <c r="N1151" s="6" t="s">
        <v>1624</v>
      </c>
      <c r="O1151" s="7">
        <f>SUMIFS('05_상품별배치367'!$K$7:$K$373,'05_상품별배치367'!$E$7:$E$373,A1151,'05_상품별배치367'!$H$7:$H$373,"본진")</f>
        <v>1</v>
      </c>
      <c r="P1151" s="7">
        <f>SUMIFS('05_상품별배치367'!$K$7:$K$373,'05_상품별배치367'!$E$7:$E$373,A1151,'05_상품별배치367'!$H$7:$H$373,"추가 진열")</f>
        <v>0</v>
      </c>
      <c r="Q1151" s="7">
        <f>O1151+P1151</f>
        <v>1</v>
      </c>
      <c r="R1151" s="7">
        <v>1</v>
      </c>
      <c r="S1151" s="6" t="s">
        <v>1636</v>
      </c>
      <c r="T1151" s="6" t="s">
        <v>1637</v>
      </c>
      <c r="U1151" s="6"/>
      <c r="V1151" s="16"/>
      <c r="W1151" s="16"/>
      <c r="X1151" s="16"/>
      <c r="Y1151" s="6" t="s">
        <v>1627</v>
      </c>
      <c r="Z1151" s="15"/>
      <c r="AA1151" s="15" t="s">
        <v>1628</v>
      </c>
    </row>
    <row r="1152" spans="1:27" ht="33" customHeight="1">
      <c r="A1152" s="8" t="s">
        <v>5921</v>
      </c>
      <c r="B1152" s="9">
        <v>1914</v>
      </c>
      <c r="C1152" s="8" t="s">
        <v>5922</v>
      </c>
      <c r="D1152" s="8"/>
      <c r="E1152" s="8" t="s">
        <v>1743</v>
      </c>
      <c r="F1152" s="8" t="s">
        <v>2129</v>
      </c>
      <c r="G1152" s="8" t="s">
        <v>1668</v>
      </c>
      <c r="H1152" s="8"/>
      <c r="I1152" s="14" t="s">
        <v>1807</v>
      </c>
      <c r="J1152" s="15"/>
      <c r="K1152" s="8" t="s">
        <v>1696</v>
      </c>
      <c r="L1152" s="8" t="s">
        <v>2079</v>
      </c>
      <c r="M1152" s="6" t="s">
        <v>1809</v>
      </c>
      <c r="N1152" s="6" t="s">
        <v>1644</v>
      </c>
      <c r="O1152" s="7">
        <f>SUMIFS('05_상품별배치367'!$K$7:$K$373,'05_상품별배치367'!$E$7:$E$373,A1152,'05_상품별배치367'!$H$7:$H$373,"본진")</f>
        <v>0</v>
      </c>
      <c r="P1152" s="7">
        <f>SUMIFS('05_상품별배치367'!$K$7:$K$373,'05_상품별배치367'!$E$7:$E$373,A1152,'05_상품별배치367'!$H$7:$H$373,"추가 진열")</f>
        <v>0</v>
      </c>
      <c r="Q1152" s="7">
        <f>O1152+P1152</f>
        <v>0</v>
      </c>
      <c r="R1152" s="7">
        <v>0</v>
      </c>
      <c r="S1152" s="6" t="s">
        <v>1810</v>
      </c>
      <c r="T1152" s="6" t="s">
        <v>1637</v>
      </c>
      <c r="U1152" s="6"/>
      <c r="V1152" s="16"/>
      <c r="W1152" s="16"/>
      <c r="X1152" s="16"/>
      <c r="Y1152" s="6" t="s">
        <v>5772</v>
      </c>
      <c r="Z1152" s="15"/>
      <c r="AA1152" s="15" t="s">
        <v>1628</v>
      </c>
    </row>
    <row r="1153" spans="1:27" ht="33" customHeight="1">
      <c r="A1153" s="6" t="s">
        <v>5722</v>
      </c>
      <c r="B1153" s="7">
        <v>1817</v>
      </c>
      <c r="C1153" s="6" t="s">
        <v>5723</v>
      </c>
      <c r="D1153" s="6" t="s">
        <v>2133</v>
      </c>
      <c r="E1153" s="6" t="s">
        <v>2134</v>
      </c>
      <c r="F1153" s="6" t="s">
        <v>163</v>
      </c>
      <c r="G1153" s="6" t="s">
        <v>414</v>
      </c>
      <c r="H1153" s="6"/>
      <c r="I1153" s="14" t="s">
        <v>1642</v>
      </c>
      <c r="J1153" s="15"/>
      <c r="K1153" s="6" t="s">
        <v>1976</v>
      </c>
      <c r="L1153" s="6"/>
      <c r="M1153" s="6" t="s">
        <v>1643</v>
      </c>
      <c r="N1153" s="6" t="s">
        <v>1644</v>
      </c>
      <c r="O1153" s="7">
        <f>SUMIFS('05_상품별배치367'!$K$7:$K$373,'05_상품별배치367'!$E$7:$E$373,A1153,'05_상품별배치367'!$H$7:$H$373,"본진")</f>
        <v>0</v>
      </c>
      <c r="P1153" s="7">
        <f>SUMIFS('05_상품별배치367'!$K$7:$K$373,'05_상품별배치367'!$E$7:$E$373,A1153,'05_상품별배치367'!$H$7:$H$373,"추가 진열")</f>
        <v>0</v>
      </c>
      <c r="Q1153" s="7">
        <f>O1153+P1153</f>
        <v>0</v>
      </c>
      <c r="R1153" s="7">
        <v>1</v>
      </c>
      <c r="S1153" s="6" t="s">
        <v>3048</v>
      </c>
      <c r="T1153" s="6" t="s">
        <v>1637</v>
      </c>
      <c r="U1153" s="6"/>
      <c r="V1153" s="16"/>
      <c r="W1153" s="16"/>
      <c r="X1153" s="16"/>
      <c r="Y1153" s="6" t="s">
        <v>1627</v>
      </c>
      <c r="Z1153" s="15"/>
      <c r="AA1153" s="15" t="s">
        <v>1628</v>
      </c>
    </row>
    <row r="1154" spans="1:27" ht="33" customHeight="1">
      <c r="A1154" s="8" t="s">
        <v>5716</v>
      </c>
      <c r="B1154" s="9">
        <v>1814</v>
      </c>
      <c r="C1154" s="8" t="s">
        <v>5717</v>
      </c>
      <c r="D1154" s="8" t="s">
        <v>2856</v>
      </c>
      <c r="E1154" s="8" t="s">
        <v>2134</v>
      </c>
      <c r="F1154" s="8" t="s">
        <v>156</v>
      </c>
      <c r="G1154" s="8" t="s">
        <v>3239</v>
      </c>
      <c r="H1154" s="8"/>
      <c r="I1154" s="14" t="s">
        <v>1642</v>
      </c>
      <c r="J1154" s="15"/>
      <c r="K1154" s="8" t="s">
        <v>1976</v>
      </c>
      <c r="L1154" s="8"/>
      <c r="M1154" s="6" t="s">
        <v>1643</v>
      </c>
      <c r="N1154" s="6" t="s">
        <v>1644</v>
      </c>
      <c r="O1154" s="7">
        <f>SUMIFS('05_상품별배치367'!$K$7:$K$373,'05_상품별배치367'!$E$7:$E$373,A1154,'05_상품별배치367'!$H$7:$H$373,"본진")</f>
        <v>0</v>
      </c>
      <c r="P1154" s="7">
        <f>SUMIFS('05_상품별배치367'!$K$7:$K$373,'05_상품별배치367'!$E$7:$E$373,A1154,'05_상품별배치367'!$H$7:$H$373,"추가 진열")</f>
        <v>0</v>
      </c>
      <c r="Q1154" s="7">
        <f>O1154+P1154</f>
        <v>0</v>
      </c>
      <c r="R1154" s="7">
        <v>1</v>
      </c>
      <c r="S1154" s="6" t="s">
        <v>3240</v>
      </c>
      <c r="T1154" s="6" t="s">
        <v>1637</v>
      </c>
      <c r="U1154" s="6"/>
      <c r="V1154" s="16"/>
      <c r="W1154" s="16"/>
      <c r="X1154" s="16"/>
      <c r="Y1154" s="6" t="s">
        <v>1627</v>
      </c>
      <c r="Z1154" s="15"/>
      <c r="AA1154" s="15" t="s">
        <v>1628</v>
      </c>
    </row>
    <row r="1155" spans="1:27" ht="33" customHeight="1">
      <c r="A1155" s="6" t="s">
        <v>5718</v>
      </c>
      <c r="B1155" s="7">
        <v>1815</v>
      </c>
      <c r="C1155" s="6" t="s">
        <v>5719</v>
      </c>
      <c r="D1155" s="6" t="s">
        <v>2899</v>
      </c>
      <c r="E1155" s="6" t="s">
        <v>2134</v>
      </c>
      <c r="F1155" s="6" t="s">
        <v>1081</v>
      </c>
      <c r="G1155" s="6" t="s">
        <v>290</v>
      </c>
      <c r="H1155" s="6"/>
      <c r="I1155" s="14" t="s">
        <v>1642</v>
      </c>
      <c r="J1155" s="15"/>
      <c r="K1155" s="6" t="s">
        <v>1976</v>
      </c>
      <c r="L1155" s="6"/>
      <c r="M1155" s="6" t="s">
        <v>1643</v>
      </c>
      <c r="N1155" s="6" t="s">
        <v>1644</v>
      </c>
      <c r="O1155" s="7">
        <f>SUMIFS('05_상품별배치367'!$K$7:$K$373,'05_상품별배치367'!$E$7:$E$373,A1155,'05_상품별배치367'!$H$7:$H$373,"본진")</f>
        <v>0</v>
      </c>
      <c r="P1155" s="7">
        <f>SUMIFS('05_상품별배치367'!$K$7:$K$373,'05_상품별배치367'!$E$7:$E$373,A1155,'05_상품별배치367'!$H$7:$H$373,"추가 진열")</f>
        <v>0</v>
      </c>
      <c r="Q1155" s="7">
        <f>O1155+P1155</f>
        <v>0</v>
      </c>
      <c r="R1155" s="7">
        <v>1</v>
      </c>
      <c r="S1155" s="6" t="s">
        <v>2135</v>
      </c>
      <c r="T1155" s="6" t="s">
        <v>1637</v>
      </c>
      <c r="U1155" s="6"/>
      <c r="V1155" s="16"/>
      <c r="W1155" s="16"/>
      <c r="X1155" s="16"/>
      <c r="Y1155" s="6" t="s">
        <v>1627</v>
      </c>
      <c r="Z1155" s="15"/>
      <c r="AA1155" s="15" t="s">
        <v>1628</v>
      </c>
    </row>
    <row r="1156" spans="1:27" ht="33" customHeight="1">
      <c r="A1156" s="8" t="s">
        <v>5720</v>
      </c>
      <c r="B1156" s="9">
        <v>1816</v>
      </c>
      <c r="C1156" s="8" t="s">
        <v>5721</v>
      </c>
      <c r="D1156" s="8" t="s">
        <v>2007</v>
      </c>
      <c r="E1156" s="8" t="s">
        <v>1986</v>
      </c>
      <c r="F1156" s="8" t="s">
        <v>913</v>
      </c>
      <c r="G1156" s="8" t="s">
        <v>201</v>
      </c>
      <c r="H1156" s="8"/>
      <c r="I1156" s="14" t="s">
        <v>1642</v>
      </c>
      <c r="J1156" s="15"/>
      <c r="K1156" s="8" t="s">
        <v>1976</v>
      </c>
      <c r="L1156" s="8"/>
      <c r="M1156" s="6" t="s">
        <v>1643</v>
      </c>
      <c r="N1156" s="6" t="s">
        <v>1644</v>
      </c>
      <c r="O1156" s="7">
        <f>SUMIFS('05_상품별배치367'!$K$7:$K$373,'05_상품별배치367'!$E$7:$E$373,A1156,'05_상품별배치367'!$H$7:$H$373,"본진")</f>
        <v>0</v>
      </c>
      <c r="P1156" s="7">
        <f>SUMIFS('05_상품별배치367'!$K$7:$K$373,'05_상품별배치367'!$E$7:$E$373,A1156,'05_상품별배치367'!$H$7:$H$373,"추가 진열")</f>
        <v>0</v>
      </c>
      <c r="Q1156" s="7">
        <f>O1156+P1156</f>
        <v>0</v>
      </c>
      <c r="R1156" s="7">
        <v>1</v>
      </c>
      <c r="S1156" s="6" t="s">
        <v>2907</v>
      </c>
      <c r="T1156" s="6" t="s">
        <v>1637</v>
      </c>
      <c r="U1156" s="6"/>
      <c r="V1156" s="16"/>
      <c r="W1156" s="16"/>
      <c r="X1156" s="16"/>
      <c r="Y1156" s="6" t="s">
        <v>1627</v>
      </c>
      <c r="Z1156" s="15"/>
      <c r="AA1156" s="15" t="s">
        <v>1628</v>
      </c>
    </row>
    <row r="1157" spans="1:27" ht="33" customHeight="1">
      <c r="A1157" s="8" t="s">
        <v>5724</v>
      </c>
      <c r="B1157" s="9">
        <v>1818</v>
      </c>
      <c r="C1157" s="8" t="s">
        <v>5725</v>
      </c>
      <c r="D1157" s="8" t="s">
        <v>2133</v>
      </c>
      <c r="E1157" s="8" t="s">
        <v>2134</v>
      </c>
      <c r="F1157" s="8" t="s">
        <v>163</v>
      </c>
      <c r="G1157" s="8" t="s">
        <v>414</v>
      </c>
      <c r="H1157" s="8"/>
      <c r="I1157" s="14" t="s">
        <v>1642</v>
      </c>
      <c r="J1157" s="15"/>
      <c r="K1157" s="8" t="s">
        <v>1976</v>
      </c>
      <c r="L1157" s="8"/>
      <c r="M1157" s="6" t="s">
        <v>1643</v>
      </c>
      <c r="N1157" s="6" t="s">
        <v>1644</v>
      </c>
      <c r="O1157" s="7">
        <f>SUMIFS('05_상품별배치367'!$K$7:$K$373,'05_상품별배치367'!$E$7:$E$373,A1157,'05_상품별배치367'!$H$7:$H$373,"본진")</f>
        <v>0</v>
      </c>
      <c r="P1157" s="7">
        <f>SUMIFS('05_상품별배치367'!$K$7:$K$373,'05_상품별배치367'!$E$7:$E$373,A1157,'05_상품별배치367'!$H$7:$H$373,"추가 진열")</f>
        <v>0</v>
      </c>
      <c r="Q1157" s="7">
        <f>O1157+P1157</f>
        <v>0</v>
      </c>
      <c r="R1157" s="7">
        <v>1</v>
      </c>
      <c r="S1157" s="6" t="s">
        <v>3048</v>
      </c>
      <c r="T1157" s="6" t="s">
        <v>1637</v>
      </c>
      <c r="U1157" s="6"/>
      <c r="V1157" s="16"/>
      <c r="W1157" s="16"/>
      <c r="X1157" s="16"/>
      <c r="Y1157" s="6" t="s">
        <v>1627</v>
      </c>
      <c r="Z1157" s="15"/>
      <c r="AA1157" s="15" t="s">
        <v>1628</v>
      </c>
    </row>
    <row r="1158" spans="1:27" ht="33" customHeight="1">
      <c r="A1158" s="6" t="s">
        <v>5714</v>
      </c>
      <c r="B1158" s="7">
        <v>1813</v>
      </c>
      <c r="C1158" s="6" t="s">
        <v>5715</v>
      </c>
      <c r="D1158" s="6" t="s">
        <v>2133</v>
      </c>
      <c r="E1158" s="6" t="s">
        <v>2746</v>
      </c>
      <c r="F1158" s="6" t="s">
        <v>3635</v>
      </c>
      <c r="G1158" s="6" t="s">
        <v>1668</v>
      </c>
      <c r="H1158" s="6"/>
      <c r="I1158" s="14" t="s">
        <v>1669</v>
      </c>
      <c r="J1158" s="15"/>
      <c r="K1158" s="6" t="s">
        <v>2748</v>
      </c>
      <c r="L1158" s="6"/>
      <c r="M1158" s="6" t="s">
        <v>1671</v>
      </c>
      <c r="N1158" s="6" t="s">
        <v>1644</v>
      </c>
      <c r="O1158" s="7">
        <f>SUMIFS('05_상품별배치367'!$K$7:$K$373,'05_상품별배치367'!$E$7:$E$373,A1158,'05_상품별배치367'!$H$7:$H$373,"본진")</f>
        <v>0</v>
      </c>
      <c r="P1158" s="7">
        <f>SUMIFS('05_상품별배치367'!$K$7:$K$373,'05_상품별배치367'!$E$7:$E$373,A1158,'05_상품별배치367'!$H$7:$H$373,"추가 진열")</f>
        <v>0</v>
      </c>
      <c r="Q1158" s="7">
        <f>O1158+P1158</f>
        <v>0</v>
      </c>
      <c r="R1158" s="7">
        <v>0</v>
      </c>
      <c r="S1158" s="6" t="s">
        <v>1672</v>
      </c>
      <c r="T1158" s="6" t="s">
        <v>1637</v>
      </c>
      <c r="U1158" s="6"/>
      <c r="V1158" s="16"/>
      <c r="W1158" s="16"/>
      <c r="X1158" s="16"/>
      <c r="Y1158" s="6" t="s">
        <v>1627</v>
      </c>
      <c r="Z1158" s="15"/>
      <c r="AA1158" s="15" t="s">
        <v>1628</v>
      </c>
    </row>
    <row r="1159" spans="1:27" ht="33" customHeight="1">
      <c r="A1159" s="6" t="s">
        <v>5888</v>
      </c>
      <c r="B1159" s="7">
        <v>1899</v>
      </c>
      <c r="C1159" s="6" t="s">
        <v>5889</v>
      </c>
      <c r="D1159" s="6" t="s">
        <v>1724</v>
      </c>
      <c r="E1159" s="6" t="s">
        <v>1632</v>
      </c>
      <c r="F1159" s="6" t="s">
        <v>1014</v>
      </c>
      <c r="G1159" s="6" t="s">
        <v>254</v>
      </c>
      <c r="H1159" s="6"/>
      <c r="I1159" s="14" t="s">
        <v>1642</v>
      </c>
      <c r="J1159" s="15"/>
      <c r="K1159" s="6" t="s">
        <v>1634</v>
      </c>
      <c r="L1159" s="6" t="s">
        <v>3828</v>
      </c>
      <c r="M1159" s="6" t="s">
        <v>1643</v>
      </c>
      <c r="N1159" s="6" t="s">
        <v>1624</v>
      </c>
      <c r="O1159" s="7">
        <f>SUMIFS('05_상품별배치367'!$K$7:$K$373,'05_상품별배치367'!$E$7:$E$373,A1159,'05_상품별배치367'!$H$7:$H$373,"본진")</f>
        <v>0</v>
      </c>
      <c r="P1159" s="7">
        <f>SUMIFS('05_상품별배치367'!$K$7:$K$373,'05_상품별배치367'!$E$7:$E$373,A1159,'05_상품별배치367'!$H$7:$H$373,"추가 진열")</f>
        <v>0</v>
      </c>
      <c r="Q1159" s="7">
        <f>O1159+P1159</f>
        <v>0</v>
      </c>
      <c r="R1159" s="7">
        <v>1</v>
      </c>
      <c r="S1159" s="6" t="s">
        <v>1725</v>
      </c>
      <c r="T1159" s="6" t="s">
        <v>1637</v>
      </c>
      <c r="U1159" s="6"/>
      <c r="V1159" s="16"/>
      <c r="W1159" s="16"/>
      <c r="X1159" s="16"/>
      <c r="Y1159" s="6" t="s">
        <v>1627</v>
      </c>
      <c r="Z1159" s="15"/>
      <c r="AA1159" s="15" t="s">
        <v>1628</v>
      </c>
    </row>
    <row r="1160" spans="1:27" ht="33" customHeight="1">
      <c r="A1160" s="6" t="s">
        <v>2918</v>
      </c>
      <c r="B1160" s="7">
        <v>511</v>
      </c>
      <c r="C1160" s="6" t="s">
        <v>2919</v>
      </c>
      <c r="D1160" s="6" t="s">
        <v>2845</v>
      </c>
      <c r="E1160" s="6" t="s">
        <v>1695</v>
      </c>
      <c r="F1160" s="6" t="s">
        <v>482</v>
      </c>
      <c r="G1160" s="6" t="s">
        <v>272</v>
      </c>
      <c r="H1160" s="6"/>
      <c r="I1160" s="14" t="s">
        <v>1642</v>
      </c>
      <c r="J1160" s="15"/>
      <c r="K1160" s="6" t="s">
        <v>1696</v>
      </c>
      <c r="L1160" s="6"/>
      <c r="M1160" s="6" t="s">
        <v>1643</v>
      </c>
      <c r="N1160" s="6" t="s">
        <v>1644</v>
      </c>
      <c r="O1160" s="7">
        <f>SUMIFS('05_상품별배치367'!$K$7:$K$373,'05_상품별배치367'!$E$7:$E$373,A1160,'05_상품별배치367'!$H$7:$H$373,"본진")</f>
        <v>0</v>
      </c>
      <c r="P1160" s="7">
        <f>SUMIFS('05_상품별배치367'!$K$7:$K$373,'05_상품별배치367'!$E$7:$E$373,A1160,'05_상품별배치367'!$H$7:$H$373,"추가 진열")</f>
        <v>0</v>
      </c>
      <c r="Q1160" s="7">
        <f>O1160+P1160</f>
        <v>0</v>
      </c>
      <c r="R1160" s="7">
        <v>1</v>
      </c>
      <c r="S1160" s="6" t="s">
        <v>1942</v>
      </c>
      <c r="T1160" s="6" t="s">
        <v>1637</v>
      </c>
      <c r="U1160" s="6"/>
      <c r="V1160" s="16"/>
      <c r="W1160" s="16"/>
      <c r="X1160" s="16"/>
      <c r="Y1160" s="6" t="s">
        <v>1627</v>
      </c>
      <c r="Z1160" s="15"/>
      <c r="AA1160" s="15" t="s">
        <v>1628</v>
      </c>
    </row>
    <row r="1161" spans="1:27" ht="33" customHeight="1">
      <c r="A1161" s="8" t="s">
        <v>2916</v>
      </c>
      <c r="B1161" s="9">
        <v>510</v>
      </c>
      <c r="C1161" s="8" t="s">
        <v>2917</v>
      </c>
      <c r="D1161" s="8" t="s">
        <v>1851</v>
      </c>
      <c r="E1161" s="8" t="s">
        <v>1695</v>
      </c>
      <c r="F1161" s="8" t="s">
        <v>519</v>
      </c>
      <c r="G1161" s="8" t="s">
        <v>455</v>
      </c>
      <c r="H1161" s="8" t="s">
        <v>1429</v>
      </c>
      <c r="I1161" s="14" t="s">
        <v>1633</v>
      </c>
      <c r="J1161" s="15"/>
      <c r="K1161" s="8" t="s">
        <v>1696</v>
      </c>
      <c r="L1161" s="8"/>
      <c r="M1161" s="6" t="s">
        <v>1635</v>
      </c>
      <c r="N1161" s="6" t="s">
        <v>1624</v>
      </c>
      <c r="O1161" s="7">
        <f>SUMIFS('05_상품별배치367'!$K$7:$K$373,'05_상품별배치367'!$E$7:$E$373,A1161,'05_상품별배치367'!$H$7:$H$373,"본진")</f>
        <v>1</v>
      </c>
      <c r="P1161" s="7">
        <f>SUMIFS('05_상품별배치367'!$K$7:$K$373,'05_상품별배치367'!$E$7:$E$373,A1161,'05_상품별배치367'!$H$7:$H$373,"추가 진열")</f>
        <v>0</v>
      </c>
      <c r="Q1161" s="7">
        <f>O1161+P1161</f>
        <v>1</v>
      </c>
      <c r="R1161" s="7">
        <v>1</v>
      </c>
      <c r="S1161" s="6" t="s">
        <v>1636</v>
      </c>
      <c r="T1161" s="6" t="s">
        <v>1637</v>
      </c>
      <c r="U1161" s="6"/>
      <c r="V1161" s="16"/>
      <c r="W1161" s="16"/>
      <c r="X1161" s="16"/>
      <c r="Y1161" s="6" t="s">
        <v>1627</v>
      </c>
      <c r="Z1161" s="15"/>
      <c r="AA1161" s="15" t="s">
        <v>1628</v>
      </c>
    </row>
    <row r="1162" spans="1:27" ht="33" customHeight="1">
      <c r="A1162" s="8" t="s">
        <v>4775</v>
      </c>
      <c r="B1162" s="9">
        <v>1372</v>
      </c>
      <c r="C1162" s="8" t="s">
        <v>4776</v>
      </c>
      <c r="D1162" s="8" t="s">
        <v>2856</v>
      </c>
      <c r="E1162" s="8" t="s">
        <v>2134</v>
      </c>
      <c r="F1162" s="8" t="s">
        <v>2933</v>
      </c>
      <c r="G1162" s="8" t="s">
        <v>1668</v>
      </c>
      <c r="H1162" s="8"/>
      <c r="I1162" s="14" t="s">
        <v>1807</v>
      </c>
      <c r="J1162" s="15"/>
      <c r="K1162" s="8" t="s">
        <v>1976</v>
      </c>
      <c r="L1162" s="8" t="s">
        <v>2032</v>
      </c>
      <c r="M1162" s="6" t="s">
        <v>1809</v>
      </c>
      <c r="N1162" s="6" t="s">
        <v>1644</v>
      </c>
      <c r="O1162" s="7">
        <f>SUMIFS('05_상품별배치367'!$K$7:$K$373,'05_상품별배치367'!$E$7:$E$373,A1162,'05_상품별배치367'!$H$7:$H$373,"본진")</f>
        <v>0</v>
      </c>
      <c r="P1162" s="7">
        <f>SUMIFS('05_상품별배치367'!$K$7:$K$373,'05_상품별배치367'!$E$7:$E$373,A1162,'05_상품별배치367'!$H$7:$H$373,"추가 진열")</f>
        <v>0</v>
      </c>
      <c r="Q1162" s="7">
        <f>O1162+P1162</f>
        <v>0</v>
      </c>
      <c r="R1162" s="7">
        <v>0</v>
      </c>
      <c r="S1162" s="6" t="s">
        <v>1810</v>
      </c>
      <c r="T1162" s="6" t="s">
        <v>1637</v>
      </c>
      <c r="U1162" s="6"/>
      <c r="V1162" s="16"/>
      <c r="W1162" s="16"/>
      <c r="X1162" s="16"/>
      <c r="Y1162" s="6" t="s">
        <v>1627</v>
      </c>
      <c r="Z1162" s="15"/>
      <c r="AA1162" s="15" t="s">
        <v>1628</v>
      </c>
    </row>
    <row r="1163" spans="1:27" ht="33" customHeight="1">
      <c r="A1163" s="8" t="s">
        <v>4763</v>
      </c>
      <c r="B1163" s="9">
        <v>1366</v>
      </c>
      <c r="C1163" s="8" t="s">
        <v>4764</v>
      </c>
      <c r="D1163" s="8" t="s">
        <v>1851</v>
      </c>
      <c r="E1163" s="8" t="s">
        <v>2134</v>
      </c>
      <c r="F1163" s="8" t="s">
        <v>2933</v>
      </c>
      <c r="G1163" s="8" t="s">
        <v>1668</v>
      </c>
      <c r="H1163" s="8"/>
      <c r="I1163" s="14" t="s">
        <v>1807</v>
      </c>
      <c r="J1163" s="15"/>
      <c r="K1163" s="8" t="s">
        <v>1976</v>
      </c>
      <c r="L1163" s="8" t="s">
        <v>2032</v>
      </c>
      <c r="M1163" s="6" t="s">
        <v>1809</v>
      </c>
      <c r="N1163" s="6" t="s">
        <v>1644</v>
      </c>
      <c r="O1163" s="7">
        <f>SUMIFS('05_상품별배치367'!$K$7:$K$373,'05_상품별배치367'!$E$7:$E$373,A1163,'05_상품별배치367'!$H$7:$H$373,"본진")</f>
        <v>0</v>
      </c>
      <c r="P1163" s="7">
        <f>SUMIFS('05_상품별배치367'!$K$7:$K$373,'05_상품별배치367'!$E$7:$E$373,A1163,'05_상품별배치367'!$H$7:$H$373,"추가 진열")</f>
        <v>0</v>
      </c>
      <c r="Q1163" s="7">
        <f>O1163+P1163</f>
        <v>0</v>
      </c>
      <c r="R1163" s="7">
        <v>0</v>
      </c>
      <c r="S1163" s="6" t="s">
        <v>1810</v>
      </c>
      <c r="T1163" s="6" t="s">
        <v>1637</v>
      </c>
      <c r="U1163" s="6"/>
      <c r="V1163" s="16"/>
      <c r="W1163" s="16"/>
      <c r="X1163" s="16"/>
      <c r="Y1163" s="6" t="s">
        <v>1627</v>
      </c>
      <c r="Z1163" s="15"/>
      <c r="AA1163" s="15" t="s">
        <v>1628</v>
      </c>
    </row>
    <row r="1164" spans="1:27" ht="33" customHeight="1">
      <c r="A1164" s="6" t="s">
        <v>4761</v>
      </c>
      <c r="B1164" s="7">
        <v>1365</v>
      </c>
      <c r="C1164" s="6" t="s">
        <v>4762</v>
      </c>
      <c r="D1164" s="6" t="s">
        <v>1851</v>
      </c>
      <c r="E1164" s="6" t="s">
        <v>2134</v>
      </c>
      <c r="F1164" s="6" t="s">
        <v>2933</v>
      </c>
      <c r="G1164" s="6" t="s">
        <v>1668</v>
      </c>
      <c r="H1164" s="6"/>
      <c r="I1164" s="14" t="s">
        <v>1807</v>
      </c>
      <c r="J1164" s="15"/>
      <c r="K1164" s="6" t="s">
        <v>1976</v>
      </c>
      <c r="L1164" s="6" t="s">
        <v>2032</v>
      </c>
      <c r="M1164" s="6" t="s">
        <v>1809</v>
      </c>
      <c r="N1164" s="6" t="s">
        <v>1644</v>
      </c>
      <c r="O1164" s="7">
        <f>SUMIFS('05_상품별배치367'!$K$7:$K$373,'05_상품별배치367'!$E$7:$E$373,A1164,'05_상품별배치367'!$H$7:$H$373,"본진")</f>
        <v>0</v>
      </c>
      <c r="P1164" s="7">
        <f>SUMIFS('05_상품별배치367'!$K$7:$K$373,'05_상품별배치367'!$E$7:$E$373,A1164,'05_상품별배치367'!$H$7:$H$373,"추가 진열")</f>
        <v>0</v>
      </c>
      <c r="Q1164" s="7">
        <f>O1164+P1164</f>
        <v>0</v>
      </c>
      <c r="R1164" s="7">
        <v>0</v>
      </c>
      <c r="S1164" s="6" t="s">
        <v>1810</v>
      </c>
      <c r="T1164" s="6" t="s">
        <v>1637</v>
      </c>
      <c r="U1164" s="6"/>
      <c r="V1164" s="16"/>
      <c r="W1164" s="16"/>
      <c r="X1164" s="16"/>
      <c r="Y1164" s="6" t="s">
        <v>1627</v>
      </c>
      <c r="Z1164" s="15"/>
      <c r="AA1164" s="15" t="s">
        <v>1628</v>
      </c>
    </row>
    <row r="1165" spans="1:27" ht="33" customHeight="1">
      <c r="A1165" s="6" t="s">
        <v>4765</v>
      </c>
      <c r="B1165" s="7">
        <v>1367</v>
      </c>
      <c r="C1165" s="6" t="s">
        <v>4766</v>
      </c>
      <c r="D1165" s="6" t="s">
        <v>2133</v>
      </c>
      <c r="E1165" s="6" t="s">
        <v>2134</v>
      </c>
      <c r="F1165" s="6" t="s">
        <v>2933</v>
      </c>
      <c r="G1165" s="6" t="s">
        <v>1668</v>
      </c>
      <c r="H1165" s="6"/>
      <c r="I1165" s="14" t="s">
        <v>1807</v>
      </c>
      <c r="J1165" s="15"/>
      <c r="K1165" s="6" t="s">
        <v>1976</v>
      </c>
      <c r="L1165" s="6" t="s">
        <v>2032</v>
      </c>
      <c r="M1165" s="6" t="s">
        <v>1809</v>
      </c>
      <c r="N1165" s="6" t="s">
        <v>1644</v>
      </c>
      <c r="O1165" s="7">
        <f>SUMIFS('05_상품별배치367'!$K$7:$K$373,'05_상품별배치367'!$E$7:$E$373,A1165,'05_상품별배치367'!$H$7:$H$373,"본진")</f>
        <v>0</v>
      </c>
      <c r="P1165" s="7">
        <f>SUMIFS('05_상품별배치367'!$K$7:$K$373,'05_상품별배치367'!$E$7:$E$373,A1165,'05_상품별배치367'!$H$7:$H$373,"추가 진열")</f>
        <v>0</v>
      </c>
      <c r="Q1165" s="7">
        <f>O1165+P1165</f>
        <v>0</v>
      </c>
      <c r="R1165" s="7">
        <v>0</v>
      </c>
      <c r="S1165" s="6" t="s">
        <v>1810</v>
      </c>
      <c r="T1165" s="6" t="s">
        <v>1637</v>
      </c>
      <c r="U1165" s="6"/>
      <c r="V1165" s="16"/>
      <c r="W1165" s="16"/>
      <c r="X1165" s="16"/>
      <c r="Y1165" s="6" t="s">
        <v>1627</v>
      </c>
      <c r="Z1165" s="15"/>
      <c r="AA1165" s="15" t="s">
        <v>1628</v>
      </c>
    </row>
    <row r="1166" spans="1:27" ht="33" customHeight="1">
      <c r="A1166" s="8" t="s">
        <v>4767</v>
      </c>
      <c r="B1166" s="9">
        <v>1368</v>
      </c>
      <c r="C1166" s="8" t="s">
        <v>4768</v>
      </c>
      <c r="D1166" s="8" t="s">
        <v>1876</v>
      </c>
      <c r="E1166" s="8" t="s">
        <v>2134</v>
      </c>
      <c r="F1166" s="8" t="s">
        <v>2933</v>
      </c>
      <c r="G1166" s="8" t="s">
        <v>1668</v>
      </c>
      <c r="H1166" s="8"/>
      <c r="I1166" s="14" t="s">
        <v>1807</v>
      </c>
      <c r="J1166" s="15"/>
      <c r="K1166" s="8" t="s">
        <v>1976</v>
      </c>
      <c r="L1166" s="8" t="s">
        <v>2032</v>
      </c>
      <c r="M1166" s="6" t="s">
        <v>1809</v>
      </c>
      <c r="N1166" s="6" t="s">
        <v>1644</v>
      </c>
      <c r="O1166" s="7">
        <f>SUMIFS('05_상품별배치367'!$K$7:$K$373,'05_상품별배치367'!$E$7:$E$373,A1166,'05_상품별배치367'!$H$7:$H$373,"본진")</f>
        <v>0</v>
      </c>
      <c r="P1166" s="7">
        <f>SUMIFS('05_상품별배치367'!$K$7:$K$373,'05_상품별배치367'!$E$7:$E$373,A1166,'05_상품별배치367'!$H$7:$H$373,"추가 진열")</f>
        <v>0</v>
      </c>
      <c r="Q1166" s="7">
        <f>O1166+P1166</f>
        <v>0</v>
      </c>
      <c r="R1166" s="7">
        <v>0</v>
      </c>
      <c r="S1166" s="6" t="s">
        <v>1810</v>
      </c>
      <c r="T1166" s="6" t="s">
        <v>1637</v>
      </c>
      <c r="U1166" s="6"/>
      <c r="V1166" s="16"/>
      <c r="W1166" s="16"/>
      <c r="X1166" s="16"/>
      <c r="Y1166" s="6" t="s">
        <v>1627</v>
      </c>
      <c r="Z1166" s="15"/>
      <c r="AA1166" s="15" t="s">
        <v>1628</v>
      </c>
    </row>
    <row r="1167" spans="1:27" ht="33" customHeight="1">
      <c r="A1167" s="6" t="s">
        <v>4769</v>
      </c>
      <c r="B1167" s="7">
        <v>1369</v>
      </c>
      <c r="C1167" s="6" t="s">
        <v>4770</v>
      </c>
      <c r="D1167" s="6" t="s">
        <v>1876</v>
      </c>
      <c r="E1167" s="6" t="s">
        <v>2134</v>
      </c>
      <c r="F1167" s="6" t="s">
        <v>2933</v>
      </c>
      <c r="G1167" s="6" t="s">
        <v>1668</v>
      </c>
      <c r="H1167" s="6"/>
      <c r="I1167" s="14" t="s">
        <v>1807</v>
      </c>
      <c r="J1167" s="15"/>
      <c r="K1167" s="6" t="s">
        <v>1976</v>
      </c>
      <c r="L1167" s="6" t="s">
        <v>2032</v>
      </c>
      <c r="M1167" s="6" t="s">
        <v>1809</v>
      </c>
      <c r="N1167" s="6" t="s">
        <v>1644</v>
      </c>
      <c r="O1167" s="7">
        <f>SUMIFS('05_상품별배치367'!$K$7:$K$373,'05_상품별배치367'!$E$7:$E$373,A1167,'05_상품별배치367'!$H$7:$H$373,"본진")</f>
        <v>0</v>
      </c>
      <c r="P1167" s="7">
        <f>SUMIFS('05_상품별배치367'!$K$7:$K$373,'05_상품별배치367'!$E$7:$E$373,A1167,'05_상품별배치367'!$H$7:$H$373,"추가 진열")</f>
        <v>0</v>
      </c>
      <c r="Q1167" s="7">
        <f>O1167+P1167</f>
        <v>0</v>
      </c>
      <c r="R1167" s="7">
        <v>0</v>
      </c>
      <c r="S1167" s="6" t="s">
        <v>1810</v>
      </c>
      <c r="T1167" s="6" t="s">
        <v>1637</v>
      </c>
      <c r="U1167" s="6"/>
      <c r="V1167" s="16"/>
      <c r="W1167" s="16"/>
      <c r="X1167" s="16"/>
      <c r="Y1167" s="6" t="s">
        <v>1627</v>
      </c>
      <c r="Z1167" s="15"/>
      <c r="AA1167" s="15" t="s">
        <v>1628</v>
      </c>
    </row>
    <row r="1168" spans="1:27" ht="33" customHeight="1">
      <c r="A1168" s="6" t="s">
        <v>4773</v>
      </c>
      <c r="B1168" s="7">
        <v>1371</v>
      </c>
      <c r="C1168" s="6" t="s">
        <v>4774</v>
      </c>
      <c r="D1168" s="6" t="s">
        <v>2133</v>
      </c>
      <c r="E1168" s="6" t="s">
        <v>2134</v>
      </c>
      <c r="F1168" s="6" t="s">
        <v>1263</v>
      </c>
      <c r="G1168" s="6" t="s">
        <v>376</v>
      </c>
      <c r="H1168" s="6"/>
      <c r="I1168" s="14" t="s">
        <v>1642</v>
      </c>
      <c r="J1168" s="15"/>
      <c r="K1168" s="6" t="s">
        <v>1976</v>
      </c>
      <c r="L1168" s="6"/>
      <c r="M1168" s="6" t="s">
        <v>1643</v>
      </c>
      <c r="N1168" s="6" t="s">
        <v>1644</v>
      </c>
      <c r="O1168" s="7">
        <f>SUMIFS('05_상품별배치367'!$K$7:$K$373,'05_상품별배치367'!$E$7:$E$373,A1168,'05_상품별배치367'!$H$7:$H$373,"본진")</f>
        <v>0</v>
      </c>
      <c r="P1168" s="7">
        <f>SUMIFS('05_상품별배치367'!$K$7:$K$373,'05_상품별배치367'!$E$7:$E$373,A1168,'05_상품별배치367'!$H$7:$H$373,"추가 진열")</f>
        <v>0</v>
      </c>
      <c r="Q1168" s="7">
        <f>O1168+P1168</f>
        <v>0</v>
      </c>
      <c r="R1168" s="7">
        <v>1</v>
      </c>
      <c r="S1168" s="6" t="s">
        <v>3016</v>
      </c>
      <c r="T1168" s="6" t="s">
        <v>1637</v>
      </c>
      <c r="U1168" s="6"/>
      <c r="V1168" s="16"/>
      <c r="W1168" s="16"/>
      <c r="X1168" s="16"/>
      <c r="Y1168" s="6" t="s">
        <v>1627</v>
      </c>
      <c r="Z1168" s="15"/>
      <c r="AA1168" s="15" t="s">
        <v>1628</v>
      </c>
    </row>
    <row r="1169" spans="1:27" ht="33" customHeight="1">
      <c r="A1169" s="8" t="s">
        <v>4771</v>
      </c>
      <c r="B1169" s="9">
        <v>1370</v>
      </c>
      <c r="C1169" s="8" t="s">
        <v>4772</v>
      </c>
      <c r="D1169" s="8" t="s">
        <v>2133</v>
      </c>
      <c r="E1169" s="8" t="s">
        <v>2134</v>
      </c>
      <c r="F1169" s="8" t="s">
        <v>1263</v>
      </c>
      <c r="G1169" s="8" t="s">
        <v>376</v>
      </c>
      <c r="H1169" s="8"/>
      <c r="I1169" s="14" t="s">
        <v>1642</v>
      </c>
      <c r="J1169" s="15"/>
      <c r="K1169" s="8" t="s">
        <v>1976</v>
      </c>
      <c r="L1169" s="8"/>
      <c r="M1169" s="6" t="s">
        <v>1643</v>
      </c>
      <c r="N1169" s="6" t="s">
        <v>1644</v>
      </c>
      <c r="O1169" s="7">
        <f>SUMIFS('05_상품별배치367'!$K$7:$K$373,'05_상품별배치367'!$E$7:$E$373,A1169,'05_상품별배치367'!$H$7:$H$373,"본진")</f>
        <v>0</v>
      </c>
      <c r="P1169" s="7">
        <f>SUMIFS('05_상품별배치367'!$K$7:$K$373,'05_상품별배치367'!$E$7:$E$373,A1169,'05_상품별배치367'!$H$7:$H$373,"추가 진열")</f>
        <v>0</v>
      </c>
      <c r="Q1169" s="7">
        <f>O1169+P1169</f>
        <v>0</v>
      </c>
      <c r="R1169" s="7">
        <v>1</v>
      </c>
      <c r="S1169" s="6" t="s">
        <v>3016</v>
      </c>
      <c r="T1169" s="6" t="s">
        <v>1637</v>
      </c>
      <c r="U1169" s="6"/>
      <c r="V1169" s="16"/>
      <c r="W1169" s="16"/>
      <c r="X1169" s="16"/>
      <c r="Y1169" s="6" t="s">
        <v>1627</v>
      </c>
      <c r="Z1169" s="15"/>
      <c r="AA1169" s="15" t="s">
        <v>1628</v>
      </c>
    </row>
    <row r="1170" spans="1:27" ht="33" customHeight="1">
      <c r="A1170" s="6" t="s">
        <v>1540</v>
      </c>
      <c r="B1170" s="7">
        <v>2365</v>
      </c>
      <c r="C1170" s="6" t="s">
        <v>1539</v>
      </c>
      <c r="D1170" s="6" t="s">
        <v>6908</v>
      </c>
      <c r="E1170" s="6" t="s">
        <v>1620</v>
      </c>
      <c r="F1170" s="6" t="s">
        <v>504</v>
      </c>
      <c r="G1170" s="6" t="s">
        <v>341</v>
      </c>
      <c r="H1170" s="6" t="s">
        <v>1194</v>
      </c>
      <c r="I1170" s="14" t="s">
        <v>1621</v>
      </c>
      <c r="J1170" s="15"/>
      <c r="K1170" s="6" t="s">
        <v>1622</v>
      </c>
      <c r="L1170" s="6" t="s">
        <v>3828</v>
      </c>
      <c r="M1170" s="6" t="s">
        <v>1623</v>
      </c>
      <c r="N1170" s="6" t="s">
        <v>1624</v>
      </c>
      <c r="O1170" s="7">
        <f>SUMIFS('05_상품별배치367'!$K$7:$K$373,'05_상품별배치367'!$E$7:$E$373,A1170,'05_상품별배치367'!$H$7:$H$373,"본진")</f>
        <v>2</v>
      </c>
      <c r="P1170" s="7">
        <f>SUMIFS('05_상품별배치367'!$K$7:$K$373,'05_상품별배치367'!$E$7:$E$373,A1170,'05_상품별배치367'!$H$7:$H$373,"추가 진열")</f>
        <v>1</v>
      </c>
      <c r="Q1170" s="7">
        <f>O1170+P1170</f>
        <v>3</v>
      </c>
      <c r="R1170" s="7">
        <v>2</v>
      </c>
      <c r="S1170" s="6" t="s">
        <v>1625</v>
      </c>
      <c r="T1170" s="6" t="s">
        <v>6909</v>
      </c>
      <c r="U1170" s="6"/>
      <c r="V1170" s="16"/>
      <c r="W1170" s="16"/>
      <c r="X1170" s="16"/>
      <c r="Y1170" s="6" t="s">
        <v>1627</v>
      </c>
      <c r="Z1170" s="15"/>
      <c r="AA1170" s="15" t="s">
        <v>1628</v>
      </c>
    </row>
    <row r="1171" spans="1:27" ht="33" customHeight="1">
      <c r="A1171" s="8" t="s">
        <v>3539</v>
      </c>
      <c r="B1171" s="9">
        <v>794</v>
      </c>
      <c r="C1171" s="8" t="s">
        <v>3540</v>
      </c>
      <c r="D1171" s="8" t="s">
        <v>3042</v>
      </c>
      <c r="E1171" s="8" t="s">
        <v>1814</v>
      </c>
      <c r="F1171" s="8" t="s">
        <v>1376</v>
      </c>
      <c r="G1171" s="8" t="s">
        <v>431</v>
      </c>
      <c r="H1171" s="8"/>
      <c r="I1171" s="14" t="s">
        <v>1642</v>
      </c>
      <c r="J1171" s="15"/>
      <c r="K1171" s="8" t="s">
        <v>1976</v>
      </c>
      <c r="L1171" s="8"/>
      <c r="M1171" s="6" t="s">
        <v>1643</v>
      </c>
      <c r="N1171" s="6" t="s">
        <v>1644</v>
      </c>
      <c r="O1171" s="7">
        <f>SUMIFS('05_상품별배치367'!$K$7:$K$373,'05_상품별배치367'!$E$7:$E$373,A1171,'05_상품별배치367'!$H$7:$H$373,"본진")</f>
        <v>0</v>
      </c>
      <c r="P1171" s="7">
        <f>SUMIFS('05_상품별배치367'!$K$7:$K$373,'05_상품별배치367'!$E$7:$E$373,A1171,'05_상품별배치367'!$H$7:$H$373,"추가 진열")</f>
        <v>0</v>
      </c>
      <c r="Q1171" s="7">
        <f>O1171+P1171</f>
        <v>0</v>
      </c>
      <c r="R1171" s="7">
        <v>1</v>
      </c>
      <c r="S1171" s="6" t="s">
        <v>1978</v>
      </c>
      <c r="T1171" s="6" t="s">
        <v>1637</v>
      </c>
      <c r="U1171" s="6"/>
      <c r="V1171" s="16"/>
      <c r="W1171" s="16"/>
      <c r="X1171" s="16"/>
      <c r="Y1171" s="6" t="s">
        <v>1627</v>
      </c>
      <c r="Z1171" s="15"/>
      <c r="AA1171" s="15" t="s">
        <v>1628</v>
      </c>
    </row>
    <row r="1172" spans="1:27" ht="33" customHeight="1">
      <c r="A1172" s="8" t="s">
        <v>3535</v>
      </c>
      <c r="B1172" s="9">
        <v>792</v>
      </c>
      <c r="C1172" s="8" t="s">
        <v>3536</v>
      </c>
      <c r="D1172" s="8" t="s">
        <v>1851</v>
      </c>
      <c r="E1172" s="8" t="s">
        <v>2134</v>
      </c>
      <c r="F1172" s="8" t="s">
        <v>1081</v>
      </c>
      <c r="G1172" s="8" t="s">
        <v>290</v>
      </c>
      <c r="H1172" s="8"/>
      <c r="I1172" s="14" t="s">
        <v>1642</v>
      </c>
      <c r="J1172" s="15"/>
      <c r="K1172" s="8" t="s">
        <v>1976</v>
      </c>
      <c r="L1172" s="8"/>
      <c r="M1172" s="6" t="s">
        <v>1643</v>
      </c>
      <c r="N1172" s="6" t="s">
        <v>1644</v>
      </c>
      <c r="O1172" s="7">
        <f>SUMIFS('05_상품별배치367'!$K$7:$K$373,'05_상품별배치367'!$E$7:$E$373,A1172,'05_상품별배치367'!$H$7:$H$373,"본진")</f>
        <v>0</v>
      </c>
      <c r="P1172" s="7">
        <f>SUMIFS('05_상품별배치367'!$K$7:$K$373,'05_상품별배치367'!$E$7:$E$373,A1172,'05_상품별배치367'!$H$7:$H$373,"추가 진열")</f>
        <v>0</v>
      </c>
      <c r="Q1172" s="7">
        <f>O1172+P1172</f>
        <v>0</v>
      </c>
      <c r="R1172" s="7">
        <v>1</v>
      </c>
      <c r="S1172" s="6" t="s">
        <v>2135</v>
      </c>
      <c r="T1172" s="6" t="s">
        <v>1637</v>
      </c>
      <c r="U1172" s="6"/>
      <c r="V1172" s="16"/>
      <c r="W1172" s="16"/>
      <c r="X1172" s="16"/>
      <c r="Y1172" s="6" t="s">
        <v>1627</v>
      </c>
      <c r="Z1172" s="15"/>
      <c r="AA1172" s="15" t="s">
        <v>1628</v>
      </c>
    </row>
    <row r="1173" spans="1:27" ht="33" customHeight="1">
      <c r="A1173" s="6" t="s">
        <v>3541</v>
      </c>
      <c r="B1173" s="7">
        <v>795</v>
      </c>
      <c r="C1173" s="6" t="s">
        <v>3542</v>
      </c>
      <c r="D1173" s="6" t="s">
        <v>2856</v>
      </c>
      <c r="E1173" s="6" t="s">
        <v>2134</v>
      </c>
      <c r="F1173" s="6" t="s">
        <v>1263</v>
      </c>
      <c r="G1173" s="6" t="s">
        <v>376</v>
      </c>
      <c r="H1173" s="6"/>
      <c r="I1173" s="14" t="s">
        <v>1642</v>
      </c>
      <c r="J1173" s="15"/>
      <c r="K1173" s="6" t="s">
        <v>1976</v>
      </c>
      <c r="L1173" s="6"/>
      <c r="M1173" s="6" t="s">
        <v>1643</v>
      </c>
      <c r="N1173" s="6" t="s">
        <v>1644</v>
      </c>
      <c r="O1173" s="7">
        <f>SUMIFS('05_상품별배치367'!$K$7:$K$373,'05_상품별배치367'!$E$7:$E$373,A1173,'05_상품별배치367'!$H$7:$H$373,"본진")</f>
        <v>0</v>
      </c>
      <c r="P1173" s="7">
        <f>SUMIFS('05_상품별배치367'!$K$7:$K$373,'05_상품별배치367'!$E$7:$E$373,A1173,'05_상품별배치367'!$H$7:$H$373,"추가 진열")</f>
        <v>0</v>
      </c>
      <c r="Q1173" s="7">
        <f>O1173+P1173</f>
        <v>0</v>
      </c>
      <c r="R1173" s="7">
        <v>1</v>
      </c>
      <c r="S1173" s="6" t="s">
        <v>3016</v>
      </c>
      <c r="T1173" s="6" t="s">
        <v>1637</v>
      </c>
      <c r="U1173" s="6"/>
      <c r="V1173" s="16"/>
      <c r="W1173" s="16"/>
      <c r="X1173" s="16"/>
      <c r="Y1173" s="6" t="s">
        <v>1627</v>
      </c>
      <c r="Z1173" s="15"/>
      <c r="AA1173" s="15" t="s">
        <v>1628</v>
      </c>
    </row>
    <row r="1174" spans="1:27" ht="33" customHeight="1">
      <c r="A1174" s="6" t="s">
        <v>3545</v>
      </c>
      <c r="B1174" s="7">
        <v>797</v>
      </c>
      <c r="C1174" s="6" t="s">
        <v>3546</v>
      </c>
      <c r="D1174" s="6" t="s">
        <v>1658</v>
      </c>
      <c r="E1174" s="6" t="s">
        <v>1986</v>
      </c>
      <c r="F1174" s="6" t="s">
        <v>1276</v>
      </c>
      <c r="G1174" s="6" t="s">
        <v>1987</v>
      </c>
      <c r="H1174" s="6"/>
      <c r="I1174" s="14" t="s">
        <v>1642</v>
      </c>
      <c r="J1174" s="15"/>
      <c r="K1174" s="6" t="s">
        <v>1976</v>
      </c>
      <c r="L1174" s="6"/>
      <c r="M1174" s="6" t="s">
        <v>1643</v>
      </c>
      <c r="N1174" s="6" t="s">
        <v>1644</v>
      </c>
      <c r="O1174" s="7">
        <f>SUMIFS('05_상품별배치367'!$K$7:$K$373,'05_상품별배치367'!$E$7:$E$373,A1174,'05_상품별배치367'!$H$7:$H$373,"본진")</f>
        <v>0</v>
      </c>
      <c r="P1174" s="7">
        <f>SUMIFS('05_상품별배치367'!$K$7:$K$373,'05_상품별배치367'!$E$7:$E$373,A1174,'05_상품별배치367'!$H$7:$H$373,"추가 진열")</f>
        <v>0</v>
      </c>
      <c r="Q1174" s="7">
        <f>O1174+P1174</f>
        <v>0</v>
      </c>
      <c r="R1174" s="7">
        <v>1</v>
      </c>
      <c r="S1174" s="6" t="s">
        <v>1988</v>
      </c>
      <c r="T1174" s="6" t="s">
        <v>1637</v>
      </c>
      <c r="U1174" s="6"/>
      <c r="V1174" s="16"/>
      <c r="W1174" s="16"/>
      <c r="X1174" s="16"/>
      <c r="Y1174" s="6" t="s">
        <v>1627</v>
      </c>
      <c r="Z1174" s="15"/>
      <c r="AA1174" s="15" t="s">
        <v>1628</v>
      </c>
    </row>
    <row r="1175" spans="1:27" ht="33" customHeight="1">
      <c r="A1175" s="6" t="s">
        <v>3533</v>
      </c>
      <c r="B1175" s="7">
        <v>791</v>
      </c>
      <c r="C1175" s="6" t="s">
        <v>3534</v>
      </c>
      <c r="D1175" s="6" t="s">
        <v>2572</v>
      </c>
      <c r="E1175" s="6" t="s">
        <v>2134</v>
      </c>
      <c r="F1175" s="6" t="s">
        <v>1081</v>
      </c>
      <c r="G1175" s="6" t="s">
        <v>290</v>
      </c>
      <c r="H1175" s="6"/>
      <c r="I1175" s="14" t="s">
        <v>1642</v>
      </c>
      <c r="J1175" s="15"/>
      <c r="K1175" s="6" t="s">
        <v>1976</v>
      </c>
      <c r="L1175" s="6"/>
      <c r="M1175" s="6" t="s">
        <v>1643</v>
      </c>
      <c r="N1175" s="6" t="s">
        <v>1644</v>
      </c>
      <c r="O1175" s="7">
        <f>SUMIFS('05_상품별배치367'!$K$7:$K$373,'05_상품별배치367'!$E$7:$E$373,A1175,'05_상품별배치367'!$H$7:$H$373,"본진")</f>
        <v>0</v>
      </c>
      <c r="P1175" s="7">
        <f>SUMIFS('05_상품별배치367'!$K$7:$K$373,'05_상품별배치367'!$E$7:$E$373,A1175,'05_상품별배치367'!$H$7:$H$373,"추가 진열")</f>
        <v>0</v>
      </c>
      <c r="Q1175" s="7">
        <f>O1175+P1175</f>
        <v>0</v>
      </c>
      <c r="R1175" s="7">
        <v>1</v>
      </c>
      <c r="S1175" s="6" t="s">
        <v>2135</v>
      </c>
      <c r="T1175" s="6" t="s">
        <v>1637</v>
      </c>
      <c r="U1175" s="6"/>
      <c r="V1175" s="16"/>
      <c r="W1175" s="16"/>
      <c r="X1175" s="16"/>
      <c r="Y1175" s="6" t="s">
        <v>1627</v>
      </c>
      <c r="Z1175" s="15"/>
      <c r="AA1175" s="15" t="s">
        <v>1628</v>
      </c>
    </row>
    <row r="1176" spans="1:27" ht="33" customHeight="1">
      <c r="A1176" s="8" t="s">
        <v>3543</v>
      </c>
      <c r="B1176" s="9">
        <v>796</v>
      </c>
      <c r="C1176" s="8" t="s">
        <v>3544</v>
      </c>
      <c r="D1176" s="8" t="s">
        <v>2856</v>
      </c>
      <c r="E1176" s="8" t="s">
        <v>2134</v>
      </c>
      <c r="F1176" s="8" t="s">
        <v>2933</v>
      </c>
      <c r="G1176" s="8" t="s">
        <v>1668</v>
      </c>
      <c r="H1176" s="8"/>
      <c r="I1176" s="14" t="s">
        <v>1807</v>
      </c>
      <c r="J1176" s="15"/>
      <c r="K1176" s="8" t="s">
        <v>1976</v>
      </c>
      <c r="L1176" s="8" t="s">
        <v>2032</v>
      </c>
      <c r="M1176" s="6" t="s">
        <v>1809</v>
      </c>
      <c r="N1176" s="6" t="s">
        <v>1644</v>
      </c>
      <c r="O1176" s="7">
        <f>SUMIFS('05_상품별배치367'!$K$7:$K$373,'05_상품별배치367'!$E$7:$E$373,A1176,'05_상품별배치367'!$H$7:$H$373,"본진")</f>
        <v>0</v>
      </c>
      <c r="P1176" s="7">
        <f>SUMIFS('05_상품별배치367'!$K$7:$K$373,'05_상품별배치367'!$E$7:$E$373,A1176,'05_상품별배치367'!$H$7:$H$373,"추가 진열")</f>
        <v>0</v>
      </c>
      <c r="Q1176" s="7">
        <f>O1176+P1176</f>
        <v>0</v>
      </c>
      <c r="R1176" s="7">
        <v>0</v>
      </c>
      <c r="S1176" s="6" t="s">
        <v>1810</v>
      </c>
      <c r="T1176" s="6" t="s">
        <v>1637</v>
      </c>
      <c r="U1176" s="6"/>
      <c r="V1176" s="16"/>
      <c r="W1176" s="16"/>
      <c r="X1176" s="16"/>
      <c r="Y1176" s="6" t="s">
        <v>1627</v>
      </c>
      <c r="Z1176" s="15"/>
      <c r="AA1176" s="15" t="s">
        <v>1628</v>
      </c>
    </row>
    <row r="1177" spans="1:27" ht="33" customHeight="1">
      <c r="A1177" s="6" t="s">
        <v>3537</v>
      </c>
      <c r="B1177" s="7">
        <v>793</v>
      </c>
      <c r="C1177" s="6" t="s">
        <v>3538</v>
      </c>
      <c r="D1177" s="6" t="s">
        <v>2133</v>
      </c>
      <c r="E1177" s="6" t="s">
        <v>2134</v>
      </c>
      <c r="F1177" s="6" t="s">
        <v>481</v>
      </c>
      <c r="G1177" s="6" t="s">
        <v>193</v>
      </c>
      <c r="H1177" s="6"/>
      <c r="I1177" s="14" t="s">
        <v>1642</v>
      </c>
      <c r="J1177" s="15"/>
      <c r="K1177" s="6" t="s">
        <v>1976</v>
      </c>
      <c r="L1177" s="6"/>
      <c r="M1177" s="6" t="s">
        <v>1643</v>
      </c>
      <c r="N1177" s="6" t="s">
        <v>1644</v>
      </c>
      <c r="O1177" s="7">
        <f>SUMIFS('05_상품별배치367'!$K$7:$K$373,'05_상품별배치367'!$E$7:$E$373,A1177,'05_상품별배치367'!$H$7:$H$373,"본진")</f>
        <v>0</v>
      </c>
      <c r="P1177" s="7">
        <f>SUMIFS('05_상품별배치367'!$K$7:$K$373,'05_상품별배치367'!$E$7:$E$373,A1177,'05_상품별배치367'!$H$7:$H$373,"추가 진열")</f>
        <v>0</v>
      </c>
      <c r="Q1177" s="7">
        <f>O1177+P1177</f>
        <v>0</v>
      </c>
      <c r="R1177" s="7">
        <v>1</v>
      </c>
      <c r="S1177" s="6" t="s">
        <v>3000</v>
      </c>
      <c r="T1177" s="6" t="s">
        <v>1637</v>
      </c>
      <c r="U1177" s="6"/>
      <c r="V1177" s="16"/>
      <c r="W1177" s="16"/>
      <c r="X1177" s="16"/>
      <c r="Y1177" s="6" t="s">
        <v>1627</v>
      </c>
      <c r="Z1177" s="15"/>
      <c r="AA1177" s="15" t="s">
        <v>1628</v>
      </c>
    </row>
    <row r="1178" spans="1:27" ht="33" customHeight="1">
      <c r="A1178" s="8" t="s">
        <v>2495</v>
      </c>
      <c r="B1178" s="9">
        <v>324</v>
      </c>
      <c r="C1178" s="8" t="s">
        <v>2496</v>
      </c>
      <c r="D1178" s="8" t="s">
        <v>2094</v>
      </c>
      <c r="E1178" s="8" t="s">
        <v>1666</v>
      </c>
      <c r="F1178" s="8" t="s">
        <v>1852</v>
      </c>
      <c r="G1178" s="8" t="s">
        <v>1853</v>
      </c>
      <c r="H1178" s="8"/>
      <c r="I1178" s="14" t="s">
        <v>1669</v>
      </c>
      <c r="J1178" s="15"/>
      <c r="K1178" s="8" t="s">
        <v>1670</v>
      </c>
      <c r="L1178" s="8"/>
      <c r="M1178" s="6" t="s">
        <v>1671</v>
      </c>
      <c r="N1178" s="6" t="s">
        <v>1644</v>
      </c>
      <c r="O1178" s="7">
        <f>SUMIFS('05_상품별배치367'!$K$7:$K$373,'05_상품별배치367'!$E$7:$E$373,A1178,'05_상품별배치367'!$H$7:$H$373,"본진")</f>
        <v>0</v>
      </c>
      <c r="P1178" s="7">
        <f>SUMIFS('05_상품별배치367'!$K$7:$K$373,'05_상품별배치367'!$E$7:$E$373,A1178,'05_상품별배치367'!$H$7:$H$373,"추가 진열")</f>
        <v>0</v>
      </c>
      <c r="Q1178" s="7">
        <f>O1178+P1178</f>
        <v>0</v>
      </c>
      <c r="R1178" s="7">
        <v>0</v>
      </c>
      <c r="S1178" s="6" t="s">
        <v>1672</v>
      </c>
      <c r="T1178" s="6" t="s">
        <v>1637</v>
      </c>
      <c r="U1178" s="6"/>
      <c r="V1178" s="16"/>
      <c r="W1178" s="16"/>
      <c r="X1178" s="16"/>
      <c r="Y1178" s="6" t="s">
        <v>1655</v>
      </c>
      <c r="Z1178" s="15"/>
      <c r="AA1178" s="15" t="s">
        <v>1628</v>
      </c>
    </row>
    <row r="1179" spans="1:27" ht="33" customHeight="1">
      <c r="A1179" s="6" t="s">
        <v>2497</v>
      </c>
      <c r="B1179" s="7">
        <v>325</v>
      </c>
      <c r="C1179" s="6" t="s">
        <v>2498</v>
      </c>
      <c r="D1179" s="6" t="s">
        <v>2094</v>
      </c>
      <c r="E1179" s="6" t="s">
        <v>1666</v>
      </c>
      <c r="F1179" s="6" t="s">
        <v>1852</v>
      </c>
      <c r="G1179" s="6" t="s">
        <v>1853</v>
      </c>
      <c r="H1179" s="6"/>
      <c r="I1179" s="14" t="s">
        <v>1669</v>
      </c>
      <c r="J1179" s="15"/>
      <c r="K1179" s="6" t="s">
        <v>1670</v>
      </c>
      <c r="L1179" s="6"/>
      <c r="M1179" s="6" t="s">
        <v>1671</v>
      </c>
      <c r="N1179" s="6" t="s">
        <v>1644</v>
      </c>
      <c r="O1179" s="7">
        <f>SUMIFS('05_상품별배치367'!$K$7:$K$373,'05_상품별배치367'!$E$7:$E$373,A1179,'05_상품별배치367'!$H$7:$H$373,"본진")</f>
        <v>0</v>
      </c>
      <c r="P1179" s="7">
        <f>SUMIFS('05_상품별배치367'!$K$7:$K$373,'05_상품별배치367'!$E$7:$E$373,A1179,'05_상품별배치367'!$H$7:$H$373,"추가 진열")</f>
        <v>0</v>
      </c>
      <c r="Q1179" s="7">
        <f>O1179+P1179</f>
        <v>0</v>
      </c>
      <c r="R1179" s="7">
        <v>0</v>
      </c>
      <c r="S1179" s="6" t="s">
        <v>1672</v>
      </c>
      <c r="T1179" s="6" t="s">
        <v>1637</v>
      </c>
      <c r="U1179" s="6"/>
      <c r="V1179" s="16"/>
      <c r="W1179" s="16"/>
      <c r="X1179" s="16"/>
      <c r="Y1179" s="6" t="s">
        <v>1655</v>
      </c>
      <c r="Z1179" s="15"/>
      <c r="AA1179" s="15" t="s">
        <v>1628</v>
      </c>
    </row>
    <row r="1180" spans="1:27" ht="33" customHeight="1">
      <c r="A1180" s="8" t="s">
        <v>2503</v>
      </c>
      <c r="B1180" s="9">
        <v>328</v>
      </c>
      <c r="C1180" s="8" t="s">
        <v>2504</v>
      </c>
      <c r="D1180" s="8" t="s">
        <v>2094</v>
      </c>
      <c r="E1180" s="8" t="s">
        <v>1666</v>
      </c>
      <c r="F1180" s="8" t="s">
        <v>1852</v>
      </c>
      <c r="G1180" s="8" t="s">
        <v>1853</v>
      </c>
      <c r="H1180" s="8"/>
      <c r="I1180" s="14" t="s">
        <v>1669</v>
      </c>
      <c r="J1180" s="15"/>
      <c r="K1180" s="8" t="s">
        <v>1670</v>
      </c>
      <c r="L1180" s="8"/>
      <c r="M1180" s="6" t="s">
        <v>1671</v>
      </c>
      <c r="N1180" s="6" t="s">
        <v>1644</v>
      </c>
      <c r="O1180" s="7">
        <f>SUMIFS('05_상품별배치367'!$K$7:$K$373,'05_상품별배치367'!$E$7:$E$373,A1180,'05_상품별배치367'!$H$7:$H$373,"본진")</f>
        <v>0</v>
      </c>
      <c r="P1180" s="7">
        <f>SUMIFS('05_상품별배치367'!$K$7:$K$373,'05_상품별배치367'!$E$7:$E$373,A1180,'05_상품별배치367'!$H$7:$H$373,"추가 진열")</f>
        <v>0</v>
      </c>
      <c r="Q1180" s="7">
        <f>O1180+P1180</f>
        <v>0</v>
      </c>
      <c r="R1180" s="7">
        <v>0</v>
      </c>
      <c r="S1180" s="6" t="s">
        <v>1672</v>
      </c>
      <c r="T1180" s="6" t="s">
        <v>1637</v>
      </c>
      <c r="U1180" s="6"/>
      <c r="V1180" s="16"/>
      <c r="W1180" s="16"/>
      <c r="X1180" s="16"/>
      <c r="Y1180" s="6" t="s">
        <v>1655</v>
      </c>
      <c r="Z1180" s="15"/>
      <c r="AA1180" s="15" t="s">
        <v>1628</v>
      </c>
    </row>
    <row r="1181" spans="1:27" ht="33" customHeight="1">
      <c r="A1181" s="8" t="s">
        <v>2499</v>
      </c>
      <c r="B1181" s="9">
        <v>326</v>
      </c>
      <c r="C1181" s="8" t="s">
        <v>2500</v>
      </c>
      <c r="D1181" s="8" t="s">
        <v>2094</v>
      </c>
      <c r="E1181" s="8" t="s">
        <v>1666</v>
      </c>
      <c r="F1181" s="8" t="s">
        <v>1852</v>
      </c>
      <c r="G1181" s="8" t="s">
        <v>1853</v>
      </c>
      <c r="H1181" s="8"/>
      <c r="I1181" s="14" t="s">
        <v>1669</v>
      </c>
      <c r="J1181" s="15"/>
      <c r="K1181" s="8" t="s">
        <v>1670</v>
      </c>
      <c r="L1181" s="8"/>
      <c r="M1181" s="6" t="s">
        <v>1671</v>
      </c>
      <c r="N1181" s="6" t="s">
        <v>1644</v>
      </c>
      <c r="O1181" s="7">
        <f>SUMIFS('05_상품별배치367'!$K$7:$K$373,'05_상품별배치367'!$E$7:$E$373,A1181,'05_상품별배치367'!$H$7:$H$373,"본진")</f>
        <v>0</v>
      </c>
      <c r="P1181" s="7">
        <f>SUMIFS('05_상품별배치367'!$K$7:$K$373,'05_상품별배치367'!$E$7:$E$373,A1181,'05_상품별배치367'!$H$7:$H$373,"추가 진열")</f>
        <v>0</v>
      </c>
      <c r="Q1181" s="7">
        <f>O1181+P1181</f>
        <v>0</v>
      </c>
      <c r="R1181" s="7">
        <v>0</v>
      </c>
      <c r="S1181" s="6" t="s">
        <v>1672</v>
      </c>
      <c r="T1181" s="6" t="s">
        <v>1637</v>
      </c>
      <c r="U1181" s="6"/>
      <c r="V1181" s="16"/>
      <c r="W1181" s="16"/>
      <c r="X1181" s="16"/>
      <c r="Y1181" s="6" t="s">
        <v>1655</v>
      </c>
      <c r="Z1181" s="15"/>
      <c r="AA1181" s="15" t="s">
        <v>1628</v>
      </c>
    </row>
    <row r="1182" spans="1:27" ht="33" customHeight="1">
      <c r="A1182" s="6" t="s">
        <v>2501</v>
      </c>
      <c r="B1182" s="7">
        <v>327</v>
      </c>
      <c r="C1182" s="6" t="s">
        <v>2502</v>
      </c>
      <c r="D1182" s="6" t="s">
        <v>2094</v>
      </c>
      <c r="E1182" s="6" t="s">
        <v>1666</v>
      </c>
      <c r="F1182" s="6" t="s">
        <v>1852</v>
      </c>
      <c r="G1182" s="6" t="s">
        <v>1853</v>
      </c>
      <c r="H1182" s="6"/>
      <c r="I1182" s="14" t="s">
        <v>1669</v>
      </c>
      <c r="J1182" s="15"/>
      <c r="K1182" s="6" t="s">
        <v>1670</v>
      </c>
      <c r="L1182" s="6"/>
      <c r="M1182" s="6" t="s">
        <v>1671</v>
      </c>
      <c r="N1182" s="6" t="s">
        <v>1644</v>
      </c>
      <c r="O1182" s="7">
        <f>SUMIFS('05_상품별배치367'!$K$7:$K$373,'05_상품별배치367'!$E$7:$E$373,A1182,'05_상품별배치367'!$H$7:$H$373,"본진")</f>
        <v>0</v>
      </c>
      <c r="P1182" s="7">
        <f>SUMIFS('05_상품별배치367'!$K$7:$K$373,'05_상품별배치367'!$E$7:$E$373,A1182,'05_상품별배치367'!$H$7:$H$373,"추가 진열")</f>
        <v>0</v>
      </c>
      <c r="Q1182" s="7">
        <f>O1182+P1182</f>
        <v>0</v>
      </c>
      <c r="R1182" s="7">
        <v>0</v>
      </c>
      <c r="S1182" s="6" t="s">
        <v>1672</v>
      </c>
      <c r="T1182" s="6" t="s">
        <v>1637</v>
      </c>
      <c r="U1182" s="6"/>
      <c r="V1182" s="16"/>
      <c r="W1182" s="16"/>
      <c r="X1182" s="16"/>
      <c r="Y1182" s="6" t="s">
        <v>1655</v>
      </c>
      <c r="Z1182" s="15"/>
      <c r="AA1182" s="15" t="s">
        <v>1628</v>
      </c>
    </row>
    <row r="1183" spans="1:27" ht="33" customHeight="1">
      <c r="A1183" s="8" t="s">
        <v>2507</v>
      </c>
      <c r="B1183" s="9">
        <v>330</v>
      </c>
      <c r="C1183" s="8" t="s">
        <v>2508</v>
      </c>
      <c r="D1183" s="8" t="s">
        <v>2094</v>
      </c>
      <c r="E1183" s="8" t="s">
        <v>1666</v>
      </c>
      <c r="F1183" s="8" t="s">
        <v>1852</v>
      </c>
      <c r="G1183" s="8" t="s">
        <v>1853</v>
      </c>
      <c r="H1183" s="8"/>
      <c r="I1183" s="14" t="s">
        <v>1669</v>
      </c>
      <c r="J1183" s="15"/>
      <c r="K1183" s="8" t="s">
        <v>1670</v>
      </c>
      <c r="L1183" s="8"/>
      <c r="M1183" s="6" t="s">
        <v>1671</v>
      </c>
      <c r="N1183" s="6" t="s">
        <v>1644</v>
      </c>
      <c r="O1183" s="7">
        <f>SUMIFS('05_상품별배치367'!$K$7:$K$373,'05_상품별배치367'!$E$7:$E$373,A1183,'05_상품별배치367'!$H$7:$H$373,"본진")</f>
        <v>0</v>
      </c>
      <c r="P1183" s="7">
        <f>SUMIFS('05_상품별배치367'!$K$7:$K$373,'05_상품별배치367'!$E$7:$E$373,A1183,'05_상품별배치367'!$H$7:$H$373,"추가 진열")</f>
        <v>0</v>
      </c>
      <c r="Q1183" s="7">
        <f>O1183+P1183</f>
        <v>0</v>
      </c>
      <c r="R1183" s="7">
        <v>0</v>
      </c>
      <c r="S1183" s="6" t="s">
        <v>1672</v>
      </c>
      <c r="T1183" s="6" t="s">
        <v>1637</v>
      </c>
      <c r="U1183" s="6"/>
      <c r="V1183" s="16"/>
      <c r="W1183" s="16"/>
      <c r="X1183" s="16"/>
      <c r="Y1183" s="6" t="s">
        <v>1655</v>
      </c>
      <c r="Z1183" s="15"/>
      <c r="AA1183" s="15" t="s">
        <v>1628</v>
      </c>
    </row>
    <row r="1184" spans="1:27" ht="33" customHeight="1">
      <c r="A1184" s="6" t="s">
        <v>2505</v>
      </c>
      <c r="B1184" s="7">
        <v>329</v>
      </c>
      <c r="C1184" s="6" t="s">
        <v>2506</v>
      </c>
      <c r="D1184" s="6" t="s">
        <v>2094</v>
      </c>
      <c r="E1184" s="6" t="s">
        <v>1666</v>
      </c>
      <c r="F1184" s="6" t="s">
        <v>1852</v>
      </c>
      <c r="G1184" s="6" t="s">
        <v>1853</v>
      </c>
      <c r="H1184" s="6"/>
      <c r="I1184" s="14" t="s">
        <v>1669</v>
      </c>
      <c r="J1184" s="15"/>
      <c r="K1184" s="6" t="s">
        <v>1670</v>
      </c>
      <c r="L1184" s="6"/>
      <c r="M1184" s="6" t="s">
        <v>1671</v>
      </c>
      <c r="N1184" s="6" t="s">
        <v>1644</v>
      </c>
      <c r="O1184" s="7">
        <f>SUMIFS('05_상품별배치367'!$K$7:$K$373,'05_상품별배치367'!$E$7:$E$373,A1184,'05_상품별배치367'!$H$7:$H$373,"본진")</f>
        <v>0</v>
      </c>
      <c r="P1184" s="7">
        <f>SUMIFS('05_상품별배치367'!$K$7:$K$373,'05_상품별배치367'!$E$7:$E$373,A1184,'05_상품별배치367'!$H$7:$H$373,"추가 진열")</f>
        <v>0</v>
      </c>
      <c r="Q1184" s="7">
        <f>O1184+P1184</f>
        <v>0</v>
      </c>
      <c r="R1184" s="7">
        <v>0</v>
      </c>
      <c r="S1184" s="6" t="s">
        <v>1672</v>
      </c>
      <c r="T1184" s="6" t="s">
        <v>1637</v>
      </c>
      <c r="U1184" s="6"/>
      <c r="V1184" s="16"/>
      <c r="W1184" s="16"/>
      <c r="X1184" s="16"/>
      <c r="Y1184" s="6" t="s">
        <v>1655</v>
      </c>
      <c r="Z1184" s="15"/>
      <c r="AA1184" s="15" t="s">
        <v>1628</v>
      </c>
    </row>
    <row r="1185" spans="1:27" ht="33" customHeight="1">
      <c r="A1185" s="6" t="s">
        <v>2509</v>
      </c>
      <c r="B1185" s="7">
        <v>331</v>
      </c>
      <c r="C1185" s="6" t="s">
        <v>2510</v>
      </c>
      <c r="D1185" s="6" t="s">
        <v>2094</v>
      </c>
      <c r="E1185" s="6" t="s">
        <v>1666</v>
      </c>
      <c r="F1185" s="6" t="s">
        <v>1852</v>
      </c>
      <c r="G1185" s="6" t="s">
        <v>1853</v>
      </c>
      <c r="H1185" s="6"/>
      <c r="I1185" s="14" t="s">
        <v>1669</v>
      </c>
      <c r="J1185" s="15"/>
      <c r="K1185" s="6" t="s">
        <v>1670</v>
      </c>
      <c r="L1185" s="6"/>
      <c r="M1185" s="6" t="s">
        <v>1671</v>
      </c>
      <c r="N1185" s="6" t="s">
        <v>1644</v>
      </c>
      <c r="O1185" s="7">
        <f>SUMIFS('05_상품별배치367'!$K$7:$K$373,'05_상품별배치367'!$E$7:$E$373,A1185,'05_상품별배치367'!$H$7:$H$373,"본진")</f>
        <v>0</v>
      </c>
      <c r="P1185" s="7">
        <f>SUMIFS('05_상품별배치367'!$K$7:$K$373,'05_상품별배치367'!$E$7:$E$373,A1185,'05_상품별배치367'!$H$7:$H$373,"추가 진열")</f>
        <v>0</v>
      </c>
      <c r="Q1185" s="7">
        <f>O1185+P1185</f>
        <v>0</v>
      </c>
      <c r="R1185" s="7">
        <v>0</v>
      </c>
      <c r="S1185" s="6" t="s">
        <v>1672</v>
      </c>
      <c r="T1185" s="6" t="s">
        <v>1637</v>
      </c>
      <c r="U1185" s="6"/>
      <c r="V1185" s="16"/>
      <c r="W1185" s="16"/>
      <c r="X1185" s="16"/>
      <c r="Y1185" s="6" t="s">
        <v>1655</v>
      </c>
      <c r="Z1185" s="15"/>
      <c r="AA1185" s="15" t="s">
        <v>1628</v>
      </c>
    </row>
    <row r="1186" spans="1:27" ht="33" customHeight="1">
      <c r="A1186" s="6" t="s">
        <v>6194</v>
      </c>
      <c r="B1186" s="7">
        <v>2031</v>
      </c>
      <c r="C1186" s="6" t="s">
        <v>6195</v>
      </c>
      <c r="D1186" s="6" t="s">
        <v>6196</v>
      </c>
      <c r="E1186" s="6" t="s">
        <v>1641</v>
      </c>
      <c r="F1186" s="6" t="s">
        <v>679</v>
      </c>
      <c r="G1186" s="6" t="s">
        <v>91</v>
      </c>
      <c r="H1186" s="6"/>
      <c r="I1186" s="14" t="s">
        <v>1642</v>
      </c>
      <c r="J1186" s="15"/>
      <c r="K1186" s="6" t="s">
        <v>1634</v>
      </c>
      <c r="L1186" s="6" t="s">
        <v>3828</v>
      </c>
      <c r="M1186" s="6" t="s">
        <v>1643</v>
      </c>
      <c r="N1186" s="6" t="s">
        <v>1624</v>
      </c>
      <c r="O1186" s="7">
        <f>SUMIFS('05_상품별배치367'!$K$7:$K$373,'05_상품별배치367'!$E$7:$E$373,A1186,'05_상품별배치367'!$H$7:$H$373,"본진")</f>
        <v>0</v>
      </c>
      <c r="P1186" s="7">
        <f>SUMIFS('05_상품별배치367'!$K$7:$K$373,'05_상품별배치367'!$E$7:$E$373,A1186,'05_상품별배치367'!$H$7:$H$373,"추가 진열")</f>
        <v>0</v>
      </c>
      <c r="Q1186" s="7">
        <f>O1186+P1186</f>
        <v>0</v>
      </c>
      <c r="R1186" s="7">
        <v>1</v>
      </c>
      <c r="S1186" s="6" t="s">
        <v>6197</v>
      </c>
      <c r="T1186" s="6" t="s">
        <v>1637</v>
      </c>
      <c r="U1186" s="6"/>
      <c r="V1186" s="16"/>
      <c r="W1186" s="16"/>
      <c r="X1186" s="16"/>
      <c r="Y1186" s="6" t="s">
        <v>1627</v>
      </c>
      <c r="Z1186" s="15"/>
      <c r="AA1186" s="15" t="s">
        <v>1628</v>
      </c>
    </row>
    <row r="1187" spans="1:27" ht="33" customHeight="1">
      <c r="A1187" s="8" t="s">
        <v>6379</v>
      </c>
      <c r="B1187" s="9">
        <v>2110</v>
      </c>
      <c r="C1187" s="8" t="s">
        <v>6380</v>
      </c>
      <c r="D1187" s="8" t="s">
        <v>5398</v>
      </c>
      <c r="E1187" s="8" t="s">
        <v>2746</v>
      </c>
      <c r="F1187" s="8" t="s">
        <v>2747</v>
      </c>
      <c r="G1187" s="8" t="s">
        <v>1668</v>
      </c>
      <c r="H1187" s="8"/>
      <c r="I1187" s="14" t="s">
        <v>1669</v>
      </c>
      <c r="J1187" s="15"/>
      <c r="K1187" s="8" t="s">
        <v>2748</v>
      </c>
      <c r="L1187" s="8"/>
      <c r="M1187" s="6" t="s">
        <v>1671</v>
      </c>
      <c r="N1187" s="6" t="s">
        <v>1644</v>
      </c>
      <c r="O1187" s="7">
        <f>SUMIFS('05_상품별배치367'!$K$7:$K$373,'05_상품별배치367'!$E$7:$E$373,A1187,'05_상품별배치367'!$H$7:$H$373,"본진")</f>
        <v>0</v>
      </c>
      <c r="P1187" s="7">
        <f>SUMIFS('05_상품별배치367'!$K$7:$K$373,'05_상품별배치367'!$E$7:$E$373,A1187,'05_상품별배치367'!$H$7:$H$373,"추가 진열")</f>
        <v>0</v>
      </c>
      <c r="Q1187" s="7">
        <f>O1187+P1187</f>
        <v>0</v>
      </c>
      <c r="R1187" s="7">
        <v>0</v>
      </c>
      <c r="S1187" s="6" t="s">
        <v>1672</v>
      </c>
      <c r="T1187" s="6" t="s">
        <v>1637</v>
      </c>
      <c r="U1187" s="6"/>
      <c r="V1187" s="16"/>
      <c r="W1187" s="16"/>
      <c r="X1187" s="16"/>
      <c r="Y1187" s="6" t="s">
        <v>1627</v>
      </c>
      <c r="Z1187" s="15"/>
      <c r="AA1187" s="15" t="s">
        <v>1628</v>
      </c>
    </row>
    <row r="1188" spans="1:27" ht="33" customHeight="1">
      <c r="A1188" s="6" t="s">
        <v>6381</v>
      </c>
      <c r="B1188" s="7">
        <v>2111</v>
      </c>
      <c r="C1188" s="6" t="s">
        <v>6382</v>
      </c>
      <c r="D1188" s="6" t="s">
        <v>5398</v>
      </c>
      <c r="E1188" s="6" t="s">
        <v>2746</v>
      </c>
      <c r="F1188" s="6" t="s">
        <v>2747</v>
      </c>
      <c r="G1188" s="6" t="s">
        <v>1668</v>
      </c>
      <c r="H1188" s="6"/>
      <c r="I1188" s="14" t="s">
        <v>1669</v>
      </c>
      <c r="J1188" s="15"/>
      <c r="K1188" s="6" t="s">
        <v>2748</v>
      </c>
      <c r="L1188" s="6"/>
      <c r="M1188" s="6" t="s">
        <v>1671</v>
      </c>
      <c r="N1188" s="6" t="s">
        <v>1644</v>
      </c>
      <c r="O1188" s="7">
        <f>SUMIFS('05_상품별배치367'!$K$7:$K$373,'05_상품별배치367'!$E$7:$E$373,A1188,'05_상품별배치367'!$H$7:$H$373,"본진")</f>
        <v>0</v>
      </c>
      <c r="P1188" s="7">
        <f>SUMIFS('05_상품별배치367'!$K$7:$K$373,'05_상품별배치367'!$E$7:$E$373,A1188,'05_상품별배치367'!$H$7:$H$373,"추가 진열")</f>
        <v>0</v>
      </c>
      <c r="Q1188" s="7">
        <f>O1188+P1188</f>
        <v>0</v>
      </c>
      <c r="R1188" s="7">
        <v>0</v>
      </c>
      <c r="S1188" s="6" t="s">
        <v>1672</v>
      </c>
      <c r="T1188" s="6" t="s">
        <v>1637</v>
      </c>
      <c r="U1188" s="6"/>
      <c r="V1188" s="16"/>
      <c r="W1188" s="16"/>
      <c r="X1188" s="16"/>
      <c r="Y1188" s="6" t="s">
        <v>1627</v>
      </c>
      <c r="Z1188" s="15"/>
      <c r="AA1188" s="15" t="s">
        <v>1628</v>
      </c>
    </row>
    <row r="1189" spans="1:27" ht="33" customHeight="1">
      <c r="A1189" s="8" t="s">
        <v>6383</v>
      </c>
      <c r="B1189" s="9">
        <v>2112</v>
      </c>
      <c r="C1189" s="8" t="s">
        <v>6384</v>
      </c>
      <c r="D1189" s="8" t="s">
        <v>5398</v>
      </c>
      <c r="E1189" s="8" t="s">
        <v>2746</v>
      </c>
      <c r="F1189" s="8" t="s">
        <v>2747</v>
      </c>
      <c r="G1189" s="8" t="s">
        <v>1668</v>
      </c>
      <c r="H1189" s="8"/>
      <c r="I1189" s="14" t="s">
        <v>1669</v>
      </c>
      <c r="J1189" s="15"/>
      <c r="K1189" s="8" t="s">
        <v>2748</v>
      </c>
      <c r="L1189" s="8"/>
      <c r="M1189" s="6" t="s">
        <v>1671</v>
      </c>
      <c r="N1189" s="6" t="s">
        <v>1644</v>
      </c>
      <c r="O1189" s="7">
        <f>SUMIFS('05_상품별배치367'!$K$7:$K$373,'05_상품별배치367'!$E$7:$E$373,A1189,'05_상품별배치367'!$H$7:$H$373,"본진")</f>
        <v>0</v>
      </c>
      <c r="P1189" s="7">
        <f>SUMIFS('05_상품별배치367'!$K$7:$K$373,'05_상품별배치367'!$E$7:$E$373,A1189,'05_상품별배치367'!$H$7:$H$373,"추가 진열")</f>
        <v>0</v>
      </c>
      <c r="Q1189" s="7">
        <f>O1189+P1189</f>
        <v>0</v>
      </c>
      <c r="R1189" s="7">
        <v>0</v>
      </c>
      <c r="S1189" s="6" t="s">
        <v>1672</v>
      </c>
      <c r="T1189" s="6" t="s">
        <v>1637</v>
      </c>
      <c r="U1189" s="6"/>
      <c r="V1189" s="16"/>
      <c r="W1189" s="16"/>
      <c r="X1189" s="16"/>
      <c r="Y1189" s="6" t="s">
        <v>1627</v>
      </c>
      <c r="Z1189" s="15"/>
      <c r="AA1189" s="15" t="s">
        <v>1628</v>
      </c>
    </row>
    <row r="1190" spans="1:27" ht="33" customHeight="1">
      <c r="A1190" s="6" t="s">
        <v>6385</v>
      </c>
      <c r="B1190" s="7">
        <v>2113</v>
      </c>
      <c r="C1190" s="6" t="s">
        <v>6386</v>
      </c>
      <c r="D1190" s="6" t="s">
        <v>5398</v>
      </c>
      <c r="E1190" s="6" t="s">
        <v>2746</v>
      </c>
      <c r="F1190" s="6" t="s">
        <v>2747</v>
      </c>
      <c r="G1190" s="6" t="s">
        <v>1668</v>
      </c>
      <c r="H1190" s="6"/>
      <c r="I1190" s="14" t="s">
        <v>1669</v>
      </c>
      <c r="J1190" s="15"/>
      <c r="K1190" s="6" t="s">
        <v>2748</v>
      </c>
      <c r="L1190" s="6"/>
      <c r="M1190" s="6" t="s">
        <v>1671</v>
      </c>
      <c r="N1190" s="6" t="s">
        <v>1644</v>
      </c>
      <c r="O1190" s="7">
        <f>SUMIFS('05_상품별배치367'!$K$7:$K$373,'05_상품별배치367'!$E$7:$E$373,A1190,'05_상품별배치367'!$H$7:$H$373,"본진")</f>
        <v>0</v>
      </c>
      <c r="P1190" s="7">
        <f>SUMIFS('05_상품별배치367'!$K$7:$K$373,'05_상품별배치367'!$E$7:$E$373,A1190,'05_상품별배치367'!$H$7:$H$373,"추가 진열")</f>
        <v>0</v>
      </c>
      <c r="Q1190" s="7">
        <f>O1190+P1190</f>
        <v>0</v>
      </c>
      <c r="R1190" s="7">
        <v>0</v>
      </c>
      <c r="S1190" s="6" t="s">
        <v>1672</v>
      </c>
      <c r="T1190" s="6" t="s">
        <v>1637</v>
      </c>
      <c r="U1190" s="6"/>
      <c r="V1190" s="16"/>
      <c r="W1190" s="16"/>
      <c r="X1190" s="16"/>
      <c r="Y1190" s="6" t="s">
        <v>1627</v>
      </c>
      <c r="Z1190" s="15"/>
      <c r="AA1190" s="15" t="s">
        <v>1628</v>
      </c>
    </row>
    <row r="1191" spans="1:27" ht="33" customHeight="1">
      <c r="A1191" s="8" t="s">
        <v>6387</v>
      </c>
      <c r="B1191" s="9">
        <v>2114</v>
      </c>
      <c r="C1191" s="8" t="s">
        <v>6388</v>
      </c>
      <c r="D1191" s="8" t="s">
        <v>5398</v>
      </c>
      <c r="E1191" s="8" t="s">
        <v>2746</v>
      </c>
      <c r="F1191" s="8" t="s">
        <v>2747</v>
      </c>
      <c r="G1191" s="8" t="s">
        <v>1668</v>
      </c>
      <c r="H1191" s="8"/>
      <c r="I1191" s="14" t="s">
        <v>1669</v>
      </c>
      <c r="J1191" s="15"/>
      <c r="K1191" s="8" t="s">
        <v>2748</v>
      </c>
      <c r="L1191" s="8"/>
      <c r="M1191" s="6" t="s">
        <v>1671</v>
      </c>
      <c r="N1191" s="6" t="s">
        <v>1644</v>
      </c>
      <c r="O1191" s="7">
        <f>SUMIFS('05_상품별배치367'!$K$7:$K$373,'05_상품별배치367'!$E$7:$E$373,A1191,'05_상품별배치367'!$H$7:$H$373,"본진")</f>
        <v>0</v>
      </c>
      <c r="P1191" s="7">
        <f>SUMIFS('05_상품별배치367'!$K$7:$K$373,'05_상품별배치367'!$E$7:$E$373,A1191,'05_상품별배치367'!$H$7:$H$373,"추가 진열")</f>
        <v>0</v>
      </c>
      <c r="Q1191" s="7">
        <f>O1191+P1191</f>
        <v>0</v>
      </c>
      <c r="R1191" s="7">
        <v>0</v>
      </c>
      <c r="S1191" s="6" t="s">
        <v>1672</v>
      </c>
      <c r="T1191" s="6" t="s">
        <v>1637</v>
      </c>
      <c r="U1191" s="6"/>
      <c r="V1191" s="16"/>
      <c r="W1191" s="16"/>
      <c r="X1191" s="16"/>
      <c r="Y1191" s="6" t="s">
        <v>1627</v>
      </c>
      <c r="Z1191" s="15"/>
      <c r="AA1191" s="15" t="s">
        <v>1628</v>
      </c>
    </row>
    <row r="1192" spans="1:27" ht="33" customHeight="1">
      <c r="A1192" s="8" t="s">
        <v>6072</v>
      </c>
      <c r="B1192" s="9">
        <v>1982</v>
      </c>
      <c r="C1192" s="8" t="s">
        <v>6073</v>
      </c>
      <c r="D1192" s="8" t="s">
        <v>6074</v>
      </c>
      <c r="E1192" s="8" t="s">
        <v>1641</v>
      </c>
      <c r="F1192" s="8" t="s">
        <v>694</v>
      </c>
      <c r="G1192" s="8" t="s">
        <v>99</v>
      </c>
      <c r="H1192" s="8"/>
      <c r="I1192" s="14" t="s">
        <v>1642</v>
      </c>
      <c r="J1192" s="15"/>
      <c r="K1192" s="8" t="s">
        <v>1634</v>
      </c>
      <c r="L1192" s="8" t="s">
        <v>3828</v>
      </c>
      <c r="M1192" s="6" t="s">
        <v>1643</v>
      </c>
      <c r="N1192" s="6" t="s">
        <v>1624</v>
      </c>
      <c r="O1192" s="7">
        <f>SUMIFS('05_상품별배치367'!$K$7:$K$373,'05_상품별배치367'!$E$7:$E$373,A1192,'05_상품별배치367'!$H$7:$H$373,"본진")</f>
        <v>0</v>
      </c>
      <c r="P1192" s="7">
        <f>SUMIFS('05_상품별배치367'!$K$7:$K$373,'05_상품별배치367'!$E$7:$E$373,A1192,'05_상품별배치367'!$H$7:$H$373,"추가 진열")</f>
        <v>0</v>
      </c>
      <c r="Q1192" s="7">
        <f>O1192+P1192</f>
        <v>0</v>
      </c>
      <c r="R1192" s="7">
        <v>1</v>
      </c>
      <c r="S1192" s="6" t="s">
        <v>5964</v>
      </c>
      <c r="T1192" s="6" t="s">
        <v>1637</v>
      </c>
      <c r="U1192" s="6"/>
      <c r="V1192" s="16"/>
      <c r="W1192" s="16"/>
      <c r="X1192" s="16"/>
      <c r="Y1192" s="6" t="s">
        <v>1627</v>
      </c>
      <c r="Z1192" s="15"/>
      <c r="AA1192" s="15" t="s">
        <v>1628</v>
      </c>
    </row>
    <row r="1193" spans="1:27" ht="33" customHeight="1">
      <c r="A1193" s="8" t="s">
        <v>6947</v>
      </c>
      <c r="B1193" s="9">
        <v>2382</v>
      </c>
      <c r="C1193" s="8" t="s">
        <v>6948</v>
      </c>
      <c r="D1193" s="8" t="s">
        <v>2856</v>
      </c>
      <c r="E1193" s="8" t="s">
        <v>1981</v>
      </c>
      <c r="F1193" s="8" t="s">
        <v>1025</v>
      </c>
      <c r="G1193" s="8" t="s">
        <v>254</v>
      </c>
      <c r="H1193" s="8" t="s">
        <v>1024</v>
      </c>
      <c r="I1193" s="14" t="s">
        <v>1633</v>
      </c>
      <c r="J1193" s="15"/>
      <c r="K1193" s="8" t="s">
        <v>1982</v>
      </c>
      <c r="L1193" s="8" t="s">
        <v>3828</v>
      </c>
      <c r="M1193" s="6" t="s">
        <v>1635</v>
      </c>
      <c r="N1193" s="6" t="s">
        <v>1624</v>
      </c>
      <c r="O1193" s="7">
        <f>SUMIFS('05_상품별배치367'!$K$7:$K$373,'05_상품별배치367'!$E$7:$E$373,A1193,'05_상품별배치367'!$H$7:$H$373,"본진")</f>
        <v>1</v>
      </c>
      <c r="P1193" s="7">
        <f>SUMIFS('05_상품별배치367'!$K$7:$K$373,'05_상품별배치367'!$E$7:$E$373,A1193,'05_상품별배치367'!$H$7:$H$373,"추가 진열")</f>
        <v>0</v>
      </c>
      <c r="Q1193" s="7">
        <f>O1193+P1193</f>
        <v>1</v>
      </c>
      <c r="R1193" s="7">
        <v>1</v>
      </c>
      <c r="S1193" s="6" t="s">
        <v>1636</v>
      </c>
      <c r="T1193" s="6" t="s">
        <v>1637</v>
      </c>
      <c r="U1193" s="6"/>
      <c r="V1193" s="16"/>
      <c r="W1193" s="16"/>
      <c r="X1193" s="16"/>
      <c r="Y1193" s="6" t="s">
        <v>1627</v>
      </c>
      <c r="Z1193" s="15"/>
      <c r="AA1193" s="15" t="s">
        <v>1628</v>
      </c>
    </row>
    <row r="1194" spans="1:27" ht="33" customHeight="1">
      <c r="A1194" s="6" t="s">
        <v>1825</v>
      </c>
      <c r="B1194" s="7">
        <v>69</v>
      </c>
      <c r="C1194" s="6" t="s">
        <v>1826</v>
      </c>
      <c r="D1194" s="6" t="s">
        <v>1827</v>
      </c>
      <c r="E1194" s="6" t="s">
        <v>1641</v>
      </c>
      <c r="F1194" s="6" t="s">
        <v>1806</v>
      </c>
      <c r="G1194" s="6" t="s">
        <v>1668</v>
      </c>
      <c r="H1194" s="6"/>
      <c r="I1194" s="14" t="s">
        <v>1807</v>
      </c>
      <c r="J1194" s="15"/>
      <c r="K1194" s="6" t="s">
        <v>1634</v>
      </c>
      <c r="L1194" s="6" t="s">
        <v>1808</v>
      </c>
      <c r="M1194" s="6" t="s">
        <v>1809</v>
      </c>
      <c r="N1194" s="6" t="s">
        <v>1624</v>
      </c>
      <c r="O1194" s="7">
        <f>SUMIFS('05_상품별배치367'!$K$7:$K$373,'05_상품별배치367'!$E$7:$E$373,A1194,'05_상품별배치367'!$H$7:$H$373,"본진")</f>
        <v>0</v>
      </c>
      <c r="P1194" s="7">
        <f>SUMIFS('05_상품별배치367'!$K$7:$K$373,'05_상품별배치367'!$E$7:$E$373,A1194,'05_상품별배치367'!$H$7:$H$373,"추가 진열")</f>
        <v>0</v>
      </c>
      <c r="Q1194" s="7">
        <f>O1194+P1194</f>
        <v>0</v>
      </c>
      <c r="R1194" s="7">
        <v>0</v>
      </c>
      <c r="S1194" s="6" t="s">
        <v>1810</v>
      </c>
      <c r="T1194" s="6" t="s">
        <v>1637</v>
      </c>
      <c r="U1194" s="6"/>
      <c r="V1194" s="16"/>
      <c r="W1194" s="16"/>
      <c r="X1194" s="16"/>
      <c r="Y1194" s="6" t="s">
        <v>1627</v>
      </c>
      <c r="Z1194" s="15"/>
      <c r="AA1194" s="15" t="s">
        <v>1628</v>
      </c>
    </row>
    <row r="1195" spans="1:27" ht="33" customHeight="1">
      <c r="A1195" s="8" t="s">
        <v>5900</v>
      </c>
      <c r="B1195" s="9">
        <v>1904</v>
      </c>
      <c r="C1195" s="8" t="s">
        <v>5901</v>
      </c>
      <c r="D1195" s="8"/>
      <c r="E1195" s="8" t="s">
        <v>1743</v>
      </c>
      <c r="F1195" s="8" t="s">
        <v>2129</v>
      </c>
      <c r="G1195" s="8" t="s">
        <v>1668</v>
      </c>
      <c r="H1195" s="8"/>
      <c r="I1195" s="14" t="s">
        <v>1807</v>
      </c>
      <c r="J1195" s="15"/>
      <c r="K1195" s="8" t="s">
        <v>1696</v>
      </c>
      <c r="L1195" s="8" t="s">
        <v>2079</v>
      </c>
      <c r="M1195" s="6" t="s">
        <v>1809</v>
      </c>
      <c r="N1195" s="6" t="s">
        <v>1644</v>
      </c>
      <c r="O1195" s="7">
        <f>SUMIFS('05_상품별배치367'!$K$7:$K$373,'05_상품별배치367'!$E$7:$E$373,A1195,'05_상품별배치367'!$H$7:$H$373,"본진")</f>
        <v>0</v>
      </c>
      <c r="P1195" s="7">
        <f>SUMIFS('05_상품별배치367'!$K$7:$K$373,'05_상품별배치367'!$E$7:$E$373,A1195,'05_상품별배치367'!$H$7:$H$373,"추가 진열")</f>
        <v>0</v>
      </c>
      <c r="Q1195" s="7">
        <f>O1195+P1195</f>
        <v>0</v>
      </c>
      <c r="R1195" s="7">
        <v>0</v>
      </c>
      <c r="S1195" s="6" t="s">
        <v>1810</v>
      </c>
      <c r="T1195" s="6" t="s">
        <v>1637</v>
      </c>
      <c r="U1195" s="6"/>
      <c r="V1195" s="16"/>
      <c r="W1195" s="16"/>
      <c r="X1195" s="16"/>
      <c r="Y1195" s="6" t="s">
        <v>5772</v>
      </c>
      <c r="Z1195" s="15"/>
      <c r="AA1195" s="15" t="s">
        <v>1628</v>
      </c>
    </row>
    <row r="1196" spans="1:27" ht="33" customHeight="1">
      <c r="A1196" s="6" t="s">
        <v>1892</v>
      </c>
      <c r="B1196" s="7">
        <v>93</v>
      </c>
      <c r="C1196" s="6" t="s">
        <v>1893</v>
      </c>
      <c r="D1196" s="6" t="s">
        <v>1894</v>
      </c>
      <c r="E1196" s="6" t="s">
        <v>1695</v>
      </c>
      <c r="F1196" s="6" t="s">
        <v>770</v>
      </c>
      <c r="G1196" s="6" t="s">
        <v>131</v>
      </c>
      <c r="H1196" s="6"/>
      <c r="I1196" s="14" t="s">
        <v>1642</v>
      </c>
      <c r="J1196" s="15"/>
      <c r="K1196" s="6" t="s">
        <v>1696</v>
      </c>
      <c r="L1196" s="6"/>
      <c r="M1196" s="6" t="s">
        <v>1643</v>
      </c>
      <c r="N1196" s="6" t="s">
        <v>1624</v>
      </c>
      <c r="O1196" s="7">
        <f>SUMIFS('05_상품별배치367'!$K$7:$K$373,'05_상품별배치367'!$E$7:$E$373,A1196,'05_상품별배치367'!$H$7:$H$373,"본진")</f>
        <v>0</v>
      </c>
      <c r="P1196" s="7">
        <f>SUMIFS('05_상품별배치367'!$K$7:$K$373,'05_상품별배치367'!$E$7:$E$373,A1196,'05_상품별배치367'!$H$7:$H$373,"추가 진열")</f>
        <v>0</v>
      </c>
      <c r="Q1196" s="7">
        <f>O1196+P1196</f>
        <v>0</v>
      </c>
      <c r="R1196" s="7">
        <v>1</v>
      </c>
      <c r="S1196" s="6" t="s">
        <v>1891</v>
      </c>
      <c r="T1196" s="6" t="s">
        <v>1637</v>
      </c>
      <c r="U1196" s="6"/>
      <c r="V1196" s="16"/>
      <c r="W1196" s="16"/>
      <c r="X1196" s="16"/>
      <c r="Y1196" s="6" t="s">
        <v>1627</v>
      </c>
      <c r="Z1196" s="15"/>
      <c r="AA1196" s="15" t="s">
        <v>1628</v>
      </c>
    </row>
    <row r="1197" spans="1:27" ht="33" customHeight="1">
      <c r="A1197" s="8" t="s">
        <v>1895</v>
      </c>
      <c r="B1197" s="9">
        <v>94</v>
      </c>
      <c r="C1197" s="8" t="s">
        <v>1896</v>
      </c>
      <c r="D1197" s="8" t="s">
        <v>1894</v>
      </c>
      <c r="E1197" s="8" t="s">
        <v>1695</v>
      </c>
      <c r="F1197" s="8" t="s">
        <v>770</v>
      </c>
      <c r="G1197" s="8" t="s">
        <v>131</v>
      </c>
      <c r="H1197" s="8"/>
      <c r="I1197" s="14" t="s">
        <v>1642</v>
      </c>
      <c r="J1197" s="15"/>
      <c r="K1197" s="8" t="s">
        <v>1696</v>
      </c>
      <c r="L1197" s="8"/>
      <c r="M1197" s="6" t="s">
        <v>1643</v>
      </c>
      <c r="N1197" s="6" t="s">
        <v>1644</v>
      </c>
      <c r="O1197" s="7">
        <f>SUMIFS('05_상품별배치367'!$K$7:$K$373,'05_상품별배치367'!$E$7:$E$373,A1197,'05_상품별배치367'!$H$7:$H$373,"본진")</f>
        <v>0</v>
      </c>
      <c r="P1197" s="7">
        <f>SUMIFS('05_상품별배치367'!$K$7:$K$373,'05_상품별배치367'!$E$7:$E$373,A1197,'05_상품별배치367'!$H$7:$H$373,"추가 진열")</f>
        <v>0</v>
      </c>
      <c r="Q1197" s="7">
        <f>O1197+P1197</f>
        <v>0</v>
      </c>
      <c r="R1197" s="7">
        <v>1</v>
      </c>
      <c r="S1197" s="6" t="s">
        <v>1891</v>
      </c>
      <c r="T1197" s="6" t="s">
        <v>1637</v>
      </c>
      <c r="U1197" s="6"/>
      <c r="V1197" s="16"/>
      <c r="W1197" s="16"/>
      <c r="X1197" s="16"/>
      <c r="Y1197" s="6" t="s">
        <v>1627</v>
      </c>
      <c r="Z1197" s="15"/>
      <c r="AA1197" s="15" t="s">
        <v>1628</v>
      </c>
    </row>
    <row r="1198" spans="1:27" ht="33" customHeight="1">
      <c r="A1198" s="8" t="s">
        <v>5801</v>
      </c>
      <c r="B1198" s="9">
        <v>1856</v>
      </c>
      <c r="C1198" s="8" t="s">
        <v>5802</v>
      </c>
      <c r="D1198" s="8" t="s">
        <v>5803</v>
      </c>
      <c r="E1198" s="8" t="s">
        <v>1632</v>
      </c>
      <c r="F1198" s="8" t="s">
        <v>870</v>
      </c>
      <c r="G1198" s="8" t="s">
        <v>173</v>
      </c>
      <c r="H1198" s="8" t="s">
        <v>874</v>
      </c>
      <c r="I1198" s="14" t="s">
        <v>1633</v>
      </c>
      <c r="J1198" s="15"/>
      <c r="K1198" s="8" t="s">
        <v>1634</v>
      </c>
      <c r="L1198" s="8" t="s">
        <v>3828</v>
      </c>
      <c r="M1198" s="6" t="s">
        <v>1635</v>
      </c>
      <c r="N1198" s="6" t="s">
        <v>1624</v>
      </c>
      <c r="O1198" s="7">
        <f>SUMIFS('05_상품별배치367'!$K$7:$K$373,'05_상품별배치367'!$E$7:$E$373,A1198,'05_상품별배치367'!$H$7:$H$373,"본진")</f>
        <v>1</v>
      </c>
      <c r="P1198" s="7">
        <f>SUMIFS('05_상품별배치367'!$K$7:$K$373,'05_상품별배치367'!$E$7:$E$373,A1198,'05_상품별배치367'!$H$7:$H$373,"추가 진열")</f>
        <v>0</v>
      </c>
      <c r="Q1198" s="7">
        <f>O1198+P1198</f>
        <v>1</v>
      </c>
      <c r="R1198" s="7">
        <v>1</v>
      </c>
      <c r="S1198" s="6" t="s">
        <v>1636</v>
      </c>
      <c r="T1198" s="6" t="s">
        <v>1637</v>
      </c>
      <c r="U1198" s="6"/>
      <c r="V1198" s="16"/>
      <c r="W1198" s="16"/>
      <c r="X1198" s="16"/>
      <c r="Y1198" s="6" t="s">
        <v>1627</v>
      </c>
      <c r="Z1198" s="15"/>
      <c r="AA1198" s="15" t="s">
        <v>1628</v>
      </c>
    </row>
    <row r="1199" spans="1:27" ht="33" customHeight="1">
      <c r="A1199" s="6" t="s">
        <v>7160</v>
      </c>
      <c r="B1199" s="7">
        <v>2483</v>
      </c>
      <c r="C1199" s="6" t="s">
        <v>7161</v>
      </c>
      <c r="D1199" s="6" t="s">
        <v>7162</v>
      </c>
      <c r="E1199" s="6" t="s">
        <v>1695</v>
      </c>
      <c r="F1199" s="6" t="s">
        <v>1152</v>
      </c>
      <c r="G1199" s="6" t="s">
        <v>315</v>
      </c>
      <c r="H1199" s="6" t="s">
        <v>1151</v>
      </c>
      <c r="I1199" s="14" t="s">
        <v>1621</v>
      </c>
      <c r="J1199" s="15"/>
      <c r="K1199" s="6" t="s">
        <v>1696</v>
      </c>
      <c r="L1199" s="6" t="s">
        <v>3828</v>
      </c>
      <c r="M1199" s="6" t="s">
        <v>1623</v>
      </c>
      <c r="N1199" s="6" t="s">
        <v>1624</v>
      </c>
      <c r="O1199" s="7">
        <f>SUMIFS('05_상품별배치367'!$K$7:$K$373,'05_상품별배치367'!$E$7:$E$373,A1199,'05_상품별배치367'!$H$7:$H$373,"본진")</f>
        <v>1</v>
      </c>
      <c r="P1199" s="7">
        <f>SUMIFS('05_상품별배치367'!$K$7:$K$373,'05_상품별배치367'!$E$7:$E$373,A1199,'05_상품별배치367'!$H$7:$H$373,"추가 진열")</f>
        <v>0</v>
      </c>
      <c r="Q1199" s="7">
        <f>O1199+P1199</f>
        <v>1</v>
      </c>
      <c r="R1199" s="7">
        <v>1</v>
      </c>
      <c r="S1199" s="6" t="s">
        <v>1625</v>
      </c>
      <c r="T1199" s="6" t="s">
        <v>1637</v>
      </c>
      <c r="U1199" s="6"/>
      <c r="V1199" s="16"/>
      <c r="W1199" s="16"/>
      <c r="X1199" s="16"/>
      <c r="Y1199" s="6" t="s">
        <v>1627</v>
      </c>
      <c r="Z1199" s="15"/>
      <c r="AA1199" s="15" t="s">
        <v>1628</v>
      </c>
    </row>
    <row r="1200" spans="1:27" ht="33" customHeight="1">
      <c r="A1200" s="8" t="s">
        <v>6077</v>
      </c>
      <c r="B1200" s="9">
        <v>1984</v>
      </c>
      <c r="C1200" s="8" t="s">
        <v>6078</v>
      </c>
      <c r="D1200" s="8" t="s">
        <v>6069</v>
      </c>
      <c r="E1200" s="8" t="s">
        <v>1641</v>
      </c>
      <c r="F1200" s="8" t="s">
        <v>1134</v>
      </c>
      <c r="G1200" s="8" t="s">
        <v>315</v>
      </c>
      <c r="H1200" s="8"/>
      <c r="I1200" s="14" t="s">
        <v>1642</v>
      </c>
      <c r="J1200" s="15"/>
      <c r="K1200" s="8" t="s">
        <v>1634</v>
      </c>
      <c r="L1200" s="8" t="s">
        <v>3828</v>
      </c>
      <c r="M1200" s="6" t="s">
        <v>1643</v>
      </c>
      <c r="N1200" s="6" t="s">
        <v>1624</v>
      </c>
      <c r="O1200" s="7">
        <f>SUMIFS('05_상품별배치367'!$K$7:$K$373,'05_상품별배치367'!$E$7:$E$373,A1200,'05_상품별배치367'!$H$7:$H$373,"본진")</f>
        <v>0</v>
      </c>
      <c r="P1200" s="7">
        <f>SUMIFS('05_상품별배치367'!$K$7:$K$373,'05_상품별배치367'!$E$7:$E$373,A1200,'05_상품별배치367'!$H$7:$H$373,"추가 진열")</f>
        <v>0</v>
      </c>
      <c r="Q1200" s="7">
        <f>O1200+P1200</f>
        <v>0</v>
      </c>
      <c r="R1200" s="7">
        <v>1</v>
      </c>
      <c r="S1200" s="6" t="s">
        <v>6055</v>
      </c>
      <c r="T1200" s="6" t="s">
        <v>1637</v>
      </c>
      <c r="U1200" s="6"/>
      <c r="V1200" s="16"/>
      <c r="W1200" s="16"/>
      <c r="X1200" s="16"/>
      <c r="Y1200" s="6" t="s">
        <v>1627</v>
      </c>
      <c r="Z1200" s="15"/>
      <c r="AA1200" s="15" t="s">
        <v>1628</v>
      </c>
    </row>
    <row r="1201" spans="1:27" ht="33" customHeight="1">
      <c r="A1201" s="6" t="s">
        <v>7249</v>
      </c>
      <c r="B1201" s="7">
        <v>2525</v>
      </c>
      <c r="C1201" s="6" t="s">
        <v>7250</v>
      </c>
      <c r="D1201" s="6" t="s">
        <v>1686</v>
      </c>
      <c r="E1201" s="6" t="s">
        <v>1632</v>
      </c>
      <c r="F1201" s="6" t="s">
        <v>128</v>
      </c>
      <c r="G1201" s="6" t="s">
        <v>228</v>
      </c>
      <c r="H1201" s="6" t="s">
        <v>977</v>
      </c>
      <c r="I1201" s="14" t="s">
        <v>1642</v>
      </c>
      <c r="J1201" s="15"/>
      <c r="K1201" s="6" t="s">
        <v>1634</v>
      </c>
      <c r="L1201" s="6" t="s">
        <v>3828</v>
      </c>
      <c r="M1201" s="6" t="s">
        <v>1643</v>
      </c>
      <c r="N1201" s="6" t="s">
        <v>1624</v>
      </c>
      <c r="O1201" s="7">
        <f>SUMIFS('05_상품별배치367'!$K$7:$K$373,'05_상품별배치367'!$E$7:$E$373,A1201,'05_상품별배치367'!$H$7:$H$373,"본진")</f>
        <v>0</v>
      </c>
      <c r="P1201" s="7">
        <f>SUMIFS('05_상품별배치367'!$K$7:$K$373,'05_상품별배치367'!$E$7:$E$373,A1201,'05_상품별배치367'!$H$7:$H$373,"추가 진열")</f>
        <v>0</v>
      </c>
      <c r="Q1201" s="7">
        <f>O1201+P1201</f>
        <v>0</v>
      </c>
      <c r="R1201" s="7">
        <v>1</v>
      </c>
      <c r="S1201" s="6" t="s">
        <v>1650</v>
      </c>
      <c r="T1201" s="6" t="s">
        <v>1637</v>
      </c>
      <c r="U1201" s="6"/>
      <c r="V1201" s="16"/>
      <c r="W1201" s="16"/>
      <c r="X1201" s="16"/>
      <c r="Y1201" s="6" t="s">
        <v>1627</v>
      </c>
      <c r="Z1201" s="15"/>
      <c r="AA1201" s="15" t="s">
        <v>1628</v>
      </c>
    </row>
    <row r="1202" spans="1:27" ht="33" customHeight="1">
      <c r="A1202" s="8" t="s">
        <v>7251</v>
      </c>
      <c r="B1202" s="9">
        <v>2526</v>
      </c>
      <c r="C1202" s="8" t="s">
        <v>7252</v>
      </c>
      <c r="D1202" s="8" t="s">
        <v>1649</v>
      </c>
      <c r="E1202" s="8" t="s">
        <v>1632</v>
      </c>
      <c r="F1202" s="8" t="s">
        <v>870</v>
      </c>
      <c r="G1202" s="8" t="s">
        <v>173</v>
      </c>
      <c r="H1202" s="8" t="s">
        <v>874</v>
      </c>
      <c r="I1202" s="14" t="s">
        <v>1633</v>
      </c>
      <c r="J1202" s="15"/>
      <c r="K1202" s="8" t="s">
        <v>1634</v>
      </c>
      <c r="L1202" s="8" t="s">
        <v>3828</v>
      </c>
      <c r="M1202" s="6" t="s">
        <v>1635</v>
      </c>
      <c r="N1202" s="6" t="s">
        <v>1624</v>
      </c>
      <c r="O1202" s="7">
        <f>SUMIFS('05_상품별배치367'!$K$7:$K$373,'05_상품별배치367'!$E$7:$E$373,A1202,'05_상품별배치367'!$H$7:$H$373,"본진")</f>
        <v>1</v>
      </c>
      <c r="P1202" s="7">
        <f>SUMIFS('05_상품별배치367'!$K$7:$K$373,'05_상품별배치367'!$E$7:$E$373,A1202,'05_상품별배치367'!$H$7:$H$373,"추가 진열")</f>
        <v>0</v>
      </c>
      <c r="Q1202" s="7">
        <f>O1202+P1202</f>
        <v>1</v>
      </c>
      <c r="R1202" s="7">
        <v>1</v>
      </c>
      <c r="S1202" s="6" t="s">
        <v>1636</v>
      </c>
      <c r="T1202" s="6" t="s">
        <v>1637</v>
      </c>
      <c r="U1202" s="6"/>
      <c r="V1202" s="16"/>
      <c r="W1202" s="16"/>
      <c r="X1202" s="16"/>
      <c r="Y1202" s="6" t="s">
        <v>1627</v>
      </c>
      <c r="Z1202" s="15"/>
      <c r="AA1202" s="15" t="s">
        <v>1628</v>
      </c>
    </row>
    <row r="1203" spans="1:27" ht="33" customHeight="1">
      <c r="A1203" s="6" t="s">
        <v>5926</v>
      </c>
      <c r="B1203" s="7">
        <v>1917</v>
      </c>
      <c r="C1203" s="6" t="s">
        <v>5927</v>
      </c>
      <c r="D1203" s="6" t="s">
        <v>5928</v>
      </c>
      <c r="E1203" s="6" t="s">
        <v>1641</v>
      </c>
      <c r="F1203" s="6" t="s">
        <v>1381</v>
      </c>
      <c r="G1203" s="6" t="s">
        <v>439</v>
      </c>
      <c r="H1203" s="6" t="s">
        <v>1386</v>
      </c>
      <c r="I1203" s="14" t="s">
        <v>1621</v>
      </c>
      <c r="J1203" s="15"/>
      <c r="K1203" s="6" t="s">
        <v>1634</v>
      </c>
      <c r="L1203" s="6" t="s">
        <v>3828</v>
      </c>
      <c r="M1203" s="6" t="s">
        <v>1623</v>
      </c>
      <c r="N1203" s="6" t="s">
        <v>1624</v>
      </c>
      <c r="O1203" s="7">
        <f>SUMIFS('05_상품별배치367'!$K$7:$K$373,'05_상품별배치367'!$E$7:$E$373,A1203,'05_상품별배치367'!$H$7:$H$373,"본진")</f>
        <v>1</v>
      </c>
      <c r="P1203" s="7">
        <f>SUMIFS('05_상품별배치367'!$K$7:$K$373,'05_상품별배치367'!$E$7:$E$373,A1203,'05_상품별배치367'!$H$7:$H$373,"추가 진열")</f>
        <v>0</v>
      </c>
      <c r="Q1203" s="7">
        <f>O1203+P1203</f>
        <v>1</v>
      </c>
      <c r="R1203" s="7">
        <v>1</v>
      </c>
      <c r="S1203" s="6" t="s">
        <v>1625</v>
      </c>
      <c r="T1203" s="6" t="s">
        <v>1637</v>
      </c>
      <c r="U1203" s="6"/>
      <c r="V1203" s="16"/>
      <c r="W1203" s="16"/>
      <c r="X1203" s="16"/>
      <c r="Y1203" s="6" t="s">
        <v>1627</v>
      </c>
      <c r="Z1203" s="15"/>
      <c r="AA1203" s="15" t="s">
        <v>1628</v>
      </c>
    </row>
    <row r="1204" spans="1:27" ht="33" customHeight="1">
      <c r="A1204" s="8" t="s">
        <v>5923</v>
      </c>
      <c r="B1204" s="9">
        <v>1916</v>
      </c>
      <c r="C1204" s="8" t="s">
        <v>5924</v>
      </c>
      <c r="D1204" s="8" t="s">
        <v>5925</v>
      </c>
      <c r="E1204" s="8" t="s">
        <v>1641</v>
      </c>
      <c r="F1204" s="8" t="s">
        <v>1381</v>
      </c>
      <c r="G1204" s="8" t="s">
        <v>439</v>
      </c>
      <c r="H1204" s="8"/>
      <c r="I1204" s="14" t="s">
        <v>1642</v>
      </c>
      <c r="J1204" s="15"/>
      <c r="K1204" s="8" t="s">
        <v>1634</v>
      </c>
      <c r="L1204" s="8" t="s">
        <v>3828</v>
      </c>
      <c r="M1204" s="6" t="s">
        <v>1643</v>
      </c>
      <c r="N1204" s="6" t="s">
        <v>1644</v>
      </c>
      <c r="O1204" s="7">
        <f>SUMIFS('05_상품별배치367'!$K$7:$K$373,'05_상품별배치367'!$E$7:$E$373,A1204,'05_상품별배치367'!$H$7:$H$373,"본진")</f>
        <v>0</v>
      </c>
      <c r="P1204" s="7">
        <f>SUMIFS('05_상품별배치367'!$K$7:$K$373,'05_상품별배치367'!$E$7:$E$373,A1204,'05_상품별배치367'!$H$7:$H$373,"추가 진열")</f>
        <v>0</v>
      </c>
      <c r="Q1204" s="7">
        <f>O1204+P1204</f>
        <v>0</v>
      </c>
      <c r="R1204" s="7">
        <v>1</v>
      </c>
      <c r="S1204" s="6" t="s">
        <v>5766</v>
      </c>
      <c r="T1204" s="6" t="s">
        <v>1637</v>
      </c>
      <c r="U1204" s="6"/>
      <c r="V1204" s="16"/>
      <c r="W1204" s="16"/>
      <c r="X1204" s="16"/>
      <c r="Y1204" s="6" t="s">
        <v>1655</v>
      </c>
      <c r="Z1204" s="15"/>
      <c r="AA1204" s="15" t="s">
        <v>1628</v>
      </c>
    </row>
    <row r="1205" spans="1:27" ht="33" customHeight="1">
      <c r="A1205" s="6" t="s">
        <v>4139</v>
      </c>
      <c r="B1205" s="7">
        <v>1069</v>
      </c>
      <c r="C1205" s="6" t="s">
        <v>4140</v>
      </c>
      <c r="D1205" s="6" t="s">
        <v>1851</v>
      </c>
      <c r="E1205" s="6" t="s">
        <v>2134</v>
      </c>
      <c r="F1205" s="6" t="s">
        <v>156</v>
      </c>
      <c r="G1205" s="6" t="s">
        <v>3239</v>
      </c>
      <c r="H1205" s="6"/>
      <c r="I1205" s="14" t="s">
        <v>1642</v>
      </c>
      <c r="J1205" s="15"/>
      <c r="K1205" s="6" t="s">
        <v>1976</v>
      </c>
      <c r="L1205" s="6"/>
      <c r="M1205" s="6" t="s">
        <v>1643</v>
      </c>
      <c r="N1205" s="6" t="s">
        <v>1644</v>
      </c>
      <c r="O1205" s="7">
        <f>SUMIFS('05_상품별배치367'!$K$7:$K$373,'05_상품별배치367'!$E$7:$E$373,A1205,'05_상품별배치367'!$H$7:$H$373,"본진")</f>
        <v>0</v>
      </c>
      <c r="P1205" s="7">
        <f>SUMIFS('05_상품별배치367'!$K$7:$K$373,'05_상품별배치367'!$E$7:$E$373,A1205,'05_상품별배치367'!$H$7:$H$373,"추가 진열")</f>
        <v>0</v>
      </c>
      <c r="Q1205" s="7">
        <f>O1205+P1205</f>
        <v>0</v>
      </c>
      <c r="R1205" s="7">
        <v>1</v>
      </c>
      <c r="S1205" s="6" t="s">
        <v>3240</v>
      </c>
      <c r="T1205" s="6" t="s">
        <v>1637</v>
      </c>
      <c r="U1205" s="6"/>
      <c r="V1205" s="16"/>
      <c r="W1205" s="16"/>
      <c r="X1205" s="16"/>
      <c r="Y1205" s="6" t="s">
        <v>1627</v>
      </c>
      <c r="Z1205" s="15"/>
      <c r="AA1205" s="15" t="s">
        <v>1628</v>
      </c>
    </row>
    <row r="1206" spans="1:27" ht="33" customHeight="1">
      <c r="A1206" s="8" t="s">
        <v>4141</v>
      </c>
      <c r="B1206" s="9">
        <v>1070</v>
      </c>
      <c r="C1206" s="8" t="s">
        <v>4142</v>
      </c>
      <c r="D1206" s="8" t="s">
        <v>2856</v>
      </c>
      <c r="E1206" s="8" t="s">
        <v>2134</v>
      </c>
      <c r="F1206" s="8" t="s">
        <v>163</v>
      </c>
      <c r="G1206" s="8" t="s">
        <v>414</v>
      </c>
      <c r="H1206" s="8"/>
      <c r="I1206" s="14" t="s">
        <v>1642</v>
      </c>
      <c r="J1206" s="15"/>
      <c r="K1206" s="8" t="s">
        <v>1976</v>
      </c>
      <c r="L1206" s="8"/>
      <c r="M1206" s="6" t="s">
        <v>1643</v>
      </c>
      <c r="N1206" s="6" t="s">
        <v>1644</v>
      </c>
      <c r="O1206" s="7">
        <f>SUMIFS('05_상품별배치367'!$K$7:$K$373,'05_상품별배치367'!$E$7:$E$373,A1206,'05_상품별배치367'!$H$7:$H$373,"본진")</f>
        <v>0</v>
      </c>
      <c r="P1206" s="7">
        <f>SUMIFS('05_상품별배치367'!$K$7:$K$373,'05_상품별배치367'!$E$7:$E$373,A1206,'05_상품별배치367'!$H$7:$H$373,"추가 진열")</f>
        <v>0</v>
      </c>
      <c r="Q1206" s="7">
        <f>O1206+P1206</f>
        <v>0</v>
      </c>
      <c r="R1206" s="7">
        <v>1</v>
      </c>
      <c r="S1206" s="6" t="s">
        <v>3048</v>
      </c>
      <c r="T1206" s="6" t="s">
        <v>1637</v>
      </c>
      <c r="U1206" s="6"/>
      <c r="V1206" s="16"/>
      <c r="W1206" s="16"/>
      <c r="X1206" s="16"/>
      <c r="Y1206" s="6" t="s">
        <v>1627</v>
      </c>
      <c r="Z1206" s="15"/>
      <c r="AA1206" s="15" t="s">
        <v>1628</v>
      </c>
    </row>
    <row r="1207" spans="1:27" ht="33" customHeight="1">
      <c r="A1207" s="8" t="s">
        <v>4137</v>
      </c>
      <c r="B1207" s="9">
        <v>1068</v>
      </c>
      <c r="C1207" s="8" t="s">
        <v>4138</v>
      </c>
      <c r="D1207" s="8" t="s">
        <v>3042</v>
      </c>
      <c r="E1207" s="8" t="s">
        <v>2134</v>
      </c>
      <c r="F1207" s="8" t="s">
        <v>2933</v>
      </c>
      <c r="G1207" s="8" t="s">
        <v>1668</v>
      </c>
      <c r="H1207" s="8"/>
      <c r="I1207" s="14" t="s">
        <v>1807</v>
      </c>
      <c r="J1207" s="15"/>
      <c r="K1207" s="8" t="s">
        <v>1976</v>
      </c>
      <c r="L1207" s="8" t="s">
        <v>2032</v>
      </c>
      <c r="M1207" s="6" t="s">
        <v>1809</v>
      </c>
      <c r="N1207" s="6" t="s">
        <v>1644</v>
      </c>
      <c r="O1207" s="7">
        <f>SUMIFS('05_상품별배치367'!$K$7:$K$373,'05_상품별배치367'!$E$7:$E$373,A1207,'05_상품별배치367'!$H$7:$H$373,"본진")</f>
        <v>0</v>
      </c>
      <c r="P1207" s="7">
        <f>SUMIFS('05_상품별배치367'!$K$7:$K$373,'05_상품별배치367'!$E$7:$E$373,A1207,'05_상품별배치367'!$H$7:$H$373,"추가 진열")</f>
        <v>0</v>
      </c>
      <c r="Q1207" s="7">
        <f>O1207+P1207</f>
        <v>0</v>
      </c>
      <c r="R1207" s="7">
        <v>0</v>
      </c>
      <c r="S1207" s="6" t="s">
        <v>1810</v>
      </c>
      <c r="T1207" s="6" t="s">
        <v>1637</v>
      </c>
      <c r="U1207" s="6"/>
      <c r="V1207" s="16"/>
      <c r="W1207" s="16"/>
      <c r="X1207" s="16"/>
      <c r="Y1207" s="6" t="s">
        <v>1627</v>
      </c>
      <c r="Z1207" s="15"/>
      <c r="AA1207" s="15" t="s">
        <v>1628</v>
      </c>
    </row>
    <row r="1208" spans="1:27" ht="33" customHeight="1">
      <c r="A1208" s="6" t="s">
        <v>4134</v>
      </c>
      <c r="B1208" s="7">
        <v>1067</v>
      </c>
      <c r="C1208" s="6" t="s">
        <v>4135</v>
      </c>
      <c r="D1208" s="6" t="s">
        <v>4136</v>
      </c>
      <c r="E1208" s="6" t="s">
        <v>2134</v>
      </c>
      <c r="F1208" s="6" t="s">
        <v>2933</v>
      </c>
      <c r="G1208" s="6" t="s">
        <v>1668</v>
      </c>
      <c r="H1208" s="6"/>
      <c r="I1208" s="14" t="s">
        <v>1807</v>
      </c>
      <c r="J1208" s="15"/>
      <c r="K1208" s="6" t="s">
        <v>1976</v>
      </c>
      <c r="L1208" s="6" t="s">
        <v>2032</v>
      </c>
      <c r="M1208" s="6" t="s">
        <v>1809</v>
      </c>
      <c r="N1208" s="6" t="s">
        <v>1644</v>
      </c>
      <c r="O1208" s="7">
        <f>SUMIFS('05_상품별배치367'!$K$7:$K$373,'05_상품별배치367'!$E$7:$E$373,A1208,'05_상품별배치367'!$H$7:$H$373,"본진")</f>
        <v>0</v>
      </c>
      <c r="P1208" s="7">
        <f>SUMIFS('05_상품별배치367'!$K$7:$K$373,'05_상품별배치367'!$E$7:$E$373,A1208,'05_상품별배치367'!$H$7:$H$373,"추가 진열")</f>
        <v>0</v>
      </c>
      <c r="Q1208" s="7">
        <f>O1208+P1208</f>
        <v>0</v>
      </c>
      <c r="R1208" s="7">
        <v>0</v>
      </c>
      <c r="S1208" s="6" t="s">
        <v>1810</v>
      </c>
      <c r="T1208" s="6" t="s">
        <v>1637</v>
      </c>
      <c r="U1208" s="6"/>
      <c r="V1208" s="16"/>
      <c r="W1208" s="16"/>
      <c r="X1208" s="16"/>
      <c r="Y1208" s="6" t="s">
        <v>1627</v>
      </c>
      <c r="Z1208" s="15"/>
      <c r="AA1208" s="15" t="s">
        <v>1628</v>
      </c>
    </row>
    <row r="1209" spans="1:27" ht="33" customHeight="1">
      <c r="A1209" s="6" t="s">
        <v>4143</v>
      </c>
      <c r="B1209" s="7">
        <v>1071</v>
      </c>
      <c r="C1209" s="6" t="s">
        <v>4144</v>
      </c>
      <c r="D1209" s="6" t="s">
        <v>2856</v>
      </c>
      <c r="E1209" s="6" t="s">
        <v>2134</v>
      </c>
      <c r="F1209" s="6" t="s">
        <v>481</v>
      </c>
      <c r="G1209" s="6" t="s">
        <v>193</v>
      </c>
      <c r="H1209" s="6"/>
      <c r="I1209" s="14" t="s">
        <v>1642</v>
      </c>
      <c r="J1209" s="15"/>
      <c r="K1209" s="6" t="s">
        <v>1976</v>
      </c>
      <c r="L1209" s="6"/>
      <c r="M1209" s="6" t="s">
        <v>1643</v>
      </c>
      <c r="N1209" s="6" t="s">
        <v>1644</v>
      </c>
      <c r="O1209" s="7">
        <f>SUMIFS('05_상품별배치367'!$K$7:$K$373,'05_상품별배치367'!$E$7:$E$373,A1209,'05_상품별배치367'!$H$7:$H$373,"본진")</f>
        <v>0</v>
      </c>
      <c r="P1209" s="7">
        <f>SUMIFS('05_상품별배치367'!$K$7:$K$373,'05_상품별배치367'!$E$7:$E$373,A1209,'05_상품별배치367'!$H$7:$H$373,"추가 진열")</f>
        <v>0</v>
      </c>
      <c r="Q1209" s="7">
        <f>O1209+P1209</f>
        <v>0</v>
      </c>
      <c r="R1209" s="7">
        <v>1</v>
      </c>
      <c r="S1209" s="6" t="s">
        <v>3000</v>
      </c>
      <c r="T1209" s="6" t="s">
        <v>1637</v>
      </c>
      <c r="U1209" s="6"/>
      <c r="V1209" s="16"/>
      <c r="W1209" s="16"/>
      <c r="X1209" s="16"/>
      <c r="Y1209" s="6" t="s">
        <v>1627</v>
      </c>
      <c r="Z1209" s="15"/>
      <c r="AA1209" s="15" t="s">
        <v>1628</v>
      </c>
    </row>
    <row r="1210" spans="1:27" ht="33" customHeight="1">
      <c r="A1210" s="8" t="s">
        <v>6085</v>
      </c>
      <c r="B1210" s="9">
        <v>1988</v>
      </c>
      <c r="C1210" s="8" t="s">
        <v>6086</v>
      </c>
      <c r="D1210" s="8" t="s">
        <v>6087</v>
      </c>
      <c r="E1210" s="8" t="s">
        <v>1620</v>
      </c>
      <c r="F1210" s="8" t="s">
        <v>1239</v>
      </c>
      <c r="G1210" s="8" t="s">
        <v>358</v>
      </c>
      <c r="H1210" s="8"/>
      <c r="I1210" s="14" t="s">
        <v>1642</v>
      </c>
      <c r="J1210" s="15"/>
      <c r="K1210" s="8" t="s">
        <v>1622</v>
      </c>
      <c r="L1210" s="8" t="s">
        <v>3828</v>
      </c>
      <c r="M1210" s="6" t="s">
        <v>1643</v>
      </c>
      <c r="N1210" s="6" t="s">
        <v>1644</v>
      </c>
      <c r="O1210" s="7">
        <f>SUMIFS('05_상품별배치367'!$K$7:$K$373,'05_상품별배치367'!$E$7:$E$373,A1210,'05_상품별배치367'!$H$7:$H$373,"본진")</f>
        <v>0</v>
      </c>
      <c r="P1210" s="7">
        <f>SUMIFS('05_상품별배치367'!$K$7:$K$373,'05_상품별배치367'!$E$7:$E$373,A1210,'05_상품별배치367'!$H$7:$H$373,"추가 진열")</f>
        <v>0</v>
      </c>
      <c r="Q1210" s="7">
        <f>O1210+P1210</f>
        <v>0</v>
      </c>
      <c r="R1210" s="7">
        <v>1</v>
      </c>
      <c r="S1210" s="6" t="s">
        <v>2187</v>
      </c>
      <c r="T1210" s="6" t="s">
        <v>1637</v>
      </c>
      <c r="U1210" s="6"/>
      <c r="V1210" s="16"/>
      <c r="W1210" s="16"/>
      <c r="X1210" s="16"/>
      <c r="Y1210" s="6" t="s">
        <v>1627</v>
      </c>
      <c r="Z1210" s="15"/>
      <c r="AA1210" s="15" t="s">
        <v>1628</v>
      </c>
    </row>
    <row r="1211" spans="1:27" ht="33" customHeight="1">
      <c r="A1211" s="8" t="s">
        <v>4656</v>
      </c>
      <c r="B1211" s="9">
        <v>1314</v>
      </c>
      <c r="C1211" s="8" t="s">
        <v>4657</v>
      </c>
      <c r="D1211" s="8" t="s">
        <v>4291</v>
      </c>
      <c r="E1211" s="8" t="s">
        <v>2134</v>
      </c>
      <c r="F1211" s="8" t="s">
        <v>575</v>
      </c>
      <c r="G1211" s="8" t="s">
        <v>38</v>
      </c>
      <c r="H1211" s="8"/>
      <c r="I1211" s="14" t="s">
        <v>1642</v>
      </c>
      <c r="J1211" s="15"/>
      <c r="K1211" s="8" t="s">
        <v>1976</v>
      </c>
      <c r="L1211" s="8"/>
      <c r="M1211" s="6" t="s">
        <v>1643</v>
      </c>
      <c r="N1211" s="6" t="s">
        <v>1644</v>
      </c>
      <c r="O1211" s="7">
        <f>SUMIFS('05_상품별배치367'!$K$7:$K$373,'05_상품별배치367'!$E$7:$E$373,A1211,'05_상품별배치367'!$H$7:$H$373,"본진")</f>
        <v>0</v>
      </c>
      <c r="P1211" s="7">
        <f>SUMIFS('05_상품별배치367'!$K$7:$K$373,'05_상품별배치367'!$E$7:$E$373,A1211,'05_상품별배치367'!$H$7:$H$373,"추가 진열")</f>
        <v>0</v>
      </c>
      <c r="Q1211" s="7">
        <f>O1211+P1211</f>
        <v>0</v>
      </c>
      <c r="R1211" s="7">
        <v>1</v>
      </c>
      <c r="S1211" s="6" t="s">
        <v>3615</v>
      </c>
      <c r="T1211" s="6" t="s">
        <v>1637</v>
      </c>
      <c r="U1211" s="6"/>
      <c r="V1211" s="16"/>
      <c r="W1211" s="16"/>
      <c r="X1211" s="16"/>
      <c r="Y1211" s="6" t="s">
        <v>1627</v>
      </c>
      <c r="Z1211" s="15"/>
      <c r="AA1211" s="15" t="s">
        <v>1628</v>
      </c>
    </row>
    <row r="1212" spans="1:27" ht="33" customHeight="1">
      <c r="A1212" s="6" t="s">
        <v>4654</v>
      </c>
      <c r="B1212" s="7">
        <v>1313</v>
      </c>
      <c r="C1212" s="6" t="s">
        <v>4655</v>
      </c>
      <c r="D1212" s="6" t="s">
        <v>2856</v>
      </c>
      <c r="E1212" s="6" t="s">
        <v>2134</v>
      </c>
      <c r="F1212" s="6" t="s">
        <v>1263</v>
      </c>
      <c r="G1212" s="6" t="s">
        <v>376</v>
      </c>
      <c r="H1212" s="6"/>
      <c r="I1212" s="14" t="s">
        <v>1642</v>
      </c>
      <c r="J1212" s="15"/>
      <c r="K1212" s="6" t="s">
        <v>1976</v>
      </c>
      <c r="L1212" s="6"/>
      <c r="M1212" s="6" t="s">
        <v>1643</v>
      </c>
      <c r="N1212" s="6" t="s">
        <v>1644</v>
      </c>
      <c r="O1212" s="7">
        <f>SUMIFS('05_상품별배치367'!$K$7:$K$373,'05_상품별배치367'!$E$7:$E$373,A1212,'05_상품별배치367'!$H$7:$H$373,"본진")</f>
        <v>0</v>
      </c>
      <c r="P1212" s="7">
        <f>SUMIFS('05_상품별배치367'!$K$7:$K$373,'05_상품별배치367'!$E$7:$E$373,A1212,'05_상품별배치367'!$H$7:$H$373,"추가 진열")</f>
        <v>0</v>
      </c>
      <c r="Q1212" s="7">
        <f>O1212+P1212</f>
        <v>0</v>
      </c>
      <c r="R1212" s="7">
        <v>1</v>
      </c>
      <c r="S1212" s="6" t="s">
        <v>3016</v>
      </c>
      <c r="T1212" s="6" t="s">
        <v>1637</v>
      </c>
      <c r="U1212" s="6"/>
      <c r="V1212" s="16"/>
      <c r="W1212" s="16"/>
      <c r="X1212" s="16"/>
      <c r="Y1212" s="6" t="s">
        <v>1627</v>
      </c>
      <c r="Z1212" s="15"/>
      <c r="AA1212" s="15" t="s">
        <v>1628</v>
      </c>
    </row>
    <row r="1213" spans="1:27" ht="33" customHeight="1">
      <c r="A1213" s="6" t="s">
        <v>4658</v>
      </c>
      <c r="B1213" s="7">
        <v>1315</v>
      </c>
      <c r="C1213" s="6" t="s">
        <v>4659</v>
      </c>
      <c r="D1213" s="6" t="s">
        <v>3338</v>
      </c>
      <c r="E1213" s="6" t="s">
        <v>2134</v>
      </c>
      <c r="F1213" s="6" t="s">
        <v>1263</v>
      </c>
      <c r="G1213" s="6" t="s">
        <v>376</v>
      </c>
      <c r="H1213" s="6"/>
      <c r="I1213" s="14" t="s">
        <v>1642</v>
      </c>
      <c r="J1213" s="15"/>
      <c r="K1213" s="6" t="s">
        <v>1976</v>
      </c>
      <c r="L1213" s="6"/>
      <c r="M1213" s="6" t="s">
        <v>1643</v>
      </c>
      <c r="N1213" s="6" t="s">
        <v>1644</v>
      </c>
      <c r="O1213" s="7">
        <f>SUMIFS('05_상품별배치367'!$K$7:$K$373,'05_상품별배치367'!$E$7:$E$373,A1213,'05_상품별배치367'!$H$7:$H$373,"본진")</f>
        <v>0</v>
      </c>
      <c r="P1213" s="7">
        <f>SUMIFS('05_상품별배치367'!$K$7:$K$373,'05_상품별배치367'!$E$7:$E$373,A1213,'05_상품별배치367'!$H$7:$H$373,"추가 진열")</f>
        <v>0</v>
      </c>
      <c r="Q1213" s="7">
        <f>O1213+P1213</f>
        <v>0</v>
      </c>
      <c r="R1213" s="7">
        <v>1</v>
      </c>
      <c r="S1213" s="6" t="s">
        <v>3016</v>
      </c>
      <c r="T1213" s="6" t="s">
        <v>1637</v>
      </c>
      <c r="U1213" s="6"/>
      <c r="V1213" s="16"/>
      <c r="W1213" s="16"/>
      <c r="X1213" s="16"/>
      <c r="Y1213" s="6" t="s">
        <v>1627</v>
      </c>
      <c r="Z1213" s="15"/>
      <c r="AA1213" s="15" t="s">
        <v>1628</v>
      </c>
    </row>
    <row r="1214" spans="1:27" ht="33" customHeight="1">
      <c r="A1214" s="8" t="s">
        <v>2673</v>
      </c>
      <c r="B1214" s="9">
        <v>404</v>
      </c>
      <c r="C1214" s="8" t="s">
        <v>2674</v>
      </c>
      <c r="D1214" s="8" t="s">
        <v>2675</v>
      </c>
      <c r="E1214" s="8" t="s">
        <v>1666</v>
      </c>
      <c r="F1214" s="8" t="s">
        <v>520</v>
      </c>
      <c r="G1214" s="8" t="s">
        <v>463</v>
      </c>
      <c r="H1214" s="8"/>
      <c r="I1214" s="14" t="s">
        <v>1642</v>
      </c>
      <c r="J1214" s="15"/>
      <c r="K1214" s="8" t="s">
        <v>1670</v>
      </c>
      <c r="L1214" s="8"/>
      <c r="M1214" s="6" t="s">
        <v>1643</v>
      </c>
      <c r="N1214" s="6" t="s">
        <v>1644</v>
      </c>
      <c r="O1214" s="7">
        <f>SUMIFS('05_상품별배치367'!$K$7:$K$373,'05_상품별배치367'!$E$7:$E$373,A1214,'05_상품별배치367'!$H$7:$H$373,"본진")</f>
        <v>0</v>
      </c>
      <c r="P1214" s="7">
        <f>SUMIFS('05_상품별배치367'!$K$7:$K$373,'05_상품별배치367'!$E$7:$E$373,A1214,'05_상품별배치367'!$H$7:$H$373,"추가 진열")</f>
        <v>0</v>
      </c>
      <c r="Q1214" s="7">
        <f>O1214+P1214</f>
        <v>0</v>
      </c>
      <c r="R1214" s="7">
        <v>1</v>
      </c>
      <c r="S1214" s="6" t="s">
        <v>2142</v>
      </c>
      <c r="T1214" s="6" t="s">
        <v>1637</v>
      </c>
      <c r="U1214" s="6"/>
      <c r="V1214" s="16"/>
      <c r="W1214" s="16"/>
      <c r="X1214" s="16"/>
      <c r="Y1214" s="6" t="s">
        <v>1655</v>
      </c>
      <c r="Z1214" s="15"/>
      <c r="AA1214" s="15" t="s">
        <v>1628</v>
      </c>
    </row>
    <row r="1215" spans="1:27" ht="33" customHeight="1">
      <c r="A1215" s="6" t="s">
        <v>7110</v>
      </c>
      <c r="B1215" s="7">
        <v>2461</v>
      </c>
      <c r="C1215" s="6" t="s">
        <v>7111</v>
      </c>
      <c r="D1215" s="6" t="s">
        <v>7112</v>
      </c>
      <c r="E1215" s="6" t="s">
        <v>1666</v>
      </c>
      <c r="F1215" s="6" t="s">
        <v>520</v>
      </c>
      <c r="G1215" s="6" t="s">
        <v>463</v>
      </c>
      <c r="H1215" s="6"/>
      <c r="I1215" s="14" t="s">
        <v>1642</v>
      </c>
      <c r="J1215" s="15"/>
      <c r="K1215" s="6" t="s">
        <v>1670</v>
      </c>
      <c r="L1215" s="6" t="s">
        <v>3828</v>
      </c>
      <c r="M1215" s="6" t="s">
        <v>1643</v>
      </c>
      <c r="N1215" s="6" t="s">
        <v>1644</v>
      </c>
      <c r="O1215" s="7">
        <f>SUMIFS('05_상품별배치367'!$K$7:$K$373,'05_상품별배치367'!$E$7:$E$373,A1215,'05_상품별배치367'!$H$7:$H$373,"본진")</f>
        <v>0</v>
      </c>
      <c r="P1215" s="7">
        <f>SUMIFS('05_상품별배치367'!$K$7:$K$373,'05_상품별배치367'!$E$7:$E$373,A1215,'05_상품별배치367'!$H$7:$H$373,"추가 진열")</f>
        <v>0</v>
      </c>
      <c r="Q1215" s="7">
        <f>O1215+P1215</f>
        <v>0</v>
      </c>
      <c r="R1215" s="7">
        <v>1</v>
      </c>
      <c r="S1215" s="6" t="s">
        <v>2142</v>
      </c>
      <c r="T1215" s="6" t="s">
        <v>1637</v>
      </c>
      <c r="U1215" s="6"/>
      <c r="V1215" s="16"/>
      <c r="W1215" s="16"/>
      <c r="X1215" s="16"/>
      <c r="Y1215" s="6" t="s">
        <v>1655</v>
      </c>
      <c r="Z1215" s="15"/>
      <c r="AA1215" s="15" t="s">
        <v>1628</v>
      </c>
    </row>
    <row r="1216" spans="1:27" ht="33" customHeight="1">
      <c r="A1216" s="6" t="s">
        <v>2676</v>
      </c>
      <c r="B1216" s="7">
        <v>405</v>
      </c>
      <c r="C1216" s="6" t="s">
        <v>2677</v>
      </c>
      <c r="D1216" s="6" t="s">
        <v>2675</v>
      </c>
      <c r="E1216" s="6" t="s">
        <v>1666</v>
      </c>
      <c r="F1216" s="6" t="s">
        <v>520</v>
      </c>
      <c r="G1216" s="6" t="s">
        <v>463</v>
      </c>
      <c r="H1216" s="6"/>
      <c r="I1216" s="14" t="s">
        <v>1642</v>
      </c>
      <c r="J1216" s="15"/>
      <c r="K1216" s="6" t="s">
        <v>1670</v>
      </c>
      <c r="L1216" s="6"/>
      <c r="M1216" s="6" t="s">
        <v>1643</v>
      </c>
      <c r="N1216" s="6" t="s">
        <v>1644</v>
      </c>
      <c r="O1216" s="7">
        <f>SUMIFS('05_상품별배치367'!$K$7:$K$373,'05_상품별배치367'!$E$7:$E$373,A1216,'05_상품별배치367'!$H$7:$H$373,"본진")</f>
        <v>0</v>
      </c>
      <c r="P1216" s="7">
        <f>SUMIFS('05_상품별배치367'!$K$7:$K$373,'05_상품별배치367'!$E$7:$E$373,A1216,'05_상품별배치367'!$H$7:$H$373,"추가 진열")</f>
        <v>0</v>
      </c>
      <c r="Q1216" s="7">
        <f>O1216+P1216</f>
        <v>0</v>
      </c>
      <c r="R1216" s="7">
        <v>1</v>
      </c>
      <c r="S1216" s="6" t="s">
        <v>2142</v>
      </c>
      <c r="T1216" s="6" t="s">
        <v>1637</v>
      </c>
      <c r="U1216" s="6"/>
      <c r="V1216" s="16"/>
      <c r="W1216" s="16"/>
      <c r="X1216" s="16"/>
      <c r="Y1216" s="6" t="s">
        <v>1655</v>
      </c>
      <c r="Z1216" s="15"/>
      <c r="AA1216" s="15" t="s">
        <v>1628</v>
      </c>
    </row>
    <row r="1217" spans="1:27" ht="33" customHeight="1">
      <c r="A1217" s="8" t="s">
        <v>5030</v>
      </c>
      <c r="B1217" s="9">
        <v>1492</v>
      </c>
      <c r="C1217" s="8" t="s">
        <v>5031</v>
      </c>
      <c r="D1217" s="8" t="s">
        <v>1658</v>
      </c>
      <c r="E1217" s="8" t="s">
        <v>2134</v>
      </c>
      <c r="F1217" s="8" t="s">
        <v>161</v>
      </c>
      <c r="G1217" s="8" t="s">
        <v>395</v>
      </c>
      <c r="H1217" s="8"/>
      <c r="I1217" s="14" t="s">
        <v>1642</v>
      </c>
      <c r="J1217" s="15"/>
      <c r="K1217" s="8" t="s">
        <v>1976</v>
      </c>
      <c r="L1217" s="8"/>
      <c r="M1217" s="6" t="s">
        <v>1643</v>
      </c>
      <c r="N1217" s="6" t="s">
        <v>1644</v>
      </c>
      <c r="O1217" s="7">
        <f>SUMIFS('05_상품별배치367'!$K$7:$K$373,'05_상품별배치367'!$E$7:$E$373,A1217,'05_상품별배치367'!$H$7:$H$373,"본진")</f>
        <v>0</v>
      </c>
      <c r="P1217" s="7">
        <f>SUMIFS('05_상품별배치367'!$K$7:$K$373,'05_상품별배치367'!$E$7:$E$373,A1217,'05_상품별배치367'!$H$7:$H$373,"추가 진열")</f>
        <v>0</v>
      </c>
      <c r="Q1217" s="7">
        <f>O1217+P1217</f>
        <v>0</v>
      </c>
      <c r="R1217" s="7">
        <v>1</v>
      </c>
      <c r="S1217" s="6" t="s">
        <v>3070</v>
      </c>
      <c r="T1217" s="6" t="s">
        <v>1637</v>
      </c>
      <c r="U1217" s="6"/>
      <c r="V1217" s="16"/>
      <c r="W1217" s="16"/>
      <c r="X1217" s="16"/>
      <c r="Y1217" s="6" t="s">
        <v>1627</v>
      </c>
      <c r="Z1217" s="15"/>
      <c r="AA1217" s="15" t="s">
        <v>1628</v>
      </c>
    </row>
    <row r="1218" spans="1:27" ht="33" customHeight="1">
      <c r="A1218" s="6" t="s">
        <v>5032</v>
      </c>
      <c r="B1218" s="7">
        <v>1493</v>
      </c>
      <c r="C1218" s="6" t="s">
        <v>5033</v>
      </c>
      <c r="D1218" s="6" t="s">
        <v>1658</v>
      </c>
      <c r="E1218" s="6" t="s">
        <v>2134</v>
      </c>
      <c r="F1218" s="6" t="s">
        <v>162</v>
      </c>
      <c r="G1218" s="6" t="s">
        <v>404</v>
      </c>
      <c r="H1218" s="6"/>
      <c r="I1218" s="14" t="s">
        <v>1642</v>
      </c>
      <c r="J1218" s="15"/>
      <c r="K1218" s="6" t="s">
        <v>1976</v>
      </c>
      <c r="L1218" s="6"/>
      <c r="M1218" s="6" t="s">
        <v>1643</v>
      </c>
      <c r="N1218" s="6" t="s">
        <v>1644</v>
      </c>
      <c r="O1218" s="7">
        <f>SUMIFS('05_상품별배치367'!$K$7:$K$373,'05_상품별배치367'!$E$7:$E$373,A1218,'05_상품별배치367'!$H$7:$H$373,"본진")</f>
        <v>0</v>
      </c>
      <c r="P1218" s="7">
        <f>SUMIFS('05_상품별배치367'!$K$7:$K$373,'05_상품별배치367'!$E$7:$E$373,A1218,'05_상품별배치367'!$H$7:$H$373,"추가 진열")</f>
        <v>0</v>
      </c>
      <c r="Q1218" s="7">
        <f>O1218+P1218</f>
        <v>0</v>
      </c>
      <c r="R1218" s="7">
        <v>1</v>
      </c>
      <c r="S1218" s="6" t="s">
        <v>2996</v>
      </c>
      <c r="T1218" s="6" t="s">
        <v>1637</v>
      </c>
      <c r="U1218" s="6"/>
      <c r="V1218" s="16"/>
      <c r="W1218" s="16"/>
      <c r="X1218" s="16"/>
      <c r="Y1218" s="6" t="s">
        <v>1627</v>
      </c>
      <c r="Z1218" s="15"/>
      <c r="AA1218" s="15" t="s">
        <v>1628</v>
      </c>
    </row>
    <row r="1219" spans="1:27" ht="33" customHeight="1">
      <c r="A1219" s="8" t="s">
        <v>5023</v>
      </c>
      <c r="B1219" s="9">
        <v>1488</v>
      </c>
      <c r="C1219" s="8" t="s">
        <v>5024</v>
      </c>
      <c r="D1219" s="8" t="s">
        <v>1658</v>
      </c>
      <c r="E1219" s="8" t="s">
        <v>1986</v>
      </c>
      <c r="F1219" s="8" t="s">
        <v>1276</v>
      </c>
      <c r="G1219" s="8" t="s">
        <v>1987</v>
      </c>
      <c r="H1219" s="8"/>
      <c r="I1219" s="14" t="s">
        <v>1642</v>
      </c>
      <c r="J1219" s="15"/>
      <c r="K1219" s="8" t="s">
        <v>1976</v>
      </c>
      <c r="L1219" s="8"/>
      <c r="M1219" s="6" t="s">
        <v>1643</v>
      </c>
      <c r="N1219" s="6" t="s">
        <v>1644</v>
      </c>
      <c r="O1219" s="7">
        <f>SUMIFS('05_상품별배치367'!$K$7:$K$373,'05_상품별배치367'!$E$7:$E$373,A1219,'05_상품별배치367'!$H$7:$H$373,"본진")</f>
        <v>0</v>
      </c>
      <c r="P1219" s="7">
        <f>SUMIFS('05_상품별배치367'!$K$7:$K$373,'05_상품별배치367'!$E$7:$E$373,A1219,'05_상품별배치367'!$H$7:$H$373,"추가 진열")</f>
        <v>0</v>
      </c>
      <c r="Q1219" s="7">
        <f>O1219+P1219</f>
        <v>0</v>
      </c>
      <c r="R1219" s="7">
        <v>1</v>
      </c>
      <c r="S1219" s="6" t="s">
        <v>1988</v>
      </c>
      <c r="T1219" s="6" t="s">
        <v>1637</v>
      </c>
      <c r="U1219" s="6"/>
      <c r="V1219" s="16"/>
      <c r="W1219" s="16"/>
      <c r="X1219" s="16"/>
      <c r="Y1219" s="6" t="s">
        <v>1627</v>
      </c>
      <c r="Z1219" s="15"/>
      <c r="AA1219" s="15" t="s">
        <v>1628</v>
      </c>
    </row>
    <row r="1220" spans="1:27" ht="33" customHeight="1">
      <c r="A1220" s="6" t="s">
        <v>5025</v>
      </c>
      <c r="B1220" s="7">
        <v>1489</v>
      </c>
      <c r="C1220" s="6" t="s">
        <v>5024</v>
      </c>
      <c r="D1220" s="6" t="s">
        <v>1926</v>
      </c>
      <c r="E1220" s="6" t="s">
        <v>1986</v>
      </c>
      <c r="F1220" s="6" t="s">
        <v>1276</v>
      </c>
      <c r="G1220" s="6" t="s">
        <v>1987</v>
      </c>
      <c r="H1220" s="6"/>
      <c r="I1220" s="14" t="s">
        <v>1642</v>
      </c>
      <c r="J1220" s="15"/>
      <c r="K1220" s="6" t="s">
        <v>1976</v>
      </c>
      <c r="L1220" s="6"/>
      <c r="M1220" s="6" t="s">
        <v>1643</v>
      </c>
      <c r="N1220" s="6" t="s">
        <v>1644</v>
      </c>
      <c r="O1220" s="7">
        <f>SUMIFS('05_상품별배치367'!$K$7:$K$373,'05_상품별배치367'!$E$7:$E$373,A1220,'05_상품별배치367'!$H$7:$H$373,"본진")</f>
        <v>0</v>
      </c>
      <c r="P1220" s="7">
        <f>SUMIFS('05_상품별배치367'!$K$7:$K$373,'05_상품별배치367'!$E$7:$E$373,A1220,'05_상품별배치367'!$H$7:$H$373,"추가 진열")</f>
        <v>0</v>
      </c>
      <c r="Q1220" s="7">
        <f>O1220+P1220</f>
        <v>0</v>
      </c>
      <c r="R1220" s="7">
        <v>1</v>
      </c>
      <c r="S1220" s="6" t="s">
        <v>1988</v>
      </c>
      <c r="T1220" s="6" t="s">
        <v>1637</v>
      </c>
      <c r="U1220" s="6"/>
      <c r="V1220" s="16"/>
      <c r="W1220" s="16"/>
      <c r="X1220" s="16"/>
      <c r="Y1220" s="6" t="s">
        <v>1627</v>
      </c>
      <c r="Z1220" s="15"/>
      <c r="AA1220" s="15" t="s">
        <v>1628</v>
      </c>
    </row>
    <row r="1221" spans="1:27" ht="33" customHeight="1">
      <c r="A1221" s="8" t="s">
        <v>5026</v>
      </c>
      <c r="B1221" s="9">
        <v>1490</v>
      </c>
      <c r="C1221" s="8" t="s">
        <v>5027</v>
      </c>
      <c r="D1221" s="8" t="s">
        <v>2572</v>
      </c>
      <c r="E1221" s="8" t="s">
        <v>2134</v>
      </c>
      <c r="F1221" s="8" t="s">
        <v>2933</v>
      </c>
      <c r="G1221" s="8" t="s">
        <v>1668</v>
      </c>
      <c r="H1221" s="8"/>
      <c r="I1221" s="14" t="s">
        <v>1807</v>
      </c>
      <c r="J1221" s="15"/>
      <c r="K1221" s="8" t="s">
        <v>1976</v>
      </c>
      <c r="L1221" s="8" t="s">
        <v>2032</v>
      </c>
      <c r="M1221" s="6" t="s">
        <v>1809</v>
      </c>
      <c r="N1221" s="6" t="s">
        <v>1644</v>
      </c>
      <c r="O1221" s="7">
        <f>SUMIFS('05_상품별배치367'!$K$7:$K$373,'05_상품별배치367'!$E$7:$E$373,A1221,'05_상품별배치367'!$H$7:$H$373,"본진")</f>
        <v>0</v>
      </c>
      <c r="P1221" s="7">
        <f>SUMIFS('05_상품별배치367'!$K$7:$K$373,'05_상품별배치367'!$E$7:$E$373,A1221,'05_상품별배치367'!$H$7:$H$373,"추가 진열")</f>
        <v>0</v>
      </c>
      <c r="Q1221" s="7">
        <f>O1221+P1221</f>
        <v>0</v>
      </c>
      <c r="R1221" s="7">
        <v>0</v>
      </c>
      <c r="S1221" s="6" t="s">
        <v>1810</v>
      </c>
      <c r="T1221" s="6" t="s">
        <v>1637</v>
      </c>
      <c r="U1221" s="6"/>
      <c r="V1221" s="16"/>
      <c r="W1221" s="16"/>
      <c r="X1221" s="16"/>
      <c r="Y1221" s="6" t="s">
        <v>1627</v>
      </c>
      <c r="Z1221" s="15"/>
      <c r="AA1221" s="15" t="s">
        <v>1628</v>
      </c>
    </row>
    <row r="1222" spans="1:27" ht="33" customHeight="1">
      <c r="A1222" s="6" t="s">
        <v>5028</v>
      </c>
      <c r="B1222" s="7">
        <v>1491</v>
      </c>
      <c r="C1222" s="6" t="s">
        <v>5029</v>
      </c>
      <c r="D1222" s="6" t="s">
        <v>2572</v>
      </c>
      <c r="E1222" s="6" t="s">
        <v>2134</v>
      </c>
      <c r="F1222" s="6" t="s">
        <v>2933</v>
      </c>
      <c r="G1222" s="6" t="s">
        <v>1668</v>
      </c>
      <c r="H1222" s="6"/>
      <c r="I1222" s="14" t="s">
        <v>1807</v>
      </c>
      <c r="J1222" s="15"/>
      <c r="K1222" s="6" t="s">
        <v>1976</v>
      </c>
      <c r="L1222" s="6" t="s">
        <v>2032</v>
      </c>
      <c r="M1222" s="6" t="s">
        <v>1809</v>
      </c>
      <c r="N1222" s="6" t="s">
        <v>1644</v>
      </c>
      <c r="O1222" s="7">
        <f>SUMIFS('05_상품별배치367'!$K$7:$K$373,'05_상품별배치367'!$E$7:$E$373,A1222,'05_상품별배치367'!$H$7:$H$373,"본진")</f>
        <v>0</v>
      </c>
      <c r="P1222" s="7">
        <f>SUMIFS('05_상품별배치367'!$K$7:$K$373,'05_상품별배치367'!$E$7:$E$373,A1222,'05_상품별배치367'!$H$7:$H$373,"추가 진열")</f>
        <v>0</v>
      </c>
      <c r="Q1222" s="7">
        <f>O1222+P1222</f>
        <v>0</v>
      </c>
      <c r="R1222" s="7">
        <v>0</v>
      </c>
      <c r="S1222" s="6" t="s">
        <v>1810</v>
      </c>
      <c r="T1222" s="6" t="s">
        <v>1637</v>
      </c>
      <c r="U1222" s="6"/>
      <c r="V1222" s="16"/>
      <c r="W1222" s="16"/>
      <c r="X1222" s="16"/>
      <c r="Y1222" s="6" t="s">
        <v>1627</v>
      </c>
      <c r="Z1222" s="15"/>
      <c r="AA1222" s="15" t="s">
        <v>1628</v>
      </c>
    </row>
    <row r="1223" spans="1:27" ht="33" customHeight="1">
      <c r="A1223" s="6" t="s">
        <v>1702</v>
      </c>
      <c r="B1223" s="7">
        <v>19</v>
      </c>
      <c r="C1223" s="6" t="s">
        <v>1703</v>
      </c>
      <c r="D1223" s="6" t="s">
        <v>1694</v>
      </c>
      <c r="E1223" s="6" t="s">
        <v>1695</v>
      </c>
      <c r="F1223" s="6" t="s">
        <v>1152</v>
      </c>
      <c r="G1223" s="6" t="s">
        <v>315</v>
      </c>
      <c r="H1223" s="6"/>
      <c r="I1223" s="14" t="s">
        <v>1642</v>
      </c>
      <c r="J1223" s="15"/>
      <c r="K1223" s="6" t="s">
        <v>1696</v>
      </c>
      <c r="L1223" s="6"/>
      <c r="M1223" s="6" t="s">
        <v>1643</v>
      </c>
      <c r="N1223" s="6" t="s">
        <v>1624</v>
      </c>
      <c r="O1223" s="7">
        <f>SUMIFS('05_상품별배치367'!$K$7:$K$373,'05_상품별배치367'!$E$7:$E$373,A1223,'05_상품별배치367'!$H$7:$H$373,"본진")</f>
        <v>0</v>
      </c>
      <c r="P1223" s="7">
        <f>SUMIFS('05_상품별배치367'!$K$7:$K$373,'05_상품별배치367'!$E$7:$E$373,A1223,'05_상품별배치367'!$H$7:$H$373,"추가 진열")</f>
        <v>0</v>
      </c>
      <c r="Q1223" s="7">
        <f>O1223+P1223</f>
        <v>0</v>
      </c>
      <c r="R1223" s="7">
        <v>1</v>
      </c>
      <c r="S1223" s="6" t="s">
        <v>1699</v>
      </c>
      <c r="T1223" s="6" t="s">
        <v>1637</v>
      </c>
      <c r="U1223" s="6"/>
      <c r="V1223" s="16"/>
      <c r="W1223" s="16"/>
      <c r="X1223" s="16"/>
      <c r="Y1223" s="6" t="s">
        <v>1627</v>
      </c>
      <c r="Z1223" s="15"/>
      <c r="AA1223" s="15" t="s">
        <v>1628</v>
      </c>
    </row>
    <row r="1224" spans="1:27" ht="33" customHeight="1">
      <c r="A1224" s="6" t="s">
        <v>1706</v>
      </c>
      <c r="B1224" s="7">
        <v>21</v>
      </c>
      <c r="C1224" s="6" t="s">
        <v>1707</v>
      </c>
      <c r="D1224" s="6" t="s">
        <v>1708</v>
      </c>
      <c r="E1224" s="6" t="s">
        <v>1695</v>
      </c>
      <c r="F1224" s="6" t="s">
        <v>1152</v>
      </c>
      <c r="G1224" s="6" t="s">
        <v>315</v>
      </c>
      <c r="H1224" s="6"/>
      <c r="I1224" s="14" t="s">
        <v>1642</v>
      </c>
      <c r="J1224" s="15"/>
      <c r="K1224" s="6" t="s">
        <v>1696</v>
      </c>
      <c r="L1224" s="6"/>
      <c r="M1224" s="6" t="s">
        <v>1643</v>
      </c>
      <c r="N1224" s="6" t="s">
        <v>1624</v>
      </c>
      <c r="O1224" s="7">
        <f>SUMIFS('05_상품별배치367'!$K$7:$K$373,'05_상품별배치367'!$E$7:$E$373,A1224,'05_상품별배치367'!$H$7:$H$373,"본진")</f>
        <v>0</v>
      </c>
      <c r="P1224" s="7">
        <f>SUMIFS('05_상품별배치367'!$K$7:$K$373,'05_상품별배치367'!$E$7:$E$373,A1224,'05_상품별배치367'!$H$7:$H$373,"추가 진열")</f>
        <v>0</v>
      </c>
      <c r="Q1224" s="7">
        <f>O1224+P1224</f>
        <v>0</v>
      </c>
      <c r="R1224" s="7">
        <v>1</v>
      </c>
      <c r="S1224" s="6" t="s">
        <v>1699</v>
      </c>
      <c r="T1224" s="6" t="s">
        <v>1637</v>
      </c>
      <c r="U1224" s="6"/>
      <c r="V1224" s="16"/>
      <c r="W1224" s="16"/>
      <c r="X1224" s="16"/>
      <c r="Y1224" s="6" t="s">
        <v>1627</v>
      </c>
      <c r="Z1224" s="15"/>
      <c r="AA1224" s="15" t="s">
        <v>1628</v>
      </c>
    </row>
    <row r="1225" spans="1:27" ht="33" customHeight="1">
      <c r="A1225" s="8" t="s">
        <v>1692</v>
      </c>
      <c r="B1225" s="9">
        <v>16</v>
      </c>
      <c r="C1225" s="8" t="s">
        <v>1693</v>
      </c>
      <c r="D1225" s="8" t="s">
        <v>1694</v>
      </c>
      <c r="E1225" s="8" t="s">
        <v>1695</v>
      </c>
      <c r="F1225" s="8" t="s">
        <v>1152</v>
      </c>
      <c r="G1225" s="8" t="s">
        <v>315</v>
      </c>
      <c r="H1225" s="8" t="s">
        <v>1151</v>
      </c>
      <c r="I1225" s="14" t="s">
        <v>1621</v>
      </c>
      <c r="J1225" s="15"/>
      <c r="K1225" s="8" t="s">
        <v>1696</v>
      </c>
      <c r="L1225" s="8"/>
      <c r="M1225" s="6" t="s">
        <v>1623</v>
      </c>
      <c r="N1225" s="6" t="s">
        <v>1624</v>
      </c>
      <c r="O1225" s="7">
        <f>SUMIFS('05_상품별배치367'!$K$7:$K$373,'05_상품별배치367'!$E$7:$E$373,A1225,'05_상품별배치367'!$H$7:$H$373,"본진")</f>
        <v>1</v>
      </c>
      <c r="P1225" s="7">
        <f>SUMIFS('05_상품별배치367'!$K$7:$K$373,'05_상품별배치367'!$E$7:$E$373,A1225,'05_상품별배치367'!$H$7:$H$373,"추가 진열")</f>
        <v>0</v>
      </c>
      <c r="Q1225" s="7">
        <f>O1225+P1225</f>
        <v>1</v>
      </c>
      <c r="R1225" s="7">
        <v>1</v>
      </c>
      <c r="S1225" s="6" t="s">
        <v>1625</v>
      </c>
      <c r="T1225" s="6" t="s">
        <v>1637</v>
      </c>
      <c r="U1225" s="6"/>
      <c r="V1225" s="16"/>
      <c r="W1225" s="16"/>
      <c r="X1225" s="16"/>
      <c r="Y1225" s="6" t="s">
        <v>1627</v>
      </c>
      <c r="Z1225" s="15"/>
      <c r="AA1225" s="15" t="s">
        <v>1628</v>
      </c>
    </row>
    <row r="1226" spans="1:27" ht="33" customHeight="1">
      <c r="A1226" s="8" t="s">
        <v>1704</v>
      </c>
      <c r="B1226" s="9">
        <v>20</v>
      </c>
      <c r="C1226" s="8" t="s">
        <v>1705</v>
      </c>
      <c r="D1226" s="8" t="s">
        <v>1694</v>
      </c>
      <c r="E1226" s="8" t="s">
        <v>1695</v>
      </c>
      <c r="F1226" s="8" t="s">
        <v>1152</v>
      </c>
      <c r="G1226" s="8" t="s">
        <v>315</v>
      </c>
      <c r="H1226" s="8"/>
      <c r="I1226" s="14" t="s">
        <v>1642</v>
      </c>
      <c r="J1226" s="15"/>
      <c r="K1226" s="8" t="s">
        <v>1696</v>
      </c>
      <c r="L1226" s="8"/>
      <c r="M1226" s="6" t="s">
        <v>1643</v>
      </c>
      <c r="N1226" s="6" t="s">
        <v>1624</v>
      </c>
      <c r="O1226" s="7">
        <f>SUMIFS('05_상품별배치367'!$K$7:$K$373,'05_상품별배치367'!$E$7:$E$373,A1226,'05_상품별배치367'!$H$7:$H$373,"본진")</f>
        <v>0</v>
      </c>
      <c r="P1226" s="7">
        <f>SUMIFS('05_상품별배치367'!$K$7:$K$373,'05_상품별배치367'!$E$7:$E$373,A1226,'05_상품별배치367'!$H$7:$H$373,"추가 진열")</f>
        <v>0</v>
      </c>
      <c r="Q1226" s="7">
        <f>O1226+P1226</f>
        <v>0</v>
      </c>
      <c r="R1226" s="7">
        <v>1</v>
      </c>
      <c r="S1226" s="6" t="s">
        <v>1699</v>
      </c>
      <c r="T1226" s="6" t="s">
        <v>1637</v>
      </c>
      <c r="U1226" s="6"/>
      <c r="V1226" s="16"/>
      <c r="W1226" s="16"/>
      <c r="X1226" s="16"/>
      <c r="Y1226" s="6" t="s">
        <v>1627</v>
      </c>
      <c r="Z1226" s="15"/>
      <c r="AA1226" s="15" t="s">
        <v>1628</v>
      </c>
    </row>
    <row r="1227" spans="1:27" ht="33" customHeight="1">
      <c r="A1227" s="8" t="s">
        <v>1700</v>
      </c>
      <c r="B1227" s="9">
        <v>18</v>
      </c>
      <c r="C1227" s="8" t="s">
        <v>1701</v>
      </c>
      <c r="D1227" s="8" t="s">
        <v>1694</v>
      </c>
      <c r="E1227" s="8" t="s">
        <v>1695</v>
      </c>
      <c r="F1227" s="8" t="s">
        <v>1152</v>
      </c>
      <c r="G1227" s="8" t="s">
        <v>315</v>
      </c>
      <c r="H1227" s="8"/>
      <c r="I1227" s="14" t="s">
        <v>1642</v>
      </c>
      <c r="J1227" s="15"/>
      <c r="K1227" s="8" t="s">
        <v>1696</v>
      </c>
      <c r="L1227" s="8"/>
      <c r="M1227" s="6" t="s">
        <v>1643</v>
      </c>
      <c r="N1227" s="6" t="s">
        <v>1624</v>
      </c>
      <c r="O1227" s="7">
        <f>SUMIFS('05_상품별배치367'!$K$7:$K$373,'05_상품별배치367'!$E$7:$E$373,A1227,'05_상품별배치367'!$H$7:$H$373,"본진")</f>
        <v>0</v>
      </c>
      <c r="P1227" s="7">
        <f>SUMIFS('05_상품별배치367'!$K$7:$K$373,'05_상품별배치367'!$E$7:$E$373,A1227,'05_상품별배치367'!$H$7:$H$373,"추가 진열")</f>
        <v>0</v>
      </c>
      <c r="Q1227" s="7">
        <f>O1227+P1227</f>
        <v>0</v>
      </c>
      <c r="R1227" s="7">
        <v>1</v>
      </c>
      <c r="S1227" s="6" t="s">
        <v>1699</v>
      </c>
      <c r="T1227" s="6" t="s">
        <v>1637</v>
      </c>
      <c r="U1227" s="6"/>
      <c r="V1227" s="16"/>
      <c r="W1227" s="16"/>
      <c r="X1227" s="16"/>
      <c r="Y1227" s="6" t="s">
        <v>1627</v>
      </c>
      <c r="Z1227" s="15"/>
      <c r="AA1227" s="15" t="s">
        <v>1628</v>
      </c>
    </row>
    <row r="1228" spans="1:27" ht="33" customHeight="1">
      <c r="A1228" s="6" t="s">
        <v>1697</v>
      </c>
      <c r="B1228" s="7">
        <v>17</v>
      </c>
      <c r="C1228" s="6" t="s">
        <v>1698</v>
      </c>
      <c r="D1228" s="6" t="s">
        <v>1694</v>
      </c>
      <c r="E1228" s="6" t="s">
        <v>1695</v>
      </c>
      <c r="F1228" s="6" t="s">
        <v>1152</v>
      </c>
      <c r="G1228" s="6" t="s">
        <v>315</v>
      </c>
      <c r="H1228" s="6"/>
      <c r="I1228" s="14" t="s">
        <v>1642</v>
      </c>
      <c r="J1228" s="15"/>
      <c r="K1228" s="6" t="s">
        <v>1696</v>
      </c>
      <c r="L1228" s="6"/>
      <c r="M1228" s="6" t="s">
        <v>1643</v>
      </c>
      <c r="N1228" s="6" t="s">
        <v>1624</v>
      </c>
      <c r="O1228" s="7">
        <f>SUMIFS('05_상품별배치367'!$K$7:$K$373,'05_상품별배치367'!$E$7:$E$373,A1228,'05_상품별배치367'!$H$7:$H$373,"본진")</f>
        <v>0</v>
      </c>
      <c r="P1228" s="7">
        <f>SUMIFS('05_상품별배치367'!$K$7:$K$373,'05_상품별배치367'!$E$7:$E$373,A1228,'05_상품별배치367'!$H$7:$H$373,"추가 진열")</f>
        <v>0</v>
      </c>
      <c r="Q1228" s="7">
        <f>O1228+P1228</f>
        <v>0</v>
      </c>
      <c r="R1228" s="7">
        <v>1</v>
      </c>
      <c r="S1228" s="6" t="s">
        <v>1699</v>
      </c>
      <c r="T1228" s="6" t="s">
        <v>1637</v>
      </c>
      <c r="U1228" s="6"/>
      <c r="V1228" s="16"/>
      <c r="W1228" s="16"/>
      <c r="X1228" s="16"/>
      <c r="Y1228" s="6" t="s">
        <v>1627</v>
      </c>
      <c r="Z1228" s="15"/>
      <c r="AA1228" s="15" t="s">
        <v>1628</v>
      </c>
    </row>
    <row r="1229" spans="1:27" ht="33" customHeight="1">
      <c r="A1229" s="6" t="s">
        <v>5742</v>
      </c>
      <c r="B1229" s="7">
        <v>1825</v>
      </c>
      <c r="C1229" s="6" t="s">
        <v>5743</v>
      </c>
      <c r="D1229" s="6" t="s">
        <v>5739</v>
      </c>
      <c r="E1229" s="6" t="s">
        <v>1997</v>
      </c>
      <c r="F1229" s="6" t="s">
        <v>5740</v>
      </c>
      <c r="G1229" s="6" t="s">
        <v>1668</v>
      </c>
      <c r="H1229" s="6"/>
      <c r="I1229" s="14" t="s">
        <v>1999</v>
      </c>
      <c r="J1229" s="15"/>
      <c r="K1229" s="6" t="s">
        <v>5741</v>
      </c>
      <c r="L1229" s="6"/>
      <c r="M1229" s="6" t="s">
        <v>1671</v>
      </c>
      <c r="N1229" s="6" t="s">
        <v>1644</v>
      </c>
      <c r="O1229" s="7">
        <f>SUMIFS('05_상품별배치367'!$K$7:$K$373,'05_상품별배치367'!$E$7:$E$373,A1229,'05_상품별배치367'!$H$7:$H$373,"본진")</f>
        <v>0</v>
      </c>
      <c r="P1229" s="7">
        <f>SUMIFS('05_상품별배치367'!$K$7:$K$373,'05_상품별배치367'!$E$7:$E$373,A1229,'05_상품별배치367'!$H$7:$H$373,"추가 진열")</f>
        <v>0</v>
      </c>
      <c r="Q1229" s="7">
        <f>O1229+P1229</f>
        <v>0</v>
      </c>
      <c r="R1229" s="7">
        <v>0</v>
      </c>
      <c r="S1229" s="6" t="s">
        <v>2002</v>
      </c>
      <c r="T1229" s="6" t="s">
        <v>1637</v>
      </c>
      <c r="U1229" s="6"/>
      <c r="V1229" s="16"/>
      <c r="W1229" s="16"/>
      <c r="X1229" s="16"/>
      <c r="Y1229" s="6" t="s">
        <v>1627</v>
      </c>
      <c r="Z1229" s="15"/>
      <c r="AA1229" s="15" t="s">
        <v>1628</v>
      </c>
    </row>
    <row r="1230" spans="1:27" ht="33" customHeight="1">
      <c r="A1230" s="8" t="s">
        <v>5737</v>
      </c>
      <c r="B1230" s="9">
        <v>1824</v>
      </c>
      <c r="C1230" s="8" t="s">
        <v>5738</v>
      </c>
      <c r="D1230" s="8" t="s">
        <v>5739</v>
      </c>
      <c r="E1230" s="8" t="s">
        <v>1997</v>
      </c>
      <c r="F1230" s="8" t="s">
        <v>5740</v>
      </c>
      <c r="G1230" s="8" t="s">
        <v>1668</v>
      </c>
      <c r="H1230" s="8"/>
      <c r="I1230" s="14" t="s">
        <v>1999</v>
      </c>
      <c r="J1230" s="15"/>
      <c r="K1230" s="8" t="s">
        <v>5741</v>
      </c>
      <c r="L1230" s="8"/>
      <c r="M1230" s="6" t="s">
        <v>1671</v>
      </c>
      <c r="N1230" s="6" t="s">
        <v>1644</v>
      </c>
      <c r="O1230" s="7">
        <f>SUMIFS('05_상품별배치367'!$K$7:$K$373,'05_상품별배치367'!$E$7:$E$373,A1230,'05_상품별배치367'!$H$7:$H$373,"본진")</f>
        <v>0</v>
      </c>
      <c r="P1230" s="7">
        <f>SUMIFS('05_상품별배치367'!$K$7:$K$373,'05_상품별배치367'!$E$7:$E$373,A1230,'05_상품별배치367'!$H$7:$H$373,"추가 진열")</f>
        <v>0</v>
      </c>
      <c r="Q1230" s="7">
        <f>O1230+P1230</f>
        <v>0</v>
      </c>
      <c r="R1230" s="7">
        <v>0</v>
      </c>
      <c r="S1230" s="6" t="s">
        <v>2002</v>
      </c>
      <c r="T1230" s="6" t="s">
        <v>1637</v>
      </c>
      <c r="U1230" s="6"/>
      <c r="V1230" s="16"/>
      <c r="W1230" s="16"/>
      <c r="X1230" s="16"/>
      <c r="Y1230" s="6" t="s">
        <v>1627</v>
      </c>
      <c r="Z1230" s="15"/>
      <c r="AA1230" s="15" t="s">
        <v>1628</v>
      </c>
    </row>
    <row r="1231" spans="1:27" ht="33" customHeight="1">
      <c r="A1231" s="6" t="s">
        <v>5750</v>
      </c>
      <c r="B1231" s="7">
        <v>1829</v>
      </c>
      <c r="C1231" s="6" t="s">
        <v>5751</v>
      </c>
      <c r="D1231" s="6" t="s">
        <v>5739</v>
      </c>
      <c r="E1231" s="6" t="s">
        <v>1997</v>
      </c>
      <c r="F1231" s="6" t="s">
        <v>5740</v>
      </c>
      <c r="G1231" s="6" t="s">
        <v>1668</v>
      </c>
      <c r="H1231" s="6"/>
      <c r="I1231" s="14" t="s">
        <v>1999</v>
      </c>
      <c r="J1231" s="15"/>
      <c r="K1231" s="6" t="s">
        <v>5741</v>
      </c>
      <c r="L1231" s="6" t="s">
        <v>3828</v>
      </c>
      <c r="M1231" s="6" t="s">
        <v>1671</v>
      </c>
      <c r="N1231" s="6" t="s">
        <v>1644</v>
      </c>
      <c r="O1231" s="7">
        <f>SUMIFS('05_상품별배치367'!$K$7:$K$373,'05_상품별배치367'!$E$7:$E$373,A1231,'05_상품별배치367'!$H$7:$H$373,"본진")</f>
        <v>0</v>
      </c>
      <c r="P1231" s="7">
        <f>SUMIFS('05_상품별배치367'!$K$7:$K$373,'05_상품별배치367'!$E$7:$E$373,A1231,'05_상품별배치367'!$H$7:$H$373,"추가 진열")</f>
        <v>0</v>
      </c>
      <c r="Q1231" s="7">
        <f>O1231+P1231</f>
        <v>0</v>
      </c>
      <c r="R1231" s="7">
        <v>0</v>
      </c>
      <c r="S1231" s="6" t="s">
        <v>2002</v>
      </c>
      <c r="T1231" s="6" t="s">
        <v>1637</v>
      </c>
      <c r="U1231" s="6"/>
      <c r="V1231" s="16"/>
      <c r="W1231" s="16"/>
      <c r="X1231" s="16"/>
      <c r="Y1231" s="6" t="s">
        <v>1627</v>
      </c>
      <c r="Z1231" s="15"/>
      <c r="AA1231" s="15" t="s">
        <v>1628</v>
      </c>
    </row>
    <row r="1232" spans="1:27" ht="33" customHeight="1">
      <c r="A1232" s="8" t="s">
        <v>4003</v>
      </c>
      <c r="B1232" s="9">
        <v>1006</v>
      </c>
      <c r="C1232" s="8" t="s">
        <v>4004</v>
      </c>
      <c r="D1232" s="8" t="s">
        <v>2133</v>
      </c>
      <c r="E1232" s="8" t="s">
        <v>2134</v>
      </c>
      <c r="F1232" s="8" t="s">
        <v>2933</v>
      </c>
      <c r="G1232" s="8" t="s">
        <v>1668</v>
      </c>
      <c r="H1232" s="8"/>
      <c r="I1232" s="14" t="s">
        <v>1807</v>
      </c>
      <c r="J1232" s="15"/>
      <c r="K1232" s="8" t="s">
        <v>1976</v>
      </c>
      <c r="L1232" s="8" t="s">
        <v>2032</v>
      </c>
      <c r="M1232" s="6" t="s">
        <v>1809</v>
      </c>
      <c r="N1232" s="6" t="s">
        <v>1644</v>
      </c>
      <c r="O1232" s="7">
        <f>SUMIFS('05_상품별배치367'!$K$7:$K$373,'05_상품별배치367'!$E$7:$E$373,A1232,'05_상품별배치367'!$H$7:$H$373,"본진")</f>
        <v>0</v>
      </c>
      <c r="P1232" s="7">
        <f>SUMIFS('05_상품별배치367'!$K$7:$K$373,'05_상품별배치367'!$E$7:$E$373,A1232,'05_상품별배치367'!$H$7:$H$373,"추가 진열")</f>
        <v>0</v>
      </c>
      <c r="Q1232" s="7">
        <f>O1232+P1232</f>
        <v>0</v>
      </c>
      <c r="R1232" s="7">
        <v>0</v>
      </c>
      <c r="S1232" s="6" t="s">
        <v>1810</v>
      </c>
      <c r="T1232" s="6" t="s">
        <v>1637</v>
      </c>
      <c r="U1232" s="6"/>
      <c r="V1232" s="16"/>
      <c r="W1232" s="16"/>
      <c r="X1232" s="16"/>
      <c r="Y1232" s="6" t="s">
        <v>1627</v>
      </c>
      <c r="Z1232" s="15"/>
      <c r="AA1232" s="15" t="s">
        <v>1628</v>
      </c>
    </row>
    <row r="1233" spans="1:27" ht="33" customHeight="1">
      <c r="A1233" s="8" t="s">
        <v>4007</v>
      </c>
      <c r="B1233" s="9">
        <v>1008</v>
      </c>
      <c r="C1233" s="8" t="s">
        <v>4008</v>
      </c>
      <c r="D1233" s="8" t="s">
        <v>2133</v>
      </c>
      <c r="E1233" s="8" t="s">
        <v>2134</v>
      </c>
      <c r="F1233" s="8" t="s">
        <v>1081</v>
      </c>
      <c r="G1233" s="8" t="s">
        <v>290</v>
      </c>
      <c r="H1233" s="8"/>
      <c r="I1233" s="14" t="s">
        <v>1642</v>
      </c>
      <c r="J1233" s="15"/>
      <c r="K1233" s="8" t="s">
        <v>1976</v>
      </c>
      <c r="L1233" s="8"/>
      <c r="M1233" s="6" t="s">
        <v>1643</v>
      </c>
      <c r="N1233" s="6" t="s">
        <v>1644</v>
      </c>
      <c r="O1233" s="7">
        <f>SUMIFS('05_상품별배치367'!$K$7:$K$373,'05_상품별배치367'!$E$7:$E$373,A1233,'05_상품별배치367'!$H$7:$H$373,"본진")</f>
        <v>0</v>
      </c>
      <c r="P1233" s="7">
        <f>SUMIFS('05_상품별배치367'!$K$7:$K$373,'05_상품별배치367'!$E$7:$E$373,A1233,'05_상품별배치367'!$H$7:$H$373,"추가 진열")</f>
        <v>0</v>
      </c>
      <c r="Q1233" s="7">
        <f>O1233+P1233</f>
        <v>0</v>
      </c>
      <c r="R1233" s="7">
        <v>1</v>
      </c>
      <c r="S1233" s="6" t="s">
        <v>2135</v>
      </c>
      <c r="T1233" s="6" t="s">
        <v>1637</v>
      </c>
      <c r="U1233" s="6"/>
      <c r="V1233" s="16"/>
      <c r="W1233" s="16"/>
      <c r="X1233" s="16"/>
      <c r="Y1233" s="6" t="s">
        <v>1627</v>
      </c>
      <c r="Z1233" s="15"/>
      <c r="AA1233" s="15" t="s">
        <v>1628</v>
      </c>
    </row>
    <row r="1234" spans="1:27" ht="33" customHeight="1">
      <c r="A1234" s="6" t="s">
        <v>3997</v>
      </c>
      <c r="B1234" s="7">
        <v>1003</v>
      </c>
      <c r="C1234" s="6" t="s">
        <v>3998</v>
      </c>
      <c r="D1234" s="6" t="s">
        <v>3996</v>
      </c>
      <c r="E1234" s="6" t="s">
        <v>1986</v>
      </c>
      <c r="F1234" s="6" t="s">
        <v>913</v>
      </c>
      <c r="G1234" s="6" t="s">
        <v>201</v>
      </c>
      <c r="H1234" s="6"/>
      <c r="I1234" s="14" t="s">
        <v>1642</v>
      </c>
      <c r="J1234" s="15"/>
      <c r="K1234" s="6" t="s">
        <v>1976</v>
      </c>
      <c r="L1234" s="6"/>
      <c r="M1234" s="6" t="s">
        <v>1643</v>
      </c>
      <c r="N1234" s="6" t="s">
        <v>1644</v>
      </c>
      <c r="O1234" s="7">
        <f>SUMIFS('05_상품별배치367'!$K$7:$K$373,'05_상품별배치367'!$E$7:$E$373,A1234,'05_상품별배치367'!$H$7:$H$373,"본진")</f>
        <v>0</v>
      </c>
      <c r="P1234" s="7">
        <f>SUMIFS('05_상품별배치367'!$K$7:$K$373,'05_상품별배치367'!$E$7:$E$373,A1234,'05_상품별배치367'!$H$7:$H$373,"추가 진열")</f>
        <v>0</v>
      </c>
      <c r="Q1234" s="7">
        <f>O1234+P1234</f>
        <v>0</v>
      </c>
      <c r="R1234" s="7">
        <v>1</v>
      </c>
      <c r="S1234" s="6" t="s">
        <v>2907</v>
      </c>
      <c r="T1234" s="6" t="s">
        <v>1637</v>
      </c>
      <c r="U1234" s="6"/>
      <c r="V1234" s="16"/>
      <c r="W1234" s="16"/>
      <c r="X1234" s="16"/>
      <c r="Y1234" s="6" t="s">
        <v>1655</v>
      </c>
      <c r="Z1234" s="15"/>
      <c r="AA1234" s="15" t="s">
        <v>1628</v>
      </c>
    </row>
    <row r="1235" spans="1:27" ht="33" customHeight="1">
      <c r="A1235" s="6" t="s">
        <v>4009</v>
      </c>
      <c r="B1235" s="7">
        <v>1009</v>
      </c>
      <c r="C1235" s="6" t="s">
        <v>4010</v>
      </c>
      <c r="D1235" s="6" t="s">
        <v>2133</v>
      </c>
      <c r="E1235" s="6" t="s">
        <v>2134</v>
      </c>
      <c r="F1235" s="6" t="s">
        <v>162</v>
      </c>
      <c r="G1235" s="6" t="s">
        <v>404</v>
      </c>
      <c r="H1235" s="6"/>
      <c r="I1235" s="14" t="s">
        <v>1642</v>
      </c>
      <c r="J1235" s="15"/>
      <c r="K1235" s="6" t="s">
        <v>1976</v>
      </c>
      <c r="L1235" s="6"/>
      <c r="M1235" s="6" t="s">
        <v>1643</v>
      </c>
      <c r="N1235" s="6" t="s">
        <v>1644</v>
      </c>
      <c r="O1235" s="7">
        <f>SUMIFS('05_상품별배치367'!$K$7:$K$373,'05_상품별배치367'!$E$7:$E$373,A1235,'05_상품별배치367'!$H$7:$H$373,"본진")</f>
        <v>0</v>
      </c>
      <c r="P1235" s="7">
        <f>SUMIFS('05_상품별배치367'!$K$7:$K$373,'05_상품별배치367'!$E$7:$E$373,A1235,'05_상품별배치367'!$H$7:$H$373,"추가 진열")</f>
        <v>0</v>
      </c>
      <c r="Q1235" s="7">
        <f>O1235+P1235</f>
        <v>0</v>
      </c>
      <c r="R1235" s="7">
        <v>1</v>
      </c>
      <c r="S1235" s="6" t="s">
        <v>2996</v>
      </c>
      <c r="T1235" s="6" t="s">
        <v>1637</v>
      </c>
      <c r="U1235" s="6"/>
      <c r="V1235" s="16"/>
      <c r="W1235" s="16"/>
      <c r="X1235" s="16"/>
      <c r="Y1235" s="6" t="s">
        <v>1627</v>
      </c>
      <c r="Z1235" s="15"/>
      <c r="AA1235" s="15" t="s">
        <v>1628</v>
      </c>
    </row>
    <row r="1236" spans="1:27" ht="33" customHeight="1">
      <c r="A1236" s="8" t="s">
        <v>3999</v>
      </c>
      <c r="B1236" s="9">
        <v>1004</v>
      </c>
      <c r="C1236" s="8" t="s">
        <v>4000</v>
      </c>
      <c r="D1236" s="8" t="s">
        <v>1851</v>
      </c>
      <c r="E1236" s="8" t="s">
        <v>2134</v>
      </c>
      <c r="F1236" s="8" t="s">
        <v>156</v>
      </c>
      <c r="G1236" s="8" t="s">
        <v>3239</v>
      </c>
      <c r="H1236" s="8"/>
      <c r="I1236" s="14" t="s">
        <v>1642</v>
      </c>
      <c r="J1236" s="15"/>
      <c r="K1236" s="8" t="s">
        <v>1976</v>
      </c>
      <c r="L1236" s="8"/>
      <c r="M1236" s="6" t="s">
        <v>1643</v>
      </c>
      <c r="N1236" s="6" t="s">
        <v>1644</v>
      </c>
      <c r="O1236" s="7">
        <f>SUMIFS('05_상품별배치367'!$K$7:$K$373,'05_상품별배치367'!$E$7:$E$373,A1236,'05_상품별배치367'!$H$7:$H$373,"본진")</f>
        <v>0</v>
      </c>
      <c r="P1236" s="7">
        <f>SUMIFS('05_상품별배치367'!$K$7:$K$373,'05_상품별배치367'!$E$7:$E$373,A1236,'05_상품별배치367'!$H$7:$H$373,"추가 진열")</f>
        <v>0</v>
      </c>
      <c r="Q1236" s="7">
        <f>O1236+P1236</f>
        <v>0</v>
      </c>
      <c r="R1236" s="7">
        <v>1</v>
      </c>
      <c r="S1236" s="6" t="s">
        <v>3240</v>
      </c>
      <c r="T1236" s="6" t="s">
        <v>1637</v>
      </c>
      <c r="U1236" s="6"/>
      <c r="V1236" s="16"/>
      <c r="W1236" s="16"/>
      <c r="X1236" s="16"/>
      <c r="Y1236" s="6" t="s">
        <v>1627</v>
      </c>
      <c r="Z1236" s="15"/>
      <c r="AA1236" s="15" t="s">
        <v>1628</v>
      </c>
    </row>
    <row r="1237" spans="1:27" ht="33" customHeight="1">
      <c r="A1237" s="6" t="s">
        <v>4005</v>
      </c>
      <c r="B1237" s="7">
        <v>1007</v>
      </c>
      <c r="C1237" s="6" t="s">
        <v>4006</v>
      </c>
      <c r="D1237" s="6" t="s">
        <v>2133</v>
      </c>
      <c r="E1237" s="6" t="s">
        <v>2134</v>
      </c>
      <c r="F1237" s="6" t="s">
        <v>162</v>
      </c>
      <c r="G1237" s="6" t="s">
        <v>404</v>
      </c>
      <c r="H1237" s="6"/>
      <c r="I1237" s="14" t="s">
        <v>1642</v>
      </c>
      <c r="J1237" s="15"/>
      <c r="K1237" s="6" t="s">
        <v>1976</v>
      </c>
      <c r="L1237" s="6"/>
      <c r="M1237" s="6" t="s">
        <v>1643</v>
      </c>
      <c r="N1237" s="6" t="s">
        <v>1644</v>
      </c>
      <c r="O1237" s="7">
        <f>SUMIFS('05_상품별배치367'!$K$7:$K$373,'05_상품별배치367'!$E$7:$E$373,A1237,'05_상품별배치367'!$H$7:$H$373,"본진")</f>
        <v>0</v>
      </c>
      <c r="P1237" s="7">
        <f>SUMIFS('05_상품별배치367'!$K$7:$K$373,'05_상품별배치367'!$E$7:$E$373,A1237,'05_상품별배치367'!$H$7:$H$373,"추가 진열")</f>
        <v>0</v>
      </c>
      <c r="Q1237" s="7">
        <f>O1237+P1237</f>
        <v>0</v>
      </c>
      <c r="R1237" s="7">
        <v>1</v>
      </c>
      <c r="S1237" s="6" t="s">
        <v>2996</v>
      </c>
      <c r="T1237" s="6" t="s">
        <v>1637</v>
      </c>
      <c r="U1237" s="6"/>
      <c r="V1237" s="16"/>
      <c r="W1237" s="16"/>
      <c r="X1237" s="16"/>
      <c r="Y1237" s="6" t="s">
        <v>1627</v>
      </c>
      <c r="Z1237" s="15"/>
      <c r="AA1237" s="15" t="s">
        <v>1628</v>
      </c>
    </row>
    <row r="1238" spans="1:27" ht="33" customHeight="1">
      <c r="A1238" s="8" t="s">
        <v>4011</v>
      </c>
      <c r="B1238" s="9">
        <v>1010</v>
      </c>
      <c r="C1238" s="8" t="s">
        <v>4012</v>
      </c>
      <c r="D1238" s="8" t="s">
        <v>4013</v>
      </c>
      <c r="E1238" s="8" t="s">
        <v>2134</v>
      </c>
      <c r="F1238" s="8" t="s">
        <v>162</v>
      </c>
      <c r="G1238" s="8" t="s">
        <v>404</v>
      </c>
      <c r="H1238" s="8"/>
      <c r="I1238" s="14" t="s">
        <v>1642</v>
      </c>
      <c r="J1238" s="15"/>
      <c r="K1238" s="8" t="s">
        <v>1976</v>
      </c>
      <c r="L1238" s="8"/>
      <c r="M1238" s="6" t="s">
        <v>1643</v>
      </c>
      <c r="N1238" s="6" t="s">
        <v>1644</v>
      </c>
      <c r="O1238" s="7">
        <f>SUMIFS('05_상품별배치367'!$K$7:$K$373,'05_상품별배치367'!$E$7:$E$373,A1238,'05_상품별배치367'!$H$7:$H$373,"본진")</f>
        <v>0</v>
      </c>
      <c r="P1238" s="7">
        <f>SUMIFS('05_상품별배치367'!$K$7:$K$373,'05_상품별배치367'!$E$7:$E$373,A1238,'05_상품별배치367'!$H$7:$H$373,"추가 진열")</f>
        <v>0</v>
      </c>
      <c r="Q1238" s="7">
        <f>O1238+P1238</f>
        <v>0</v>
      </c>
      <c r="R1238" s="7">
        <v>1</v>
      </c>
      <c r="S1238" s="6" t="s">
        <v>2996</v>
      </c>
      <c r="T1238" s="6" t="s">
        <v>1637</v>
      </c>
      <c r="U1238" s="6"/>
      <c r="V1238" s="16"/>
      <c r="W1238" s="16"/>
      <c r="X1238" s="16"/>
      <c r="Y1238" s="6" t="s">
        <v>1627</v>
      </c>
      <c r="Z1238" s="15"/>
      <c r="AA1238" s="15" t="s">
        <v>1628</v>
      </c>
    </row>
    <row r="1239" spans="1:27" ht="33" customHeight="1">
      <c r="A1239" s="6" t="s">
        <v>4001</v>
      </c>
      <c r="B1239" s="7">
        <v>1005</v>
      </c>
      <c r="C1239" s="6" t="s">
        <v>4002</v>
      </c>
      <c r="D1239" s="6" t="s">
        <v>2133</v>
      </c>
      <c r="E1239" s="6" t="s">
        <v>1986</v>
      </c>
      <c r="F1239" s="6" t="s">
        <v>493</v>
      </c>
      <c r="G1239" s="6" t="s">
        <v>299</v>
      </c>
      <c r="H1239" s="6"/>
      <c r="I1239" s="14" t="s">
        <v>1642</v>
      </c>
      <c r="J1239" s="15"/>
      <c r="K1239" s="6" t="s">
        <v>1976</v>
      </c>
      <c r="L1239" s="6"/>
      <c r="M1239" s="6" t="s">
        <v>1643</v>
      </c>
      <c r="N1239" s="6" t="s">
        <v>1644</v>
      </c>
      <c r="O1239" s="7">
        <f>SUMIFS('05_상품별배치367'!$K$7:$K$373,'05_상품별배치367'!$E$7:$E$373,A1239,'05_상품별배치367'!$H$7:$H$373,"본진")</f>
        <v>0</v>
      </c>
      <c r="P1239" s="7">
        <f>SUMIFS('05_상품별배치367'!$K$7:$K$373,'05_상품별배치367'!$E$7:$E$373,A1239,'05_상품별배치367'!$H$7:$H$373,"추가 진열")</f>
        <v>0</v>
      </c>
      <c r="Q1239" s="7">
        <f>O1239+P1239</f>
        <v>0</v>
      </c>
      <c r="R1239" s="7">
        <v>1</v>
      </c>
      <c r="S1239" s="6" t="s">
        <v>3084</v>
      </c>
      <c r="T1239" s="6" t="s">
        <v>1637</v>
      </c>
      <c r="U1239" s="6"/>
      <c r="V1239" s="16"/>
      <c r="W1239" s="16"/>
      <c r="X1239" s="16"/>
      <c r="Y1239" s="6" t="s">
        <v>1627</v>
      </c>
      <c r="Z1239" s="15"/>
      <c r="AA1239" s="15" t="s">
        <v>1628</v>
      </c>
    </row>
    <row r="1240" spans="1:27" ht="33" customHeight="1">
      <c r="A1240" s="8" t="s">
        <v>3994</v>
      </c>
      <c r="B1240" s="9">
        <v>1002</v>
      </c>
      <c r="C1240" s="8" t="s">
        <v>3995</v>
      </c>
      <c r="D1240" s="8" t="s">
        <v>3996</v>
      </c>
      <c r="E1240" s="8" t="s">
        <v>1986</v>
      </c>
      <c r="F1240" s="8" t="s">
        <v>913</v>
      </c>
      <c r="G1240" s="8" t="s">
        <v>201</v>
      </c>
      <c r="H1240" s="8"/>
      <c r="I1240" s="14" t="s">
        <v>1642</v>
      </c>
      <c r="J1240" s="15"/>
      <c r="K1240" s="8" t="s">
        <v>1976</v>
      </c>
      <c r="L1240" s="8"/>
      <c r="M1240" s="6" t="s">
        <v>1643</v>
      </c>
      <c r="N1240" s="6" t="s">
        <v>1644</v>
      </c>
      <c r="O1240" s="7">
        <f>SUMIFS('05_상품별배치367'!$K$7:$K$373,'05_상품별배치367'!$E$7:$E$373,A1240,'05_상품별배치367'!$H$7:$H$373,"본진")</f>
        <v>0</v>
      </c>
      <c r="P1240" s="7">
        <f>SUMIFS('05_상품별배치367'!$K$7:$K$373,'05_상품별배치367'!$E$7:$E$373,A1240,'05_상품별배치367'!$H$7:$H$373,"추가 진열")</f>
        <v>0</v>
      </c>
      <c r="Q1240" s="7">
        <f>O1240+P1240</f>
        <v>0</v>
      </c>
      <c r="R1240" s="7">
        <v>1</v>
      </c>
      <c r="S1240" s="6" t="s">
        <v>2907</v>
      </c>
      <c r="T1240" s="6" t="s">
        <v>1637</v>
      </c>
      <c r="U1240" s="6"/>
      <c r="V1240" s="16"/>
      <c r="W1240" s="16"/>
      <c r="X1240" s="16"/>
      <c r="Y1240" s="6" t="s">
        <v>1655</v>
      </c>
      <c r="Z1240" s="15"/>
      <c r="AA1240" s="15" t="s">
        <v>1628</v>
      </c>
    </row>
    <row r="1241" spans="1:27" ht="33" customHeight="1">
      <c r="A1241" s="8" t="s">
        <v>7255</v>
      </c>
      <c r="B1241" s="9">
        <v>2528</v>
      </c>
      <c r="C1241" s="8" t="s">
        <v>7256</v>
      </c>
      <c r="D1241" s="8" t="s">
        <v>7257</v>
      </c>
      <c r="E1241" s="8" t="s">
        <v>1620</v>
      </c>
      <c r="F1241" s="8" t="s">
        <v>1163</v>
      </c>
      <c r="G1241" s="8" t="s">
        <v>323</v>
      </c>
      <c r="H1241" s="8" t="s">
        <v>1162</v>
      </c>
      <c r="I1241" s="14" t="s">
        <v>1992</v>
      </c>
      <c r="J1241" s="15"/>
      <c r="K1241" s="8" t="s">
        <v>1622</v>
      </c>
      <c r="L1241" s="8" t="s">
        <v>3828</v>
      </c>
      <c r="M1241" s="6" t="s">
        <v>1993</v>
      </c>
      <c r="N1241" s="6" t="s">
        <v>1644</v>
      </c>
      <c r="O1241" s="7">
        <f>SUMIFS('05_상품별배치367'!$K$7:$K$373,'05_상품별배치367'!$E$7:$E$373,A1241,'05_상품별배치367'!$H$7:$H$373,"본진")</f>
        <v>1</v>
      </c>
      <c r="P1241" s="7">
        <f>SUMIFS('05_상품별배치367'!$K$7:$K$373,'05_상품별배치367'!$E$7:$E$373,A1241,'05_상품별배치367'!$H$7:$H$373,"추가 진열")</f>
        <v>0</v>
      </c>
      <c r="Q1241" s="7">
        <f>O1241+P1241</f>
        <v>1</v>
      </c>
      <c r="R1241" s="7">
        <v>1</v>
      </c>
      <c r="S1241" s="6" t="s">
        <v>1994</v>
      </c>
      <c r="T1241" s="6" t="s">
        <v>1637</v>
      </c>
      <c r="U1241" s="6"/>
      <c r="V1241" s="16"/>
      <c r="W1241" s="16"/>
      <c r="X1241" s="16"/>
      <c r="Y1241" s="6" t="s">
        <v>1627</v>
      </c>
      <c r="Z1241" s="15"/>
      <c r="AA1241" s="15" t="s">
        <v>1628</v>
      </c>
    </row>
    <row r="1242" spans="1:27" ht="33" customHeight="1">
      <c r="A1242" s="6" t="s">
        <v>2005</v>
      </c>
      <c r="B1242" s="7">
        <v>133</v>
      </c>
      <c r="C1242" s="6" t="s">
        <v>2006</v>
      </c>
      <c r="D1242" s="6" t="s">
        <v>2007</v>
      </c>
      <c r="E1242" s="6" t="s">
        <v>1666</v>
      </c>
      <c r="F1242" s="6" t="s">
        <v>1880</v>
      </c>
      <c r="G1242" s="6" t="s">
        <v>1668</v>
      </c>
      <c r="H1242" s="6"/>
      <c r="I1242" s="14" t="s">
        <v>1642</v>
      </c>
      <c r="J1242" s="15"/>
      <c r="K1242" s="6" t="s">
        <v>1670</v>
      </c>
      <c r="L1242" s="6"/>
      <c r="M1242" s="6" t="s">
        <v>1643</v>
      </c>
      <c r="N1242" s="6" t="s">
        <v>1644</v>
      </c>
      <c r="O1242" s="7">
        <f>SUMIFS('05_상품별배치367'!$K$7:$K$373,'05_상품별배치367'!$E$7:$E$373,A1242,'05_상품별배치367'!$H$7:$H$373,"본진")</f>
        <v>0</v>
      </c>
      <c r="P1242" s="7">
        <f>SUMIFS('05_상품별배치367'!$K$7:$K$373,'05_상품별배치367'!$E$7:$E$373,A1242,'05_상품별배치367'!$H$7:$H$373,"추가 진열")</f>
        <v>0</v>
      </c>
      <c r="Q1242" s="7">
        <f>O1242+P1242</f>
        <v>0</v>
      </c>
      <c r="R1242" s="7">
        <v>1</v>
      </c>
      <c r="S1242" s="6" t="s">
        <v>1881</v>
      </c>
      <c r="T1242" s="6" t="s">
        <v>1637</v>
      </c>
      <c r="U1242" s="6"/>
      <c r="V1242" s="16"/>
      <c r="W1242" s="16"/>
      <c r="X1242" s="16"/>
      <c r="Y1242" s="6" t="s">
        <v>1627</v>
      </c>
      <c r="Z1242" s="15"/>
      <c r="AA1242" s="15" t="s">
        <v>1628</v>
      </c>
    </row>
    <row r="1243" spans="1:27" ht="33" customHeight="1">
      <c r="A1243" s="8" t="s">
        <v>5053</v>
      </c>
      <c r="B1243" s="9">
        <v>1502</v>
      </c>
      <c r="C1243" s="8" t="s">
        <v>5054</v>
      </c>
      <c r="D1243" s="8" t="s">
        <v>4191</v>
      </c>
      <c r="E1243" s="8" t="s">
        <v>2134</v>
      </c>
      <c r="F1243" s="8" t="s">
        <v>156</v>
      </c>
      <c r="G1243" s="8" t="s">
        <v>3239</v>
      </c>
      <c r="H1243" s="8"/>
      <c r="I1243" s="14" t="s">
        <v>1642</v>
      </c>
      <c r="J1243" s="15"/>
      <c r="K1243" s="8" t="s">
        <v>1976</v>
      </c>
      <c r="L1243" s="8"/>
      <c r="M1243" s="6" t="s">
        <v>1643</v>
      </c>
      <c r="N1243" s="6" t="s">
        <v>1644</v>
      </c>
      <c r="O1243" s="7">
        <f>SUMIFS('05_상품별배치367'!$K$7:$K$373,'05_상품별배치367'!$E$7:$E$373,A1243,'05_상품별배치367'!$H$7:$H$373,"본진")</f>
        <v>0</v>
      </c>
      <c r="P1243" s="7">
        <f>SUMIFS('05_상품별배치367'!$K$7:$K$373,'05_상품별배치367'!$E$7:$E$373,A1243,'05_상품별배치367'!$H$7:$H$373,"추가 진열")</f>
        <v>0</v>
      </c>
      <c r="Q1243" s="7">
        <f>O1243+P1243</f>
        <v>0</v>
      </c>
      <c r="R1243" s="7">
        <v>1</v>
      </c>
      <c r="S1243" s="6" t="s">
        <v>3240</v>
      </c>
      <c r="T1243" s="6" t="s">
        <v>1637</v>
      </c>
      <c r="U1243" s="6"/>
      <c r="V1243" s="16"/>
      <c r="W1243" s="16"/>
      <c r="X1243" s="16"/>
      <c r="Y1243" s="6" t="s">
        <v>1627</v>
      </c>
      <c r="Z1243" s="15"/>
      <c r="AA1243" s="15" t="s">
        <v>1628</v>
      </c>
    </row>
    <row r="1244" spans="1:27" ht="33" customHeight="1">
      <c r="A1244" s="8" t="s">
        <v>5057</v>
      </c>
      <c r="B1244" s="9">
        <v>1504</v>
      </c>
      <c r="C1244" s="8" t="s">
        <v>5058</v>
      </c>
      <c r="D1244" s="8" t="s">
        <v>3810</v>
      </c>
      <c r="E1244" s="8" t="s">
        <v>1986</v>
      </c>
      <c r="F1244" s="8" t="s">
        <v>493</v>
      </c>
      <c r="G1244" s="8" t="s">
        <v>299</v>
      </c>
      <c r="H1244" s="8"/>
      <c r="I1244" s="14" t="s">
        <v>1642</v>
      </c>
      <c r="J1244" s="15"/>
      <c r="K1244" s="8" t="s">
        <v>1976</v>
      </c>
      <c r="L1244" s="8"/>
      <c r="M1244" s="6" t="s">
        <v>1643</v>
      </c>
      <c r="N1244" s="6" t="s">
        <v>1644</v>
      </c>
      <c r="O1244" s="7">
        <f>SUMIFS('05_상품별배치367'!$K$7:$K$373,'05_상품별배치367'!$E$7:$E$373,A1244,'05_상품별배치367'!$H$7:$H$373,"본진")</f>
        <v>0</v>
      </c>
      <c r="P1244" s="7">
        <f>SUMIFS('05_상품별배치367'!$K$7:$K$373,'05_상품별배치367'!$E$7:$E$373,A1244,'05_상품별배치367'!$H$7:$H$373,"추가 진열")</f>
        <v>0</v>
      </c>
      <c r="Q1244" s="7">
        <f>O1244+P1244</f>
        <v>0</v>
      </c>
      <c r="R1244" s="7">
        <v>1</v>
      </c>
      <c r="S1244" s="6" t="s">
        <v>3084</v>
      </c>
      <c r="T1244" s="6" t="s">
        <v>1637</v>
      </c>
      <c r="U1244" s="6"/>
      <c r="V1244" s="16"/>
      <c r="W1244" s="16"/>
      <c r="X1244" s="16"/>
      <c r="Y1244" s="6" t="s">
        <v>1627</v>
      </c>
      <c r="Z1244" s="15"/>
      <c r="AA1244" s="15" t="s">
        <v>1628</v>
      </c>
    </row>
    <row r="1245" spans="1:27" ht="33" customHeight="1">
      <c r="A1245" s="6" t="s">
        <v>5059</v>
      </c>
      <c r="B1245" s="7">
        <v>1505</v>
      </c>
      <c r="C1245" s="6" t="s">
        <v>5060</v>
      </c>
      <c r="D1245" s="6" t="s">
        <v>3810</v>
      </c>
      <c r="E1245" s="6" t="s">
        <v>2134</v>
      </c>
      <c r="F1245" s="6" t="s">
        <v>1263</v>
      </c>
      <c r="G1245" s="6" t="s">
        <v>376</v>
      </c>
      <c r="H1245" s="6"/>
      <c r="I1245" s="14" t="s">
        <v>1642</v>
      </c>
      <c r="J1245" s="15"/>
      <c r="K1245" s="6" t="s">
        <v>1976</v>
      </c>
      <c r="L1245" s="6"/>
      <c r="M1245" s="6" t="s">
        <v>1643</v>
      </c>
      <c r="N1245" s="6" t="s">
        <v>1644</v>
      </c>
      <c r="O1245" s="7">
        <f>SUMIFS('05_상품별배치367'!$K$7:$K$373,'05_상품별배치367'!$E$7:$E$373,A1245,'05_상품별배치367'!$H$7:$H$373,"본진")</f>
        <v>0</v>
      </c>
      <c r="P1245" s="7">
        <f>SUMIFS('05_상품별배치367'!$K$7:$K$373,'05_상품별배치367'!$E$7:$E$373,A1245,'05_상품별배치367'!$H$7:$H$373,"추가 진열")</f>
        <v>0</v>
      </c>
      <c r="Q1245" s="7">
        <f>O1245+P1245</f>
        <v>0</v>
      </c>
      <c r="R1245" s="7">
        <v>1</v>
      </c>
      <c r="S1245" s="6" t="s">
        <v>3016</v>
      </c>
      <c r="T1245" s="6" t="s">
        <v>1637</v>
      </c>
      <c r="U1245" s="6"/>
      <c r="V1245" s="16"/>
      <c r="W1245" s="16"/>
      <c r="X1245" s="16"/>
      <c r="Y1245" s="6" t="s">
        <v>1627</v>
      </c>
      <c r="Z1245" s="15"/>
      <c r="AA1245" s="15" t="s">
        <v>1628</v>
      </c>
    </row>
    <row r="1246" spans="1:27" ht="33" customHeight="1">
      <c r="A1246" s="6" t="s">
        <v>5050</v>
      </c>
      <c r="B1246" s="7">
        <v>1501</v>
      </c>
      <c r="C1246" s="6" t="s">
        <v>5051</v>
      </c>
      <c r="D1246" s="6" t="s">
        <v>5052</v>
      </c>
      <c r="E1246" s="6" t="s">
        <v>2134</v>
      </c>
      <c r="F1246" s="6" t="s">
        <v>481</v>
      </c>
      <c r="G1246" s="6" t="s">
        <v>193</v>
      </c>
      <c r="H1246" s="6"/>
      <c r="I1246" s="14" t="s">
        <v>1642</v>
      </c>
      <c r="J1246" s="15"/>
      <c r="K1246" s="6" t="s">
        <v>1976</v>
      </c>
      <c r="L1246" s="6"/>
      <c r="M1246" s="6" t="s">
        <v>1643</v>
      </c>
      <c r="N1246" s="6" t="s">
        <v>1644</v>
      </c>
      <c r="O1246" s="7">
        <f>SUMIFS('05_상품별배치367'!$K$7:$K$373,'05_상품별배치367'!$E$7:$E$373,A1246,'05_상품별배치367'!$H$7:$H$373,"본진")</f>
        <v>0</v>
      </c>
      <c r="P1246" s="7">
        <f>SUMIFS('05_상품별배치367'!$K$7:$K$373,'05_상품별배치367'!$E$7:$E$373,A1246,'05_상품별배치367'!$H$7:$H$373,"추가 진열")</f>
        <v>0</v>
      </c>
      <c r="Q1246" s="7">
        <f>O1246+P1246</f>
        <v>0</v>
      </c>
      <c r="R1246" s="7">
        <v>1</v>
      </c>
      <c r="S1246" s="6" t="s">
        <v>3000</v>
      </c>
      <c r="T1246" s="6" t="s">
        <v>1637</v>
      </c>
      <c r="U1246" s="6"/>
      <c r="V1246" s="16"/>
      <c r="W1246" s="16"/>
      <c r="X1246" s="16"/>
      <c r="Y1246" s="6" t="s">
        <v>1627</v>
      </c>
      <c r="Z1246" s="15"/>
      <c r="AA1246" s="15" t="s">
        <v>1628</v>
      </c>
    </row>
    <row r="1247" spans="1:27" ht="33" customHeight="1">
      <c r="A1247" s="6" t="s">
        <v>5055</v>
      </c>
      <c r="B1247" s="7">
        <v>1503</v>
      </c>
      <c r="C1247" s="6" t="s">
        <v>5056</v>
      </c>
      <c r="D1247" s="6" t="s">
        <v>4191</v>
      </c>
      <c r="E1247" s="6" t="s">
        <v>2134</v>
      </c>
      <c r="F1247" s="6" t="s">
        <v>1081</v>
      </c>
      <c r="G1247" s="6" t="s">
        <v>290</v>
      </c>
      <c r="H1247" s="6"/>
      <c r="I1247" s="14" t="s">
        <v>1642</v>
      </c>
      <c r="J1247" s="15"/>
      <c r="K1247" s="6" t="s">
        <v>1976</v>
      </c>
      <c r="L1247" s="6"/>
      <c r="M1247" s="6" t="s">
        <v>1643</v>
      </c>
      <c r="N1247" s="6" t="s">
        <v>1644</v>
      </c>
      <c r="O1247" s="7">
        <f>SUMIFS('05_상품별배치367'!$K$7:$K$373,'05_상품별배치367'!$E$7:$E$373,A1247,'05_상품별배치367'!$H$7:$H$373,"본진")</f>
        <v>0</v>
      </c>
      <c r="P1247" s="7">
        <f>SUMIFS('05_상품별배치367'!$K$7:$K$373,'05_상품별배치367'!$E$7:$E$373,A1247,'05_상품별배치367'!$H$7:$H$373,"추가 진열")</f>
        <v>0</v>
      </c>
      <c r="Q1247" s="7">
        <f>O1247+P1247</f>
        <v>0</v>
      </c>
      <c r="R1247" s="7">
        <v>1</v>
      </c>
      <c r="S1247" s="6" t="s">
        <v>2135</v>
      </c>
      <c r="T1247" s="6" t="s">
        <v>1637</v>
      </c>
      <c r="U1247" s="6"/>
      <c r="V1247" s="16"/>
      <c r="W1247" s="16"/>
      <c r="X1247" s="16"/>
      <c r="Y1247" s="6" t="s">
        <v>1627</v>
      </c>
      <c r="Z1247" s="15"/>
      <c r="AA1247" s="15" t="s">
        <v>1628</v>
      </c>
    </row>
    <row r="1248" spans="1:27" ht="33" customHeight="1">
      <c r="A1248" s="6" t="s">
        <v>6286</v>
      </c>
      <c r="B1248" s="7">
        <v>2071</v>
      </c>
      <c r="C1248" s="6" t="s">
        <v>6287</v>
      </c>
      <c r="D1248" s="6" t="s">
        <v>3008</v>
      </c>
      <c r="E1248" s="6" t="s">
        <v>1641</v>
      </c>
      <c r="F1248" s="6" t="s">
        <v>1806</v>
      </c>
      <c r="G1248" s="6" t="s">
        <v>1668</v>
      </c>
      <c r="H1248" s="6"/>
      <c r="I1248" s="14" t="s">
        <v>1807</v>
      </c>
      <c r="J1248" s="15"/>
      <c r="K1248" s="6" t="s">
        <v>1634</v>
      </c>
      <c r="L1248" s="6" t="s">
        <v>1808</v>
      </c>
      <c r="M1248" s="6" t="s">
        <v>1809</v>
      </c>
      <c r="N1248" s="6" t="s">
        <v>1624</v>
      </c>
      <c r="O1248" s="7">
        <f>SUMIFS('05_상품별배치367'!$K$7:$K$373,'05_상품별배치367'!$E$7:$E$373,A1248,'05_상품별배치367'!$H$7:$H$373,"본진")</f>
        <v>0</v>
      </c>
      <c r="P1248" s="7">
        <f>SUMIFS('05_상품별배치367'!$K$7:$K$373,'05_상품별배치367'!$E$7:$E$373,A1248,'05_상품별배치367'!$H$7:$H$373,"추가 진열")</f>
        <v>0</v>
      </c>
      <c r="Q1248" s="7">
        <f>O1248+P1248</f>
        <v>0</v>
      </c>
      <c r="R1248" s="7">
        <v>0</v>
      </c>
      <c r="S1248" s="6" t="s">
        <v>1810</v>
      </c>
      <c r="T1248" s="6" t="s">
        <v>1637</v>
      </c>
      <c r="U1248" s="6"/>
      <c r="V1248" s="16"/>
      <c r="W1248" s="16"/>
      <c r="X1248" s="16"/>
      <c r="Y1248" s="6" t="s">
        <v>1627</v>
      </c>
      <c r="Z1248" s="15"/>
      <c r="AA1248" s="15" t="s">
        <v>1628</v>
      </c>
    </row>
    <row r="1249" spans="1:27" ht="33" customHeight="1">
      <c r="A1249" s="8" t="s">
        <v>3618</v>
      </c>
      <c r="B1249" s="9">
        <v>830</v>
      </c>
      <c r="C1249" s="8" t="s">
        <v>3619</v>
      </c>
      <c r="D1249" s="8" t="s">
        <v>1662</v>
      </c>
      <c r="E1249" s="8" t="s">
        <v>1986</v>
      </c>
      <c r="F1249" s="8" t="s">
        <v>1276</v>
      </c>
      <c r="G1249" s="8" t="s">
        <v>1987</v>
      </c>
      <c r="H1249" s="8"/>
      <c r="I1249" s="14" t="s">
        <v>1642</v>
      </c>
      <c r="J1249" s="15"/>
      <c r="K1249" s="8" t="s">
        <v>1976</v>
      </c>
      <c r="L1249" s="8"/>
      <c r="M1249" s="6" t="s">
        <v>1643</v>
      </c>
      <c r="N1249" s="6" t="s">
        <v>1644</v>
      </c>
      <c r="O1249" s="7">
        <f>SUMIFS('05_상품별배치367'!$K$7:$K$373,'05_상품별배치367'!$E$7:$E$373,A1249,'05_상품별배치367'!$H$7:$H$373,"본진")</f>
        <v>0</v>
      </c>
      <c r="P1249" s="7">
        <f>SUMIFS('05_상품별배치367'!$K$7:$K$373,'05_상품별배치367'!$E$7:$E$373,A1249,'05_상품별배치367'!$H$7:$H$373,"추가 진열")</f>
        <v>0</v>
      </c>
      <c r="Q1249" s="7">
        <f>O1249+P1249</f>
        <v>0</v>
      </c>
      <c r="R1249" s="7">
        <v>1</v>
      </c>
      <c r="S1249" s="6" t="s">
        <v>1988</v>
      </c>
      <c r="T1249" s="6" t="s">
        <v>1637</v>
      </c>
      <c r="U1249" s="6"/>
      <c r="V1249" s="16"/>
      <c r="W1249" s="16"/>
      <c r="X1249" s="16"/>
      <c r="Y1249" s="6" t="s">
        <v>1627</v>
      </c>
      <c r="Z1249" s="15"/>
      <c r="AA1249" s="15" t="s">
        <v>1628</v>
      </c>
    </row>
    <row r="1250" spans="1:27" ht="33" customHeight="1">
      <c r="A1250" s="6" t="s">
        <v>3624</v>
      </c>
      <c r="B1250" s="7">
        <v>833</v>
      </c>
      <c r="C1250" s="6" t="s">
        <v>3625</v>
      </c>
      <c r="D1250" s="6" t="s">
        <v>2845</v>
      </c>
      <c r="E1250" s="6" t="s">
        <v>1986</v>
      </c>
      <c r="F1250" s="6" t="s">
        <v>913</v>
      </c>
      <c r="G1250" s="6" t="s">
        <v>201</v>
      </c>
      <c r="H1250" s="6"/>
      <c r="I1250" s="14" t="s">
        <v>1642</v>
      </c>
      <c r="J1250" s="15"/>
      <c r="K1250" s="6" t="s">
        <v>1976</v>
      </c>
      <c r="L1250" s="6"/>
      <c r="M1250" s="6" t="s">
        <v>1643</v>
      </c>
      <c r="N1250" s="6" t="s">
        <v>1644</v>
      </c>
      <c r="O1250" s="7">
        <f>SUMIFS('05_상품별배치367'!$K$7:$K$373,'05_상품별배치367'!$E$7:$E$373,A1250,'05_상품별배치367'!$H$7:$H$373,"본진")</f>
        <v>0</v>
      </c>
      <c r="P1250" s="7">
        <f>SUMIFS('05_상품별배치367'!$K$7:$K$373,'05_상품별배치367'!$E$7:$E$373,A1250,'05_상품별배치367'!$H$7:$H$373,"추가 진열")</f>
        <v>0</v>
      </c>
      <c r="Q1250" s="7">
        <f>O1250+P1250</f>
        <v>0</v>
      </c>
      <c r="R1250" s="7">
        <v>1</v>
      </c>
      <c r="S1250" s="6" t="s">
        <v>2907</v>
      </c>
      <c r="T1250" s="6" t="s">
        <v>1637</v>
      </c>
      <c r="U1250" s="6"/>
      <c r="V1250" s="16"/>
      <c r="W1250" s="16"/>
      <c r="X1250" s="16"/>
      <c r="Y1250" s="6" t="s">
        <v>1627</v>
      </c>
      <c r="Z1250" s="15"/>
      <c r="AA1250" s="15" t="s">
        <v>1628</v>
      </c>
    </row>
    <row r="1251" spans="1:27" ht="33" customHeight="1">
      <c r="A1251" s="6" t="s">
        <v>3620</v>
      </c>
      <c r="B1251" s="7">
        <v>831</v>
      </c>
      <c r="C1251" s="6" t="s">
        <v>3621</v>
      </c>
      <c r="D1251" s="6" t="s">
        <v>1876</v>
      </c>
      <c r="E1251" s="6" t="s">
        <v>2134</v>
      </c>
      <c r="F1251" s="6" t="s">
        <v>2933</v>
      </c>
      <c r="G1251" s="6" t="s">
        <v>1668</v>
      </c>
      <c r="H1251" s="6"/>
      <c r="I1251" s="14" t="s">
        <v>1807</v>
      </c>
      <c r="J1251" s="15"/>
      <c r="K1251" s="6" t="s">
        <v>1976</v>
      </c>
      <c r="L1251" s="6" t="s">
        <v>2032</v>
      </c>
      <c r="M1251" s="6" t="s">
        <v>1809</v>
      </c>
      <c r="N1251" s="6" t="s">
        <v>1644</v>
      </c>
      <c r="O1251" s="7">
        <f>SUMIFS('05_상품별배치367'!$K$7:$K$373,'05_상품별배치367'!$E$7:$E$373,A1251,'05_상품별배치367'!$H$7:$H$373,"본진")</f>
        <v>0</v>
      </c>
      <c r="P1251" s="7">
        <f>SUMIFS('05_상품별배치367'!$K$7:$K$373,'05_상품별배치367'!$E$7:$E$373,A1251,'05_상품별배치367'!$H$7:$H$373,"추가 진열")</f>
        <v>0</v>
      </c>
      <c r="Q1251" s="7">
        <f>O1251+P1251</f>
        <v>0</v>
      </c>
      <c r="R1251" s="7">
        <v>0</v>
      </c>
      <c r="S1251" s="6" t="s">
        <v>1810</v>
      </c>
      <c r="T1251" s="6" t="s">
        <v>1637</v>
      </c>
      <c r="U1251" s="6"/>
      <c r="V1251" s="16"/>
      <c r="W1251" s="16"/>
      <c r="X1251" s="16"/>
      <c r="Y1251" s="6" t="s">
        <v>1627</v>
      </c>
      <c r="Z1251" s="15"/>
      <c r="AA1251" s="15" t="s">
        <v>1628</v>
      </c>
    </row>
    <row r="1252" spans="1:27" ht="33" customHeight="1">
      <c r="A1252" s="8" t="s">
        <v>3622</v>
      </c>
      <c r="B1252" s="9">
        <v>832</v>
      </c>
      <c r="C1252" s="8" t="s">
        <v>3623</v>
      </c>
      <c r="D1252" s="8" t="s">
        <v>1876</v>
      </c>
      <c r="E1252" s="8" t="s">
        <v>2134</v>
      </c>
      <c r="F1252" s="8" t="s">
        <v>2933</v>
      </c>
      <c r="G1252" s="8" t="s">
        <v>1668</v>
      </c>
      <c r="H1252" s="8"/>
      <c r="I1252" s="14" t="s">
        <v>1807</v>
      </c>
      <c r="J1252" s="15"/>
      <c r="K1252" s="8" t="s">
        <v>1976</v>
      </c>
      <c r="L1252" s="8" t="s">
        <v>2032</v>
      </c>
      <c r="M1252" s="6" t="s">
        <v>1809</v>
      </c>
      <c r="N1252" s="6" t="s">
        <v>1644</v>
      </c>
      <c r="O1252" s="7">
        <f>SUMIFS('05_상품별배치367'!$K$7:$K$373,'05_상품별배치367'!$E$7:$E$373,A1252,'05_상품별배치367'!$H$7:$H$373,"본진")</f>
        <v>0</v>
      </c>
      <c r="P1252" s="7">
        <f>SUMIFS('05_상품별배치367'!$K$7:$K$373,'05_상품별배치367'!$E$7:$E$373,A1252,'05_상품별배치367'!$H$7:$H$373,"추가 진열")</f>
        <v>0</v>
      </c>
      <c r="Q1252" s="7">
        <f>O1252+P1252</f>
        <v>0</v>
      </c>
      <c r="R1252" s="7">
        <v>0</v>
      </c>
      <c r="S1252" s="6" t="s">
        <v>1810</v>
      </c>
      <c r="T1252" s="6" t="s">
        <v>1637</v>
      </c>
      <c r="U1252" s="6"/>
      <c r="V1252" s="16"/>
      <c r="W1252" s="16"/>
      <c r="X1252" s="16"/>
      <c r="Y1252" s="6" t="s">
        <v>1627</v>
      </c>
      <c r="Z1252" s="15"/>
      <c r="AA1252" s="15" t="s">
        <v>1628</v>
      </c>
    </row>
    <row r="1253" spans="1:27" ht="33" customHeight="1">
      <c r="A1253" s="8" t="s">
        <v>3613</v>
      </c>
      <c r="B1253" s="9">
        <v>828</v>
      </c>
      <c r="C1253" s="8" t="s">
        <v>3614</v>
      </c>
      <c r="D1253" s="8" t="s">
        <v>2856</v>
      </c>
      <c r="E1253" s="8" t="s">
        <v>2134</v>
      </c>
      <c r="F1253" s="8" t="s">
        <v>575</v>
      </c>
      <c r="G1253" s="8" t="s">
        <v>38</v>
      </c>
      <c r="H1253" s="8"/>
      <c r="I1253" s="14" t="s">
        <v>1642</v>
      </c>
      <c r="J1253" s="15"/>
      <c r="K1253" s="8" t="s">
        <v>1976</v>
      </c>
      <c r="L1253" s="8"/>
      <c r="M1253" s="6" t="s">
        <v>1643</v>
      </c>
      <c r="N1253" s="6" t="s">
        <v>1644</v>
      </c>
      <c r="O1253" s="7">
        <f>SUMIFS('05_상품별배치367'!$K$7:$K$373,'05_상품별배치367'!$E$7:$E$373,A1253,'05_상품별배치367'!$H$7:$H$373,"본진")</f>
        <v>0</v>
      </c>
      <c r="P1253" s="7">
        <f>SUMIFS('05_상품별배치367'!$K$7:$K$373,'05_상품별배치367'!$E$7:$E$373,A1253,'05_상품별배치367'!$H$7:$H$373,"추가 진열")</f>
        <v>0</v>
      </c>
      <c r="Q1253" s="7">
        <f>O1253+P1253</f>
        <v>0</v>
      </c>
      <c r="R1253" s="7">
        <v>1</v>
      </c>
      <c r="S1253" s="6" t="s">
        <v>3615</v>
      </c>
      <c r="T1253" s="6" t="s">
        <v>1637</v>
      </c>
      <c r="U1253" s="6"/>
      <c r="V1253" s="16"/>
      <c r="W1253" s="16"/>
      <c r="X1253" s="16"/>
      <c r="Y1253" s="6" t="s">
        <v>1627</v>
      </c>
      <c r="Z1253" s="15"/>
      <c r="AA1253" s="15" t="s">
        <v>1628</v>
      </c>
    </row>
    <row r="1254" spans="1:27" ht="33" customHeight="1">
      <c r="A1254" s="6" t="s">
        <v>3616</v>
      </c>
      <c r="B1254" s="7">
        <v>829</v>
      </c>
      <c r="C1254" s="6" t="s">
        <v>3617</v>
      </c>
      <c r="D1254" s="6" t="s">
        <v>2856</v>
      </c>
      <c r="E1254" s="6" t="s">
        <v>2134</v>
      </c>
      <c r="F1254" s="6" t="s">
        <v>2933</v>
      </c>
      <c r="G1254" s="6" t="s">
        <v>1668</v>
      </c>
      <c r="H1254" s="6"/>
      <c r="I1254" s="14" t="s">
        <v>1807</v>
      </c>
      <c r="J1254" s="15"/>
      <c r="K1254" s="6" t="s">
        <v>1976</v>
      </c>
      <c r="L1254" s="6" t="s">
        <v>2032</v>
      </c>
      <c r="M1254" s="6" t="s">
        <v>1809</v>
      </c>
      <c r="N1254" s="6" t="s">
        <v>1644</v>
      </c>
      <c r="O1254" s="7">
        <f>SUMIFS('05_상품별배치367'!$K$7:$K$373,'05_상품별배치367'!$E$7:$E$373,A1254,'05_상품별배치367'!$H$7:$H$373,"본진")</f>
        <v>0</v>
      </c>
      <c r="P1254" s="7">
        <f>SUMIFS('05_상품별배치367'!$K$7:$K$373,'05_상품별배치367'!$E$7:$E$373,A1254,'05_상품별배치367'!$H$7:$H$373,"추가 진열")</f>
        <v>0</v>
      </c>
      <c r="Q1254" s="7">
        <f>O1254+P1254</f>
        <v>0</v>
      </c>
      <c r="R1254" s="7">
        <v>0</v>
      </c>
      <c r="S1254" s="6" t="s">
        <v>1810</v>
      </c>
      <c r="T1254" s="6" t="s">
        <v>1637</v>
      </c>
      <c r="U1254" s="6"/>
      <c r="V1254" s="16"/>
      <c r="W1254" s="16"/>
      <c r="X1254" s="16"/>
      <c r="Y1254" s="6" t="s">
        <v>1627</v>
      </c>
      <c r="Z1254" s="15"/>
      <c r="AA1254" s="15" t="s">
        <v>1628</v>
      </c>
    </row>
    <row r="1255" spans="1:27" ht="33" customHeight="1">
      <c r="A1255" s="8" t="s">
        <v>3592</v>
      </c>
      <c r="B1255" s="9">
        <v>818</v>
      </c>
      <c r="C1255" s="8" t="s">
        <v>3593</v>
      </c>
      <c r="D1255" s="8" t="s">
        <v>3008</v>
      </c>
      <c r="E1255" s="8" t="s">
        <v>2134</v>
      </c>
      <c r="F1255" s="8" t="s">
        <v>156</v>
      </c>
      <c r="G1255" s="8" t="s">
        <v>3239</v>
      </c>
      <c r="H1255" s="8"/>
      <c r="I1255" s="14" t="s">
        <v>1642</v>
      </c>
      <c r="J1255" s="15"/>
      <c r="K1255" s="8" t="s">
        <v>1976</v>
      </c>
      <c r="L1255" s="8"/>
      <c r="M1255" s="6" t="s">
        <v>1643</v>
      </c>
      <c r="N1255" s="6" t="s">
        <v>1644</v>
      </c>
      <c r="O1255" s="7">
        <f>SUMIFS('05_상품별배치367'!$K$7:$K$373,'05_상품별배치367'!$E$7:$E$373,A1255,'05_상품별배치367'!$H$7:$H$373,"본진")</f>
        <v>0</v>
      </c>
      <c r="P1255" s="7">
        <f>SUMIFS('05_상품별배치367'!$K$7:$K$373,'05_상품별배치367'!$E$7:$E$373,A1255,'05_상품별배치367'!$H$7:$H$373,"추가 진열")</f>
        <v>0</v>
      </c>
      <c r="Q1255" s="7">
        <f>O1255+P1255</f>
        <v>0</v>
      </c>
      <c r="R1255" s="7">
        <v>1</v>
      </c>
      <c r="S1255" s="6" t="s">
        <v>3240</v>
      </c>
      <c r="T1255" s="6" t="s">
        <v>1637</v>
      </c>
      <c r="U1255" s="6"/>
      <c r="V1255" s="16"/>
      <c r="W1255" s="16"/>
      <c r="X1255" s="16"/>
      <c r="Y1255" s="6" t="s">
        <v>1627</v>
      </c>
      <c r="Z1255" s="15"/>
      <c r="AA1255" s="15" t="s">
        <v>1628</v>
      </c>
    </row>
    <row r="1256" spans="1:27" ht="33" customHeight="1">
      <c r="A1256" s="6" t="s">
        <v>3599</v>
      </c>
      <c r="B1256" s="7">
        <v>821</v>
      </c>
      <c r="C1256" s="6" t="s">
        <v>3593</v>
      </c>
      <c r="D1256" s="6" t="s">
        <v>3600</v>
      </c>
      <c r="E1256" s="6" t="s">
        <v>2134</v>
      </c>
      <c r="F1256" s="6" t="s">
        <v>156</v>
      </c>
      <c r="G1256" s="6" t="s">
        <v>3239</v>
      </c>
      <c r="H1256" s="6"/>
      <c r="I1256" s="14" t="s">
        <v>1642</v>
      </c>
      <c r="J1256" s="15"/>
      <c r="K1256" s="6" t="s">
        <v>1976</v>
      </c>
      <c r="L1256" s="6"/>
      <c r="M1256" s="6" t="s">
        <v>1643</v>
      </c>
      <c r="N1256" s="6" t="s">
        <v>1644</v>
      </c>
      <c r="O1256" s="7">
        <f>SUMIFS('05_상품별배치367'!$K$7:$K$373,'05_상품별배치367'!$E$7:$E$373,A1256,'05_상품별배치367'!$H$7:$H$373,"본진")</f>
        <v>0</v>
      </c>
      <c r="P1256" s="7">
        <f>SUMIFS('05_상품별배치367'!$K$7:$K$373,'05_상품별배치367'!$E$7:$E$373,A1256,'05_상품별배치367'!$H$7:$H$373,"추가 진열")</f>
        <v>0</v>
      </c>
      <c r="Q1256" s="7">
        <f>O1256+P1256</f>
        <v>0</v>
      </c>
      <c r="R1256" s="7">
        <v>1</v>
      </c>
      <c r="S1256" s="6" t="s">
        <v>3240</v>
      </c>
      <c r="T1256" s="6" t="s">
        <v>1637</v>
      </c>
      <c r="U1256" s="6"/>
      <c r="V1256" s="16"/>
      <c r="W1256" s="16"/>
      <c r="X1256" s="16"/>
      <c r="Y1256" s="6" t="s">
        <v>1627</v>
      </c>
      <c r="Z1256" s="15"/>
      <c r="AA1256" s="15" t="s">
        <v>1628</v>
      </c>
    </row>
    <row r="1257" spans="1:27" ht="33" customHeight="1">
      <c r="A1257" s="6" t="s">
        <v>3602</v>
      </c>
      <c r="B1257" s="7">
        <v>823</v>
      </c>
      <c r="C1257" s="6" t="s">
        <v>3603</v>
      </c>
      <c r="D1257" s="6" t="s">
        <v>3600</v>
      </c>
      <c r="E1257" s="6" t="s">
        <v>2134</v>
      </c>
      <c r="F1257" s="6" t="s">
        <v>156</v>
      </c>
      <c r="G1257" s="6" t="s">
        <v>3239</v>
      </c>
      <c r="H1257" s="6"/>
      <c r="I1257" s="14" t="s">
        <v>1642</v>
      </c>
      <c r="J1257" s="15"/>
      <c r="K1257" s="6" t="s">
        <v>1976</v>
      </c>
      <c r="L1257" s="6"/>
      <c r="M1257" s="6" t="s">
        <v>1643</v>
      </c>
      <c r="N1257" s="6" t="s">
        <v>1644</v>
      </c>
      <c r="O1257" s="7">
        <f>SUMIFS('05_상품별배치367'!$K$7:$K$373,'05_상품별배치367'!$E$7:$E$373,A1257,'05_상품별배치367'!$H$7:$H$373,"본진")</f>
        <v>0</v>
      </c>
      <c r="P1257" s="7">
        <f>SUMIFS('05_상품별배치367'!$K$7:$K$373,'05_상품별배치367'!$E$7:$E$373,A1257,'05_상품별배치367'!$H$7:$H$373,"추가 진열")</f>
        <v>0</v>
      </c>
      <c r="Q1257" s="7">
        <f>O1257+P1257</f>
        <v>0</v>
      </c>
      <c r="R1257" s="7">
        <v>1</v>
      </c>
      <c r="S1257" s="6" t="s">
        <v>3240</v>
      </c>
      <c r="T1257" s="6" t="s">
        <v>1637</v>
      </c>
      <c r="U1257" s="6"/>
      <c r="V1257" s="16"/>
      <c r="W1257" s="16"/>
      <c r="X1257" s="16"/>
      <c r="Y1257" s="6" t="s">
        <v>1627</v>
      </c>
      <c r="Z1257" s="15"/>
      <c r="AA1257" s="15" t="s">
        <v>1628</v>
      </c>
    </row>
    <row r="1258" spans="1:27" ht="33" customHeight="1">
      <c r="A1258" s="8" t="s">
        <v>3604</v>
      </c>
      <c r="B1258" s="9">
        <v>824</v>
      </c>
      <c r="C1258" s="8" t="s">
        <v>3605</v>
      </c>
      <c r="D1258" s="8" t="s">
        <v>2133</v>
      </c>
      <c r="E1258" s="8" t="s">
        <v>1986</v>
      </c>
      <c r="F1258" s="8" t="s">
        <v>493</v>
      </c>
      <c r="G1258" s="8" t="s">
        <v>299</v>
      </c>
      <c r="H1258" s="8"/>
      <c r="I1258" s="14" t="s">
        <v>1642</v>
      </c>
      <c r="J1258" s="15"/>
      <c r="K1258" s="8" t="s">
        <v>1976</v>
      </c>
      <c r="L1258" s="8"/>
      <c r="M1258" s="6" t="s">
        <v>1643</v>
      </c>
      <c r="N1258" s="6" t="s">
        <v>1644</v>
      </c>
      <c r="O1258" s="7">
        <f>SUMIFS('05_상품별배치367'!$K$7:$K$373,'05_상품별배치367'!$E$7:$E$373,A1258,'05_상품별배치367'!$H$7:$H$373,"본진")</f>
        <v>0</v>
      </c>
      <c r="P1258" s="7">
        <f>SUMIFS('05_상품별배치367'!$K$7:$K$373,'05_상품별배치367'!$E$7:$E$373,A1258,'05_상품별배치367'!$H$7:$H$373,"추가 진열")</f>
        <v>0</v>
      </c>
      <c r="Q1258" s="7">
        <f>O1258+P1258</f>
        <v>0</v>
      </c>
      <c r="R1258" s="7">
        <v>1</v>
      </c>
      <c r="S1258" s="6" t="s">
        <v>3084</v>
      </c>
      <c r="T1258" s="6" t="s">
        <v>1637</v>
      </c>
      <c r="U1258" s="6"/>
      <c r="V1258" s="16"/>
      <c r="W1258" s="16"/>
      <c r="X1258" s="16"/>
      <c r="Y1258" s="6" t="s">
        <v>1627</v>
      </c>
      <c r="Z1258" s="15"/>
      <c r="AA1258" s="15" t="s">
        <v>1628</v>
      </c>
    </row>
    <row r="1259" spans="1:27" ht="33" customHeight="1">
      <c r="A1259" s="8" t="s">
        <v>3601</v>
      </c>
      <c r="B1259" s="9">
        <v>822</v>
      </c>
      <c r="C1259" s="8" t="s">
        <v>3595</v>
      </c>
      <c r="D1259" s="8" t="s">
        <v>3600</v>
      </c>
      <c r="E1259" s="8" t="s">
        <v>2134</v>
      </c>
      <c r="F1259" s="8" t="s">
        <v>156</v>
      </c>
      <c r="G1259" s="8" t="s">
        <v>3239</v>
      </c>
      <c r="H1259" s="8"/>
      <c r="I1259" s="14" t="s">
        <v>1642</v>
      </c>
      <c r="J1259" s="15"/>
      <c r="K1259" s="8" t="s">
        <v>1976</v>
      </c>
      <c r="L1259" s="8"/>
      <c r="M1259" s="6" t="s">
        <v>1643</v>
      </c>
      <c r="N1259" s="6" t="s">
        <v>1644</v>
      </c>
      <c r="O1259" s="7">
        <f>SUMIFS('05_상품별배치367'!$K$7:$K$373,'05_상품별배치367'!$E$7:$E$373,A1259,'05_상품별배치367'!$H$7:$H$373,"본진")</f>
        <v>0</v>
      </c>
      <c r="P1259" s="7">
        <f>SUMIFS('05_상품별배치367'!$K$7:$K$373,'05_상품별배치367'!$E$7:$E$373,A1259,'05_상품별배치367'!$H$7:$H$373,"추가 진열")</f>
        <v>0</v>
      </c>
      <c r="Q1259" s="7">
        <f>O1259+P1259</f>
        <v>0</v>
      </c>
      <c r="R1259" s="7">
        <v>1</v>
      </c>
      <c r="S1259" s="6" t="s">
        <v>3240</v>
      </c>
      <c r="T1259" s="6" t="s">
        <v>1637</v>
      </c>
      <c r="U1259" s="6"/>
      <c r="V1259" s="16"/>
      <c r="W1259" s="16"/>
      <c r="X1259" s="16"/>
      <c r="Y1259" s="6" t="s">
        <v>1627</v>
      </c>
      <c r="Z1259" s="15"/>
      <c r="AA1259" s="15" t="s">
        <v>1628</v>
      </c>
    </row>
    <row r="1260" spans="1:27" ht="33" customHeight="1">
      <c r="A1260" s="6" t="s">
        <v>3594</v>
      </c>
      <c r="B1260" s="7">
        <v>819</v>
      </c>
      <c r="C1260" s="6" t="s">
        <v>3595</v>
      </c>
      <c r="D1260" s="6" t="s">
        <v>2856</v>
      </c>
      <c r="E1260" s="6" t="s">
        <v>2134</v>
      </c>
      <c r="F1260" s="6" t="s">
        <v>156</v>
      </c>
      <c r="G1260" s="6" t="s">
        <v>3239</v>
      </c>
      <c r="H1260" s="6"/>
      <c r="I1260" s="14" t="s">
        <v>1642</v>
      </c>
      <c r="J1260" s="15"/>
      <c r="K1260" s="6" t="s">
        <v>1976</v>
      </c>
      <c r="L1260" s="6"/>
      <c r="M1260" s="6" t="s">
        <v>1643</v>
      </c>
      <c r="N1260" s="6" t="s">
        <v>1644</v>
      </c>
      <c r="O1260" s="7">
        <f>SUMIFS('05_상품별배치367'!$K$7:$K$373,'05_상품별배치367'!$E$7:$E$373,A1260,'05_상품별배치367'!$H$7:$H$373,"본진")</f>
        <v>0</v>
      </c>
      <c r="P1260" s="7">
        <f>SUMIFS('05_상품별배치367'!$K$7:$K$373,'05_상품별배치367'!$E$7:$E$373,A1260,'05_상품별배치367'!$H$7:$H$373,"추가 진열")</f>
        <v>0</v>
      </c>
      <c r="Q1260" s="7">
        <f>O1260+P1260</f>
        <v>0</v>
      </c>
      <c r="R1260" s="7">
        <v>1</v>
      </c>
      <c r="S1260" s="6" t="s">
        <v>3240</v>
      </c>
      <c r="T1260" s="6" t="s">
        <v>1637</v>
      </c>
      <c r="U1260" s="6"/>
      <c r="V1260" s="16"/>
      <c r="W1260" s="16"/>
      <c r="X1260" s="16"/>
      <c r="Y1260" s="6" t="s">
        <v>1627</v>
      </c>
      <c r="Z1260" s="15"/>
      <c r="AA1260" s="15" t="s">
        <v>1628</v>
      </c>
    </row>
    <row r="1261" spans="1:27" ht="33" customHeight="1">
      <c r="A1261" s="8" t="s">
        <v>3631</v>
      </c>
      <c r="B1261" s="9">
        <v>836</v>
      </c>
      <c r="C1261" s="8" t="s">
        <v>3632</v>
      </c>
      <c r="D1261" s="8" t="s">
        <v>3608</v>
      </c>
      <c r="E1261" s="8" t="s">
        <v>2134</v>
      </c>
      <c r="F1261" s="8" t="s">
        <v>2933</v>
      </c>
      <c r="G1261" s="8" t="s">
        <v>1668</v>
      </c>
      <c r="H1261" s="8"/>
      <c r="I1261" s="14" t="s">
        <v>1807</v>
      </c>
      <c r="J1261" s="15"/>
      <c r="K1261" s="8" t="s">
        <v>1976</v>
      </c>
      <c r="L1261" s="8" t="s">
        <v>2032</v>
      </c>
      <c r="M1261" s="6" t="s">
        <v>1809</v>
      </c>
      <c r="N1261" s="6" t="s">
        <v>1644</v>
      </c>
      <c r="O1261" s="7">
        <f>SUMIFS('05_상품별배치367'!$K$7:$K$373,'05_상품별배치367'!$E$7:$E$373,A1261,'05_상품별배치367'!$H$7:$H$373,"본진")</f>
        <v>0</v>
      </c>
      <c r="P1261" s="7">
        <f>SUMIFS('05_상품별배치367'!$K$7:$K$373,'05_상품별배치367'!$E$7:$E$373,A1261,'05_상품별배치367'!$H$7:$H$373,"추가 진열")</f>
        <v>0</v>
      </c>
      <c r="Q1261" s="7">
        <f>O1261+P1261</f>
        <v>0</v>
      </c>
      <c r="R1261" s="7">
        <v>0</v>
      </c>
      <c r="S1261" s="6" t="s">
        <v>1810</v>
      </c>
      <c r="T1261" s="6" t="s">
        <v>1637</v>
      </c>
      <c r="U1261" s="6"/>
      <c r="V1261" s="16"/>
      <c r="W1261" s="16"/>
      <c r="X1261" s="16"/>
      <c r="Y1261" s="6" t="s">
        <v>1627</v>
      </c>
      <c r="Z1261" s="15"/>
      <c r="AA1261" s="15" t="s">
        <v>1628</v>
      </c>
    </row>
    <row r="1262" spans="1:27" ht="33" customHeight="1">
      <c r="A1262" s="8" t="s">
        <v>3626</v>
      </c>
      <c r="B1262" s="9">
        <v>834</v>
      </c>
      <c r="C1262" s="8" t="s">
        <v>3627</v>
      </c>
      <c r="D1262" s="8" t="s">
        <v>3628</v>
      </c>
      <c r="E1262" s="8" t="s">
        <v>2134</v>
      </c>
      <c r="F1262" s="8" t="s">
        <v>162</v>
      </c>
      <c r="G1262" s="8" t="s">
        <v>404</v>
      </c>
      <c r="H1262" s="8"/>
      <c r="I1262" s="14" t="s">
        <v>1642</v>
      </c>
      <c r="J1262" s="15"/>
      <c r="K1262" s="8" t="s">
        <v>1976</v>
      </c>
      <c r="L1262" s="8"/>
      <c r="M1262" s="6" t="s">
        <v>1643</v>
      </c>
      <c r="N1262" s="6" t="s">
        <v>1644</v>
      </c>
      <c r="O1262" s="7">
        <f>SUMIFS('05_상품별배치367'!$K$7:$K$373,'05_상품별배치367'!$E$7:$E$373,A1262,'05_상품별배치367'!$H$7:$H$373,"본진")</f>
        <v>0</v>
      </c>
      <c r="P1262" s="7">
        <f>SUMIFS('05_상품별배치367'!$K$7:$K$373,'05_상품별배치367'!$E$7:$E$373,A1262,'05_상품별배치367'!$H$7:$H$373,"추가 진열")</f>
        <v>0</v>
      </c>
      <c r="Q1262" s="7">
        <f>O1262+P1262</f>
        <v>0</v>
      </c>
      <c r="R1262" s="7">
        <v>1</v>
      </c>
      <c r="S1262" s="6" t="s">
        <v>2996</v>
      </c>
      <c r="T1262" s="6" t="s">
        <v>1637</v>
      </c>
      <c r="U1262" s="6"/>
      <c r="V1262" s="16"/>
      <c r="W1262" s="16"/>
      <c r="X1262" s="16"/>
      <c r="Y1262" s="6" t="s">
        <v>1655</v>
      </c>
      <c r="Z1262" s="15"/>
      <c r="AA1262" s="15" t="s">
        <v>1628</v>
      </c>
    </row>
    <row r="1263" spans="1:27" ht="33" customHeight="1">
      <c r="A1263" s="6" t="s">
        <v>3629</v>
      </c>
      <c r="B1263" s="7">
        <v>835</v>
      </c>
      <c r="C1263" s="6" t="s">
        <v>3630</v>
      </c>
      <c r="D1263" s="6" t="s">
        <v>2133</v>
      </c>
      <c r="E1263" s="6" t="s">
        <v>1986</v>
      </c>
      <c r="F1263" s="6" t="s">
        <v>493</v>
      </c>
      <c r="G1263" s="6" t="s">
        <v>299</v>
      </c>
      <c r="H1263" s="6"/>
      <c r="I1263" s="14" t="s">
        <v>1642</v>
      </c>
      <c r="J1263" s="15"/>
      <c r="K1263" s="6" t="s">
        <v>1976</v>
      </c>
      <c r="L1263" s="6"/>
      <c r="M1263" s="6" t="s">
        <v>1643</v>
      </c>
      <c r="N1263" s="6" t="s">
        <v>1644</v>
      </c>
      <c r="O1263" s="7">
        <f>SUMIFS('05_상품별배치367'!$K$7:$K$373,'05_상품별배치367'!$E$7:$E$373,A1263,'05_상품별배치367'!$H$7:$H$373,"본진")</f>
        <v>0</v>
      </c>
      <c r="P1263" s="7">
        <f>SUMIFS('05_상품별배치367'!$K$7:$K$373,'05_상품별배치367'!$E$7:$E$373,A1263,'05_상품별배치367'!$H$7:$H$373,"추가 진열")</f>
        <v>0</v>
      </c>
      <c r="Q1263" s="7">
        <f>O1263+P1263</f>
        <v>0</v>
      </c>
      <c r="R1263" s="7">
        <v>1</v>
      </c>
      <c r="S1263" s="6" t="s">
        <v>3084</v>
      </c>
      <c r="T1263" s="6" t="s">
        <v>1637</v>
      </c>
      <c r="U1263" s="6"/>
      <c r="V1263" s="16"/>
      <c r="W1263" s="16"/>
      <c r="X1263" s="16"/>
      <c r="Y1263" s="6" t="s">
        <v>1627</v>
      </c>
      <c r="Z1263" s="15"/>
      <c r="AA1263" s="15" t="s">
        <v>1628</v>
      </c>
    </row>
    <row r="1264" spans="1:27" ht="33" customHeight="1">
      <c r="A1264" s="6" t="s">
        <v>3611</v>
      </c>
      <c r="B1264" s="7">
        <v>827</v>
      </c>
      <c r="C1264" s="6" t="s">
        <v>3612</v>
      </c>
      <c r="D1264" s="6" t="s">
        <v>2133</v>
      </c>
      <c r="E1264" s="6" t="s">
        <v>1986</v>
      </c>
      <c r="F1264" s="6" t="s">
        <v>493</v>
      </c>
      <c r="G1264" s="6" t="s">
        <v>299</v>
      </c>
      <c r="H1264" s="6"/>
      <c r="I1264" s="14" t="s">
        <v>1642</v>
      </c>
      <c r="J1264" s="15"/>
      <c r="K1264" s="6" t="s">
        <v>1976</v>
      </c>
      <c r="L1264" s="6"/>
      <c r="M1264" s="6" t="s">
        <v>1643</v>
      </c>
      <c r="N1264" s="6" t="s">
        <v>1644</v>
      </c>
      <c r="O1264" s="7">
        <f>SUMIFS('05_상품별배치367'!$K$7:$K$373,'05_상품별배치367'!$E$7:$E$373,A1264,'05_상품별배치367'!$H$7:$H$373,"본진")</f>
        <v>0</v>
      </c>
      <c r="P1264" s="7">
        <f>SUMIFS('05_상품별배치367'!$K$7:$K$373,'05_상품별배치367'!$E$7:$E$373,A1264,'05_상품별배치367'!$H$7:$H$373,"추가 진열")</f>
        <v>0</v>
      </c>
      <c r="Q1264" s="7">
        <f>O1264+P1264</f>
        <v>0</v>
      </c>
      <c r="R1264" s="7">
        <v>1</v>
      </c>
      <c r="S1264" s="6" t="s">
        <v>3084</v>
      </c>
      <c r="T1264" s="6" t="s">
        <v>1637</v>
      </c>
      <c r="U1264" s="6"/>
      <c r="V1264" s="16"/>
      <c r="W1264" s="16"/>
      <c r="X1264" s="16"/>
      <c r="Y1264" s="6" t="s">
        <v>1627</v>
      </c>
      <c r="Z1264" s="15"/>
      <c r="AA1264" s="15" t="s">
        <v>1628</v>
      </c>
    </row>
    <row r="1265" spans="1:27" ht="33" customHeight="1">
      <c r="A1265" s="6" t="s">
        <v>3606</v>
      </c>
      <c r="B1265" s="7">
        <v>825</v>
      </c>
      <c r="C1265" s="6" t="s">
        <v>3607</v>
      </c>
      <c r="D1265" s="6" t="s">
        <v>3608</v>
      </c>
      <c r="E1265" s="6" t="s">
        <v>2134</v>
      </c>
      <c r="F1265" s="6" t="s">
        <v>2933</v>
      </c>
      <c r="G1265" s="6" t="s">
        <v>1668</v>
      </c>
      <c r="H1265" s="6"/>
      <c r="I1265" s="14" t="s">
        <v>1807</v>
      </c>
      <c r="J1265" s="15"/>
      <c r="K1265" s="6" t="s">
        <v>1976</v>
      </c>
      <c r="L1265" s="6" t="s">
        <v>2032</v>
      </c>
      <c r="M1265" s="6" t="s">
        <v>1809</v>
      </c>
      <c r="N1265" s="6" t="s">
        <v>1644</v>
      </c>
      <c r="O1265" s="7">
        <f>SUMIFS('05_상품별배치367'!$K$7:$K$373,'05_상품별배치367'!$E$7:$E$373,A1265,'05_상품별배치367'!$H$7:$H$373,"본진")</f>
        <v>0</v>
      </c>
      <c r="P1265" s="7">
        <f>SUMIFS('05_상품별배치367'!$K$7:$K$373,'05_상품별배치367'!$E$7:$E$373,A1265,'05_상품별배치367'!$H$7:$H$373,"추가 진열")</f>
        <v>0</v>
      </c>
      <c r="Q1265" s="7">
        <f>O1265+P1265</f>
        <v>0</v>
      </c>
      <c r="R1265" s="7">
        <v>0</v>
      </c>
      <c r="S1265" s="6" t="s">
        <v>1810</v>
      </c>
      <c r="T1265" s="6" t="s">
        <v>1637</v>
      </c>
      <c r="U1265" s="6"/>
      <c r="V1265" s="16"/>
      <c r="W1265" s="16"/>
      <c r="X1265" s="16"/>
      <c r="Y1265" s="6" t="s">
        <v>1627</v>
      </c>
      <c r="Z1265" s="15"/>
      <c r="AA1265" s="15" t="s">
        <v>1628</v>
      </c>
    </row>
    <row r="1266" spans="1:27" ht="33" customHeight="1">
      <c r="A1266" s="8" t="s">
        <v>3609</v>
      </c>
      <c r="B1266" s="9">
        <v>826</v>
      </c>
      <c r="C1266" s="8" t="s">
        <v>3610</v>
      </c>
      <c r="D1266" s="8" t="s">
        <v>3608</v>
      </c>
      <c r="E1266" s="8" t="s">
        <v>2134</v>
      </c>
      <c r="F1266" s="8" t="s">
        <v>2933</v>
      </c>
      <c r="G1266" s="8" t="s">
        <v>1668</v>
      </c>
      <c r="H1266" s="8"/>
      <c r="I1266" s="14" t="s">
        <v>1807</v>
      </c>
      <c r="J1266" s="15"/>
      <c r="K1266" s="8" t="s">
        <v>1976</v>
      </c>
      <c r="L1266" s="8" t="s">
        <v>2032</v>
      </c>
      <c r="M1266" s="6" t="s">
        <v>1809</v>
      </c>
      <c r="N1266" s="6" t="s">
        <v>1644</v>
      </c>
      <c r="O1266" s="7">
        <f>SUMIFS('05_상품별배치367'!$K$7:$K$373,'05_상품별배치367'!$E$7:$E$373,A1266,'05_상품별배치367'!$H$7:$H$373,"본진")</f>
        <v>0</v>
      </c>
      <c r="P1266" s="7">
        <f>SUMIFS('05_상품별배치367'!$K$7:$K$373,'05_상품별배치367'!$E$7:$E$373,A1266,'05_상품별배치367'!$H$7:$H$373,"추가 진열")</f>
        <v>0</v>
      </c>
      <c r="Q1266" s="7">
        <f>O1266+P1266</f>
        <v>0</v>
      </c>
      <c r="R1266" s="7">
        <v>0</v>
      </c>
      <c r="S1266" s="6" t="s">
        <v>1810</v>
      </c>
      <c r="T1266" s="6" t="s">
        <v>1637</v>
      </c>
      <c r="U1266" s="6"/>
      <c r="V1266" s="16"/>
      <c r="W1266" s="16"/>
      <c r="X1266" s="16"/>
      <c r="Y1266" s="6" t="s">
        <v>1627</v>
      </c>
      <c r="Z1266" s="15"/>
      <c r="AA1266" s="15" t="s">
        <v>1628</v>
      </c>
    </row>
    <row r="1267" spans="1:27" ht="33" customHeight="1">
      <c r="A1267" s="8" t="s">
        <v>3596</v>
      </c>
      <c r="B1267" s="9">
        <v>820</v>
      </c>
      <c r="C1267" s="8" t="s">
        <v>3597</v>
      </c>
      <c r="D1267" s="8" t="s">
        <v>3598</v>
      </c>
      <c r="E1267" s="8" t="s">
        <v>2134</v>
      </c>
      <c r="F1267" s="8" t="s">
        <v>2933</v>
      </c>
      <c r="G1267" s="8" t="s">
        <v>1668</v>
      </c>
      <c r="H1267" s="8"/>
      <c r="I1267" s="14" t="s">
        <v>1807</v>
      </c>
      <c r="J1267" s="15"/>
      <c r="K1267" s="8" t="s">
        <v>1976</v>
      </c>
      <c r="L1267" s="8" t="s">
        <v>2032</v>
      </c>
      <c r="M1267" s="6" t="s">
        <v>1809</v>
      </c>
      <c r="N1267" s="6" t="s">
        <v>1644</v>
      </c>
      <c r="O1267" s="7">
        <f>SUMIFS('05_상품별배치367'!$K$7:$K$373,'05_상품별배치367'!$E$7:$E$373,A1267,'05_상품별배치367'!$H$7:$H$373,"본진")</f>
        <v>0</v>
      </c>
      <c r="P1267" s="7">
        <f>SUMIFS('05_상품별배치367'!$K$7:$K$373,'05_상품별배치367'!$E$7:$E$373,A1267,'05_상품별배치367'!$H$7:$H$373,"추가 진열")</f>
        <v>0</v>
      </c>
      <c r="Q1267" s="7">
        <f>O1267+P1267</f>
        <v>0</v>
      </c>
      <c r="R1267" s="7">
        <v>0</v>
      </c>
      <c r="S1267" s="6" t="s">
        <v>1810</v>
      </c>
      <c r="T1267" s="6" t="s">
        <v>1637</v>
      </c>
      <c r="U1267" s="6"/>
      <c r="V1267" s="16"/>
      <c r="W1267" s="16"/>
      <c r="X1267" s="16"/>
      <c r="Y1267" s="6" t="s">
        <v>1655</v>
      </c>
      <c r="Z1267" s="15"/>
      <c r="AA1267" s="15" t="s">
        <v>1628</v>
      </c>
    </row>
    <row r="1268" spans="1:27" ht="33" customHeight="1">
      <c r="A1268" s="8" t="s">
        <v>5776</v>
      </c>
      <c r="B1268" s="9">
        <v>1844</v>
      </c>
      <c r="C1268" s="8" t="s">
        <v>5777</v>
      </c>
      <c r="D1268" s="8" t="s">
        <v>1686</v>
      </c>
      <c r="E1268" s="8" t="s">
        <v>1632</v>
      </c>
      <c r="F1268" s="8" t="s">
        <v>128</v>
      </c>
      <c r="G1268" s="8" t="s">
        <v>228</v>
      </c>
      <c r="H1268" s="8"/>
      <c r="I1268" s="14" t="s">
        <v>1642</v>
      </c>
      <c r="J1268" s="15"/>
      <c r="K1268" s="8" t="s">
        <v>1634</v>
      </c>
      <c r="L1268" s="8" t="s">
        <v>3828</v>
      </c>
      <c r="M1268" s="6" t="s">
        <v>1643</v>
      </c>
      <c r="N1268" s="6" t="s">
        <v>1624</v>
      </c>
      <c r="O1268" s="7">
        <f>SUMIFS('05_상품별배치367'!$K$7:$K$373,'05_상품별배치367'!$E$7:$E$373,A1268,'05_상품별배치367'!$H$7:$H$373,"본진")</f>
        <v>0</v>
      </c>
      <c r="P1268" s="7">
        <f>SUMIFS('05_상품별배치367'!$K$7:$K$373,'05_상품별배치367'!$E$7:$E$373,A1268,'05_상품별배치367'!$H$7:$H$373,"추가 진열")</f>
        <v>0</v>
      </c>
      <c r="Q1268" s="7">
        <f>O1268+P1268</f>
        <v>0</v>
      </c>
      <c r="R1268" s="7">
        <v>1</v>
      </c>
      <c r="S1268" s="6" t="s">
        <v>1650</v>
      </c>
      <c r="T1268" s="6" t="s">
        <v>1637</v>
      </c>
      <c r="U1268" s="6"/>
      <c r="V1268" s="16"/>
      <c r="W1268" s="16"/>
      <c r="X1268" s="16"/>
      <c r="Y1268" s="6" t="s">
        <v>1627</v>
      </c>
      <c r="Z1268" s="15"/>
      <c r="AA1268" s="15" t="s">
        <v>1628</v>
      </c>
    </row>
    <row r="1269" spans="1:27" ht="33" customHeight="1">
      <c r="A1269" s="6" t="s">
        <v>5758</v>
      </c>
      <c r="B1269" s="7">
        <v>1835</v>
      </c>
      <c r="C1269" s="6" t="s">
        <v>5759</v>
      </c>
      <c r="D1269" s="6" t="s">
        <v>1649</v>
      </c>
      <c r="E1269" s="6" t="s">
        <v>1632</v>
      </c>
      <c r="F1269" s="6" t="s">
        <v>128</v>
      </c>
      <c r="G1269" s="6" t="s">
        <v>228</v>
      </c>
      <c r="H1269" s="6" t="s">
        <v>969</v>
      </c>
      <c r="I1269" s="14" t="s">
        <v>1633</v>
      </c>
      <c r="J1269" s="15"/>
      <c r="K1269" s="6" t="s">
        <v>1634</v>
      </c>
      <c r="L1269" s="6" t="s">
        <v>3828</v>
      </c>
      <c r="M1269" s="6" t="s">
        <v>1635</v>
      </c>
      <c r="N1269" s="6" t="s">
        <v>1624</v>
      </c>
      <c r="O1269" s="7">
        <f>SUMIFS('05_상품별배치367'!$K$7:$K$373,'05_상품별배치367'!$E$7:$E$373,A1269,'05_상품별배치367'!$H$7:$H$373,"본진")</f>
        <v>1</v>
      </c>
      <c r="P1269" s="7">
        <f>SUMIFS('05_상품별배치367'!$K$7:$K$373,'05_상품별배치367'!$E$7:$E$373,A1269,'05_상품별배치367'!$H$7:$H$373,"추가 진열")</f>
        <v>0</v>
      </c>
      <c r="Q1269" s="7">
        <f>O1269+P1269</f>
        <v>1</v>
      </c>
      <c r="R1269" s="7">
        <v>1</v>
      </c>
      <c r="S1269" s="6" t="s">
        <v>1636</v>
      </c>
      <c r="T1269" s="6" t="s">
        <v>1637</v>
      </c>
      <c r="U1269" s="6"/>
      <c r="V1269" s="16"/>
      <c r="W1269" s="16"/>
      <c r="X1269" s="16"/>
      <c r="Y1269" s="6" t="s">
        <v>1627</v>
      </c>
      <c r="Z1269" s="15"/>
      <c r="AA1269" s="15" t="s">
        <v>1628</v>
      </c>
    </row>
    <row r="1270" spans="1:27" ht="33" customHeight="1">
      <c r="A1270" s="6" t="s">
        <v>1490</v>
      </c>
      <c r="B1270" s="7">
        <v>1833</v>
      </c>
      <c r="C1270" s="6" t="s">
        <v>1489</v>
      </c>
      <c r="D1270" s="6" t="s">
        <v>1724</v>
      </c>
      <c r="E1270" s="6" t="s">
        <v>1981</v>
      </c>
      <c r="F1270" s="6" t="s">
        <v>129</v>
      </c>
      <c r="G1270" s="6" t="s">
        <v>228</v>
      </c>
      <c r="H1270" s="6" t="s">
        <v>973</v>
      </c>
      <c r="I1270" s="14" t="s">
        <v>1633</v>
      </c>
      <c r="J1270" s="15"/>
      <c r="K1270" s="6" t="s">
        <v>1982</v>
      </c>
      <c r="L1270" s="6" t="s">
        <v>3828</v>
      </c>
      <c r="M1270" s="6" t="s">
        <v>1635</v>
      </c>
      <c r="N1270" s="6" t="s">
        <v>1624</v>
      </c>
      <c r="O1270" s="7">
        <f>SUMIFS('05_상품별배치367'!$K$7:$K$373,'05_상품별배치367'!$E$7:$E$373,A1270,'05_상품별배치367'!$H$7:$H$373,"본진")</f>
        <v>1</v>
      </c>
      <c r="P1270" s="7">
        <f>SUMIFS('05_상품별배치367'!$K$7:$K$373,'05_상품별배치367'!$E$7:$E$373,A1270,'05_상품별배치367'!$H$7:$H$373,"추가 진열")</f>
        <v>1</v>
      </c>
      <c r="Q1270" s="7">
        <f>O1270+P1270</f>
        <v>2</v>
      </c>
      <c r="R1270" s="7">
        <v>1</v>
      </c>
      <c r="S1270" s="6" t="s">
        <v>1636</v>
      </c>
      <c r="T1270" s="6" t="s">
        <v>1637</v>
      </c>
      <c r="U1270" s="6"/>
      <c r="V1270" s="16"/>
      <c r="W1270" s="16"/>
      <c r="X1270" s="16"/>
      <c r="Y1270" s="6" t="s">
        <v>1627</v>
      </c>
      <c r="Z1270" s="15"/>
      <c r="AA1270" s="15" t="s">
        <v>1628</v>
      </c>
    </row>
    <row r="1271" spans="1:27" ht="33" customHeight="1">
      <c r="A1271" s="6" t="s">
        <v>5730</v>
      </c>
      <c r="B1271" s="7">
        <v>1821</v>
      </c>
      <c r="C1271" s="6" t="s">
        <v>5731</v>
      </c>
      <c r="D1271" s="6" t="s">
        <v>1649</v>
      </c>
      <c r="E1271" s="6" t="s">
        <v>1632</v>
      </c>
      <c r="F1271" s="6" t="s">
        <v>128</v>
      </c>
      <c r="G1271" s="6" t="s">
        <v>228</v>
      </c>
      <c r="H1271" s="6"/>
      <c r="I1271" s="14" t="s">
        <v>1642</v>
      </c>
      <c r="J1271" s="15"/>
      <c r="K1271" s="6" t="s">
        <v>1634</v>
      </c>
      <c r="L1271" s="6" t="s">
        <v>3828</v>
      </c>
      <c r="M1271" s="6" t="s">
        <v>1643</v>
      </c>
      <c r="N1271" s="6" t="s">
        <v>1624</v>
      </c>
      <c r="O1271" s="7">
        <f>SUMIFS('05_상품별배치367'!$K$7:$K$373,'05_상품별배치367'!$E$7:$E$373,A1271,'05_상품별배치367'!$H$7:$H$373,"본진")</f>
        <v>0</v>
      </c>
      <c r="P1271" s="7">
        <f>SUMIFS('05_상품별배치367'!$K$7:$K$373,'05_상품별배치367'!$E$7:$E$373,A1271,'05_상품별배치367'!$H$7:$H$373,"추가 진열")</f>
        <v>0</v>
      </c>
      <c r="Q1271" s="7">
        <f>O1271+P1271</f>
        <v>0</v>
      </c>
      <c r="R1271" s="7">
        <v>1</v>
      </c>
      <c r="S1271" s="6" t="s">
        <v>1650</v>
      </c>
      <c r="T1271" s="6" t="s">
        <v>1637</v>
      </c>
      <c r="U1271" s="6"/>
      <c r="V1271" s="16"/>
      <c r="W1271" s="16"/>
      <c r="X1271" s="16"/>
      <c r="Y1271" s="6" t="s">
        <v>1627</v>
      </c>
      <c r="Z1271" s="15"/>
      <c r="AA1271" s="15" t="s">
        <v>1628</v>
      </c>
    </row>
    <row r="1272" spans="1:27" ht="33" customHeight="1">
      <c r="A1272" s="6" t="s">
        <v>6002</v>
      </c>
      <c r="B1272" s="7">
        <v>1951</v>
      </c>
      <c r="C1272" s="6" t="s">
        <v>6003</v>
      </c>
      <c r="D1272" s="6" t="s">
        <v>1640</v>
      </c>
      <c r="E1272" s="6" t="s">
        <v>1641</v>
      </c>
      <c r="F1272" s="6" t="s">
        <v>694</v>
      </c>
      <c r="G1272" s="6" t="s">
        <v>99</v>
      </c>
      <c r="H1272" s="6"/>
      <c r="I1272" s="14" t="s">
        <v>1642</v>
      </c>
      <c r="J1272" s="15"/>
      <c r="K1272" s="6" t="s">
        <v>1634</v>
      </c>
      <c r="L1272" s="6" t="s">
        <v>3828</v>
      </c>
      <c r="M1272" s="6" t="s">
        <v>1643</v>
      </c>
      <c r="N1272" s="6" t="s">
        <v>1644</v>
      </c>
      <c r="O1272" s="7">
        <f>SUMIFS('05_상품별배치367'!$K$7:$K$373,'05_상품별배치367'!$E$7:$E$373,A1272,'05_상품별배치367'!$H$7:$H$373,"본진")</f>
        <v>0</v>
      </c>
      <c r="P1272" s="7">
        <f>SUMIFS('05_상품별배치367'!$K$7:$K$373,'05_상품별배치367'!$E$7:$E$373,A1272,'05_상품별배치367'!$H$7:$H$373,"추가 진열")</f>
        <v>0</v>
      </c>
      <c r="Q1272" s="7">
        <f>O1272+P1272</f>
        <v>0</v>
      </c>
      <c r="R1272" s="7">
        <v>1</v>
      </c>
      <c r="S1272" s="6" t="s">
        <v>5964</v>
      </c>
      <c r="T1272" s="6" t="s">
        <v>1637</v>
      </c>
      <c r="U1272" s="6"/>
      <c r="V1272" s="16"/>
      <c r="W1272" s="16"/>
      <c r="X1272" s="16"/>
      <c r="Y1272" s="6" t="s">
        <v>1627</v>
      </c>
      <c r="Z1272" s="15"/>
      <c r="AA1272" s="15" t="s">
        <v>1628</v>
      </c>
    </row>
    <row r="1273" spans="1:27" ht="33" customHeight="1">
      <c r="A1273" s="8" t="s">
        <v>5767</v>
      </c>
      <c r="B1273" s="9">
        <v>1838</v>
      </c>
      <c r="C1273" s="8" t="s">
        <v>5768</v>
      </c>
      <c r="D1273" s="8" t="s">
        <v>1649</v>
      </c>
      <c r="E1273" s="8" t="s">
        <v>1632</v>
      </c>
      <c r="F1273" s="8" t="s">
        <v>128</v>
      </c>
      <c r="G1273" s="8" t="s">
        <v>228</v>
      </c>
      <c r="H1273" s="8" t="s">
        <v>977</v>
      </c>
      <c r="I1273" s="14" t="s">
        <v>1642</v>
      </c>
      <c r="J1273" s="15"/>
      <c r="K1273" s="8" t="s">
        <v>1634</v>
      </c>
      <c r="L1273" s="8" t="s">
        <v>3828</v>
      </c>
      <c r="M1273" s="6" t="s">
        <v>1643</v>
      </c>
      <c r="N1273" s="6" t="s">
        <v>1624</v>
      </c>
      <c r="O1273" s="7">
        <f>SUMIFS('05_상품별배치367'!$K$7:$K$373,'05_상품별배치367'!$E$7:$E$373,A1273,'05_상품별배치367'!$H$7:$H$373,"본진")</f>
        <v>0</v>
      </c>
      <c r="P1273" s="7">
        <f>SUMIFS('05_상품별배치367'!$K$7:$K$373,'05_상품별배치367'!$E$7:$E$373,A1273,'05_상품별배치367'!$H$7:$H$373,"추가 진열")</f>
        <v>0</v>
      </c>
      <c r="Q1273" s="7">
        <f>O1273+P1273</f>
        <v>0</v>
      </c>
      <c r="R1273" s="7">
        <v>1</v>
      </c>
      <c r="S1273" s="6" t="s">
        <v>1650</v>
      </c>
      <c r="T1273" s="6" t="s">
        <v>1637</v>
      </c>
      <c r="U1273" s="6"/>
      <c r="V1273" s="16"/>
      <c r="W1273" s="16"/>
      <c r="X1273" s="16"/>
      <c r="Y1273" s="6" t="s">
        <v>1627</v>
      </c>
      <c r="Z1273" s="15"/>
      <c r="AA1273" s="15" t="s">
        <v>1628</v>
      </c>
    </row>
    <row r="1274" spans="1:27" ht="33" customHeight="1">
      <c r="A1274" s="6" t="s">
        <v>5677</v>
      </c>
      <c r="B1274" s="7">
        <v>1795</v>
      </c>
      <c r="C1274" s="6" t="s">
        <v>5678</v>
      </c>
      <c r="D1274" s="6" t="s">
        <v>2856</v>
      </c>
      <c r="E1274" s="6" t="s">
        <v>2134</v>
      </c>
      <c r="F1274" s="6" t="s">
        <v>1081</v>
      </c>
      <c r="G1274" s="6" t="s">
        <v>290</v>
      </c>
      <c r="H1274" s="6"/>
      <c r="I1274" s="14" t="s">
        <v>1642</v>
      </c>
      <c r="J1274" s="15"/>
      <c r="K1274" s="6" t="s">
        <v>1976</v>
      </c>
      <c r="L1274" s="6"/>
      <c r="M1274" s="6" t="s">
        <v>1643</v>
      </c>
      <c r="N1274" s="6" t="s">
        <v>1644</v>
      </c>
      <c r="O1274" s="7">
        <f>SUMIFS('05_상품별배치367'!$K$7:$K$373,'05_상품별배치367'!$E$7:$E$373,A1274,'05_상품별배치367'!$H$7:$H$373,"본진")</f>
        <v>0</v>
      </c>
      <c r="P1274" s="7">
        <f>SUMIFS('05_상품별배치367'!$K$7:$K$373,'05_상품별배치367'!$E$7:$E$373,A1274,'05_상품별배치367'!$H$7:$H$373,"추가 진열")</f>
        <v>0</v>
      </c>
      <c r="Q1274" s="7">
        <f>O1274+P1274</f>
        <v>0</v>
      </c>
      <c r="R1274" s="7">
        <v>1</v>
      </c>
      <c r="S1274" s="6" t="s">
        <v>2135</v>
      </c>
      <c r="T1274" s="6" t="s">
        <v>1637</v>
      </c>
      <c r="U1274" s="6"/>
      <c r="V1274" s="16"/>
      <c r="W1274" s="16"/>
      <c r="X1274" s="16"/>
      <c r="Y1274" s="6" t="s">
        <v>1627</v>
      </c>
      <c r="Z1274" s="15"/>
      <c r="AA1274" s="15" t="s">
        <v>1628</v>
      </c>
    </row>
    <row r="1275" spans="1:27" ht="33" customHeight="1">
      <c r="A1275" s="8" t="s">
        <v>5679</v>
      </c>
      <c r="B1275" s="9">
        <v>1796</v>
      </c>
      <c r="C1275" s="8" t="s">
        <v>5680</v>
      </c>
      <c r="D1275" s="8" t="s">
        <v>2856</v>
      </c>
      <c r="E1275" s="8" t="s">
        <v>2134</v>
      </c>
      <c r="F1275" s="8" t="s">
        <v>1263</v>
      </c>
      <c r="G1275" s="8" t="s">
        <v>376</v>
      </c>
      <c r="H1275" s="8"/>
      <c r="I1275" s="14" t="s">
        <v>1642</v>
      </c>
      <c r="J1275" s="15"/>
      <c r="K1275" s="8" t="s">
        <v>1976</v>
      </c>
      <c r="L1275" s="8"/>
      <c r="M1275" s="6" t="s">
        <v>1643</v>
      </c>
      <c r="N1275" s="6" t="s">
        <v>1644</v>
      </c>
      <c r="O1275" s="7">
        <f>SUMIFS('05_상품별배치367'!$K$7:$K$373,'05_상품별배치367'!$E$7:$E$373,A1275,'05_상품별배치367'!$H$7:$H$373,"본진")</f>
        <v>0</v>
      </c>
      <c r="P1275" s="7">
        <f>SUMIFS('05_상품별배치367'!$K$7:$K$373,'05_상품별배치367'!$E$7:$E$373,A1275,'05_상품별배치367'!$H$7:$H$373,"추가 진열")</f>
        <v>0</v>
      </c>
      <c r="Q1275" s="7">
        <f>O1275+P1275</f>
        <v>0</v>
      </c>
      <c r="R1275" s="7">
        <v>1</v>
      </c>
      <c r="S1275" s="6" t="s">
        <v>3016</v>
      </c>
      <c r="T1275" s="6" t="s">
        <v>1637</v>
      </c>
      <c r="U1275" s="6"/>
      <c r="V1275" s="16"/>
      <c r="W1275" s="16"/>
      <c r="X1275" s="16"/>
      <c r="Y1275" s="6" t="s">
        <v>1627</v>
      </c>
      <c r="Z1275" s="15"/>
      <c r="AA1275" s="15" t="s">
        <v>1628</v>
      </c>
    </row>
    <row r="1276" spans="1:27" ht="33" customHeight="1">
      <c r="A1276" s="8" t="s">
        <v>5675</v>
      </c>
      <c r="B1276" s="9">
        <v>1794</v>
      </c>
      <c r="C1276" s="8" t="s">
        <v>5676</v>
      </c>
      <c r="D1276" s="8" t="s">
        <v>2856</v>
      </c>
      <c r="E1276" s="8" t="s">
        <v>2134</v>
      </c>
      <c r="F1276" s="8" t="s">
        <v>1263</v>
      </c>
      <c r="G1276" s="8" t="s">
        <v>376</v>
      </c>
      <c r="H1276" s="8"/>
      <c r="I1276" s="14" t="s">
        <v>1642</v>
      </c>
      <c r="J1276" s="15"/>
      <c r="K1276" s="8" t="s">
        <v>1976</v>
      </c>
      <c r="L1276" s="8"/>
      <c r="M1276" s="6" t="s">
        <v>1643</v>
      </c>
      <c r="N1276" s="6" t="s">
        <v>1644</v>
      </c>
      <c r="O1276" s="7">
        <f>SUMIFS('05_상품별배치367'!$K$7:$K$373,'05_상품별배치367'!$E$7:$E$373,A1276,'05_상품별배치367'!$H$7:$H$373,"본진")</f>
        <v>0</v>
      </c>
      <c r="P1276" s="7">
        <f>SUMIFS('05_상품별배치367'!$K$7:$K$373,'05_상품별배치367'!$E$7:$E$373,A1276,'05_상품별배치367'!$H$7:$H$373,"추가 진열")</f>
        <v>0</v>
      </c>
      <c r="Q1276" s="7">
        <f>O1276+P1276</f>
        <v>0</v>
      </c>
      <c r="R1276" s="7">
        <v>1</v>
      </c>
      <c r="S1276" s="6" t="s">
        <v>3016</v>
      </c>
      <c r="T1276" s="6" t="s">
        <v>1637</v>
      </c>
      <c r="U1276" s="6"/>
      <c r="V1276" s="16"/>
      <c r="W1276" s="16"/>
      <c r="X1276" s="16"/>
      <c r="Y1276" s="6" t="s">
        <v>1627</v>
      </c>
      <c r="Z1276" s="15"/>
      <c r="AA1276" s="15" t="s">
        <v>1628</v>
      </c>
    </row>
    <row r="1277" spans="1:27" ht="33" customHeight="1">
      <c r="A1277" s="8" t="s">
        <v>5691</v>
      </c>
      <c r="B1277" s="9">
        <v>1802</v>
      </c>
      <c r="C1277" s="8" t="s">
        <v>5692</v>
      </c>
      <c r="D1277" s="8" t="s">
        <v>5613</v>
      </c>
      <c r="E1277" s="8" t="s">
        <v>1986</v>
      </c>
      <c r="F1277" s="8" t="s">
        <v>913</v>
      </c>
      <c r="G1277" s="8" t="s">
        <v>201</v>
      </c>
      <c r="H1277" s="8"/>
      <c r="I1277" s="14" t="s">
        <v>1642</v>
      </c>
      <c r="J1277" s="15"/>
      <c r="K1277" s="8" t="s">
        <v>1976</v>
      </c>
      <c r="L1277" s="8"/>
      <c r="M1277" s="6" t="s">
        <v>1643</v>
      </c>
      <c r="N1277" s="6" t="s">
        <v>1644</v>
      </c>
      <c r="O1277" s="7">
        <f>SUMIFS('05_상품별배치367'!$K$7:$K$373,'05_상품별배치367'!$E$7:$E$373,A1277,'05_상품별배치367'!$H$7:$H$373,"본진")</f>
        <v>0</v>
      </c>
      <c r="P1277" s="7">
        <f>SUMIFS('05_상품별배치367'!$K$7:$K$373,'05_상품별배치367'!$E$7:$E$373,A1277,'05_상품별배치367'!$H$7:$H$373,"추가 진열")</f>
        <v>0</v>
      </c>
      <c r="Q1277" s="7">
        <f>O1277+P1277</f>
        <v>0</v>
      </c>
      <c r="R1277" s="7">
        <v>1</v>
      </c>
      <c r="S1277" s="6" t="s">
        <v>2907</v>
      </c>
      <c r="T1277" s="6" t="s">
        <v>1637</v>
      </c>
      <c r="U1277" s="6"/>
      <c r="V1277" s="16"/>
      <c r="W1277" s="16"/>
      <c r="X1277" s="16"/>
      <c r="Y1277" s="6" t="s">
        <v>1627</v>
      </c>
      <c r="Z1277" s="15"/>
      <c r="AA1277" s="15" t="s">
        <v>1628</v>
      </c>
    </row>
    <row r="1278" spans="1:27" ht="33" customHeight="1">
      <c r="A1278" s="6" t="s">
        <v>5689</v>
      </c>
      <c r="B1278" s="7">
        <v>1801</v>
      </c>
      <c r="C1278" s="6" t="s">
        <v>5690</v>
      </c>
      <c r="D1278" s="6" t="s">
        <v>3350</v>
      </c>
      <c r="E1278" s="6" t="s">
        <v>2134</v>
      </c>
      <c r="F1278" s="6" t="s">
        <v>162</v>
      </c>
      <c r="G1278" s="6" t="s">
        <v>404</v>
      </c>
      <c r="H1278" s="6"/>
      <c r="I1278" s="14" t="s">
        <v>1642</v>
      </c>
      <c r="J1278" s="15"/>
      <c r="K1278" s="6" t="s">
        <v>1976</v>
      </c>
      <c r="L1278" s="6"/>
      <c r="M1278" s="6" t="s">
        <v>1643</v>
      </c>
      <c r="N1278" s="6" t="s">
        <v>1644</v>
      </c>
      <c r="O1278" s="7">
        <f>SUMIFS('05_상품별배치367'!$K$7:$K$373,'05_상품별배치367'!$E$7:$E$373,A1278,'05_상품별배치367'!$H$7:$H$373,"본진")</f>
        <v>0</v>
      </c>
      <c r="P1278" s="7">
        <f>SUMIFS('05_상품별배치367'!$K$7:$K$373,'05_상품별배치367'!$E$7:$E$373,A1278,'05_상품별배치367'!$H$7:$H$373,"추가 진열")</f>
        <v>0</v>
      </c>
      <c r="Q1278" s="7">
        <f>O1278+P1278</f>
        <v>0</v>
      </c>
      <c r="R1278" s="7">
        <v>1</v>
      </c>
      <c r="S1278" s="6" t="s">
        <v>2996</v>
      </c>
      <c r="T1278" s="6" t="s">
        <v>1637</v>
      </c>
      <c r="U1278" s="6"/>
      <c r="V1278" s="16"/>
      <c r="W1278" s="16"/>
      <c r="X1278" s="16"/>
      <c r="Y1278" s="6" t="s">
        <v>1627</v>
      </c>
      <c r="Z1278" s="15"/>
      <c r="AA1278" s="15" t="s">
        <v>1628</v>
      </c>
    </row>
    <row r="1279" spans="1:27" ht="33" customHeight="1">
      <c r="A1279" s="8" t="s">
        <v>5687</v>
      </c>
      <c r="B1279" s="9">
        <v>1800</v>
      </c>
      <c r="C1279" s="8" t="s">
        <v>5688</v>
      </c>
      <c r="D1279" s="8" t="s">
        <v>1851</v>
      </c>
      <c r="E1279" s="8" t="s">
        <v>2134</v>
      </c>
      <c r="F1279" s="8" t="s">
        <v>162</v>
      </c>
      <c r="G1279" s="8" t="s">
        <v>404</v>
      </c>
      <c r="H1279" s="8"/>
      <c r="I1279" s="14" t="s">
        <v>1642</v>
      </c>
      <c r="J1279" s="15"/>
      <c r="K1279" s="8" t="s">
        <v>1976</v>
      </c>
      <c r="L1279" s="8"/>
      <c r="M1279" s="6" t="s">
        <v>1643</v>
      </c>
      <c r="N1279" s="6" t="s">
        <v>1644</v>
      </c>
      <c r="O1279" s="7">
        <f>SUMIFS('05_상품별배치367'!$K$7:$K$373,'05_상품별배치367'!$E$7:$E$373,A1279,'05_상품별배치367'!$H$7:$H$373,"본진")</f>
        <v>0</v>
      </c>
      <c r="P1279" s="7">
        <f>SUMIFS('05_상품별배치367'!$K$7:$K$373,'05_상품별배치367'!$E$7:$E$373,A1279,'05_상품별배치367'!$H$7:$H$373,"추가 진열")</f>
        <v>0</v>
      </c>
      <c r="Q1279" s="7">
        <f>O1279+P1279</f>
        <v>0</v>
      </c>
      <c r="R1279" s="7">
        <v>1</v>
      </c>
      <c r="S1279" s="6" t="s">
        <v>2996</v>
      </c>
      <c r="T1279" s="6" t="s">
        <v>1637</v>
      </c>
      <c r="U1279" s="6"/>
      <c r="V1279" s="16"/>
      <c r="W1279" s="16"/>
      <c r="X1279" s="16"/>
      <c r="Y1279" s="6" t="s">
        <v>1627</v>
      </c>
      <c r="Z1279" s="15"/>
      <c r="AA1279" s="15" t="s">
        <v>1628</v>
      </c>
    </row>
    <row r="1280" spans="1:27" ht="33" customHeight="1">
      <c r="A1280" s="6" t="s">
        <v>5685</v>
      </c>
      <c r="B1280" s="7">
        <v>1799</v>
      </c>
      <c r="C1280" s="6" t="s">
        <v>5686</v>
      </c>
      <c r="D1280" s="6" t="s">
        <v>5613</v>
      </c>
      <c r="E1280" s="6" t="s">
        <v>1986</v>
      </c>
      <c r="F1280" s="6" t="s">
        <v>913</v>
      </c>
      <c r="G1280" s="6" t="s">
        <v>201</v>
      </c>
      <c r="H1280" s="6"/>
      <c r="I1280" s="14" t="s">
        <v>1642</v>
      </c>
      <c r="J1280" s="15"/>
      <c r="K1280" s="6" t="s">
        <v>1976</v>
      </c>
      <c r="L1280" s="6"/>
      <c r="M1280" s="6" t="s">
        <v>1643</v>
      </c>
      <c r="N1280" s="6" t="s">
        <v>1644</v>
      </c>
      <c r="O1280" s="7">
        <f>SUMIFS('05_상품별배치367'!$K$7:$K$373,'05_상품별배치367'!$E$7:$E$373,A1280,'05_상품별배치367'!$H$7:$H$373,"본진")</f>
        <v>0</v>
      </c>
      <c r="P1280" s="7">
        <f>SUMIFS('05_상품별배치367'!$K$7:$K$373,'05_상품별배치367'!$E$7:$E$373,A1280,'05_상품별배치367'!$H$7:$H$373,"추가 진열")</f>
        <v>0</v>
      </c>
      <c r="Q1280" s="7">
        <f>O1280+P1280</f>
        <v>0</v>
      </c>
      <c r="R1280" s="7">
        <v>1</v>
      </c>
      <c r="S1280" s="6" t="s">
        <v>2907</v>
      </c>
      <c r="T1280" s="6" t="s">
        <v>1637</v>
      </c>
      <c r="U1280" s="6"/>
      <c r="V1280" s="16"/>
      <c r="W1280" s="16"/>
      <c r="X1280" s="16"/>
      <c r="Y1280" s="6" t="s">
        <v>1627</v>
      </c>
      <c r="Z1280" s="15"/>
      <c r="AA1280" s="15" t="s">
        <v>1628</v>
      </c>
    </row>
    <row r="1281" spans="1:27" ht="33" customHeight="1">
      <c r="A1281" s="8" t="s">
        <v>5683</v>
      </c>
      <c r="B1281" s="9">
        <v>1798</v>
      </c>
      <c r="C1281" s="8" t="s">
        <v>5684</v>
      </c>
      <c r="D1281" s="8" t="s">
        <v>1851</v>
      </c>
      <c r="E1281" s="8" t="s">
        <v>2134</v>
      </c>
      <c r="F1281" s="8" t="s">
        <v>481</v>
      </c>
      <c r="G1281" s="8" t="s">
        <v>193</v>
      </c>
      <c r="H1281" s="8"/>
      <c r="I1281" s="14" t="s">
        <v>1642</v>
      </c>
      <c r="J1281" s="15"/>
      <c r="K1281" s="8" t="s">
        <v>1976</v>
      </c>
      <c r="L1281" s="8"/>
      <c r="M1281" s="6" t="s">
        <v>1643</v>
      </c>
      <c r="N1281" s="6" t="s">
        <v>1644</v>
      </c>
      <c r="O1281" s="7">
        <f>SUMIFS('05_상품별배치367'!$K$7:$K$373,'05_상품별배치367'!$E$7:$E$373,A1281,'05_상품별배치367'!$H$7:$H$373,"본진")</f>
        <v>0</v>
      </c>
      <c r="P1281" s="7">
        <f>SUMIFS('05_상품별배치367'!$K$7:$K$373,'05_상품별배치367'!$E$7:$E$373,A1281,'05_상품별배치367'!$H$7:$H$373,"추가 진열")</f>
        <v>0</v>
      </c>
      <c r="Q1281" s="7">
        <f>O1281+P1281</f>
        <v>0</v>
      </c>
      <c r="R1281" s="7">
        <v>1</v>
      </c>
      <c r="S1281" s="6" t="s">
        <v>3000</v>
      </c>
      <c r="T1281" s="6" t="s">
        <v>1637</v>
      </c>
      <c r="U1281" s="6"/>
      <c r="V1281" s="16"/>
      <c r="W1281" s="16"/>
      <c r="X1281" s="16"/>
      <c r="Y1281" s="6" t="s">
        <v>1627</v>
      </c>
      <c r="Z1281" s="15"/>
      <c r="AA1281" s="15" t="s">
        <v>1628</v>
      </c>
    </row>
    <row r="1282" spans="1:27" ht="33" customHeight="1">
      <c r="A1282" s="6" t="s">
        <v>5681</v>
      </c>
      <c r="B1282" s="7">
        <v>1797</v>
      </c>
      <c r="C1282" s="6" t="s">
        <v>5682</v>
      </c>
      <c r="D1282" s="6" t="s">
        <v>2856</v>
      </c>
      <c r="E1282" s="6" t="s">
        <v>2134</v>
      </c>
      <c r="F1282" s="6" t="s">
        <v>156</v>
      </c>
      <c r="G1282" s="6" t="s">
        <v>3239</v>
      </c>
      <c r="H1282" s="6"/>
      <c r="I1282" s="14" t="s">
        <v>1642</v>
      </c>
      <c r="J1282" s="15"/>
      <c r="K1282" s="6" t="s">
        <v>1976</v>
      </c>
      <c r="L1282" s="6"/>
      <c r="M1282" s="6" t="s">
        <v>1643</v>
      </c>
      <c r="N1282" s="6" t="s">
        <v>1644</v>
      </c>
      <c r="O1282" s="7">
        <f>SUMIFS('05_상품별배치367'!$K$7:$K$373,'05_상품별배치367'!$E$7:$E$373,A1282,'05_상품별배치367'!$H$7:$H$373,"본진")</f>
        <v>0</v>
      </c>
      <c r="P1282" s="7">
        <f>SUMIFS('05_상품별배치367'!$K$7:$K$373,'05_상품별배치367'!$E$7:$E$373,A1282,'05_상품별배치367'!$H$7:$H$373,"추가 진열")</f>
        <v>0</v>
      </c>
      <c r="Q1282" s="7">
        <f>O1282+P1282</f>
        <v>0</v>
      </c>
      <c r="R1282" s="7">
        <v>1</v>
      </c>
      <c r="S1282" s="6" t="s">
        <v>3240</v>
      </c>
      <c r="T1282" s="6" t="s">
        <v>1637</v>
      </c>
      <c r="U1282" s="6"/>
      <c r="V1282" s="16"/>
      <c r="W1282" s="16"/>
      <c r="X1282" s="16"/>
      <c r="Y1282" s="6" t="s">
        <v>1627</v>
      </c>
      <c r="Z1282" s="15"/>
      <c r="AA1282" s="15" t="s">
        <v>1628</v>
      </c>
    </row>
    <row r="1283" spans="1:27" ht="33" customHeight="1">
      <c r="A1283" s="6" t="s">
        <v>6913</v>
      </c>
      <c r="B1283" s="7">
        <v>2367</v>
      </c>
      <c r="C1283" s="6" t="s">
        <v>6914</v>
      </c>
      <c r="D1283" s="6" t="s">
        <v>6915</v>
      </c>
      <c r="E1283" s="6" t="s">
        <v>2134</v>
      </c>
      <c r="F1283" s="6" t="s">
        <v>2933</v>
      </c>
      <c r="G1283" s="6" t="s">
        <v>1668</v>
      </c>
      <c r="H1283" s="6"/>
      <c r="I1283" s="14" t="s">
        <v>1807</v>
      </c>
      <c r="J1283" s="15"/>
      <c r="K1283" s="6" t="s">
        <v>1976</v>
      </c>
      <c r="L1283" s="6" t="s">
        <v>6125</v>
      </c>
      <c r="M1283" s="6" t="s">
        <v>1809</v>
      </c>
      <c r="N1283" s="6" t="s">
        <v>1624</v>
      </c>
      <c r="O1283" s="7">
        <f>SUMIFS('05_상품별배치367'!$K$7:$K$373,'05_상품별배치367'!$E$7:$E$373,A1283,'05_상품별배치367'!$H$7:$H$373,"본진")</f>
        <v>0</v>
      </c>
      <c r="P1283" s="7">
        <f>SUMIFS('05_상품별배치367'!$K$7:$K$373,'05_상품별배치367'!$E$7:$E$373,A1283,'05_상품별배치367'!$H$7:$H$373,"추가 진열")</f>
        <v>0</v>
      </c>
      <c r="Q1283" s="7">
        <f>O1283+P1283</f>
        <v>0</v>
      </c>
      <c r="R1283" s="7">
        <v>0</v>
      </c>
      <c r="S1283" s="6" t="s">
        <v>1810</v>
      </c>
      <c r="T1283" s="6" t="s">
        <v>1637</v>
      </c>
      <c r="U1283" s="6"/>
      <c r="V1283" s="16"/>
      <c r="W1283" s="16"/>
      <c r="X1283" s="16"/>
      <c r="Y1283" s="6" t="s">
        <v>1627</v>
      </c>
      <c r="Z1283" s="15"/>
      <c r="AA1283" s="15" t="s">
        <v>1628</v>
      </c>
    </row>
    <row r="1284" spans="1:27" ht="33" customHeight="1">
      <c r="A1284" s="8" t="s">
        <v>3364</v>
      </c>
      <c r="B1284" s="9">
        <v>712</v>
      </c>
      <c r="C1284" s="8" t="s">
        <v>3365</v>
      </c>
      <c r="D1284" s="8" t="s">
        <v>2133</v>
      </c>
      <c r="E1284" s="8" t="s">
        <v>2134</v>
      </c>
      <c r="F1284" s="8" t="s">
        <v>842</v>
      </c>
      <c r="G1284" s="8" t="s">
        <v>164</v>
      </c>
      <c r="H1284" s="8"/>
      <c r="I1284" s="14" t="s">
        <v>1642</v>
      </c>
      <c r="J1284" s="15"/>
      <c r="K1284" s="8" t="s">
        <v>1976</v>
      </c>
      <c r="L1284" s="8"/>
      <c r="M1284" s="6" t="s">
        <v>1643</v>
      </c>
      <c r="N1284" s="6" t="s">
        <v>1644</v>
      </c>
      <c r="O1284" s="7">
        <f>SUMIFS('05_상품별배치367'!$K$7:$K$373,'05_상품별배치367'!$E$7:$E$373,A1284,'05_상품별배치367'!$H$7:$H$373,"본진")</f>
        <v>0</v>
      </c>
      <c r="P1284" s="7">
        <f>SUMIFS('05_상품별배치367'!$K$7:$K$373,'05_상품별배치367'!$E$7:$E$373,A1284,'05_상품별배치367'!$H$7:$H$373,"추가 진열")</f>
        <v>0</v>
      </c>
      <c r="Q1284" s="7">
        <f>O1284+P1284</f>
        <v>0</v>
      </c>
      <c r="R1284" s="7">
        <v>1</v>
      </c>
      <c r="S1284" s="6" t="s">
        <v>3009</v>
      </c>
      <c r="T1284" s="6" t="s">
        <v>1637</v>
      </c>
      <c r="U1284" s="6"/>
      <c r="V1284" s="16"/>
      <c r="W1284" s="16"/>
      <c r="X1284" s="16"/>
      <c r="Y1284" s="6" t="s">
        <v>1627</v>
      </c>
      <c r="Z1284" s="15"/>
      <c r="AA1284" s="15" t="s">
        <v>1628</v>
      </c>
    </row>
    <row r="1285" spans="1:27" ht="33" customHeight="1">
      <c r="A1285" s="6" t="s">
        <v>3366</v>
      </c>
      <c r="B1285" s="7">
        <v>713</v>
      </c>
      <c r="C1285" s="6" t="s">
        <v>3367</v>
      </c>
      <c r="D1285" s="6" t="s">
        <v>2133</v>
      </c>
      <c r="E1285" s="6" t="s">
        <v>2134</v>
      </c>
      <c r="F1285" s="6" t="s">
        <v>2933</v>
      </c>
      <c r="G1285" s="6" t="s">
        <v>1668</v>
      </c>
      <c r="H1285" s="6"/>
      <c r="I1285" s="14" t="s">
        <v>1807</v>
      </c>
      <c r="J1285" s="15"/>
      <c r="K1285" s="6" t="s">
        <v>1976</v>
      </c>
      <c r="L1285" s="6" t="s">
        <v>2032</v>
      </c>
      <c r="M1285" s="6" t="s">
        <v>1809</v>
      </c>
      <c r="N1285" s="6" t="s">
        <v>1644</v>
      </c>
      <c r="O1285" s="7">
        <f>SUMIFS('05_상품별배치367'!$K$7:$K$373,'05_상품별배치367'!$E$7:$E$373,A1285,'05_상품별배치367'!$H$7:$H$373,"본진")</f>
        <v>0</v>
      </c>
      <c r="P1285" s="7">
        <f>SUMIFS('05_상품별배치367'!$K$7:$K$373,'05_상품별배치367'!$E$7:$E$373,A1285,'05_상품별배치367'!$H$7:$H$373,"추가 진열")</f>
        <v>0</v>
      </c>
      <c r="Q1285" s="7">
        <f>O1285+P1285</f>
        <v>0</v>
      </c>
      <c r="R1285" s="7">
        <v>0</v>
      </c>
      <c r="S1285" s="6" t="s">
        <v>1810</v>
      </c>
      <c r="T1285" s="6" t="s">
        <v>1637</v>
      </c>
      <c r="U1285" s="6"/>
      <c r="V1285" s="16"/>
      <c r="W1285" s="16"/>
      <c r="X1285" s="16"/>
      <c r="Y1285" s="6" t="s">
        <v>1627</v>
      </c>
      <c r="Z1285" s="15"/>
      <c r="AA1285" s="15" t="s">
        <v>1628</v>
      </c>
    </row>
    <row r="1286" spans="1:27" ht="33" customHeight="1">
      <c r="A1286" s="8" t="s">
        <v>3368</v>
      </c>
      <c r="B1286" s="9">
        <v>714</v>
      </c>
      <c r="C1286" s="8" t="s">
        <v>3369</v>
      </c>
      <c r="D1286" s="8" t="s">
        <v>2714</v>
      </c>
      <c r="E1286" s="8" t="s">
        <v>2134</v>
      </c>
      <c r="F1286" s="8" t="s">
        <v>2933</v>
      </c>
      <c r="G1286" s="8" t="s">
        <v>1668</v>
      </c>
      <c r="H1286" s="8"/>
      <c r="I1286" s="14" t="s">
        <v>1807</v>
      </c>
      <c r="J1286" s="15"/>
      <c r="K1286" s="8" t="s">
        <v>1976</v>
      </c>
      <c r="L1286" s="8" t="s">
        <v>2032</v>
      </c>
      <c r="M1286" s="6" t="s">
        <v>1809</v>
      </c>
      <c r="N1286" s="6" t="s">
        <v>1644</v>
      </c>
      <c r="O1286" s="7">
        <f>SUMIFS('05_상품별배치367'!$K$7:$K$373,'05_상품별배치367'!$E$7:$E$373,A1286,'05_상품별배치367'!$H$7:$H$373,"본진")</f>
        <v>0</v>
      </c>
      <c r="P1286" s="7">
        <f>SUMIFS('05_상품별배치367'!$K$7:$K$373,'05_상품별배치367'!$E$7:$E$373,A1286,'05_상품별배치367'!$H$7:$H$373,"추가 진열")</f>
        <v>0</v>
      </c>
      <c r="Q1286" s="7">
        <f>O1286+P1286</f>
        <v>0</v>
      </c>
      <c r="R1286" s="7">
        <v>0</v>
      </c>
      <c r="S1286" s="6" t="s">
        <v>1810</v>
      </c>
      <c r="T1286" s="6" t="s">
        <v>1637</v>
      </c>
      <c r="U1286" s="6"/>
      <c r="V1286" s="16"/>
      <c r="W1286" s="16"/>
      <c r="X1286" s="16"/>
      <c r="Y1286" s="6" t="s">
        <v>1627</v>
      </c>
      <c r="Z1286" s="15"/>
      <c r="AA1286" s="15" t="s">
        <v>1628</v>
      </c>
    </row>
    <row r="1287" spans="1:27" ht="33" customHeight="1">
      <c r="A1287" s="8" t="s">
        <v>3360</v>
      </c>
      <c r="B1287" s="9">
        <v>710</v>
      </c>
      <c r="C1287" s="8" t="s">
        <v>3361</v>
      </c>
      <c r="D1287" s="8" t="s">
        <v>2133</v>
      </c>
      <c r="E1287" s="8" t="s">
        <v>2134</v>
      </c>
      <c r="F1287" s="8" t="s">
        <v>2933</v>
      </c>
      <c r="G1287" s="8" t="s">
        <v>1668</v>
      </c>
      <c r="H1287" s="8"/>
      <c r="I1287" s="14" t="s">
        <v>1807</v>
      </c>
      <c r="J1287" s="15"/>
      <c r="K1287" s="8" t="s">
        <v>1976</v>
      </c>
      <c r="L1287" s="8" t="s">
        <v>2032</v>
      </c>
      <c r="M1287" s="6" t="s">
        <v>1809</v>
      </c>
      <c r="N1287" s="6" t="s">
        <v>1644</v>
      </c>
      <c r="O1287" s="7">
        <f>SUMIFS('05_상품별배치367'!$K$7:$K$373,'05_상품별배치367'!$E$7:$E$373,A1287,'05_상품별배치367'!$H$7:$H$373,"본진")</f>
        <v>0</v>
      </c>
      <c r="P1287" s="7">
        <f>SUMIFS('05_상품별배치367'!$K$7:$K$373,'05_상품별배치367'!$E$7:$E$373,A1287,'05_상품별배치367'!$H$7:$H$373,"추가 진열")</f>
        <v>0</v>
      </c>
      <c r="Q1287" s="7">
        <f>O1287+P1287</f>
        <v>0</v>
      </c>
      <c r="R1287" s="7">
        <v>0</v>
      </c>
      <c r="S1287" s="6" t="s">
        <v>1810</v>
      </c>
      <c r="T1287" s="6" t="s">
        <v>1637</v>
      </c>
      <c r="U1287" s="6"/>
      <c r="V1287" s="16"/>
      <c r="W1287" s="16"/>
      <c r="X1287" s="16"/>
      <c r="Y1287" s="6" t="s">
        <v>1627</v>
      </c>
      <c r="Z1287" s="15"/>
      <c r="AA1287" s="15" t="s">
        <v>1628</v>
      </c>
    </row>
    <row r="1288" spans="1:27" ht="33" customHeight="1">
      <c r="A1288" s="6" t="s">
        <v>3362</v>
      </c>
      <c r="B1288" s="7">
        <v>711</v>
      </c>
      <c r="C1288" s="6" t="s">
        <v>3363</v>
      </c>
      <c r="D1288" s="6" t="s">
        <v>2133</v>
      </c>
      <c r="E1288" s="6" t="s">
        <v>2134</v>
      </c>
      <c r="F1288" s="6" t="s">
        <v>2933</v>
      </c>
      <c r="G1288" s="6" t="s">
        <v>1668</v>
      </c>
      <c r="H1288" s="6"/>
      <c r="I1288" s="14" t="s">
        <v>1807</v>
      </c>
      <c r="J1288" s="15"/>
      <c r="K1288" s="6" t="s">
        <v>1976</v>
      </c>
      <c r="L1288" s="6" t="s">
        <v>2032</v>
      </c>
      <c r="M1288" s="6" t="s">
        <v>1809</v>
      </c>
      <c r="N1288" s="6" t="s">
        <v>1644</v>
      </c>
      <c r="O1288" s="7">
        <f>SUMIFS('05_상품별배치367'!$K$7:$K$373,'05_상품별배치367'!$E$7:$E$373,A1288,'05_상품별배치367'!$H$7:$H$373,"본진")</f>
        <v>0</v>
      </c>
      <c r="P1288" s="7">
        <f>SUMIFS('05_상품별배치367'!$K$7:$K$373,'05_상품별배치367'!$E$7:$E$373,A1288,'05_상품별배치367'!$H$7:$H$373,"추가 진열")</f>
        <v>0</v>
      </c>
      <c r="Q1288" s="7">
        <f>O1288+P1288</f>
        <v>0</v>
      </c>
      <c r="R1288" s="7">
        <v>0</v>
      </c>
      <c r="S1288" s="6" t="s">
        <v>1810</v>
      </c>
      <c r="T1288" s="6" t="s">
        <v>1637</v>
      </c>
      <c r="U1288" s="6"/>
      <c r="V1288" s="16"/>
      <c r="W1288" s="16"/>
      <c r="X1288" s="16"/>
      <c r="Y1288" s="6" t="s">
        <v>1627</v>
      </c>
      <c r="Z1288" s="15"/>
      <c r="AA1288" s="15" t="s">
        <v>1628</v>
      </c>
    </row>
    <row r="1289" spans="1:27" ht="33" customHeight="1">
      <c r="A1289" s="6" t="s">
        <v>7191</v>
      </c>
      <c r="B1289" s="7">
        <v>2499</v>
      </c>
      <c r="C1289" s="6" t="s">
        <v>7192</v>
      </c>
      <c r="D1289" s="6" t="s">
        <v>7193</v>
      </c>
      <c r="E1289" s="6" t="s">
        <v>2134</v>
      </c>
      <c r="F1289" s="6" t="s">
        <v>1081</v>
      </c>
      <c r="G1289" s="6" t="s">
        <v>290</v>
      </c>
      <c r="H1289" s="6"/>
      <c r="I1289" s="14" t="s">
        <v>1642</v>
      </c>
      <c r="J1289" s="15"/>
      <c r="K1289" s="6" t="s">
        <v>1976</v>
      </c>
      <c r="L1289" s="6" t="s">
        <v>3828</v>
      </c>
      <c r="M1289" s="6" t="s">
        <v>1643</v>
      </c>
      <c r="N1289" s="6" t="s">
        <v>1624</v>
      </c>
      <c r="O1289" s="7">
        <f>SUMIFS('05_상품별배치367'!$K$7:$K$373,'05_상품별배치367'!$E$7:$E$373,A1289,'05_상품별배치367'!$H$7:$H$373,"본진")</f>
        <v>0</v>
      </c>
      <c r="P1289" s="7">
        <f>SUMIFS('05_상품별배치367'!$K$7:$K$373,'05_상품별배치367'!$E$7:$E$373,A1289,'05_상품별배치367'!$H$7:$H$373,"추가 진열")</f>
        <v>0</v>
      </c>
      <c r="Q1289" s="7">
        <f>O1289+P1289</f>
        <v>0</v>
      </c>
      <c r="R1289" s="7">
        <v>1</v>
      </c>
      <c r="S1289" s="6" t="s">
        <v>2135</v>
      </c>
      <c r="T1289" s="6" t="s">
        <v>1637</v>
      </c>
      <c r="U1289" s="6"/>
      <c r="V1289" s="16"/>
      <c r="W1289" s="16"/>
      <c r="X1289" s="16"/>
      <c r="Y1289" s="6" t="s">
        <v>1627</v>
      </c>
      <c r="Z1289" s="15"/>
      <c r="AA1289" s="15" t="s">
        <v>1628</v>
      </c>
    </row>
    <row r="1290" spans="1:27" ht="33" customHeight="1">
      <c r="A1290" s="6" t="s">
        <v>6921</v>
      </c>
      <c r="B1290" s="7">
        <v>2371</v>
      </c>
      <c r="C1290" s="6" t="s">
        <v>6922</v>
      </c>
      <c r="D1290" s="6" t="s">
        <v>6915</v>
      </c>
      <c r="E1290" s="6" t="s">
        <v>2134</v>
      </c>
      <c r="F1290" s="6" t="s">
        <v>2933</v>
      </c>
      <c r="G1290" s="6" t="s">
        <v>1668</v>
      </c>
      <c r="H1290" s="6"/>
      <c r="I1290" s="14" t="s">
        <v>1807</v>
      </c>
      <c r="J1290" s="15"/>
      <c r="K1290" s="6" t="s">
        <v>1976</v>
      </c>
      <c r="L1290" s="6" t="s">
        <v>6125</v>
      </c>
      <c r="M1290" s="6" t="s">
        <v>1809</v>
      </c>
      <c r="N1290" s="6" t="s">
        <v>1624</v>
      </c>
      <c r="O1290" s="7">
        <f>SUMIFS('05_상품별배치367'!$K$7:$K$373,'05_상품별배치367'!$E$7:$E$373,A1290,'05_상품별배치367'!$H$7:$H$373,"본진")</f>
        <v>0</v>
      </c>
      <c r="P1290" s="7">
        <f>SUMIFS('05_상품별배치367'!$K$7:$K$373,'05_상품별배치367'!$E$7:$E$373,A1290,'05_상품별배치367'!$H$7:$H$373,"추가 진열")</f>
        <v>0</v>
      </c>
      <c r="Q1290" s="7">
        <f>O1290+P1290</f>
        <v>0</v>
      </c>
      <c r="R1290" s="7">
        <v>0</v>
      </c>
      <c r="S1290" s="6" t="s">
        <v>1810</v>
      </c>
      <c r="T1290" s="6" t="s">
        <v>1637</v>
      </c>
      <c r="U1290" s="6"/>
      <c r="V1290" s="16"/>
      <c r="W1290" s="16"/>
      <c r="X1290" s="16"/>
      <c r="Y1290" s="6" t="s">
        <v>1627</v>
      </c>
      <c r="Z1290" s="15"/>
      <c r="AA1290" s="15" t="s">
        <v>1628</v>
      </c>
    </row>
    <row r="1291" spans="1:27" ht="33" customHeight="1">
      <c r="A1291" s="6" t="s">
        <v>4538</v>
      </c>
      <c r="B1291" s="7">
        <v>1257</v>
      </c>
      <c r="C1291" s="6" t="s">
        <v>4539</v>
      </c>
      <c r="D1291" s="6" t="s">
        <v>3150</v>
      </c>
      <c r="E1291" s="6" t="s">
        <v>1986</v>
      </c>
      <c r="F1291" s="6" t="s">
        <v>1276</v>
      </c>
      <c r="G1291" s="6" t="s">
        <v>1987</v>
      </c>
      <c r="H1291" s="6"/>
      <c r="I1291" s="14" t="s">
        <v>1642</v>
      </c>
      <c r="J1291" s="15"/>
      <c r="K1291" s="6" t="s">
        <v>1976</v>
      </c>
      <c r="L1291" s="6"/>
      <c r="M1291" s="6" t="s">
        <v>1643</v>
      </c>
      <c r="N1291" s="6" t="s">
        <v>1644</v>
      </c>
      <c r="O1291" s="7">
        <f>SUMIFS('05_상품별배치367'!$K$7:$K$373,'05_상품별배치367'!$E$7:$E$373,A1291,'05_상품별배치367'!$H$7:$H$373,"본진")</f>
        <v>0</v>
      </c>
      <c r="P1291" s="7">
        <f>SUMIFS('05_상품별배치367'!$K$7:$K$373,'05_상품별배치367'!$E$7:$E$373,A1291,'05_상품별배치367'!$H$7:$H$373,"추가 진열")</f>
        <v>0</v>
      </c>
      <c r="Q1291" s="7">
        <f>O1291+P1291</f>
        <v>0</v>
      </c>
      <c r="R1291" s="7">
        <v>1</v>
      </c>
      <c r="S1291" s="6" t="s">
        <v>1988</v>
      </c>
      <c r="T1291" s="6" t="s">
        <v>1637</v>
      </c>
      <c r="U1291" s="6"/>
      <c r="V1291" s="16"/>
      <c r="W1291" s="16"/>
      <c r="X1291" s="16"/>
      <c r="Y1291" s="6" t="s">
        <v>1627</v>
      </c>
      <c r="Z1291" s="15"/>
      <c r="AA1291" s="15" t="s">
        <v>1628</v>
      </c>
    </row>
    <row r="1292" spans="1:27" ht="33" customHeight="1">
      <c r="A1292" s="6" t="s">
        <v>4534</v>
      </c>
      <c r="B1292" s="7">
        <v>1255</v>
      </c>
      <c r="C1292" s="6" t="s">
        <v>4535</v>
      </c>
      <c r="D1292" s="6" t="s">
        <v>2078</v>
      </c>
      <c r="E1292" s="6" t="s">
        <v>2134</v>
      </c>
      <c r="F1292" s="6" t="s">
        <v>2933</v>
      </c>
      <c r="G1292" s="6" t="s">
        <v>1668</v>
      </c>
      <c r="H1292" s="6"/>
      <c r="I1292" s="14" t="s">
        <v>1807</v>
      </c>
      <c r="J1292" s="15"/>
      <c r="K1292" s="6" t="s">
        <v>1976</v>
      </c>
      <c r="L1292" s="6" t="s">
        <v>4525</v>
      </c>
      <c r="M1292" s="6" t="s">
        <v>1809</v>
      </c>
      <c r="N1292" s="6" t="s">
        <v>1644</v>
      </c>
      <c r="O1292" s="7">
        <f>SUMIFS('05_상품별배치367'!$K$7:$K$373,'05_상품별배치367'!$E$7:$E$373,A1292,'05_상품별배치367'!$H$7:$H$373,"본진")</f>
        <v>0</v>
      </c>
      <c r="P1292" s="7">
        <f>SUMIFS('05_상품별배치367'!$K$7:$K$373,'05_상품별배치367'!$E$7:$E$373,A1292,'05_상품별배치367'!$H$7:$H$373,"추가 진열")</f>
        <v>0</v>
      </c>
      <c r="Q1292" s="7">
        <f>O1292+P1292</f>
        <v>0</v>
      </c>
      <c r="R1292" s="7">
        <v>0</v>
      </c>
      <c r="S1292" s="6" t="s">
        <v>1810</v>
      </c>
      <c r="T1292" s="6" t="s">
        <v>1637</v>
      </c>
      <c r="U1292" s="6"/>
      <c r="V1292" s="16"/>
      <c r="W1292" s="16"/>
      <c r="X1292" s="16"/>
      <c r="Y1292" s="6" t="s">
        <v>1655</v>
      </c>
      <c r="Z1292" s="15"/>
      <c r="AA1292" s="15" t="s">
        <v>1628</v>
      </c>
    </row>
    <row r="1293" spans="1:27" ht="33" customHeight="1">
      <c r="A1293" s="8" t="s">
        <v>4536</v>
      </c>
      <c r="B1293" s="9">
        <v>1256</v>
      </c>
      <c r="C1293" s="8" t="s">
        <v>4537</v>
      </c>
      <c r="D1293" s="8" t="s">
        <v>3008</v>
      </c>
      <c r="E1293" s="8" t="s">
        <v>2746</v>
      </c>
      <c r="F1293" s="8" t="s">
        <v>3635</v>
      </c>
      <c r="G1293" s="8" t="s">
        <v>1668</v>
      </c>
      <c r="H1293" s="8"/>
      <c r="I1293" s="14" t="s">
        <v>1669</v>
      </c>
      <c r="J1293" s="15"/>
      <c r="K1293" s="8" t="s">
        <v>2748</v>
      </c>
      <c r="L1293" s="8"/>
      <c r="M1293" s="6" t="s">
        <v>1671</v>
      </c>
      <c r="N1293" s="6" t="s">
        <v>1644</v>
      </c>
      <c r="O1293" s="7">
        <f>SUMIFS('05_상품별배치367'!$K$7:$K$373,'05_상품별배치367'!$E$7:$E$373,A1293,'05_상품별배치367'!$H$7:$H$373,"본진")</f>
        <v>0</v>
      </c>
      <c r="P1293" s="7">
        <f>SUMIFS('05_상품별배치367'!$K$7:$K$373,'05_상품별배치367'!$E$7:$E$373,A1293,'05_상품별배치367'!$H$7:$H$373,"추가 진열")</f>
        <v>0</v>
      </c>
      <c r="Q1293" s="7">
        <f>O1293+P1293</f>
        <v>0</v>
      </c>
      <c r="R1293" s="7">
        <v>0</v>
      </c>
      <c r="S1293" s="6" t="s">
        <v>1672</v>
      </c>
      <c r="T1293" s="6" t="s">
        <v>1637</v>
      </c>
      <c r="U1293" s="6"/>
      <c r="V1293" s="16"/>
      <c r="W1293" s="16"/>
      <c r="X1293" s="16"/>
      <c r="Y1293" s="6" t="s">
        <v>1627</v>
      </c>
      <c r="Z1293" s="15"/>
      <c r="AA1293" s="15" t="s">
        <v>1628</v>
      </c>
    </row>
    <row r="1294" spans="1:27" ht="33" customHeight="1">
      <c r="A1294" s="6" t="s">
        <v>5325</v>
      </c>
      <c r="B1294" s="7">
        <v>1633</v>
      </c>
      <c r="C1294" s="6" t="s">
        <v>5326</v>
      </c>
      <c r="D1294" s="6" t="s">
        <v>2913</v>
      </c>
      <c r="E1294" s="6" t="s">
        <v>2134</v>
      </c>
      <c r="F1294" s="6" t="s">
        <v>2933</v>
      </c>
      <c r="G1294" s="6" t="s">
        <v>1668</v>
      </c>
      <c r="H1294" s="6"/>
      <c r="I1294" s="14" t="s">
        <v>1807</v>
      </c>
      <c r="J1294" s="15"/>
      <c r="K1294" s="6" t="s">
        <v>1976</v>
      </c>
      <c r="L1294" s="6" t="s">
        <v>2032</v>
      </c>
      <c r="M1294" s="6" t="s">
        <v>1809</v>
      </c>
      <c r="N1294" s="6" t="s">
        <v>1644</v>
      </c>
      <c r="O1294" s="7">
        <f>SUMIFS('05_상품별배치367'!$K$7:$K$373,'05_상품별배치367'!$E$7:$E$373,A1294,'05_상품별배치367'!$H$7:$H$373,"본진")</f>
        <v>0</v>
      </c>
      <c r="P1294" s="7">
        <f>SUMIFS('05_상품별배치367'!$K$7:$K$373,'05_상품별배치367'!$E$7:$E$373,A1294,'05_상품별배치367'!$H$7:$H$373,"추가 진열")</f>
        <v>0</v>
      </c>
      <c r="Q1294" s="7">
        <f>O1294+P1294</f>
        <v>0</v>
      </c>
      <c r="R1294" s="7">
        <v>0</v>
      </c>
      <c r="S1294" s="6" t="s">
        <v>1810</v>
      </c>
      <c r="T1294" s="6" t="s">
        <v>1637</v>
      </c>
      <c r="U1294" s="6"/>
      <c r="V1294" s="16"/>
      <c r="W1294" s="16"/>
      <c r="X1294" s="16"/>
      <c r="Y1294" s="6" t="s">
        <v>1627</v>
      </c>
      <c r="Z1294" s="15"/>
      <c r="AA1294" s="15" t="s">
        <v>1628</v>
      </c>
    </row>
    <row r="1295" spans="1:27" ht="33" customHeight="1">
      <c r="A1295" s="8" t="s">
        <v>6938</v>
      </c>
      <c r="B1295" s="9">
        <v>2378</v>
      </c>
      <c r="C1295" s="8" t="s">
        <v>6939</v>
      </c>
      <c r="D1295" s="8" t="s">
        <v>1724</v>
      </c>
      <c r="E1295" s="8" t="s">
        <v>1632</v>
      </c>
      <c r="F1295" s="8" t="s">
        <v>1020</v>
      </c>
      <c r="G1295" s="8" t="s">
        <v>254</v>
      </c>
      <c r="H1295" s="8" t="s">
        <v>1019</v>
      </c>
      <c r="I1295" s="14" t="s">
        <v>1633</v>
      </c>
      <c r="J1295" s="15"/>
      <c r="K1295" s="8" t="s">
        <v>1634</v>
      </c>
      <c r="L1295" s="8" t="s">
        <v>3828</v>
      </c>
      <c r="M1295" s="6" t="s">
        <v>1635</v>
      </c>
      <c r="N1295" s="6" t="s">
        <v>1624</v>
      </c>
      <c r="O1295" s="7">
        <f>SUMIFS('05_상품별배치367'!$K$7:$K$373,'05_상품별배치367'!$E$7:$E$373,A1295,'05_상품별배치367'!$H$7:$H$373,"본진")</f>
        <v>1</v>
      </c>
      <c r="P1295" s="7">
        <f>SUMIFS('05_상품별배치367'!$K$7:$K$373,'05_상품별배치367'!$E$7:$E$373,A1295,'05_상품별배치367'!$H$7:$H$373,"추가 진열")</f>
        <v>0</v>
      </c>
      <c r="Q1295" s="7">
        <f>O1295+P1295</f>
        <v>1</v>
      </c>
      <c r="R1295" s="7">
        <v>1</v>
      </c>
      <c r="S1295" s="6" t="s">
        <v>1636</v>
      </c>
      <c r="T1295" s="6" t="s">
        <v>1637</v>
      </c>
      <c r="U1295" s="6"/>
      <c r="V1295" s="16"/>
      <c r="W1295" s="16"/>
      <c r="X1295" s="16"/>
      <c r="Y1295" s="6" t="s">
        <v>1627</v>
      </c>
      <c r="Z1295" s="15"/>
      <c r="AA1295" s="15" t="s">
        <v>1628</v>
      </c>
    </row>
    <row r="1296" spans="1:27" ht="33" customHeight="1">
      <c r="A1296" s="8" t="s">
        <v>5349</v>
      </c>
      <c r="B1296" s="9">
        <v>1644</v>
      </c>
      <c r="C1296" s="8" t="s">
        <v>5350</v>
      </c>
      <c r="D1296" s="8" t="s">
        <v>2133</v>
      </c>
      <c r="E1296" s="8" t="s">
        <v>2134</v>
      </c>
      <c r="F1296" s="8" t="s">
        <v>163</v>
      </c>
      <c r="G1296" s="8" t="s">
        <v>414</v>
      </c>
      <c r="H1296" s="8"/>
      <c r="I1296" s="14" t="s">
        <v>1642</v>
      </c>
      <c r="J1296" s="15"/>
      <c r="K1296" s="8" t="s">
        <v>1976</v>
      </c>
      <c r="L1296" s="8"/>
      <c r="M1296" s="6" t="s">
        <v>1643</v>
      </c>
      <c r="N1296" s="6" t="s">
        <v>1644</v>
      </c>
      <c r="O1296" s="7">
        <f>SUMIFS('05_상품별배치367'!$K$7:$K$373,'05_상품별배치367'!$E$7:$E$373,A1296,'05_상품별배치367'!$H$7:$H$373,"본진")</f>
        <v>0</v>
      </c>
      <c r="P1296" s="7">
        <f>SUMIFS('05_상품별배치367'!$K$7:$K$373,'05_상품별배치367'!$E$7:$E$373,A1296,'05_상품별배치367'!$H$7:$H$373,"추가 진열")</f>
        <v>0</v>
      </c>
      <c r="Q1296" s="7">
        <f>O1296+P1296</f>
        <v>0</v>
      </c>
      <c r="R1296" s="7">
        <v>1</v>
      </c>
      <c r="S1296" s="6" t="s">
        <v>3048</v>
      </c>
      <c r="T1296" s="6" t="s">
        <v>1637</v>
      </c>
      <c r="U1296" s="6"/>
      <c r="V1296" s="16"/>
      <c r="W1296" s="16"/>
      <c r="X1296" s="16"/>
      <c r="Y1296" s="6" t="s">
        <v>1627</v>
      </c>
      <c r="Z1296" s="15"/>
      <c r="AA1296" s="15" t="s">
        <v>1628</v>
      </c>
    </row>
    <row r="1297" spans="1:27" ht="33" customHeight="1">
      <c r="A1297" s="6" t="s">
        <v>5347</v>
      </c>
      <c r="B1297" s="7">
        <v>1643</v>
      </c>
      <c r="C1297" s="6" t="s">
        <v>5348</v>
      </c>
      <c r="D1297" s="6" t="s">
        <v>3055</v>
      </c>
      <c r="E1297" s="6" t="s">
        <v>2134</v>
      </c>
      <c r="F1297" s="6" t="s">
        <v>2933</v>
      </c>
      <c r="G1297" s="6" t="s">
        <v>1668</v>
      </c>
      <c r="H1297" s="6"/>
      <c r="I1297" s="14" t="s">
        <v>1807</v>
      </c>
      <c r="J1297" s="15"/>
      <c r="K1297" s="6" t="s">
        <v>1976</v>
      </c>
      <c r="L1297" s="6" t="s">
        <v>2032</v>
      </c>
      <c r="M1297" s="6" t="s">
        <v>1809</v>
      </c>
      <c r="N1297" s="6" t="s">
        <v>1644</v>
      </c>
      <c r="O1297" s="7">
        <f>SUMIFS('05_상품별배치367'!$K$7:$K$373,'05_상품별배치367'!$E$7:$E$373,A1297,'05_상품별배치367'!$H$7:$H$373,"본진")</f>
        <v>0</v>
      </c>
      <c r="P1297" s="7">
        <f>SUMIFS('05_상품별배치367'!$K$7:$K$373,'05_상품별배치367'!$E$7:$E$373,A1297,'05_상품별배치367'!$H$7:$H$373,"추가 진열")</f>
        <v>0</v>
      </c>
      <c r="Q1297" s="7">
        <f>O1297+P1297</f>
        <v>0</v>
      </c>
      <c r="R1297" s="7">
        <v>0</v>
      </c>
      <c r="S1297" s="6" t="s">
        <v>1810</v>
      </c>
      <c r="T1297" s="6" t="s">
        <v>1637</v>
      </c>
      <c r="U1297" s="6"/>
      <c r="V1297" s="16"/>
      <c r="W1297" s="16"/>
      <c r="X1297" s="16"/>
      <c r="Y1297" s="6" t="s">
        <v>1627</v>
      </c>
      <c r="Z1297" s="15"/>
      <c r="AA1297" s="15" t="s">
        <v>1628</v>
      </c>
    </row>
    <row r="1298" spans="1:27" ht="33" customHeight="1">
      <c r="A1298" s="6" t="s">
        <v>5351</v>
      </c>
      <c r="B1298" s="7">
        <v>1645</v>
      </c>
      <c r="C1298" s="6" t="s">
        <v>5352</v>
      </c>
      <c r="D1298" s="6" t="s">
        <v>2856</v>
      </c>
      <c r="E1298" s="6" t="s">
        <v>2134</v>
      </c>
      <c r="F1298" s="6" t="s">
        <v>163</v>
      </c>
      <c r="G1298" s="6" t="s">
        <v>414</v>
      </c>
      <c r="H1298" s="6"/>
      <c r="I1298" s="14" t="s">
        <v>1642</v>
      </c>
      <c r="J1298" s="15"/>
      <c r="K1298" s="6" t="s">
        <v>1976</v>
      </c>
      <c r="L1298" s="6"/>
      <c r="M1298" s="6" t="s">
        <v>1643</v>
      </c>
      <c r="N1298" s="6" t="s">
        <v>1644</v>
      </c>
      <c r="O1298" s="7">
        <f>SUMIFS('05_상품별배치367'!$K$7:$K$373,'05_상품별배치367'!$E$7:$E$373,A1298,'05_상품별배치367'!$H$7:$H$373,"본진")</f>
        <v>0</v>
      </c>
      <c r="P1298" s="7">
        <f>SUMIFS('05_상품별배치367'!$K$7:$K$373,'05_상품별배치367'!$E$7:$E$373,A1298,'05_상품별배치367'!$H$7:$H$373,"추가 진열")</f>
        <v>0</v>
      </c>
      <c r="Q1298" s="7">
        <f>O1298+P1298</f>
        <v>0</v>
      </c>
      <c r="R1298" s="7">
        <v>1</v>
      </c>
      <c r="S1298" s="6" t="s">
        <v>3048</v>
      </c>
      <c r="T1298" s="6" t="s">
        <v>1637</v>
      </c>
      <c r="U1298" s="6"/>
      <c r="V1298" s="16"/>
      <c r="W1298" s="16"/>
      <c r="X1298" s="16"/>
      <c r="Y1298" s="6" t="s">
        <v>1627</v>
      </c>
      <c r="Z1298" s="15"/>
      <c r="AA1298" s="15" t="s">
        <v>1628</v>
      </c>
    </row>
    <row r="1299" spans="1:27" ht="33" customHeight="1">
      <c r="A1299" s="6" t="s">
        <v>5355</v>
      </c>
      <c r="B1299" s="7">
        <v>1647</v>
      </c>
      <c r="C1299" s="6" t="s">
        <v>5356</v>
      </c>
      <c r="D1299" s="6" t="s">
        <v>5357</v>
      </c>
      <c r="E1299" s="6" t="s">
        <v>1986</v>
      </c>
      <c r="F1299" s="6" t="s">
        <v>3378</v>
      </c>
      <c r="G1299" s="6" t="s">
        <v>38</v>
      </c>
      <c r="H1299" s="6"/>
      <c r="I1299" s="14" t="s">
        <v>1642</v>
      </c>
      <c r="J1299" s="15"/>
      <c r="K1299" s="6" t="s">
        <v>1976</v>
      </c>
      <c r="L1299" s="6"/>
      <c r="M1299" s="6" t="s">
        <v>1643</v>
      </c>
      <c r="N1299" s="6" t="s">
        <v>1644</v>
      </c>
      <c r="O1299" s="7">
        <f>SUMIFS('05_상품별배치367'!$K$7:$K$373,'05_상품별배치367'!$E$7:$E$373,A1299,'05_상품별배치367'!$H$7:$H$373,"본진")</f>
        <v>0</v>
      </c>
      <c r="P1299" s="7">
        <f>SUMIFS('05_상품별배치367'!$K$7:$K$373,'05_상품별배치367'!$E$7:$E$373,A1299,'05_상품별배치367'!$H$7:$H$373,"추가 진열")</f>
        <v>0</v>
      </c>
      <c r="Q1299" s="7">
        <f>O1299+P1299</f>
        <v>0</v>
      </c>
      <c r="R1299" s="7">
        <v>1</v>
      </c>
      <c r="S1299" s="6" t="s">
        <v>3379</v>
      </c>
      <c r="T1299" s="6" t="s">
        <v>1637</v>
      </c>
      <c r="U1299" s="6"/>
      <c r="V1299" s="16"/>
      <c r="W1299" s="16"/>
      <c r="X1299" s="16"/>
      <c r="Y1299" s="6" t="s">
        <v>1627</v>
      </c>
      <c r="Z1299" s="15"/>
      <c r="AA1299" s="15" t="s">
        <v>1628</v>
      </c>
    </row>
    <row r="1300" spans="1:27" ht="33" customHeight="1">
      <c r="A1300" s="8" t="s">
        <v>5353</v>
      </c>
      <c r="B1300" s="9">
        <v>1646</v>
      </c>
      <c r="C1300" s="8" t="s">
        <v>5354</v>
      </c>
      <c r="D1300" s="8" t="s">
        <v>2588</v>
      </c>
      <c r="E1300" s="8" t="s">
        <v>1986</v>
      </c>
      <c r="F1300" s="8" t="s">
        <v>913</v>
      </c>
      <c r="G1300" s="8" t="s">
        <v>201</v>
      </c>
      <c r="H1300" s="8"/>
      <c r="I1300" s="14" t="s">
        <v>1642</v>
      </c>
      <c r="J1300" s="15"/>
      <c r="K1300" s="8" t="s">
        <v>1976</v>
      </c>
      <c r="L1300" s="8"/>
      <c r="M1300" s="6" t="s">
        <v>1643</v>
      </c>
      <c r="N1300" s="6" t="s">
        <v>1644</v>
      </c>
      <c r="O1300" s="7">
        <f>SUMIFS('05_상품별배치367'!$K$7:$K$373,'05_상품별배치367'!$E$7:$E$373,A1300,'05_상품별배치367'!$H$7:$H$373,"본진")</f>
        <v>0</v>
      </c>
      <c r="P1300" s="7">
        <f>SUMIFS('05_상품별배치367'!$K$7:$K$373,'05_상품별배치367'!$E$7:$E$373,A1300,'05_상품별배치367'!$H$7:$H$373,"추가 진열")</f>
        <v>0</v>
      </c>
      <c r="Q1300" s="7">
        <f>O1300+P1300</f>
        <v>0</v>
      </c>
      <c r="R1300" s="7">
        <v>1</v>
      </c>
      <c r="S1300" s="6" t="s">
        <v>2907</v>
      </c>
      <c r="T1300" s="6" t="s">
        <v>1637</v>
      </c>
      <c r="U1300" s="6"/>
      <c r="V1300" s="16"/>
      <c r="W1300" s="16"/>
      <c r="X1300" s="16"/>
      <c r="Y1300" s="6" t="s">
        <v>1627</v>
      </c>
      <c r="Z1300" s="15"/>
      <c r="AA1300" s="15" t="s">
        <v>1628</v>
      </c>
    </row>
    <row r="1301" spans="1:27" ht="33" customHeight="1">
      <c r="A1301" s="8" t="s">
        <v>2136</v>
      </c>
      <c r="B1301" s="9">
        <v>182</v>
      </c>
      <c r="C1301" s="8" t="s">
        <v>2137</v>
      </c>
      <c r="D1301" s="8" t="s">
        <v>2138</v>
      </c>
      <c r="E1301" s="8" t="s">
        <v>1620</v>
      </c>
      <c r="F1301" s="8" t="s">
        <v>2048</v>
      </c>
      <c r="G1301" s="8" t="s">
        <v>1668</v>
      </c>
      <c r="H1301" s="8"/>
      <c r="I1301" s="14" t="s">
        <v>1669</v>
      </c>
      <c r="J1301" s="15"/>
      <c r="K1301" s="8" t="s">
        <v>1622</v>
      </c>
      <c r="L1301" s="8"/>
      <c r="M1301" s="6" t="s">
        <v>1671</v>
      </c>
      <c r="N1301" s="6" t="s">
        <v>1644</v>
      </c>
      <c r="O1301" s="7">
        <f>SUMIFS('05_상품별배치367'!$K$7:$K$373,'05_상품별배치367'!$E$7:$E$373,A1301,'05_상품별배치367'!$H$7:$H$373,"본진")</f>
        <v>0</v>
      </c>
      <c r="P1301" s="7">
        <f>SUMIFS('05_상품별배치367'!$K$7:$K$373,'05_상품별배치367'!$E$7:$E$373,A1301,'05_상품별배치367'!$H$7:$H$373,"추가 진열")</f>
        <v>0</v>
      </c>
      <c r="Q1301" s="7">
        <f>O1301+P1301</f>
        <v>0</v>
      </c>
      <c r="R1301" s="7">
        <v>0</v>
      </c>
      <c r="S1301" s="6" t="s">
        <v>1672</v>
      </c>
      <c r="T1301" s="6" t="s">
        <v>1637</v>
      </c>
      <c r="U1301" s="6"/>
      <c r="V1301" s="16"/>
      <c r="W1301" s="16"/>
      <c r="X1301" s="16"/>
      <c r="Y1301" s="6" t="s">
        <v>1627</v>
      </c>
      <c r="Z1301" s="15"/>
      <c r="AA1301" s="15" t="s">
        <v>1628</v>
      </c>
    </row>
    <row r="1302" spans="1:27" ht="33" customHeight="1">
      <c r="A1302" s="6" t="s">
        <v>2146</v>
      </c>
      <c r="B1302" s="7">
        <v>185</v>
      </c>
      <c r="C1302" s="6" t="s">
        <v>2147</v>
      </c>
      <c r="D1302" s="6" t="s">
        <v>2148</v>
      </c>
      <c r="E1302" s="6" t="s">
        <v>1620</v>
      </c>
      <c r="F1302" s="6" t="s">
        <v>2048</v>
      </c>
      <c r="G1302" s="6" t="s">
        <v>1668</v>
      </c>
      <c r="H1302" s="6"/>
      <c r="I1302" s="14" t="s">
        <v>1669</v>
      </c>
      <c r="J1302" s="15"/>
      <c r="K1302" s="6" t="s">
        <v>1622</v>
      </c>
      <c r="L1302" s="6"/>
      <c r="M1302" s="6" t="s">
        <v>1671</v>
      </c>
      <c r="N1302" s="6" t="s">
        <v>1644</v>
      </c>
      <c r="O1302" s="7">
        <f>SUMIFS('05_상품별배치367'!$K$7:$K$373,'05_상품별배치367'!$E$7:$E$373,A1302,'05_상품별배치367'!$H$7:$H$373,"본진")</f>
        <v>0</v>
      </c>
      <c r="P1302" s="7">
        <f>SUMIFS('05_상품별배치367'!$K$7:$K$373,'05_상품별배치367'!$E$7:$E$373,A1302,'05_상품별배치367'!$H$7:$H$373,"추가 진열")</f>
        <v>0</v>
      </c>
      <c r="Q1302" s="7">
        <f>O1302+P1302</f>
        <v>0</v>
      </c>
      <c r="R1302" s="7">
        <v>0</v>
      </c>
      <c r="S1302" s="6" t="s">
        <v>1672</v>
      </c>
      <c r="T1302" s="6" t="s">
        <v>1637</v>
      </c>
      <c r="U1302" s="6"/>
      <c r="V1302" s="16"/>
      <c r="W1302" s="16"/>
      <c r="X1302" s="16"/>
      <c r="Y1302" s="6" t="s">
        <v>1627</v>
      </c>
      <c r="Z1302" s="15"/>
      <c r="AA1302" s="15" t="s">
        <v>1628</v>
      </c>
    </row>
    <row r="1303" spans="1:27" ht="33" customHeight="1">
      <c r="A1303" s="6" t="s">
        <v>2139</v>
      </c>
      <c r="B1303" s="7">
        <v>183</v>
      </c>
      <c r="C1303" s="6" t="s">
        <v>2140</v>
      </c>
      <c r="D1303" s="6" t="s">
        <v>2141</v>
      </c>
      <c r="E1303" s="6" t="s">
        <v>1666</v>
      </c>
      <c r="F1303" s="6" t="s">
        <v>520</v>
      </c>
      <c r="G1303" s="6" t="s">
        <v>463</v>
      </c>
      <c r="H1303" s="6"/>
      <c r="I1303" s="14" t="s">
        <v>1642</v>
      </c>
      <c r="J1303" s="15"/>
      <c r="K1303" s="6" t="s">
        <v>1670</v>
      </c>
      <c r="L1303" s="6"/>
      <c r="M1303" s="6" t="s">
        <v>1643</v>
      </c>
      <c r="N1303" s="6" t="s">
        <v>1644</v>
      </c>
      <c r="O1303" s="7">
        <f>SUMIFS('05_상품별배치367'!$K$7:$K$373,'05_상품별배치367'!$E$7:$E$373,A1303,'05_상품별배치367'!$H$7:$H$373,"본진")</f>
        <v>0</v>
      </c>
      <c r="P1303" s="7">
        <f>SUMIFS('05_상품별배치367'!$K$7:$K$373,'05_상품별배치367'!$E$7:$E$373,A1303,'05_상품별배치367'!$H$7:$H$373,"추가 진열")</f>
        <v>0</v>
      </c>
      <c r="Q1303" s="7">
        <f>O1303+P1303</f>
        <v>0</v>
      </c>
      <c r="R1303" s="7">
        <v>1</v>
      </c>
      <c r="S1303" s="6" t="s">
        <v>2142</v>
      </c>
      <c r="T1303" s="6" t="s">
        <v>1637</v>
      </c>
      <c r="U1303" s="6"/>
      <c r="V1303" s="16"/>
      <c r="W1303" s="16"/>
      <c r="X1303" s="16"/>
      <c r="Y1303" s="6" t="s">
        <v>1627</v>
      </c>
      <c r="Z1303" s="15"/>
      <c r="AA1303" s="15" t="s">
        <v>1628</v>
      </c>
    </row>
    <row r="1304" spans="1:27" ht="33" customHeight="1">
      <c r="A1304" s="8" t="s">
        <v>2149</v>
      </c>
      <c r="B1304" s="9">
        <v>186</v>
      </c>
      <c r="C1304" s="8" t="s">
        <v>2150</v>
      </c>
      <c r="D1304" s="8" t="s">
        <v>2148</v>
      </c>
      <c r="E1304" s="8" t="s">
        <v>1666</v>
      </c>
      <c r="F1304" s="8" t="s">
        <v>348</v>
      </c>
      <c r="G1304" s="8" t="s">
        <v>341</v>
      </c>
      <c r="H1304" s="8"/>
      <c r="I1304" s="14" t="s">
        <v>1642</v>
      </c>
      <c r="J1304" s="15"/>
      <c r="K1304" s="8" t="s">
        <v>1670</v>
      </c>
      <c r="L1304" s="8"/>
      <c r="M1304" s="6" t="s">
        <v>1643</v>
      </c>
      <c r="N1304" s="6" t="s">
        <v>1624</v>
      </c>
      <c r="O1304" s="7">
        <f>SUMIFS('05_상품별배치367'!$K$7:$K$373,'05_상품별배치367'!$E$7:$E$373,A1304,'05_상품별배치367'!$H$7:$H$373,"본진")</f>
        <v>0</v>
      </c>
      <c r="P1304" s="7">
        <f>SUMIFS('05_상품별배치367'!$K$7:$K$373,'05_상품별배치367'!$E$7:$E$373,A1304,'05_상품별배치367'!$H$7:$H$373,"추가 진열")</f>
        <v>0</v>
      </c>
      <c r="Q1304" s="7">
        <f>O1304+P1304</f>
        <v>0</v>
      </c>
      <c r="R1304" s="7">
        <v>1</v>
      </c>
      <c r="S1304" s="6" t="s">
        <v>2040</v>
      </c>
      <c r="T1304" s="6" t="s">
        <v>1637</v>
      </c>
      <c r="U1304" s="6"/>
      <c r="V1304" s="16"/>
      <c r="W1304" s="16"/>
      <c r="X1304" s="16"/>
      <c r="Y1304" s="6" t="s">
        <v>1627</v>
      </c>
      <c r="Z1304" s="15"/>
      <c r="AA1304" s="15" t="s">
        <v>1628</v>
      </c>
    </row>
    <row r="1305" spans="1:27" ht="33" customHeight="1">
      <c r="A1305" s="8" t="s">
        <v>2143</v>
      </c>
      <c r="B1305" s="9">
        <v>184</v>
      </c>
      <c r="C1305" s="8" t="s">
        <v>2144</v>
      </c>
      <c r="D1305" s="8" t="s">
        <v>2145</v>
      </c>
      <c r="E1305" s="8" t="s">
        <v>1620</v>
      </c>
      <c r="F1305" s="8" t="s">
        <v>1220</v>
      </c>
      <c r="G1305" s="8" t="s">
        <v>349</v>
      </c>
      <c r="H1305" s="8"/>
      <c r="I1305" s="14" t="s">
        <v>1642</v>
      </c>
      <c r="J1305" s="15"/>
      <c r="K1305" s="8" t="s">
        <v>1622</v>
      </c>
      <c r="L1305" s="8"/>
      <c r="M1305" s="6" t="s">
        <v>1643</v>
      </c>
      <c r="N1305" s="6" t="s">
        <v>1644</v>
      </c>
      <c r="O1305" s="7">
        <f>SUMIFS('05_상품별배치367'!$K$7:$K$373,'05_상품별배치367'!$E$7:$E$373,A1305,'05_상품별배치367'!$H$7:$H$373,"본진")</f>
        <v>0</v>
      </c>
      <c r="P1305" s="7">
        <f>SUMIFS('05_상품별배치367'!$K$7:$K$373,'05_상품별배치367'!$E$7:$E$373,A1305,'05_상품별배치367'!$H$7:$H$373,"추가 진열")</f>
        <v>0</v>
      </c>
      <c r="Q1305" s="7">
        <f>O1305+P1305</f>
        <v>0</v>
      </c>
      <c r="R1305" s="7">
        <v>1</v>
      </c>
      <c r="S1305" s="6" t="s">
        <v>2080</v>
      </c>
      <c r="T1305" s="6" t="s">
        <v>1637</v>
      </c>
      <c r="U1305" s="6"/>
      <c r="V1305" s="16"/>
      <c r="W1305" s="16"/>
      <c r="X1305" s="16"/>
      <c r="Y1305" s="6" t="s">
        <v>1627</v>
      </c>
      <c r="Z1305" s="15"/>
      <c r="AA1305" s="15" t="s">
        <v>1628</v>
      </c>
    </row>
    <row r="1306" spans="1:27" ht="33" customHeight="1">
      <c r="A1306" s="6" t="s">
        <v>4022</v>
      </c>
      <c r="B1306" s="7">
        <v>1015</v>
      </c>
      <c r="C1306" s="6" t="s">
        <v>4023</v>
      </c>
      <c r="D1306" s="6" t="s">
        <v>2133</v>
      </c>
      <c r="E1306" s="6" t="s">
        <v>2134</v>
      </c>
      <c r="F1306" s="6" t="s">
        <v>842</v>
      </c>
      <c r="G1306" s="6" t="s">
        <v>164</v>
      </c>
      <c r="H1306" s="6"/>
      <c r="I1306" s="14" t="s">
        <v>1642</v>
      </c>
      <c r="J1306" s="15"/>
      <c r="K1306" s="6" t="s">
        <v>1976</v>
      </c>
      <c r="L1306" s="6"/>
      <c r="M1306" s="6" t="s">
        <v>1643</v>
      </c>
      <c r="N1306" s="6" t="s">
        <v>1644</v>
      </c>
      <c r="O1306" s="7">
        <f>SUMIFS('05_상품별배치367'!$K$7:$K$373,'05_상품별배치367'!$E$7:$E$373,A1306,'05_상품별배치367'!$H$7:$H$373,"본진")</f>
        <v>0</v>
      </c>
      <c r="P1306" s="7">
        <f>SUMIFS('05_상품별배치367'!$K$7:$K$373,'05_상품별배치367'!$E$7:$E$373,A1306,'05_상품별배치367'!$H$7:$H$373,"추가 진열")</f>
        <v>0</v>
      </c>
      <c r="Q1306" s="7">
        <f>O1306+P1306</f>
        <v>0</v>
      </c>
      <c r="R1306" s="7">
        <v>1</v>
      </c>
      <c r="S1306" s="6" t="s">
        <v>3009</v>
      </c>
      <c r="T1306" s="6" t="s">
        <v>1637</v>
      </c>
      <c r="U1306" s="6"/>
      <c r="V1306" s="16"/>
      <c r="W1306" s="16"/>
      <c r="X1306" s="16"/>
      <c r="Y1306" s="6" t="s">
        <v>1627</v>
      </c>
      <c r="Z1306" s="15"/>
      <c r="AA1306" s="15" t="s">
        <v>1628</v>
      </c>
    </row>
    <row r="1307" spans="1:27" ht="33" customHeight="1">
      <c r="A1307" s="8" t="s">
        <v>4016</v>
      </c>
      <c r="B1307" s="9">
        <v>1012</v>
      </c>
      <c r="C1307" s="8" t="s">
        <v>4017</v>
      </c>
      <c r="D1307" s="8" t="s">
        <v>2856</v>
      </c>
      <c r="E1307" s="8" t="s">
        <v>2134</v>
      </c>
      <c r="F1307" s="8" t="s">
        <v>842</v>
      </c>
      <c r="G1307" s="8" t="s">
        <v>164</v>
      </c>
      <c r="H1307" s="8"/>
      <c r="I1307" s="14" t="s">
        <v>1642</v>
      </c>
      <c r="J1307" s="15"/>
      <c r="K1307" s="8" t="s">
        <v>1976</v>
      </c>
      <c r="L1307" s="8"/>
      <c r="M1307" s="6" t="s">
        <v>1643</v>
      </c>
      <c r="N1307" s="6" t="s">
        <v>1644</v>
      </c>
      <c r="O1307" s="7">
        <f>SUMIFS('05_상품별배치367'!$K$7:$K$373,'05_상품별배치367'!$E$7:$E$373,A1307,'05_상품별배치367'!$H$7:$H$373,"본진")</f>
        <v>0</v>
      </c>
      <c r="P1307" s="7">
        <f>SUMIFS('05_상품별배치367'!$K$7:$K$373,'05_상품별배치367'!$E$7:$E$373,A1307,'05_상품별배치367'!$H$7:$H$373,"추가 진열")</f>
        <v>0</v>
      </c>
      <c r="Q1307" s="7">
        <f>O1307+P1307</f>
        <v>0</v>
      </c>
      <c r="R1307" s="7">
        <v>1</v>
      </c>
      <c r="S1307" s="6" t="s">
        <v>3009</v>
      </c>
      <c r="T1307" s="6" t="s">
        <v>1637</v>
      </c>
      <c r="U1307" s="6"/>
      <c r="V1307" s="16"/>
      <c r="W1307" s="16"/>
      <c r="X1307" s="16"/>
      <c r="Y1307" s="6" t="s">
        <v>1627</v>
      </c>
      <c r="Z1307" s="15"/>
      <c r="AA1307" s="15" t="s">
        <v>1628</v>
      </c>
    </row>
    <row r="1308" spans="1:27" ht="33" customHeight="1">
      <c r="A1308" s="6" t="s">
        <v>4018</v>
      </c>
      <c r="B1308" s="7">
        <v>1013</v>
      </c>
      <c r="C1308" s="6" t="s">
        <v>4019</v>
      </c>
      <c r="D1308" s="6" t="s">
        <v>2845</v>
      </c>
      <c r="E1308" s="6" t="s">
        <v>2134</v>
      </c>
      <c r="F1308" s="6" t="s">
        <v>842</v>
      </c>
      <c r="G1308" s="6" t="s">
        <v>164</v>
      </c>
      <c r="H1308" s="6"/>
      <c r="I1308" s="14" t="s">
        <v>1642</v>
      </c>
      <c r="J1308" s="15"/>
      <c r="K1308" s="6" t="s">
        <v>1976</v>
      </c>
      <c r="L1308" s="6"/>
      <c r="M1308" s="6" t="s">
        <v>1643</v>
      </c>
      <c r="N1308" s="6" t="s">
        <v>1644</v>
      </c>
      <c r="O1308" s="7">
        <f>SUMIFS('05_상품별배치367'!$K$7:$K$373,'05_상품별배치367'!$E$7:$E$373,A1308,'05_상품별배치367'!$H$7:$H$373,"본진")</f>
        <v>0</v>
      </c>
      <c r="P1308" s="7">
        <f>SUMIFS('05_상품별배치367'!$K$7:$K$373,'05_상품별배치367'!$E$7:$E$373,A1308,'05_상품별배치367'!$H$7:$H$373,"추가 진열")</f>
        <v>0</v>
      </c>
      <c r="Q1308" s="7">
        <f>O1308+P1308</f>
        <v>0</v>
      </c>
      <c r="R1308" s="7">
        <v>1</v>
      </c>
      <c r="S1308" s="6" t="s">
        <v>3009</v>
      </c>
      <c r="T1308" s="6" t="s">
        <v>1637</v>
      </c>
      <c r="U1308" s="6"/>
      <c r="V1308" s="16"/>
      <c r="W1308" s="16"/>
      <c r="X1308" s="16"/>
      <c r="Y1308" s="6" t="s">
        <v>1627</v>
      </c>
      <c r="Z1308" s="15"/>
      <c r="AA1308" s="15" t="s">
        <v>1628</v>
      </c>
    </row>
    <row r="1309" spans="1:27" ht="33" customHeight="1">
      <c r="A1309" s="6" t="s">
        <v>4014</v>
      </c>
      <c r="B1309" s="7">
        <v>1011</v>
      </c>
      <c r="C1309" s="6" t="s">
        <v>4015</v>
      </c>
      <c r="D1309" s="6" t="s">
        <v>2856</v>
      </c>
      <c r="E1309" s="6" t="s">
        <v>2134</v>
      </c>
      <c r="F1309" s="6" t="s">
        <v>842</v>
      </c>
      <c r="G1309" s="6" t="s">
        <v>164</v>
      </c>
      <c r="H1309" s="6"/>
      <c r="I1309" s="14" t="s">
        <v>1642</v>
      </c>
      <c r="J1309" s="15"/>
      <c r="K1309" s="6" t="s">
        <v>1976</v>
      </c>
      <c r="L1309" s="6"/>
      <c r="M1309" s="6" t="s">
        <v>1643</v>
      </c>
      <c r="N1309" s="6" t="s">
        <v>1644</v>
      </c>
      <c r="O1309" s="7">
        <f>SUMIFS('05_상품별배치367'!$K$7:$K$373,'05_상품별배치367'!$E$7:$E$373,A1309,'05_상품별배치367'!$H$7:$H$373,"본진")</f>
        <v>0</v>
      </c>
      <c r="P1309" s="7">
        <f>SUMIFS('05_상품별배치367'!$K$7:$K$373,'05_상품별배치367'!$E$7:$E$373,A1309,'05_상품별배치367'!$H$7:$H$373,"추가 진열")</f>
        <v>0</v>
      </c>
      <c r="Q1309" s="7">
        <f>O1309+P1309</f>
        <v>0</v>
      </c>
      <c r="R1309" s="7">
        <v>1</v>
      </c>
      <c r="S1309" s="6" t="s">
        <v>3009</v>
      </c>
      <c r="T1309" s="6" t="s">
        <v>1637</v>
      </c>
      <c r="U1309" s="6"/>
      <c r="V1309" s="16"/>
      <c r="W1309" s="16"/>
      <c r="X1309" s="16"/>
      <c r="Y1309" s="6" t="s">
        <v>1627</v>
      </c>
      <c r="Z1309" s="15"/>
      <c r="AA1309" s="15" t="s">
        <v>1628</v>
      </c>
    </row>
    <row r="1310" spans="1:27" ht="33" customHeight="1">
      <c r="A1310" s="8" t="s">
        <v>4020</v>
      </c>
      <c r="B1310" s="9">
        <v>1014</v>
      </c>
      <c r="C1310" s="8" t="s">
        <v>4021</v>
      </c>
      <c r="D1310" s="8" t="s">
        <v>1851</v>
      </c>
      <c r="E1310" s="8" t="s">
        <v>1986</v>
      </c>
      <c r="F1310" s="8" t="s">
        <v>913</v>
      </c>
      <c r="G1310" s="8" t="s">
        <v>201</v>
      </c>
      <c r="H1310" s="8"/>
      <c r="I1310" s="14" t="s">
        <v>1642</v>
      </c>
      <c r="J1310" s="15"/>
      <c r="K1310" s="8" t="s">
        <v>1976</v>
      </c>
      <c r="L1310" s="8"/>
      <c r="M1310" s="6" t="s">
        <v>1643</v>
      </c>
      <c r="N1310" s="6" t="s">
        <v>1644</v>
      </c>
      <c r="O1310" s="7">
        <f>SUMIFS('05_상품별배치367'!$K$7:$K$373,'05_상품별배치367'!$E$7:$E$373,A1310,'05_상품별배치367'!$H$7:$H$373,"본진")</f>
        <v>0</v>
      </c>
      <c r="P1310" s="7">
        <f>SUMIFS('05_상품별배치367'!$K$7:$K$373,'05_상품별배치367'!$E$7:$E$373,A1310,'05_상품별배치367'!$H$7:$H$373,"추가 진열")</f>
        <v>0</v>
      </c>
      <c r="Q1310" s="7">
        <f>O1310+P1310</f>
        <v>0</v>
      </c>
      <c r="R1310" s="7">
        <v>1</v>
      </c>
      <c r="S1310" s="6" t="s">
        <v>2907</v>
      </c>
      <c r="T1310" s="6" t="s">
        <v>1637</v>
      </c>
      <c r="U1310" s="6"/>
      <c r="V1310" s="16"/>
      <c r="W1310" s="16"/>
      <c r="X1310" s="16"/>
      <c r="Y1310" s="6" t="s">
        <v>1627</v>
      </c>
      <c r="Z1310" s="15"/>
      <c r="AA1310" s="15" t="s">
        <v>1628</v>
      </c>
    </row>
    <row r="1311" spans="1:27" ht="33" customHeight="1">
      <c r="A1311" s="6" t="s">
        <v>4198</v>
      </c>
      <c r="B1311" s="7">
        <v>1093</v>
      </c>
      <c r="C1311" s="6" t="s">
        <v>4199</v>
      </c>
      <c r="D1311" s="6" t="s">
        <v>3810</v>
      </c>
      <c r="E1311" s="6" t="s">
        <v>2134</v>
      </c>
      <c r="F1311" s="6" t="s">
        <v>842</v>
      </c>
      <c r="G1311" s="6" t="s">
        <v>164</v>
      </c>
      <c r="H1311" s="6"/>
      <c r="I1311" s="14" t="s">
        <v>1642</v>
      </c>
      <c r="J1311" s="15"/>
      <c r="K1311" s="6" t="s">
        <v>1976</v>
      </c>
      <c r="L1311" s="6"/>
      <c r="M1311" s="6" t="s">
        <v>1643</v>
      </c>
      <c r="N1311" s="6" t="s">
        <v>1644</v>
      </c>
      <c r="O1311" s="7">
        <f>SUMIFS('05_상품별배치367'!$K$7:$K$373,'05_상품별배치367'!$E$7:$E$373,A1311,'05_상품별배치367'!$H$7:$H$373,"본진")</f>
        <v>0</v>
      </c>
      <c r="P1311" s="7">
        <f>SUMIFS('05_상품별배치367'!$K$7:$K$373,'05_상품별배치367'!$E$7:$E$373,A1311,'05_상품별배치367'!$H$7:$H$373,"추가 진열")</f>
        <v>0</v>
      </c>
      <c r="Q1311" s="7">
        <f>O1311+P1311</f>
        <v>0</v>
      </c>
      <c r="R1311" s="7">
        <v>1</v>
      </c>
      <c r="S1311" s="6" t="s">
        <v>3009</v>
      </c>
      <c r="T1311" s="6" t="s">
        <v>1637</v>
      </c>
      <c r="U1311" s="6"/>
      <c r="V1311" s="16"/>
      <c r="W1311" s="16"/>
      <c r="X1311" s="16"/>
      <c r="Y1311" s="6" t="s">
        <v>1627</v>
      </c>
      <c r="Z1311" s="15"/>
      <c r="AA1311" s="15" t="s">
        <v>1628</v>
      </c>
    </row>
    <row r="1312" spans="1:27" ht="33" customHeight="1">
      <c r="A1312" s="6" t="s">
        <v>4202</v>
      </c>
      <c r="B1312" s="7">
        <v>1095</v>
      </c>
      <c r="C1312" s="6" t="s">
        <v>4203</v>
      </c>
      <c r="D1312" s="6" t="s">
        <v>4204</v>
      </c>
      <c r="E1312" s="6" t="s">
        <v>2134</v>
      </c>
      <c r="F1312" s="6" t="s">
        <v>842</v>
      </c>
      <c r="G1312" s="6" t="s">
        <v>164</v>
      </c>
      <c r="H1312" s="6"/>
      <c r="I1312" s="14" t="s">
        <v>1642</v>
      </c>
      <c r="J1312" s="15"/>
      <c r="K1312" s="6" t="s">
        <v>1976</v>
      </c>
      <c r="L1312" s="6"/>
      <c r="M1312" s="6" t="s">
        <v>1643</v>
      </c>
      <c r="N1312" s="6" t="s">
        <v>1644</v>
      </c>
      <c r="O1312" s="7">
        <f>SUMIFS('05_상품별배치367'!$K$7:$K$373,'05_상품별배치367'!$E$7:$E$373,A1312,'05_상품별배치367'!$H$7:$H$373,"본진")</f>
        <v>0</v>
      </c>
      <c r="P1312" s="7">
        <f>SUMIFS('05_상품별배치367'!$K$7:$K$373,'05_상품별배치367'!$E$7:$E$373,A1312,'05_상품별배치367'!$H$7:$H$373,"추가 진열")</f>
        <v>0</v>
      </c>
      <c r="Q1312" s="7">
        <f>O1312+P1312</f>
        <v>0</v>
      </c>
      <c r="R1312" s="7">
        <v>1</v>
      </c>
      <c r="S1312" s="6" t="s">
        <v>3009</v>
      </c>
      <c r="T1312" s="6" t="s">
        <v>1637</v>
      </c>
      <c r="U1312" s="6"/>
      <c r="V1312" s="16"/>
      <c r="W1312" s="16"/>
      <c r="X1312" s="16"/>
      <c r="Y1312" s="6" t="s">
        <v>1627</v>
      </c>
      <c r="Z1312" s="15"/>
      <c r="AA1312" s="15" t="s">
        <v>1628</v>
      </c>
    </row>
    <row r="1313" spans="1:27" ht="33" customHeight="1">
      <c r="A1313" s="8" t="s">
        <v>4205</v>
      </c>
      <c r="B1313" s="9">
        <v>1096</v>
      </c>
      <c r="C1313" s="8" t="s">
        <v>4206</v>
      </c>
      <c r="D1313" s="8" t="s">
        <v>3810</v>
      </c>
      <c r="E1313" s="8" t="s">
        <v>2134</v>
      </c>
      <c r="F1313" s="8" t="s">
        <v>842</v>
      </c>
      <c r="G1313" s="8" t="s">
        <v>164</v>
      </c>
      <c r="H1313" s="8"/>
      <c r="I1313" s="14" t="s">
        <v>1642</v>
      </c>
      <c r="J1313" s="15"/>
      <c r="K1313" s="8" t="s">
        <v>1976</v>
      </c>
      <c r="L1313" s="8"/>
      <c r="M1313" s="6" t="s">
        <v>1643</v>
      </c>
      <c r="N1313" s="6" t="s">
        <v>1644</v>
      </c>
      <c r="O1313" s="7">
        <f>SUMIFS('05_상품별배치367'!$K$7:$K$373,'05_상품별배치367'!$E$7:$E$373,A1313,'05_상품별배치367'!$H$7:$H$373,"본진")</f>
        <v>0</v>
      </c>
      <c r="P1313" s="7">
        <f>SUMIFS('05_상품별배치367'!$K$7:$K$373,'05_상품별배치367'!$E$7:$E$373,A1313,'05_상품별배치367'!$H$7:$H$373,"추가 진열")</f>
        <v>0</v>
      </c>
      <c r="Q1313" s="7">
        <f>O1313+P1313</f>
        <v>0</v>
      </c>
      <c r="R1313" s="7">
        <v>1</v>
      </c>
      <c r="S1313" s="6" t="s">
        <v>3009</v>
      </c>
      <c r="T1313" s="6" t="s">
        <v>1637</v>
      </c>
      <c r="U1313" s="6"/>
      <c r="V1313" s="16"/>
      <c r="W1313" s="16"/>
      <c r="X1313" s="16"/>
      <c r="Y1313" s="6" t="s">
        <v>1627</v>
      </c>
      <c r="Z1313" s="15"/>
      <c r="AA1313" s="15" t="s">
        <v>1628</v>
      </c>
    </row>
    <row r="1314" spans="1:27" ht="33" customHeight="1">
      <c r="A1314" s="8" t="s">
        <v>4195</v>
      </c>
      <c r="B1314" s="9">
        <v>1092</v>
      </c>
      <c r="C1314" s="8" t="s">
        <v>4196</v>
      </c>
      <c r="D1314" s="8" t="s">
        <v>4197</v>
      </c>
      <c r="E1314" s="8" t="s">
        <v>1986</v>
      </c>
      <c r="F1314" s="8" t="s">
        <v>913</v>
      </c>
      <c r="G1314" s="8" t="s">
        <v>201</v>
      </c>
      <c r="H1314" s="8"/>
      <c r="I1314" s="14" t="s">
        <v>1642</v>
      </c>
      <c r="J1314" s="15"/>
      <c r="K1314" s="8" t="s">
        <v>1976</v>
      </c>
      <c r="L1314" s="8"/>
      <c r="M1314" s="6" t="s">
        <v>1643</v>
      </c>
      <c r="N1314" s="6" t="s">
        <v>1644</v>
      </c>
      <c r="O1314" s="7">
        <f>SUMIFS('05_상품별배치367'!$K$7:$K$373,'05_상품별배치367'!$E$7:$E$373,A1314,'05_상품별배치367'!$H$7:$H$373,"본진")</f>
        <v>0</v>
      </c>
      <c r="P1314" s="7">
        <f>SUMIFS('05_상품별배치367'!$K$7:$K$373,'05_상품별배치367'!$E$7:$E$373,A1314,'05_상품별배치367'!$H$7:$H$373,"추가 진열")</f>
        <v>0</v>
      </c>
      <c r="Q1314" s="7">
        <f>O1314+P1314</f>
        <v>0</v>
      </c>
      <c r="R1314" s="7">
        <v>1</v>
      </c>
      <c r="S1314" s="6" t="s">
        <v>2907</v>
      </c>
      <c r="T1314" s="6" t="s">
        <v>1637</v>
      </c>
      <c r="U1314" s="6"/>
      <c r="V1314" s="16"/>
      <c r="W1314" s="16"/>
      <c r="X1314" s="16"/>
      <c r="Y1314" s="6" t="s">
        <v>1627</v>
      </c>
      <c r="Z1314" s="15"/>
      <c r="AA1314" s="15" t="s">
        <v>1628</v>
      </c>
    </row>
    <row r="1315" spans="1:27" ht="33" customHeight="1">
      <c r="A1315" s="8" t="s">
        <v>4209</v>
      </c>
      <c r="B1315" s="9">
        <v>1098</v>
      </c>
      <c r="C1315" s="8" t="s">
        <v>4210</v>
      </c>
      <c r="D1315" s="8" t="s">
        <v>4191</v>
      </c>
      <c r="E1315" s="8" t="s">
        <v>2134</v>
      </c>
      <c r="F1315" s="8" t="s">
        <v>2933</v>
      </c>
      <c r="G1315" s="8" t="s">
        <v>1668</v>
      </c>
      <c r="H1315" s="8"/>
      <c r="I1315" s="14" t="s">
        <v>1807</v>
      </c>
      <c r="J1315" s="15"/>
      <c r="K1315" s="8" t="s">
        <v>1976</v>
      </c>
      <c r="L1315" s="8" t="s">
        <v>2032</v>
      </c>
      <c r="M1315" s="6" t="s">
        <v>1809</v>
      </c>
      <c r="N1315" s="6" t="s">
        <v>1644</v>
      </c>
      <c r="O1315" s="7">
        <f>SUMIFS('05_상품별배치367'!$K$7:$K$373,'05_상품별배치367'!$E$7:$E$373,A1315,'05_상품별배치367'!$H$7:$H$373,"본진")</f>
        <v>0</v>
      </c>
      <c r="P1315" s="7">
        <f>SUMIFS('05_상품별배치367'!$K$7:$K$373,'05_상품별배치367'!$E$7:$E$373,A1315,'05_상품별배치367'!$H$7:$H$373,"추가 진열")</f>
        <v>0</v>
      </c>
      <c r="Q1315" s="7">
        <f>O1315+P1315</f>
        <v>0</v>
      </c>
      <c r="R1315" s="7">
        <v>0</v>
      </c>
      <c r="S1315" s="6" t="s">
        <v>1810</v>
      </c>
      <c r="T1315" s="6" t="s">
        <v>1637</v>
      </c>
      <c r="U1315" s="6"/>
      <c r="V1315" s="16"/>
      <c r="W1315" s="16"/>
      <c r="X1315" s="16"/>
      <c r="Y1315" s="6" t="s">
        <v>1627</v>
      </c>
      <c r="Z1315" s="15"/>
      <c r="AA1315" s="15" t="s">
        <v>1628</v>
      </c>
    </row>
    <row r="1316" spans="1:27" ht="33" customHeight="1">
      <c r="A1316" s="6" t="s">
        <v>4207</v>
      </c>
      <c r="B1316" s="7">
        <v>1097</v>
      </c>
      <c r="C1316" s="6" t="s">
        <v>4208</v>
      </c>
      <c r="D1316" s="6" t="s">
        <v>4197</v>
      </c>
      <c r="E1316" s="6" t="s">
        <v>2134</v>
      </c>
      <c r="F1316" s="6" t="s">
        <v>2933</v>
      </c>
      <c r="G1316" s="6" t="s">
        <v>1668</v>
      </c>
      <c r="H1316" s="6"/>
      <c r="I1316" s="14" t="s">
        <v>1807</v>
      </c>
      <c r="J1316" s="15"/>
      <c r="K1316" s="6" t="s">
        <v>1976</v>
      </c>
      <c r="L1316" s="6" t="s">
        <v>2032</v>
      </c>
      <c r="M1316" s="6" t="s">
        <v>1809</v>
      </c>
      <c r="N1316" s="6" t="s">
        <v>1644</v>
      </c>
      <c r="O1316" s="7">
        <f>SUMIFS('05_상품별배치367'!$K$7:$K$373,'05_상품별배치367'!$E$7:$E$373,A1316,'05_상품별배치367'!$H$7:$H$373,"본진")</f>
        <v>0</v>
      </c>
      <c r="P1316" s="7">
        <f>SUMIFS('05_상품별배치367'!$K$7:$K$373,'05_상품별배치367'!$E$7:$E$373,A1316,'05_상품별배치367'!$H$7:$H$373,"추가 진열")</f>
        <v>0</v>
      </c>
      <c r="Q1316" s="7">
        <f>O1316+P1316</f>
        <v>0</v>
      </c>
      <c r="R1316" s="7">
        <v>0</v>
      </c>
      <c r="S1316" s="6" t="s">
        <v>1810</v>
      </c>
      <c r="T1316" s="6" t="s">
        <v>1637</v>
      </c>
      <c r="U1316" s="6"/>
      <c r="V1316" s="16"/>
      <c r="W1316" s="16"/>
      <c r="X1316" s="16"/>
      <c r="Y1316" s="6" t="s">
        <v>1627</v>
      </c>
      <c r="Z1316" s="15"/>
      <c r="AA1316" s="15" t="s">
        <v>1628</v>
      </c>
    </row>
    <row r="1317" spans="1:27" ht="33" customHeight="1">
      <c r="A1317" s="8" t="s">
        <v>4213</v>
      </c>
      <c r="B1317" s="9">
        <v>1100</v>
      </c>
      <c r="C1317" s="8" t="s">
        <v>4214</v>
      </c>
      <c r="D1317" s="8" t="s">
        <v>3804</v>
      </c>
      <c r="E1317" s="8" t="s">
        <v>2134</v>
      </c>
      <c r="F1317" s="8" t="s">
        <v>162</v>
      </c>
      <c r="G1317" s="8" t="s">
        <v>404</v>
      </c>
      <c r="H1317" s="8"/>
      <c r="I1317" s="14" t="s">
        <v>1642</v>
      </c>
      <c r="J1317" s="15"/>
      <c r="K1317" s="8" t="s">
        <v>1976</v>
      </c>
      <c r="L1317" s="8"/>
      <c r="M1317" s="6" t="s">
        <v>1643</v>
      </c>
      <c r="N1317" s="6" t="s">
        <v>1644</v>
      </c>
      <c r="O1317" s="7">
        <f>SUMIFS('05_상품별배치367'!$K$7:$K$373,'05_상품별배치367'!$E$7:$E$373,A1317,'05_상품별배치367'!$H$7:$H$373,"본진")</f>
        <v>0</v>
      </c>
      <c r="P1317" s="7">
        <f>SUMIFS('05_상품별배치367'!$K$7:$K$373,'05_상품별배치367'!$E$7:$E$373,A1317,'05_상품별배치367'!$H$7:$H$373,"추가 진열")</f>
        <v>0</v>
      </c>
      <c r="Q1317" s="7">
        <f>O1317+P1317</f>
        <v>0</v>
      </c>
      <c r="R1317" s="7">
        <v>1</v>
      </c>
      <c r="S1317" s="6" t="s">
        <v>2996</v>
      </c>
      <c r="T1317" s="6" t="s">
        <v>1637</v>
      </c>
      <c r="U1317" s="6"/>
      <c r="V1317" s="16"/>
      <c r="W1317" s="16"/>
      <c r="X1317" s="16"/>
      <c r="Y1317" s="6" t="s">
        <v>1627</v>
      </c>
      <c r="Z1317" s="15"/>
      <c r="AA1317" s="15" t="s">
        <v>1628</v>
      </c>
    </row>
    <row r="1318" spans="1:27" ht="33" customHeight="1">
      <c r="A1318" s="6" t="s">
        <v>4211</v>
      </c>
      <c r="B1318" s="7">
        <v>1099</v>
      </c>
      <c r="C1318" s="6" t="s">
        <v>4212</v>
      </c>
      <c r="D1318" s="6" t="s">
        <v>3810</v>
      </c>
      <c r="E1318" s="6" t="s">
        <v>2134</v>
      </c>
      <c r="F1318" s="6" t="s">
        <v>2933</v>
      </c>
      <c r="G1318" s="6" t="s">
        <v>1668</v>
      </c>
      <c r="H1318" s="6"/>
      <c r="I1318" s="14" t="s">
        <v>1807</v>
      </c>
      <c r="J1318" s="15"/>
      <c r="K1318" s="6" t="s">
        <v>1976</v>
      </c>
      <c r="L1318" s="6" t="s">
        <v>2032</v>
      </c>
      <c r="M1318" s="6" t="s">
        <v>1809</v>
      </c>
      <c r="N1318" s="6" t="s">
        <v>1644</v>
      </c>
      <c r="O1318" s="7">
        <f>SUMIFS('05_상품별배치367'!$K$7:$K$373,'05_상품별배치367'!$E$7:$E$373,A1318,'05_상품별배치367'!$H$7:$H$373,"본진")</f>
        <v>0</v>
      </c>
      <c r="P1318" s="7">
        <f>SUMIFS('05_상품별배치367'!$K$7:$K$373,'05_상품별배치367'!$E$7:$E$373,A1318,'05_상품별배치367'!$H$7:$H$373,"추가 진열")</f>
        <v>0</v>
      </c>
      <c r="Q1318" s="7">
        <f>O1318+P1318</f>
        <v>0</v>
      </c>
      <c r="R1318" s="7">
        <v>0</v>
      </c>
      <c r="S1318" s="6" t="s">
        <v>1810</v>
      </c>
      <c r="T1318" s="6" t="s">
        <v>1637</v>
      </c>
      <c r="U1318" s="6"/>
      <c r="V1318" s="16"/>
      <c r="W1318" s="16"/>
      <c r="X1318" s="16"/>
      <c r="Y1318" s="6" t="s">
        <v>1627</v>
      </c>
      <c r="Z1318" s="15"/>
      <c r="AA1318" s="15" t="s">
        <v>1628</v>
      </c>
    </row>
    <row r="1319" spans="1:27" ht="33" customHeight="1">
      <c r="A1319" s="8" t="s">
        <v>4200</v>
      </c>
      <c r="B1319" s="9">
        <v>1094</v>
      </c>
      <c r="C1319" s="8" t="s">
        <v>4201</v>
      </c>
      <c r="D1319" s="8" t="s">
        <v>3810</v>
      </c>
      <c r="E1319" s="8" t="s">
        <v>2134</v>
      </c>
      <c r="F1319" s="8" t="s">
        <v>2933</v>
      </c>
      <c r="G1319" s="8" t="s">
        <v>1668</v>
      </c>
      <c r="H1319" s="8"/>
      <c r="I1319" s="14" t="s">
        <v>1807</v>
      </c>
      <c r="J1319" s="15"/>
      <c r="K1319" s="8" t="s">
        <v>1976</v>
      </c>
      <c r="L1319" s="8" t="s">
        <v>2032</v>
      </c>
      <c r="M1319" s="6" t="s">
        <v>1809</v>
      </c>
      <c r="N1319" s="6" t="s">
        <v>1644</v>
      </c>
      <c r="O1319" s="7">
        <f>SUMIFS('05_상품별배치367'!$K$7:$K$373,'05_상품별배치367'!$E$7:$E$373,A1319,'05_상품별배치367'!$H$7:$H$373,"본진")</f>
        <v>0</v>
      </c>
      <c r="P1319" s="7">
        <f>SUMIFS('05_상품별배치367'!$K$7:$K$373,'05_상품별배치367'!$E$7:$E$373,A1319,'05_상품별배치367'!$H$7:$H$373,"추가 진열")</f>
        <v>0</v>
      </c>
      <c r="Q1319" s="7">
        <f>O1319+P1319</f>
        <v>0</v>
      </c>
      <c r="R1319" s="7">
        <v>0</v>
      </c>
      <c r="S1319" s="6" t="s">
        <v>1810</v>
      </c>
      <c r="T1319" s="6" t="s">
        <v>1637</v>
      </c>
      <c r="U1319" s="6"/>
      <c r="V1319" s="16"/>
      <c r="W1319" s="16"/>
      <c r="X1319" s="16"/>
      <c r="Y1319" s="6" t="s">
        <v>1627</v>
      </c>
      <c r="Z1319" s="15"/>
      <c r="AA1319" s="15" t="s">
        <v>1628</v>
      </c>
    </row>
    <row r="1320" spans="1:27" ht="33" customHeight="1">
      <c r="A1320" s="6" t="s">
        <v>4215</v>
      </c>
      <c r="B1320" s="7">
        <v>1101</v>
      </c>
      <c r="C1320" s="6" t="s">
        <v>4216</v>
      </c>
      <c r="D1320" s="6" t="s">
        <v>4217</v>
      </c>
      <c r="E1320" s="6" t="s">
        <v>1620</v>
      </c>
      <c r="F1320" s="6" t="s">
        <v>4218</v>
      </c>
      <c r="G1320" s="6" t="s">
        <v>1668</v>
      </c>
      <c r="H1320" s="6"/>
      <c r="I1320" s="14" t="s">
        <v>1807</v>
      </c>
      <c r="J1320" s="15"/>
      <c r="K1320" s="6" t="s">
        <v>1976</v>
      </c>
      <c r="L1320" s="6" t="s">
        <v>4219</v>
      </c>
      <c r="M1320" s="6" t="s">
        <v>1809</v>
      </c>
      <c r="N1320" s="6" t="s">
        <v>1624</v>
      </c>
      <c r="O1320" s="7">
        <f>SUMIFS('05_상품별배치367'!$K$7:$K$373,'05_상품별배치367'!$E$7:$E$373,A1320,'05_상품별배치367'!$H$7:$H$373,"본진")</f>
        <v>0</v>
      </c>
      <c r="P1320" s="7">
        <f>SUMIFS('05_상품별배치367'!$K$7:$K$373,'05_상품별배치367'!$E$7:$E$373,A1320,'05_상품별배치367'!$H$7:$H$373,"추가 진열")</f>
        <v>0</v>
      </c>
      <c r="Q1320" s="7">
        <f>O1320+P1320</f>
        <v>0</v>
      </c>
      <c r="R1320" s="7">
        <v>0</v>
      </c>
      <c r="S1320" s="6" t="s">
        <v>1810</v>
      </c>
      <c r="T1320" s="6" t="s">
        <v>1637</v>
      </c>
      <c r="U1320" s="6"/>
      <c r="V1320" s="16"/>
      <c r="W1320" s="16"/>
      <c r="X1320" s="16"/>
      <c r="Y1320" s="6" t="s">
        <v>1655</v>
      </c>
      <c r="Z1320" s="15"/>
      <c r="AA1320" s="15" t="s">
        <v>1628</v>
      </c>
    </row>
    <row r="1321" spans="1:27" ht="33" customHeight="1">
      <c r="A1321" s="8" t="s">
        <v>6024</v>
      </c>
      <c r="B1321" s="9">
        <v>1960</v>
      </c>
      <c r="C1321" s="8" t="s">
        <v>6025</v>
      </c>
      <c r="D1321" s="8" t="s">
        <v>6026</v>
      </c>
      <c r="E1321" s="8" t="s">
        <v>1814</v>
      </c>
      <c r="F1321" s="8" t="s">
        <v>1359</v>
      </c>
      <c r="G1321" s="8" t="s">
        <v>431</v>
      </c>
      <c r="H1321" s="8"/>
      <c r="I1321" s="14" t="s">
        <v>1642</v>
      </c>
      <c r="J1321" s="15"/>
      <c r="K1321" s="8" t="s">
        <v>1634</v>
      </c>
      <c r="L1321" s="8" t="s">
        <v>3828</v>
      </c>
      <c r="M1321" s="6" t="s">
        <v>1643</v>
      </c>
      <c r="N1321" s="6" t="s">
        <v>1624</v>
      </c>
      <c r="O1321" s="7">
        <f>SUMIFS('05_상품별배치367'!$K$7:$K$373,'05_상품별배치367'!$E$7:$E$373,A1321,'05_상품별배치367'!$H$7:$H$373,"본진")</f>
        <v>0</v>
      </c>
      <c r="P1321" s="7">
        <f>SUMIFS('05_상품별배치367'!$K$7:$K$373,'05_상품별배치367'!$E$7:$E$373,A1321,'05_상품별배치367'!$H$7:$H$373,"추가 진열")</f>
        <v>0</v>
      </c>
      <c r="Q1321" s="7">
        <f>O1321+P1321</f>
        <v>0</v>
      </c>
      <c r="R1321" s="7">
        <v>1</v>
      </c>
      <c r="S1321" s="6" t="s">
        <v>1815</v>
      </c>
      <c r="T1321" s="6" t="s">
        <v>1637</v>
      </c>
      <c r="U1321" s="6"/>
      <c r="V1321" s="16"/>
      <c r="W1321" s="16"/>
      <c r="X1321" s="16"/>
      <c r="Y1321" s="6" t="s">
        <v>1627</v>
      </c>
      <c r="Z1321" s="15"/>
      <c r="AA1321" s="15" t="s">
        <v>1628</v>
      </c>
    </row>
    <row r="1322" spans="1:27" ht="33" customHeight="1">
      <c r="A1322" s="8" t="s">
        <v>5873</v>
      </c>
      <c r="B1322" s="9">
        <v>1892</v>
      </c>
      <c r="C1322" s="8" t="s">
        <v>5874</v>
      </c>
      <c r="D1322" s="8" t="s">
        <v>5875</v>
      </c>
      <c r="E1322" s="8" t="s">
        <v>1641</v>
      </c>
      <c r="F1322" s="8" t="s">
        <v>699</v>
      </c>
      <c r="G1322" s="8" t="s">
        <v>99</v>
      </c>
      <c r="H1322" s="8"/>
      <c r="I1322" s="14" t="s">
        <v>1642</v>
      </c>
      <c r="J1322" s="15"/>
      <c r="K1322" s="8" t="s">
        <v>1634</v>
      </c>
      <c r="L1322" s="8" t="s">
        <v>3828</v>
      </c>
      <c r="M1322" s="6" t="s">
        <v>1643</v>
      </c>
      <c r="N1322" s="6" t="s">
        <v>1624</v>
      </c>
      <c r="O1322" s="7">
        <f>SUMIFS('05_상품별배치367'!$K$7:$K$373,'05_상품별배치367'!$E$7:$E$373,A1322,'05_상품별배치367'!$H$7:$H$373,"본진")</f>
        <v>0</v>
      </c>
      <c r="P1322" s="7">
        <f>SUMIFS('05_상품별배치367'!$K$7:$K$373,'05_상품별배치367'!$E$7:$E$373,A1322,'05_상품별배치367'!$H$7:$H$373,"추가 진열")</f>
        <v>0</v>
      </c>
      <c r="Q1322" s="7">
        <f>O1322+P1322</f>
        <v>0</v>
      </c>
      <c r="R1322" s="7">
        <v>1</v>
      </c>
      <c r="S1322" s="6" t="s">
        <v>1659</v>
      </c>
      <c r="T1322" s="6" t="s">
        <v>1646</v>
      </c>
      <c r="U1322" s="6"/>
      <c r="V1322" s="16"/>
      <c r="W1322" s="16"/>
      <c r="X1322" s="16"/>
      <c r="Y1322" s="6" t="s">
        <v>1627</v>
      </c>
      <c r="Z1322" s="15"/>
      <c r="AA1322" s="15" t="s">
        <v>1628</v>
      </c>
    </row>
    <row r="1323" spans="1:27" ht="33" customHeight="1">
      <c r="A1323" s="6" t="s">
        <v>1844</v>
      </c>
      <c r="B1323" s="7">
        <v>77</v>
      </c>
      <c r="C1323" s="6" t="s">
        <v>1845</v>
      </c>
      <c r="D1323" s="6" t="s">
        <v>1846</v>
      </c>
      <c r="E1323" s="6" t="s">
        <v>1641</v>
      </c>
      <c r="F1323" s="6" t="s">
        <v>670</v>
      </c>
      <c r="G1323" s="6" t="s">
        <v>91</v>
      </c>
      <c r="H1323" s="6"/>
      <c r="I1323" s="14" t="s">
        <v>1642</v>
      </c>
      <c r="J1323" s="15"/>
      <c r="K1323" s="6" t="s">
        <v>1634</v>
      </c>
      <c r="L1323" s="6"/>
      <c r="M1323" s="6" t="s">
        <v>1643</v>
      </c>
      <c r="N1323" s="6" t="s">
        <v>1644</v>
      </c>
      <c r="O1323" s="7">
        <f>SUMIFS('05_상품별배치367'!$K$7:$K$373,'05_상품별배치367'!$E$7:$E$373,A1323,'05_상품별배치367'!$H$7:$H$373,"본진")</f>
        <v>0</v>
      </c>
      <c r="P1323" s="7">
        <f>SUMIFS('05_상품별배치367'!$K$7:$K$373,'05_상품별배치367'!$E$7:$E$373,A1323,'05_상품별배치367'!$H$7:$H$373,"추가 진열")</f>
        <v>0</v>
      </c>
      <c r="Q1323" s="7">
        <f>O1323+P1323</f>
        <v>0</v>
      </c>
      <c r="R1323" s="7">
        <v>1</v>
      </c>
      <c r="S1323" s="6" t="s">
        <v>1645</v>
      </c>
      <c r="T1323" s="6" t="s">
        <v>1646</v>
      </c>
      <c r="U1323" s="6"/>
      <c r="V1323" s="16"/>
      <c r="W1323" s="16"/>
      <c r="X1323" s="16"/>
      <c r="Y1323" s="6" t="s">
        <v>1627</v>
      </c>
      <c r="Z1323" s="15"/>
      <c r="AA1323" s="15" t="s">
        <v>1628</v>
      </c>
    </row>
    <row r="1324" spans="1:27" ht="33" customHeight="1">
      <c r="A1324" s="8" t="s">
        <v>5869</v>
      </c>
      <c r="B1324" s="9">
        <v>1890</v>
      </c>
      <c r="C1324" s="8" t="s">
        <v>5870</v>
      </c>
      <c r="D1324" s="8" t="s">
        <v>2899</v>
      </c>
      <c r="E1324" s="8" t="s">
        <v>1641</v>
      </c>
      <c r="F1324" s="8" t="s">
        <v>699</v>
      </c>
      <c r="G1324" s="8" t="s">
        <v>99</v>
      </c>
      <c r="H1324" s="8" t="s">
        <v>711</v>
      </c>
      <c r="I1324" s="14" t="s">
        <v>1633</v>
      </c>
      <c r="J1324" s="15"/>
      <c r="K1324" s="8" t="s">
        <v>1634</v>
      </c>
      <c r="L1324" s="8" t="s">
        <v>3828</v>
      </c>
      <c r="M1324" s="6" t="s">
        <v>1635</v>
      </c>
      <c r="N1324" s="6" t="s">
        <v>1624</v>
      </c>
      <c r="O1324" s="7">
        <f>SUMIFS('05_상품별배치367'!$K$7:$K$373,'05_상품별배치367'!$E$7:$E$373,A1324,'05_상품별배치367'!$H$7:$H$373,"본진")</f>
        <v>1</v>
      </c>
      <c r="P1324" s="7">
        <f>SUMIFS('05_상품별배치367'!$K$7:$K$373,'05_상품별배치367'!$E$7:$E$373,A1324,'05_상품별배치367'!$H$7:$H$373,"추가 진열")</f>
        <v>0</v>
      </c>
      <c r="Q1324" s="7">
        <f>O1324+P1324</f>
        <v>1</v>
      </c>
      <c r="R1324" s="7">
        <v>1</v>
      </c>
      <c r="S1324" s="6" t="s">
        <v>1636</v>
      </c>
      <c r="T1324" s="6" t="s">
        <v>1646</v>
      </c>
      <c r="U1324" s="6"/>
      <c r="V1324" s="16"/>
      <c r="W1324" s="16"/>
      <c r="X1324" s="16"/>
      <c r="Y1324" s="6" t="s">
        <v>1627</v>
      </c>
      <c r="Z1324" s="15"/>
      <c r="AA1324" s="15" t="s">
        <v>1628</v>
      </c>
    </row>
    <row r="1325" spans="1:27" ht="33" customHeight="1">
      <c r="A1325" s="6" t="s">
        <v>5851</v>
      </c>
      <c r="B1325" s="7">
        <v>1881</v>
      </c>
      <c r="C1325" s="6" t="s">
        <v>5852</v>
      </c>
      <c r="D1325" s="6" t="s">
        <v>1975</v>
      </c>
      <c r="E1325" s="6" t="s">
        <v>1632</v>
      </c>
      <c r="F1325" s="6" t="s">
        <v>1396</v>
      </c>
      <c r="G1325" s="6" t="s">
        <v>447</v>
      </c>
      <c r="H1325" s="6"/>
      <c r="I1325" s="14" t="s">
        <v>1642</v>
      </c>
      <c r="J1325" s="15"/>
      <c r="K1325" s="6" t="s">
        <v>1634</v>
      </c>
      <c r="L1325" s="6" t="s">
        <v>3828</v>
      </c>
      <c r="M1325" s="6" t="s">
        <v>1643</v>
      </c>
      <c r="N1325" s="6" t="s">
        <v>1624</v>
      </c>
      <c r="O1325" s="7">
        <f>SUMIFS('05_상품별배치367'!$K$7:$K$373,'05_상품별배치367'!$E$7:$E$373,A1325,'05_상품별배치367'!$H$7:$H$373,"본진")</f>
        <v>0</v>
      </c>
      <c r="P1325" s="7">
        <f>SUMIFS('05_상품별배치367'!$K$7:$K$373,'05_상품별배치367'!$E$7:$E$373,A1325,'05_상품별배치367'!$H$7:$H$373,"추가 진열")</f>
        <v>0</v>
      </c>
      <c r="Q1325" s="7">
        <f>O1325+P1325</f>
        <v>0</v>
      </c>
      <c r="R1325" s="7">
        <v>1</v>
      </c>
      <c r="S1325" s="6" t="s">
        <v>1679</v>
      </c>
      <c r="T1325" s="6" t="s">
        <v>1646</v>
      </c>
      <c r="U1325" s="6"/>
      <c r="V1325" s="16"/>
      <c r="W1325" s="16"/>
      <c r="X1325" s="16"/>
      <c r="Y1325" s="6" t="s">
        <v>1627</v>
      </c>
      <c r="Z1325" s="15"/>
      <c r="AA1325" s="15" t="s">
        <v>1628</v>
      </c>
    </row>
    <row r="1326" spans="1:27" ht="33" customHeight="1">
      <c r="A1326" s="8" t="s">
        <v>5860</v>
      </c>
      <c r="B1326" s="9">
        <v>1886</v>
      </c>
      <c r="C1326" s="8" t="s">
        <v>5861</v>
      </c>
      <c r="D1326" s="8" t="s">
        <v>1894</v>
      </c>
      <c r="E1326" s="8" t="s">
        <v>1632</v>
      </c>
      <c r="F1326" s="8" t="s">
        <v>1396</v>
      </c>
      <c r="G1326" s="8" t="s">
        <v>447</v>
      </c>
      <c r="H1326" s="8" t="s">
        <v>1395</v>
      </c>
      <c r="I1326" s="14" t="s">
        <v>1633</v>
      </c>
      <c r="J1326" s="15"/>
      <c r="K1326" s="8" t="s">
        <v>1634</v>
      </c>
      <c r="L1326" s="8" t="s">
        <v>3828</v>
      </c>
      <c r="M1326" s="6" t="s">
        <v>1635</v>
      </c>
      <c r="N1326" s="6" t="s">
        <v>1624</v>
      </c>
      <c r="O1326" s="7">
        <f>SUMIFS('05_상품별배치367'!$K$7:$K$373,'05_상품별배치367'!$E$7:$E$373,A1326,'05_상품별배치367'!$H$7:$H$373,"본진")</f>
        <v>1</v>
      </c>
      <c r="P1326" s="7">
        <f>SUMIFS('05_상품별배치367'!$K$7:$K$373,'05_상품별배치367'!$E$7:$E$373,A1326,'05_상품별배치367'!$H$7:$H$373,"추가 진열")</f>
        <v>0</v>
      </c>
      <c r="Q1326" s="7">
        <f>O1326+P1326</f>
        <v>1</v>
      </c>
      <c r="R1326" s="7">
        <v>1</v>
      </c>
      <c r="S1326" s="6" t="s">
        <v>1636</v>
      </c>
      <c r="T1326" s="6" t="s">
        <v>1646</v>
      </c>
      <c r="U1326" s="6"/>
      <c r="V1326" s="16"/>
      <c r="W1326" s="16"/>
      <c r="X1326" s="16"/>
      <c r="Y1326" s="6" t="s">
        <v>1627</v>
      </c>
      <c r="Z1326" s="15"/>
      <c r="AA1326" s="15" t="s">
        <v>1628</v>
      </c>
    </row>
    <row r="1327" spans="1:27" ht="33" customHeight="1">
      <c r="A1327" s="8" t="s">
        <v>1416</v>
      </c>
      <c r="B1327" s="9">
        <v>1884</v>
      </c>
      <c r="C1327" s="8" t="s">
        <v>1415</v>
      </c>
      <c r="D1327" s="8" t="s">
        <v>1773</v>
      </c>
      <c r="E1327" s="8" t="s">
        <v>1632</v>
      </c>
      <c r="F1327" s="8" t="s">
        <v>1396</v>
      </c>
      <c r="G1327" s="8" t="s">
        <v>447</v>
      </c>
      <c r="H1327" s="8" t="s">
        <v>1414</v>
      </c>
      <c r="I1327" s="14" t="s">
        <v>1633</v>
      </c>
      <c r="J1327" s="15"/>
      <c r="K1327" s="8" t="s">
        <v>1634</v>
      </c>
      <c r="L1327" s="8" t="s">
        <v>3828</v>
      </c>
      <c r="M1327" s="6" t="s">
        <v>1635</v>
      </c>
      <c r="N1327" s="6" t="s">
        <v>1624</v>
      </c>
      <c r="O1327" s="7">
        <f>SUMIFS('05_상품별배치367'!$K$7:$K$373,'05_상품별배치367'!$E$7:$E$373,A1327,'05_상품별배치367'!$H$7:$H$373,"본진")</f>
        <v>1</v>
      </c>
      <c r="P1327" s="7">
        <f>SUMIFS('05_상품별배치367'!$K$7:$K$373,'05_상품별배치367'!$E$7:$E$373,A1327,'05_상품별배치367'!$H$7:$H$373,"추가 진열")</f>
        <v>0</v>
      </c>
      <c r="Q1327" s="7">
        <f>O1327+P1327</f>
        <v>1</v>
      </c>
      <c r="R1327" s="7">
        <v>1</v>
      </c>
      <c r="S1327" s="6" t="s">
        <v>1636</v>
      </c>
      <c r="T1327" s="6" t="s">
        <v>1646</v>
      </c>
      <c r="U1327" s="6"/>
      <c r="V1327" s="16"/>
      <c r="W1327" s="16"/>
      <c r="X1327" s="16"/>
      <c r="Y1327" s="6" t="s">
        <v>1627</v>
      </c>
      <c r="Z1327" s="15"/>
      <c r="AA1327" s="15" t="s">
        <v>1628</v>
      </c>
    </row>
    <row r="1328" spans="1:27" ht="33" customHeight="1">
      <c r="A1328" s="8" t="s">
        <v>5849</v>
      </c>
      <c r="B1328" s="9">
        <v>1880</v>
      </c>
      <c r="C1328" s="8" t="s">
        <v>5850</v>
      </c>
      <c r="D1328" s="8" t="s">
        <v>3600</v>
      </c>
      <c r="E1328" s="8" t="s">
        <v>1632</v>
      </c>
      <c r="F1328" s="8" t="s">
        <v>1396</v>
      </c>
      <c r="G1328" s="8" t="s">
        <v>447</v>
      </c>
      <c r="H1328" s="8" t="s">
        <v>1395</v>
      </c>
      <c r="I1328" s="14" t="s">
        <v>1633</v>
      </c>
      <c r="J1328" s="15"/>
      <c r="K1328" s="8" t="s">
        <v>1634</v>
      </c>
      <c r="L1328" s="8" t="s">
        <v>3828</v>
      </c>
      <c r="M1328" s="6" t="s">
        <v>1635</v>
      </c>
      <c r="N1328" s="6" t="s">
        <v>1624</v>
      </c>
      <c r="O1328" s="7">
        <f>SUMIFS('05_상품별배치367'!$K$7:$K$373,'05_상품별배치367'!$E$7:$E$373,A1328,'05_상품별배치367'!$H$7:$H$373,"본진")</f>
        <v>1</v>
      </c>
      <c r="P1328" s="7">
        <f>SUMIFS('05_상품별배치367'!$K$7:$K$373,'05_상품별배치367'!$E$7:$E$373,A1328,'05_상품별배치367'!$H$7:$H$373,"추가 진열")</f>
        <v>0</v>
      </c>
      <c r="Q1328" s="7">
        <f>O1328+P1328</f>
        <v>1</v>
      </c>
      <c r="R1328" s="7">
        <v>1</v>
      </c>
      <c r="S1328" s="6" t="s">
        <v>1636</v>
      </c>
      <c r="T1328" s="6" t="s">
        <v>1646</v>
      </c>
      <c r="U1328" s="6"/>
      <c r="V1328" s="16"/>
      <c r="W1328" s="16"/>
      <c r="X1328" s="16"/>
      <c r="Y1328" s="6" t="s">
        <v>1627</v>
      </c>
      <c r="Z1328" s="15"/>
      <c r="AA1328" s="15" t="s">
        <v>1628</v>
      </c>
    </row>
    <row r="1329" spans="1:27" ht="33" customHeight="1">
      <c r="A1329" s="8" t="s">
        <v>5853</v>
      </c>
      <c r="B1329" s="9">
        <v>1882</v>
      </c>
      <c r="C1329" s="8" t="s">
        <v>5854</v>
      </c>
      <c r="D1329" s="8" t="s">
        <v>1773</v>
      </c>
      <c r="E1329" s="8" t="s">
        <v>1641</v>
      </c>
      <c r="F1329" s="8" t="s">
        <v>699</v>
      </c>
      <c r="G1329" s="8" t="s">
        <v>99</v>
      </c>
      <c r="H1329" s="8" t="s">
        <v>698</v>
      </c>
      <c r="I1329" s="14" t="s">
        <v>1633</v>
      </c>
      <c r="J1329" s="15"/>
      <c r="K1329" s="8" t="s">
        <v>1634</v>
      </c>
      <c r="L1329" s="8" t="s">
        <v>3828</v>
      </c>
      <c r="M1329" s="6" t="s">
        <v>1635</v>
      </c>
      <c r="N1329" s="6" t="s">
        <v>1624</v>
      </c>
      <c r="O1329" s="7">
        <f>SUMIFS('05_상품별배치367'!$K$7:$K$373,'05_상품별배치367'!$E$7:$E$373,A1329,'05_상품별배치367'!$H$7:$H$373,"본진")</f>
        <v>1</v>
      </c>
      <c r="P1329" s="7">
        <f>SUMIFS('05_상품별배치367'!$K$7:$K$373,'05_상품별배치367'!$E$7:$E$373,A1329,'05_상품별배치367'!$H$7:$H$373,"추가 진열")</f>
        <v>0</v>
      </c>
      <c r="Q1329" s="7">
        <f>O1329+P1329</f>
        <v>1</v>
      </c>
      <c r="R1329" s="7">
        <v>1</v>
      </c>
      <c r="S1329" s="6" t="s">
        <v>1636</v>
      </c>
      <c r="T1329" s="6" t="s">
        <v>1646</v>
      </c>
      <c r="U1329" s="6"/>
      <c r="V1329" s="16"/>
      <c r="W1329" s="16"/>
      <c r="X1329" s="16"/>
      <c r="Y1329" s="6" t="s">
        <v>1627</v>
      </c>
      <c r="Z1329" s="15"/>
      <c r="AA1329" s="15" t="s">
        <v>1628</v>
      </c>
    </row>
    <row r="1330" spans="1:27" ht="33" customHeight="1">
      <c r="A1330" s="6" t="s">
        <v>5843</v>
      </c>
      <c r="B1330" s="7">
        <v>1877</v>
      </c>
      <c r="C1330" s="6" t="s">
        <v>5844</v>
      </c>
      <c r="D1330" s="6" t="s">
        <v>1773</v>
      </c>
      <c r="E1330" s="6" t="s">
        <v>1641</v>
      </c>
      <c r="F1330" s="6" t="s">
        <v>699</v>
      </c>
      <c r="G1330" s="6" t="s">
        <v>99</v>
      </c>
      <c r="H1330" s="6"/>
      <c r="I1330" s="14" t="s">
        <v>1642</v>
      </c>
      <c r="J1330" s="15"/>
      <c r="K1330" s="6" t="s">
        <v>1634</v>
      </c>
      <c r="L1330" s="6" t="s">
        <v>3828</v>
      </c>
      <c r="M1330" s="6" t="s">
        <v>1643</v>
      </c>
      <c r="N1330" s="6" t="s">
        <v>1624</v>
      </c>
      <c r="O1330" s="7">
        <f>SUMIFS('05_상품별배치367'!$K$7:$K$373,'05_상품별배치367'!$E$7:$E$373,A1330,'05_상품별배치367'!$H$7:$H$373,"본진")</f>
        <v>0</v>
      </c>
      <c r="P1330" s="7">
        <f>SUMIFS('05_상품별배치367'!$K$7:$K$373,'05_상품별배치367'!$E$7:$E$373,A1330,'05_상품별배치367'!$H$7:$H$373,"추가 진열")</f>
        <v>0</v>
      </c>
      <c r="Q1330" s="7">
        <f>O1330+P1330</f>
        <v>0</v>
      </c>
      <c r="R1330" s="7">
        <v>1</v>
      </c>
      <c r="S1330" s="6" t="s">
        <v>1659</v>
      </c>
      <c r="T1330" s="6" t="s">
        <v>1646</v>
      </c>
      <c r="U1330" s="6"/>
      <c r="V1330" s="16"/>
      <c r="W1330" s="16"/>
      <c r="X1330" s="16"/>
      <c r="Y1330" s="6" t="s">
        <v>1627</v>
      </c>
      <c r="Z1330" s="15"/>
      <c r="AA1330" s="15" t="s">
        <v>1628</v>
      </c>
    </row>
    <row r="1331" spans="1:27" ht="33" customHeight="1">
      <c r="A1331" s="6" t="s">
        <v>5847</v>
      </c>
      <c r="B1331" s="7">
        <v>1879</v>
      </c>
      <c r="C1331" s="6" t="s">
        <v>5848</v>
      </c>
      <c r="D1331" s="6" t="s">
        <v>1773</v>
      </c>
      <c r="E1331" s="6" t="s">
        <v>1641</v>
      </c>
      <c r="F1331" s="6" t="s">
        <v>699</v>
      </c>
      <c r="G1331" s="6" t="s">
        <v>99</v>
      </c>
      <c r="H1331" s="6"/>
      <c r="I1331" s="14" t="s">
        <v>1642</v>
      </c>
      <c r="J1331" s="15"/>
      <c r="K1331" s="6" t="s">
        <v>1634</v>
      </c>
      <c r="L1331" s="6" t="s">
        <v>3828</v>
      </c>
      <c r="M1331" s="6" t="s">
        <v>1643</v>
      </c>
      <c r="N1331" s="6" t="s">
        <v>1624</v>
      </c>
      <c r="O1331" s="7">
        <f>SUMIFS('05_상품별배치367'!$K$7:$K$373,'05_상품별배치367'!$E$7:$E$373,A1331,'05_상품별배치367'!$H$7:$H$373,"본진")</f>
        <v>0</v>
      </c>
      <c r="P1331" s="7">
        <f>SUMIFS('05_상품별배치367'!$K$7:$K$373,'05_상품별배치367'!$E$7:$E$373,A1331,'05_상품별배치367'!$H$7:$H$373,"추가 진열")</f>
        <v>0</v>
      </c>
      <c r="Q1331" s="7">
        <f>O1331+P1331</f>
        <v>0</v>
      </c>
      <c r="R1331" s="7">
        <v>1</v>
      </c>
      <c r="S1331" s="6" t="s">
        <v>1659</v>
      </c>
      <c r="T1331" s="6" t="s">
        <v>1646</v>
      </c>
      <c r="U1331" s="6"/>
      <c r="V1331" s="16"/>
      <c r="W1331" s="16"/>
      <c r="X1331" s="16"/>
      <c r="Y1331" s="6" t="s">
        <v>1627</v>
      </c>
      <c r="Z1331" s="15"/>
      <c r="AA1331" s="15" t="s">
        <v>1628</v>
      </c>
    </row>
    <row r="1332" spans="1:27" ht="33" customHeight="1">
      <c r="A1332" s="6" t="s">
        <v>5855</v>
      </c>
      <c r="B1332" s="7">
        <v>1883</v>
      </c>
      <c r="C1332" s="6" t="s">
        <v>5856</v>
      </c>
      <c r="D1332" s="6" t="s">
        <v>5857</v>
      </c>
      <c r="E1332" s="6" t="s">
        <v>1641</v>
      </c>
      <c r="F1332" s="6" t="s">
        <v>699</v>
      </c>
      <c r="G1332" s="6" t="s">
        <v>99</v>
      </c>
      <c r="H1332" s="6"/>
      <c r="I1332" s="14" t="s">
        <v>1642</v>
      </c>
      <c r="J1332" s="15"/>
      <c r="K1332" s="6" t="s">
        <v>1634</v>
      </c>
      <c r="L1332" s="6" t="s">
        <v>3828</v>
      </c>
      <c r="M1332" s="6" t="s">
        <v>1643</v>
      </c>
      <c r="N1332" s="6" t="s">
        <v>1624</v>
      </c>
      <c r="O1332" s="7">
        <f>SUMIFS('05_상품별배치367'!$K$7:$K$373,'05_상품별배치367'!$E$7:$E$373,A1332,'05_상품별배치367'!$H$7:$H$373,"본진")</f>
        <v>0</v>
      </c>
      <c r="P1332" s="7">
        <f>SUMIFS('05_상품별배치367'!$K$7:$K$373,'05_상품별배치367'!$E$7:$E$373,A1332,'05_상품별배치367'!$H$7:$H$373,"추가 진열")</f>
        <v>0</v>
      </c>
      <c r="Q1332" s="7">
        <f>O1332+P1332</f>
        <v>0</v>
      </c>
      <c r="R1332" s="7">
        <v>1</v>
      </c>
      <c r="S1332" s="6" t="s">
        <v>1659</v>
      </c>
      <c r="T1332" s="6" t="s">
        <v>1646</v>
      </c>
      <c r="U1332" s="6"/>
      <c r="V1332" s="16"/>
      <c r="W1332" s="16"/>
      <c r="X1332" s="16"/>
      <c r="Y1332" s="6" t="s">
        <v>1627</v>
      </c>
      <c r="Z1332" s="15"/>
      <c r="AA1332" s="15" t="s">
        <v>1628</v>
      </c>
    </row>
    <row r="1333" spans="1:27" ht="33" customHeight="1">
      <c r="A1333" s="6" t="s">
        <v>5858</v>
      </c>
      <c r="B1333" s="7">
        <v>1885</v>
      </c>
      <c r="C1333" s="6" t="s">
        <v>5859</v>
      </c>
      <c r="D1333" s="6" t="s">
        <v>3169</v>
      </c>
      <c r="E1333" s="6" t="s">
        <v>1641</v>
      </c>
      <c r="F1333" s="6" t="s">
        <v>699</v>
      </c>
      <c r="G1333" s="6" t="s">
        <v>99</v>
      </c>
      <c r="H1333" s="6" t="s">
        <v>711</v>
      </c>
      <c r="I1333" s="14" t="s">
        <v>1642</v>
      </c>
      <c r="J1333" s="15"/>
      <c r="K1333" s="6" t="s">
        <v>1634</v>
      </c>
      <c r="L1333" s="6" t="s">
        <v>3828</v>
      </c>
      <c r="M1333" s="6" t="s">
        <v>1643</v>
      </c>
      <c r="N1333" s="6" t="s">
        <v>1624</v>
      </c>
      <c r="O1333" s="7">
        <f>SUMIFS('05_상품별배치367'!$K$7:$K$373,'05_상품별배치367'!$E$7:$E$373,A1333,'05_상품별배치367'!$H$7:$H$373,"본진")</f>
        <v>0</v>
      </c>
      <c r="P1333" s="7">
        <f>SUMIFS('05_상품별배치367'!$K$7:$K$373,'05_상품별배치367'!$E$7:$E$373,A1333,'05_상품별배치367'!$H$7:$H$373,"추가 진열")</f>
        <v>0</v>
      </c>
      <c r="Q1333" s="7">
        <f>O1333+P1333</f>
        <v>0</v>
      </c>
      <c r="R1333" s="7">
        <v>1</v>
      </c>
      <c r="S1333" s="6" t="s">
        <v>1659</v>
      </c>
      <c r="T1333" s="6" t="s">
        <v>1646</v>
      </c>
      <c r="U1333" s="6"/>
      <c r="V1333" s="16"/>
      <c r="W1333" s="16"/>
      <c r="X1333" s="16"/>
      <c r="Y1333" s="6" t="s">
        <v>1627</v>
      </c>
      <c r="Z1333" s="15"/>
      <c r="AA1333" s="15" t="s">
        <v>1628</v>
      </c>
    </row>
    <row r="1334" spans="1:27" ht="33" customHeight="1">
      <c r="A1334" s="6" t="s">
        <v>5867</v>
      </c>
      <c r="B1334" s="7">
        <v>1889</v>
      </c>
      <c r="C1334" s="6" t="s">
        <v>5868</v>
      </c>
      <c r="D1334" s="6" t="s">
        <v>1662</v>
      </c>
      <c r="E1334" s="6" t="s">
        <v>1641</v>
      </c>
      <c r="F1334" s="6" t="s">
        <v>699</v>
      </c>
      <c r="G1334" s="6" t="s">
        <v>99</v>
      </c>
      <c r="H1334" s="6" t="s">
        <v>698</v>
      </c>
      <c r="I1334" s="14" t="s">
        <v>1621</v>
      </c>
      <c r="J1334" s="15"/>
      <c r="K1334" s="6" t="s">
        <v>1634</v>
      </c>
      <c r="L1334" s="6" t="s">
        <v>3828</v>
      </c>
      <c r="M1334" s="6" t="s">
        <v>1623</v>
      </c>
      <c r="N1334" s="6" t="s">
        <v>1624</v>
      </c>
      <c r="O1334" s="7">
        <f>SUMIFS('05_상품별배치367'!$K$7:$K$373,'05_상품별배치367'!$E$7:$E$373,A1334,'05_상품별배치367'!$H$7:$H$373,"본진")</f>
        <v>2</v>
      </c>
      <c r="P1334" s="7">
        <f>SUMIFS('05_상품별배치367'!$K$7:$K$373,'05_상품별배치367'!$E$7:$E$373,A1334,'05_상품별배치367'!$H$7:$H$373,"추가 진열")</f>
        <v>0</v>
      </c>
      <c r="Q1334" s="7">
        <f>O1334+P1334</f>
        <v>2</v>
      </c>
      <c r="R1334" s="7">
        <v>2</v>
      </c>
      <c r="S1334" s="6" t="s">
        <v>1625</v>
      </c>
      <c r="T1334" s="6" t="s">
        <v>1646</v>
      </c>
      <c r="U1334" s="6"/>
      <c r="V1334" s="16"/>
      <c r="W1334" s="16"/>
      <c r="X1334" s="16"/>
      <c r="Y1334" s="6" t="s">
        <v>1627</v>
      </c>
      <c r="Z1334" s="15"/>
      <c r="AA1334" s="15" t="s">
        <v>1628</v>
      </c>
    </row>
    <row r="1335" spans="1:27" ht="33" customHeight="1">
      <c r="A1335" s="8" t="s">
        <v>5837</v>
      </c>
      <c r="B1335" s="9">
        <v>1874</v>
      </c>
      <c r="C1335" s="8" t="s">
        <v>5838</v>
      </c>
      <c r="D1335" s="8" t="s">
        <v>1773</v>
      </c>
      <c r="E1335" s="8" t="s">
        <v>1641</v>
      </c>
      <c r="F1335" s="8" t="s">
        <v>699</v>
      </c>
      <c r="G1335" s="8" t="s">
        <v>99</v>
      </c>
      <c r="H1335" s="8" t="s">
        <v>698</v>
      </c>
      <c r="I1335" s="14" t="s">
        <v>1633</v>
      </c>
      <c r="J1335" s="15"/>
      <c r="K1335" s="8" t="s">
        <v>1634</v>
      </c>
      <c r="L1335" s="8" t="s">
        <v>3828</v>
      </c>
      <c r="M1335" s="6" t="s">
        <v>1635</v>
      </c>
      <c r="N1335" s="6" t="s">
        <v>1624</v>
      </c>
      <c r="O1335" s="7">
        <f>SUMIFS('05_상품별배치367'!$K$7:$K$373,'05_상품별배치367'!$E$7:$E$373,A1335,'05_상품별배치367'!$H$7:$H$373,"본진")</f>
        <v>1</v>
      </c>
      <c r="P1335" s="7">
        <f>SUMIFS('05_상품별배치367'!$K$7:$K$373,'05_상품별배치367'!$E$7:$E$373,A1335,'05_상품별배치367'!$H$7:$H$373,"추가 진열")</f>
        <v>0</v>
      </c>
      <c r="Q1335" s="7">
        <f>O1335+P1335</f>
        <v>1</v>
      </c>
      <c r="R1335" s="7">
        <v>1</v>
      </c>
      <c r="S1335" s="6" t="s">
        <v>1636</v>
      </c>
      <c r="T1335" s="6" t="s">
        <v>1646</v>
      </c>
      <c r="U1335" s="6"/>
      <c r="V1335" s="16"/>
      <c r="W1335" s="16"/>
      <c r="X1335" s="16"/>
      <c r="Y1335" s="6" t="s">
        <v>1627</v>
      </c>
      <c r="Z1335" s="15"/>
      <c r="AA1335" s="15" t="s">
        <v>1628</v>
      </c>
    </row>
    <row r="1336" spans="1:27" ht="33" customHeight="1">
      <c r="A1336" s="6" t="s">
        <v>1638</v>
      </c>
      <c r="B1336" s="7">
        <v>5</v>
      </c>
      <c r="C1336" s="6" t="s">
        <v>1639</v>
      </c>
      <c r="D1336" s="6" t="s">
        <v>1640</v>
      </c>
      <c r="E1336" s="6" t="s">
        <v>1641</v>
      </c>
      <c r="F1336" s="6" t="s">
        <v>670</v>
      </c>
      <c r="G1336" s="6" t="s">
        <v>91</v>
      </c>
      <c r="H1336" s="6"/>
      <c r="I1336" s="14" t="s">
        <v>1642</v>
      </c>
      <c r="J1336" s="15"/>
      <c r="K1336" s="6" t="s">
        <v>1634</v>
      </c>
      <c r="L1336" s="6"/>
      <c r="M1336" s="6" t="s">
        <v>1643</v>
      </c>
      <c r="N1336" s="6" t="s">
        <v>1644</v>
      </c>
      <c r="O1336" s="7">
        <f>SUMIFS('05_상품별배치367'!$K$7:$K$373,'05_상품별배치367'!$E$7:$E$373,A1336,'05_상품별배치367'!$H$7:$H$373,"본진")</f>
        <v>0</v>
      </c>
      <c r="P1336" s="7">
        <f>SUMIFS('05_상품별배치367'!$K$7:$K$373,'05_상품별배치367'!$E$7:$E$373,A1336,'05_상품별배치367'!$H$7:$H$373,"추가 진열")</f>
        <v>0</v>
      </c>
      <c r="Q1336" s="7">
        <f>O1336+P1336</f>
        <v>0</v>
      </c>
      <c r="R1336" s="7">
        <v>1</v>
      </c>
      <c r="S1336" s="6" t="s">
        <v>1645</v>
      </c>
      <c r="T1336" s="6" t="s">
        <v>1646</v>
      </c>
      <c r="U1336" s="6"/>
      <c r="V1336" s="16"/>
      <c r="W1336" s="16"/>
      <c r="X1336" s="16"/>
      <c r="Y1336" s="6" t="s">
        <v>1627</v>
      </c>
      <c r="Z1336" s="15"/>
      <c r="AA1336" s="15" t="s">
        <v>1628</v>
      </c>
    </row>
    <row r="1337" spans="1:27" ht="33" customHeight="1">
      <c r="A1337" s="8" t="s">
        <v>3982</v>
      </c>
      <c r="B1337" s="9">
        <v>996</v>
      </c>
      <c r="C1337" s="8" t="s">
        <v>3983</v>
      </c>
      <c r="D1337" s="8" t="s">
        <v>2007</v>
      </c>
      <c r="E1337" s="8" t="s">
        <v>2134</v>
      </c>
      <c r="F1337" s="8" t="s">
        <v>2933</v>
      </c>
      <c r="G1337" s="8" t="s">
        <v>1668</v>
      </c>
      <c r="H1337" s="8"/>
      <c r="I1337" s="14" t="s">
        <v>1807</v>
      </c>
      <c r="J1337" s="15"/>
      <c r="K1337" s="8" t="s">
        <v>1976</v>
      </c>
      <c r="L1337" s="8" t="s">
        <v>2032</v>
      </c>
      <c r="M1337" s="6" t="s">
        <v>1809</v>
      </c>
      <c r="N1337" s="6" t="s">
        <v>1644</v>
      </c>
      <c r="O1337" s="7">
        <f>SUMIFS('05_상품별배치367'!$K$7:$K$373,'05_상품별배치367'!$E$7:$E$373,A1337,'05_상품별배치367'!$H$7:$H$373,"본진")</f>
        <v>0</v>
      </c>
      <c r="P1337" s="7">
        <f>SUMIFS('05_상품별배치367'!$K$7:$K$373,'05_상품별배치367'!$E$7:$E$373,A1337,'05_상품별배치367'!$H$7:$H$373,"추가 진열")</f>
        <v>0</v>
      </c>
      <c r="Q1337" s="7">
        <f>O1337+P1337</f>
        <v>0</v>
      </c>
      <c r="R1337" s="7">
        <v>0</v>
      </c>
      <c r="S1337" s="6" t="s">
        <v>1810</v>
      </c>
      <c r="T1337" s="6" t="s">
        <v>1637</v>
      </c>
      <c r="U1337" s="6"/>
      <c r="V1337" s="16"/>
      <c r="W1337" s="16"/>
      <c r="X1337" s="16"/>
      <c r="Y1337" s="6" t="s">
        <v>1627</v>
      </c>
      <c r="Z1337" s="15"/>
      <c r="AA1337" s="15" t="s">
        <v>1628</v>
      </c>
    </row>
    <row r="1338" spans="1:27" ht="33" customHeight="1">
      <c r="A1338" s="8" t="s">
        <v>3978</v>
      </c>
      <c r="B1338" s="9">
        <v>994</v>
      </c>
      <c r="C1338" s="8" t="s">
        <v>3979</v>
      </c>
      <c r="D1338" s="8" t="s">
        <v>3055</v>
      </c>
      <c r="E1338" s="8" t="s">
        <v>2134</v>
      </c>
      <c r="F1338" s="8" t="s">
        <v>1081</v>
      </c>
      <c r="G1338" s="8" t="s">
        <v>290</v>
      </c>
      <c r="H1338" s="8"/>
      <c r="I1338" s="14" t="s">
        <v>1642</v>
      </c>
      <c r="J1338" s="15"/>
      <c r="K1338" s="8" t="s">
        <v>1976</v>
      </c>
      <c r="L1338" s="8"/>
      <c r="M1338" s="6" t="s">
        <v>1643</v>
      </c>
      <c r="N1338" s="6" t="s">
        <v>1644</v>
      </c>
      <c r="O1338" s="7">
        <f>SUMIFS('05_상품별배치367'!$K$7:$K$373,'05_상품별배치367'!$E$7:$E$373,A1338,'05_상품별배치367'!$H$7:$H$373,"본진")</f>
        <v>0</v>
      </c>
      <c r="P1338" s="7">
        <f>SUMIFS('05_상품별배치367'!$K$7:$K$373,'05_상품별배치367'!$E$7:$E$373,A1338,'05_상품별배치367'!$H$7:$H$373,"추가 진열")</f>
        <v>0</v>
      </c>
      <c r="Q1338" s="7">
        <f>O1338+P1338</f>
        <v>0</v>
      </c>
      <c r="R1338" s="7">
        <v>1</v>
      </c>
      <c r="S1338" s="6" t="s">
        <v>2135</v>
      </c>
      <c r="T1338" s="6" t="s">
        <v>1637</v>
      </c>
      <c r="U1338" s="6"/>
      <c r="V1338" s="16"/>
      <c r="W1338" s="16"/>
      <c r="X1338" s="16"/>
      <c r="Y1338" s="6" t="s">
        <v>1627</v>
      </c>
      <c r="Z1338" s="15"/>
      <c r="AA1338" s="15" t="s">
        <v>1628</v>
      </c>
    </row>
    <row r="1339" spans="1:27" ht="33" customHeight="1">
      <c r="A1339" s="6" t="s">
        <v>3980</v>
      </c>
      <c r="B1339" s="7">
        <v>995</v>
      </c>
      <c r="C1339" s="6" t="s">
        <v>3981</v>
      </c>
      <c r="D1339" s="6" t="s">
        <v>2856</v>
      </c>
      <c r="E1339" s="6" t="s">
        <v>2134</v>
      </c>
      <c r="F1339" s="6" t="s">
        <v>1081</v>
      </c>
      <c r="G1339" s="6" t="s">
        <v>290</v>
      </c>
      <c r="H1339" s="6"/>
      <c r="I1339" s="14" t="s">
        <v>1642</v>
      </c>
      <c r="J1339" s="15"/>
      <c r="K1339" s="6" t="s">
        <v>1976</v>
      </c>
      <c r="L1339" s="6"/>
      <c r="M1339" s="6" t="s">
        <v>1643</v>
      </c>
      <c r="N1339" s="6" t="s">
        <v>1644</v>
      </c>
      <c r="O1339" s="7">
        <f>SUMIFS('05_상품별배치367'!$K$7:$K$373,'05_상품별배치367'!$E$7:$E$373,A1339,'05_상품별배치367'!$H$7:$H$373,"본진")</f>
        <v>0</v>
      </c>
      <c r="P1339" s="7">
        <f>SUMIFS('05_상품별배치367'!$K$7:$K$373,'05_상품별배치367'!$E$7:$E$373,A1339,'05_상품별배치367'!$H$7:$H$373,"추가 진열")</f>
        <v>0</v>
      </c>
      <c r="Q1339" s="7">
        <f>O1339+P1339</f>
        <v>0</v>
      </c>
      <c r="R1339" s="7">
        <v>1</v>
      </c>
      <c r="S1339" s="6" t="s">
        <v>2135</v>
      </c>
      <c r="T1339" s="6" t="s">
        <v>1637</v>
      </c>
      <c r="U1339" s="6"/>
      <c r="V1339" s="16"/>
      <c r="W1339" s="16"/>
      <c r="X1339" s="16"/>
      <c r="Y1339" s="6" t="s">
        <v>1627</v>
      </c>
      <c r="Z1339" s="15"/>
      <c r="AA1339" s="15" t="s">
        <v>1628</v>
      </c>
    </row>
    <row r="1340" spans="1:27" ht="33" customHeight="1">
      <c r="A1340" s="6" t="s">
        <v>6625</v>
      </c>
      <c r="B1340" s="7">
        <v>2225</v>
      </c>
      <c r="C1340" s="6" t="s">
        <v>6626</v>
      </c>
      <c r="D1340" s="6" t="s">
        <v>3164</v>
      </c>
      <c r="E1340" s="6" t="s">
        <v>2134</v>
      </c>
      <c r="F1340" s="6" t="s">
        <v>2933</v>
      </c>
      <c r="G1340" s="6" t="s">
        <v>1668</v>
      </c>
      <c r="H1340" s="6"/>
      <c r="I1340" s="14" t="s">
        <v>1807</v>
      </c>
      <c r="J1340" s="15"/>
      <c r="K1340" s="6" t="s">
        <v>1976</v>
      </c>
      <c r="L1340" s="6" t="s">
        <v>2032</v>
      </c>
      <c r="M1340" s="6" t="s">
        <v>1809</v>
      </c>
      <c r="N1340" s="6" t="s">
        <v>1644</v>
      </c>
      <c r="O1340" s="7">
        <f>SUMIFS('05_상품별배치367'!$K$7:$K$373,'05_상품별배치367'!$E$7:$E$373,A1340,'05_상품별배치367'!$H$7:$H$373,"본진")</f>
        <v>0</v>
      </c>
      <c r="P1340" s="7">
        <f>SUMIFS('05_상품별배치367'!$K$7:$K$373,'05_상품별배치367'!$E$7:$E$373,A1340,'05_상품별배치367'!$H$7:$H$373,"추가 진열")</f>
        <v>0</v>
      </c>
      <c r="Q1340" s="7">
        <f>O1340+P1340</f>
        <v>0</v>
      </c>
      <c r="R1340" s="7">
        <v>0</v>
      </c>
      <c r="S1340" s="6" t="s">
        <v>1810</v>
      </c>
      <c r="T1340" s="6" t="s">
        <v>1637</v>
      </c>
      <c r="U1340" s="6"/>
      <c r="V1340" s="16"/>
      <c r="W1340" s="16"/>
      <c r="X1340" s="16"/>
      <c r="Y1340" s="6" t="s">
        <v>1627</v>
      </c>
      <c r="Z1340" s="15"/>
      <c r="AA1340" s="15" t="s">
        <v>1628</v>
      </c>
    </row>
    <row r="1341" spans="1:27" ht="33" customHeight="1">
      <c r="A1341" s="6" t="s">
        <v>5911</v>
      </c>
      <c r="B1341" s="7">
        <v>1909</v>
      </c>
      <c r="C1341" s="6" t="s">
        <v>5912</v>
      </c>
      <c r="D1341" s="6"/>
      <c r="E1341" s="6" t="s">
        <v>1743</v>
      </c>
      <c r="F1341" s="6" t="s">
        <v>776</v>
      </c>
      <c r="G1341" s="6" t="s">
        <v>131</v>
      </c>
      <c r="H1341" s="6"/>
      <c r="I1341" s="14" t="s">
        <v>1807</v>
      </c>
      <c r="J1341" s="15"/>
      <c r="K1341" s="6" t="s">
        <v>1696</v>
      </c>
      <c r="L1341" s="6" t="s">
        <v>2079</v>
      </c>
      <c r="M1341" s="6" t="s">
        <v>1809</v>
      </c>
      <c r="N1341" s="6" t="s">
        <v>1644</v>
      </c>
      <c r="O1341" s="7">
        <f>SUMIFS('05_상품별배치367'!$K$7:$K$373,'05_상품별배치367'!$E$7:$E$373,A1341,'05_상품별배치367'!$H$7:$H$373,"본진")</f>
        <v>0</v>
      </c>
      <c r="P1341" s="7">
        <f>SUMIFS('05_상품별배치367'!$K$7:$K$373,'05_상품별배치367'!$E$7:$E$373,A1341,'05_상품별배치367'!$H$7:$H$373,"추가 진열")</f>
        <v>0</v>
      </c>
      <c r="Q1341" s="7">
        <f>O1341+P1341</f>
        <v>0</v>
      </c>
      <c r="R1341" s="7">
        <v>0</v>
      </c>
      <c r="S1341" s="6" t="s">
        <v>1810</v>
      </c>
      <c r="T1341" s="6" t="s">
        <v>1637</v>
      </c>
      <c r="U1341" s="6"/>
      <c r="V1341" s="16"/>
      <c r="W1341" s="16"/>
      <c r="X1341" s="16"/>
      <c r="Y1341" s="6" t="s">
        <v>5772</v>
      </c>
      <c r="Z1341" s="15"/>
      <c r="AA1341" s="15" t="s">
        <v>1628</v>
      </c>
    </row>
    <row r="1342" spans="1:27" ht="33" customHeight="1">
      <c r="A1342" s="6" t="s">
        <v>6389</v>
      </c>
      <c r="B1342" s="7">
        <v>2115</v>
      </c>
      <c r="C1342" s="6" t="s">
        <v>6390</v>
      </c>
      <c r="D1342" s="6" t="s">
        <v>6373</v>
      </c>
      <c r="E1342" s="6" t="s">
        <v>1743</v>
      </c>
      <c r="F1342" s="6" t="s">
        <v>776</v>
      </c>
      <c r="G1342" s="6" t="s">
        <v>455</v>
      </c>
      <c r="H1342" s="6" t="s">
        <v>1433</v>
      </c>
      <c r="I1342" s="14" t="s">
        <v>1633</v>
      </c>
      <c r="J1342" s="15"/>
      <c r="K1342" s="6" t="s">
        <v>1696</v>
      </c>
      <c r="L1342" s="6"/>
      <c r="M1342" s="6" t="s">
        <v>1635</v>
      </c>
      <c r="N1342" s="6" t="s">
        <v>1624</v>
      </c>
      <c r="O1342" s="7">
        <f>SUMIFS('05_상품별배치367'!$K$7:$K$373,'05_상품별배치367'!$E$7:$E$373,A1342,'05_상품별배치367'!$H$7:$H$373,"본진")</f>
        <v>1</v>
      </c>
      <c r="P1342" s="7">
        <f>SUMIFS('05_상품별배치367'!$K$7:$K$373,'05_상품별배치367'!$E$7:$E$373,A1342,'05_상품별배치367'!$H$7:$H$373,"추가 진열")</f>
        <v>0</v>
      </c>
      <c r="Q1342" s="7">
        <f>O1342+P1342</f>
        <v>1</v>
      </c>
      <c r="R1342" s="7">
        <v>1</v>
      </c>
      <c r="S1342" s="6" t="s">
        <v>1636</v>
      </c>
      <c r="T1342" s="6" t="s">
        <v>1637</v>
      </c>
      <c r="U1342" s="6"/>
      <c r="V1342" s="16"/>
      <c r="W1342" s="16"/>
      <c r="X1342" s="16"/>
      <c r="Y1342" s="6" t="s">
        <v>1627</v>
      </c>
      <c r="Z1342" s="15"/>
      <c r="AA1342" s="15" t="s">
        <v>1628</v>
      </c>
    </row>
    <row r="1343" spans="1:27" ht="33" customHeight="1">
      <c r="A1343" s="8" t="s">
        <v>6391</v>
      </c>
      <c r="B1343" s="9">
        <v>2116</v>
      </c>
      <c r="C1343" s="8" t="s">
        <v>6392</v>
      </c>
      <c r="D1343" s="8" t="s">
        <v>6373</v>
      </c>
      <c r="E1343" s="8" t="s">
        <v>1743</v>
      </c>
      <c r="F1343" s="8" t="s">
        <v>2129</v>
      </c>
      <c r="G1343" s="8" t="s">
        <v>1668</v>
      </c>
      <c r="H1343" s="8"/>
      <c r="I1343" s="14" t="s">
        <v>1642</v>
      </c>
      <c r="J1343" s="15"/>
      <c r="K1343" s="8" t="s">
        <v>1696</v>
      </c>
      <c r="L1343" s="8"/>
      <c r="M1343" s="6" t="s">
        <v>1643</v>
      </c>
      <c r="N1343" s="6" t="s">
        <v>1644</v>
      </c>
      <c r="O1343" s="7">
        <f>SUMIFS('05_상품별배치367'!$K$7:$K$373,'05_상품별배치367'!$E$7:$E$373,A1343,'05_상품별배치367'!$H$7:$H$373,"본진")</f>
        <v>0</v>
      </c>
      <c r="P1343" s="7">
        <f>SUMIFS('05_상품별배치367'!$K$7:$K$373,'05_상품별배치367'!$E$7:$E$373,A1343,'05_상품별배치367'!$H$7:$H$373,"추가 진열")</f>
        <v>0</v>
      </c>
      <c r="Q1343" s="7">
        <f>O1343+P1343</f>
        <v>0</v>
      </c>
      <c r="R1343" s="7">
        <v>1</v>
      </c>
      <c r="S1343" s="6" t="s">
        <v>2130</v>
      </c>
      <c r="T1343" s="6" t="s">
        <v>1637</v>
      </c>
      <c r="U1343" s="6"/>
      <c r="V1343" s="16"/>
      <c r="W1343" s="16"/>
      <c r="X1343" s="16"/>
      <c r="Y1343" s="6" t="s">
        <v>1627</v>
      </c>
      <c r="Z1343" s="15"/>
      <c r="AA1343" s="15" t="s">
        <v>1628</v>
      </c>
    </row>
    <row r="1344" spans="1:27" ht="33" customHeight="1">
      <c r="A1344" s="6" t="s">
        <v>6393</v>
      </c>
      <c r="B1344" s="7">
        <v>2117</v>
      </c>
      <c r="C1344" s="6" t="s">
        <v>6394</v>
      </c>
      <c r="D1344" s="6" t="s">
        <v>6395</v>
      </c>
      <c r="E1344" s="6" t="s">
        <v>1743</v>
      </c>
      <c r="F1344" s="6" t="s">
        <v>2129</v>
      </c>
      <c r="G1344" s="6" t="s">
        <v>1668</v>
      </c>
      <c r="H1344" s="6"/>
      <c r="I1344" s="14" t="s">
        <v>1642</v>
      </c>
      <c r="J1344" s="15"/>
      <c r="K1344" s="6" t="s">
        <v>1696</v>
      </c>
      <c r="L1344" s="6"/>
      <c r="M1344" s="6" t="s">
        <v>1643</v>
      </c>
      <c r="N1344" s="6" t="s">
        <v>1644</v>
      </c>
      <c r="O1344" s="7">
        <f>SUMIFS('05_상품별배치367'!$K$7:$K$373,'05_상품별배치367'!$E$7:$E$373,A1344,'05_상품별배치367'!$H$7:$H$373,"본진")</f>
        <v>0</v>
      </c>
      <c r="P1344" s="7">
        <f>SUMIFS('05_상품별배치367'!$K$7:$K$373,'05_상품별배치367'!$E$7:$E$373,A1344,'05_상품별배치367'!$H$7:$H$373,"추가 진열")</f>
        <v>0</v>
      </c>
      <c r="Q1344" s="7">
        <f>O1344+P1344</f>
        <v>0</v>
      </c>
      <c r="R1344" s="7">
        <v>1</v>
      </c>
      <c r="S1344" s="6" t="s">
        <v>2130</v>
      </c>
      <c r="T1344" s="6" t="s">
        <v>1637</v>
      </c>
      <c r="U1344" s="6"/>
      <c r="V1344" s="16"/>
      <c r="W1344" s="16"/>
      <c r="X1344" s="16"/>
      <c r="Y1344" s="6" t="s">
        <v>1627</v>
      </c>
      <c r="Z1344" s="15"/>
      <c r="AA1344" s="15" t="s">
        <v>1628</v>
      </c>
    </row>
    <row r="1345" spans="1:27" ht="33" customHeight="1">
      <c r="A1345" s="6" t="s">
        <v>5068</v>
      </c>
      <c r="B1345" s="7">
        <v>1509</v>
      </c>
      <c r="C1345" s="6" t="s">
        <v>5069</v>
      </c>
      <c r="D1345" s="6" t="s">
        <v>2961</v>
      </c>
      <c r="E1345" s="6" t="s">
        <v>2134</v>
      </c>
      <c r="F1345" s="6" t="s">
        <v>2933</v>
      </c>
      <c r="G1345" s="6" t="s">
        <v>1668</v>
      </c>
      <c r="H1345" s="6"/>
      <c r="I1345" s="14" t="s">
        <v>1807</v>
      </c>
      <c r="J1345" s="15"/>
      <c r="K1345" s="6" t="s">
        <v>1976</v>
      </c>
      <c r="L1345" s="6" t="s">
        <v>2032</v>
      </c>
      <c r="M1345" s="6" t="s">
        <v>1809</v>
      </c>
      <c r="N1345" s="6" t="s">
        <v>1644</v>
      </c>
      <c r="O1345" s="7">
        <f>SUMIFS('05_상품별배치367'!$K$7:$K$373,'05_상품별배치367'!$E$7:$E$373,A1345,'05_상품별배치367'!$H$7:$H$373,"본진")</f>
        <v>0</v>
      </c>
      <c r="P1345" s="7">
        <f>SUMIFS('05_상품별배치367'!$K$7:$K$373,'05_상품별배치367'!$E$7:$E$373,A1345,'05_상품별배치367'!$H$7:$H$373,"추가 진열")</f>
        <v>0</v>
      </c>
      <c r="Q1345" s="7">
        <f>O1345+P1345</f>
        <v>0</v>
      </c>
      <c r="R1345" s="7">
        <v>0</v>
      </c>
      <c r="S1345" s="6" t="s">
        <v>1810</v>
      </c>
      <c r="T1345" s="6" t="s">
        <v>1637</v>
      </c>
      <c r="U1345" s="6"/>
      <c r="V1345" s="16"/>
      <c r="W1345" s="16"/>
      <c r="X1345" s="16"/>
      <c r="Y1345" s="6" t="s">
        <v>1627</v>
      </c>
      <c r="Z1345" s="15"/>
      <c r="AA1345" s="15" t="s">
        <v>1628</v>
      </c>
    </row>
    <row r="1346" spans="1:27" ht="33" customHeight="1">
      <c r="A1346" s="8" t="s">
        <v>5070</v>
      </c>
      <c r="B1346" s="9">
        <v>1510</v>
      </c>
      <c r="C1346" s="8" t="s">
        <v>5071</v>
      </c>
      <c r="D1346" s="8" t="s">
        <v>3055</v>
      </c>
      <c r="E1346" s="8" t="s">
        <v>2134</v>
      </c>
      <c r="F1346" s="8" t="s">
        <v>163</v>
      </c>
      <c r="G1346" s="8" t="s">
        <v>414</v>
      </c>
      <c r="H1346" s="8"/>
      <c r="I1346" s="14" t="s">
        <v>1642</v>
      </c>
      <c r="J1346" s="15"/>
      <c r="K1346" s="8" t="s">
        <v>1976</v>
      </c>
      <c r="L1346" s="8"/>
      <c r="M1346" s="6" t="s">
        <v>1643</v>
      </c>
      <c r="N1346" s="6" t="s">
        <v>1644</v>
      </c>
      <c r="O1346" s="7">
        <f>SUMIFS('05_상품별배치367'!$K$7:$K$373,'05_상품별배치367'!$E$7:$E$373,A1346,'05_상품별배치367'!$H$7:$H$373,"본진")</f>
        <v>0</v>
      </c>
      <c r="P1346" s="7">
        <f>SUMIFS('05_상품별배치367'!$K$7:$K$373,'05_상품별배치367'!$E$7:$E$373,A1346,'05_상품별배치367'!$H$7:$H$373,"추가 진열")</f>
        <v>0</v>
      </c>
      <c r="Q1346" s="7">
        <f>O1346+P1346</f>
        <v>0</v>
      </c>
      <c r="R1346" s="7">
        <v>1</v>
      </c>
      <c r="S1346" s="6" t="s">
        <v>3048</v>
      </c>
      <c r="T1346" s="6" t="s">
        <v>1637</v>
      </c>
      <c r="U1346" s="6"/>
      <c r="V1346" s="16"/>
      <c r="W1346" s="16"/>
      <c r="X1346" s="16"/>
      <c r="Y1346" s="6" t="s">
        <v>1627</v>
      </c>
      <c r="Z1346" s="15"/>
      <c r="AA1346" s="15" t="s">
        <v>1628</v>
      </c>
    </row>
    <row r="1347" spans="1:27" ht="33" customHeight="1">
      <c r="A1347" s="6" t="s">
        <v>5072</v>
      </c>
      <c r="B1347" s="7">
        <v>1511</v>
      </c>
      <c r="C1347" s="6" t="s">
        <v>5073</v>
      </c>
      <c r="D1347" s="6" t="s">
        <v>3008</v>
      </c>
      <c r="E1347" s="6" t="s">
        <v>2134</v>
      </c>
      <c r="F1347" s="6" t="s">
        <v>161</v>
      </c>
      <c r="G1347" s="6" t="s">
        <v>395</v>
      </c>
      <c r="H1347" s="6"/>
      <c r="I1347" s="14" t="s">
        <v>1642</v>
      </c>
      <c r="J1347" s="15"/>
      <c r="K1347" s="6" t="s">
        <v>1976</v>
      </c>
      <c r="L1347" s="6"/>
      <c r="M1347" s="6" t="s">
        <v>1643</v>
      </c>
      <c r="N1347" s="6" t="s">
        <v>1644</v>
      </c>
      <c r="O1347" s="7">
        <f>SUMIFS('05_상품별배치367'!$K$7:$K$373,'05_상품별배치367'!$E$7:$E$373,A1347,'05_상품별배치367'!$H$7:$H$373,"본진")</f>
        <v>0</v>
      </c>
      <c r="P1347" s="7">
        <f>SUMIFS('05_상품별배치367'!$K$7:$K$373,'05_상품별배치367'!$E$7:$E$373,A1347,'05_상품별배치367'!$H$7:$H$373,"추가 진열")</f>
        <v>0</v>
      </c>
      <c r="Q1347" s="7">
        <f>O1347+P1347</f>
        <v>0</v>
      </c>
      <c r="R1347" s="7">
        <v>1</v>
      </c>
      <c r="S1347" s="6" t="s">
        <v>3070</v>
      </c>
      <c r="T1347" s="6" t="s">
        <v>1637</v>
      </c>
      <c r="U1347" s="6"/>
      <c r="V1347" s="16"/>
      <c r="W1347" s="16"/>
      <c r="X1347" s="16"/>
      <c r="Y1347" s="6" t="s">
        <v>1627</v>
      </c>
      <c r="Z1347" s="15"/>
      <c r="AA1347" s="15" t="s">
        <v>1628</v>
      </c>
    </row>
    <row r="1348" spans="1:27" ht="33" customHeight="1">
      <c r="A1348" s="8" t="s">
        <v>5066</v>
      </c>
      <c r="B1348" s="9">
        <v>1508</v>
      </c>
      <c r="C1348" s="8" t="s">
        <v>5067</v>
      </c>
      <c r="D1348" s="8" t="s">
        <v>2961</v>
      </c>
      <c r="E1348" s="8" t="s">
        <v>2134</v>
      </c>
      <c r="F1348" s="8" t="s">
        <v>162</v>
      </c>
      <c r="G1348" s="8" t="s">
        <v>404</v>
      </c>
      <c r="H1348" s="8"/>
      <c r="I1348" s="14" t="s">
        <v>1642</v>
      </c>
      <c r="J1348" s="15"/>
      <c r="K1348" s="8" t="s">
        <v>1976</v>
      </c>
      <c r="L1348" s="8"/>
      <c r="M1348" s="6" t="s">
        <v>1643</v>
      </c>
      <c r="N1348" s="6" t="s">
        <v>1644</v>
      </c>
      <c r="O1348" s="7">
        <f>SUMIFS('05_상품별배치367'!$K$7:$K$373,'05_상품별배치367'!$E$7:$E$373,A1348,'05_상품별배치367'!$H$7:$H$373,"본진")</f>
        <v>0</v>
      </c>
      <c r="P1348" s="7">
        <f>SUMIFS('05_상품별배치367'!$K$7:$K$373,'05_상품별배치367'!$E$7:$E$373,A1348,'05_상품별배치367'!$H$7:$H$373,"추가 진열")</f>
        <v>0</v>
      </c>
      <c r="Q1348" s="7">
        <f>O1348+P1348</f>
        <v>0</v>
      </c>
      <c r="R1348" s="7">
        <v>1</v>
      </c>
      <c r="S1348" s="6" t="s">
        <v>2996</v>
      </c>
      <c r="T1348" s="6" t="s">
        <v>1637</v>
      </c>
      <c r="U1348" s="6"/>
      <c r="V1348" s="16"/>
      <c r="W1348" s="16"/>
      <c r="X1348" s="16"/>
      <c r="Y1348" s="6" t="s">
        <v>1627</v>
      </c>
      <c r="Z1348" s="15"/>
      <c r="AA1348" s="15" t="s">
        <v>1628</v>
      </c>
    </row>
    <row r="1349" spans="1:27" ht="33" customHeight="1">
      <c r="A1349" s="8" t="s">
        <v>5074</v>
      </c>
      <c r="B1349" s="9">
        <v>1512</v>
      </c>
      <c r="C1349" s="8" t="s">
        <v>5075</v>
      </c>
      <c r="D1349" s="8" t="s">
        <v>2133</v>
      </c>
      <c r="E1349" s="8" t="s">
        <v>1986</v>
      </c>
      <c r="F1349" s="8" t="s">
        <v>493</v>
      </c>
      <c r="G1349" s="8" t="s">
        <v>299</v>
      </c>
      <c r="H1349" s="8"/>
      <c r="I1349" s="14" t="s">
        <v>1642</v>
      </c>
      <c r="J1349" s="15"/>
      <c r="K1349" s="8" t="s">
        <v>1976</v>
      </c>
      <c r="L1349" s="8"/>
      <c r="M1349" s="6" t="s">
        <v>1643</v>
      </c>
      <c r="N1349" s="6" t="s">
        <v>1644</v>
      </c>
      <c r="O1349" s="7">
        <f>SUMIFS('05_상품별배치367'!$K$7:$K$373,'05_상품별배치367'!$E$7:$E$373,A1349,'05_상품별배치367'!$H$7:$H$373,"본진")</f>
        <v>0</v>
      </c>
      <c r="P1349" s="7">
        <f>SUMIFS('05_상품별배치367'!$K$7:$K$373,'05_상품별배치367'!$E$7:$E$373,A1349,'05_상품별배치367'!$H$7:$H$373,"추가 진열")</f>
        <v>0</v>
      </c>
      <c r="Q1349" s="7">
        <f>O1349+P1349</f>
        <v>0</v>
      </c>
      <c r="R1349" s="7">
        <v>1</v>
      </c>
      <c r="S1349" s="6" t="s">
        <v>3084</v>
      </c>
      <c r="T1349" s="6" t="s">
        <v>1637</v>
      </c>
      <c r="U1349" s="6"/>
      <c r="V1349" s="16"/>
      <c r="W1349" s="16"/>
      <c r="X1349" s="16"/>
      <c r="Y1349" s="6" t="s">
        <v>1627</v>
      </c>
      <c r="Z1349" s="15"/>
      <c r="AA1349" s="15" t="s">
        <v>1628</v>
      </c>
    </row>
    <row r="1350" spans="1:27" ht="33" customHeight="1">
      <c r="A1350" s="6" t="s">
        <v>5078</v>
      </c>
      <c r="B1350" s="7">
        <v>1515</v>
      </c>
      <c r="C1350" s="6" t="s">
        <v>5079</v>
      </c>
      <c r="D1350" s="6" t="s">
        <v>1851</v>
      </c>
      <c r="E1350" s="6" t="s">
        <v>1986</v>
      </c>
      <c r="F1350" s="6" t="s">
        <v>493</v>
      </c>
      <c r="G1350" s="6" t="s">
        <v>299</v>
      </c>
      <c r="H1350" s="6"/>
      <c r="I1350" s="14" t="s">
        <v>1642</v>
      </c>
      <c r="J1350" s="15"/>
      <c r="K1350" s="6" t="s">
        <v>1976</v>
      </c>
      <c r="L1350" s="6"/>
      <c r="M1350" s="6" t="s">
        <v>1643</v>
      </c>
      <c r="N1350" s="6" t="s">
        <v>1644</v>
      </c>
      <c r="O1350" s="7">
        <f>SUMIFS('05_상품별배치367'!$K$7:$K$373,'05_상품별배치367'!$E$7:$E$373,A1350,'05_상품별배치367'!$H$7:$H$373,"본진")</f>
        <v>0</v>
      </c>
      <c r="P1350" s="7">
        <f>SUMIFS('05_상품별배치367'!$K$7:$K$373,'05_상품별배치367'!$E$7:$E$373,A1350,'05_상품별배치367'!$H$7:$H$373,"추가 진열")</f>
        <v>0</v>
      </c>
      <c r="Q1350" s="7">
        <f>O1350+P1350</f>
        <v>0</v>
      </c>
      <c r="R1350" s="7">
        <v>1</v>
      </c>
      <c r="S1350" s="6" t="s">
        <v>3084</v>
      </c>
      <c r="T1350" s="6" t="s">
        <v>1637</v>
      </c>
      <c r="U1350" s="6"/>
      <c r="V1350" s="16"/>
      <c r="W1350" s="16"/>
      <c r="X1350" s="16"/>
      <c r="Y1350" s="6" t="s">
        <v>1627</v>
      </c>
      <c r="Z1350" s="15"/>
      <c r="AA1350" s="15" t="s">
        <v>1628</v>
      </c>
    </row>
    <row r="1351" spans="1:27" ht="33" customHeight="1">
      <c r="A1351" s="6" t="s">
        <v>5076</v>
      </c>
      <c r="B1351" s="7">
        <v>1513</v>
      </c>
      <c r="C1351" s="6" t="s">
        <v>5077</v>
      </c>
      <c r="D1351" s="6" t="s">
        <v>3055</v>
      </c>
      <c r="E1351" s="6" t="s">
        <v>1986</v>
      </c>
      <c r="F1351" s="6" t="s">
        <v>493</v>
      </c>
      <c r="G1351" s="6" t="s">
        <v>299</v>
      </c>
      <c r="H1351" s="6"/>
      <c r="I1351" s="14" t="s">
        <v>1642</v>
      </c>
      <c r="J1351" s="15"/>
      <c r="K1351" s="6" t="s">
        <v>1976</v>
      </c>
      <c r="L1351" s="6"/>
      <c r="M1351" s="6" t="s">
        <v>1643</v>
      </c>
      <c r="N1351" s="6" t="s">
        <v>1644</v>
      </c>
      <c r="O1351" s="7">
        <f>SUMIFS('05_상품별배치367'!$K$7:$K$373,'05_상품별배치367'!$E$7:$E$373,A1351,'05_상품별배치367'!$H$7:$H$373,"본진")</f>
        <v>0</v>
      </c>
      <c r="P1351" s="7">
        <f>SUMIFS('05_상품별배치367'!$K$7:$K$373,'05_상품별배치367'!$E$7:$E$373,A1351,'05_상품별배치367'!$H$7:$H$373,"추가 진열")</f>
        <v>0</v>
      </c>
      <c r="Q1351" s="7">
        <f>O1351+P1351</f>
        <v>0</v>
      </c>
      <c r="R1351" s="7">
        <v>1</v>
      </c>
      <c r="S1351" s="6" t="s">
        <v>3084</v>
      </c>
      <c r="T1351" s="6" t="s">
        <v>1637</v>
      </c>
      <c r="U1351" s="6"/>
      <c r="V1351" s="16"/>
      <c r="W1351" s="16"/>
      <c r="X1351" s="16"/>
      <c r="Y1351" s="6" t="s">
        <v>1627</v>
      </c>
      <c r="Z1351" s="15"/>
      <c r="AA1351" s="15" t="s">
        <v>1628</v>
      </c>
    </row>
    <row r="1352" spans="1:27" ht="33" customHeight="1">
      <c r="A1352" s="8" t="s">
        <v>1113</v>
      </c>
      <c r="B1352" s="9">
        <v>1514</v>
      </c>
      <c r="C1352" s="8" t="s">
        <v>1112</v>
      </c>
      <c r="D1352" s="8" t="s">
        <v>1649</v>
      </c>
      <c r="E1352" s="8" t="s">
        <v>1986</v>
      </c>
      <c r="F1352" s="8" t="s">
        <v>493</v>
      </c>
      <c r="G1352" s="8" t="s">
        <v>299</v>
      </c>
      <c r="H1352" s="8" t="s">
        <v>1111</v>
      </c>
      <c r="I1352" s="14" t="s">
        <v>1633</v>
      </c>
      <c r="J1352" s="15"/>
      <c r="K1352" s="8" t="s">
        <v>1976</v>
      </c>
      <c r="L1352" s="8"/>
      <c r="M1352" s="6" t="s">
        <v>1635</v>
      </c>
      <c r="N1352" s="6" t="s">
        <v>1624</v>
      </c>
      <c r="O1352" s="7">
        <f>SUMIFS('05_상품별배치367'!$K$7:$K$373,'05_상품별배치367'!$E$7:$E$373,A1352,'05_상품별배치367'!$H$7:$H$373,"본진")</f>
        <v>1</v>
      </c>
      <c r="P1352" s="7">
        <f>SUMIFS('05_상품별배치367'!$K$7:$K$373,'05_상품별배치367'!$E$7:$E$373,A1352,'05_상품별배치367'!$H$7:$H$373,"추가 진열")</f>
        <v>0</v>
      </c>
      <c r="Q1352" s="7">
        <f>O1352+P1352</f>
        <v>1</v>
      </c>
      <c r="R1352" s="7">
        <v>1</v>
      </c>
      <c r="S1352" s="6" t="s">
        <v>1636</v>
      </c>
      <c r="T1352" s="6" t="s">
        <v>1637</v>
      </c>
      <c r="U1352" s="6"/>
      <c r="V1352" s="16"/>
      <c r="W1352" s="16"/>
      <c r="X1352" s="16"/>
      <c r="Y1352" s="6" t="s">
        <v>1627</v>
      </c>
      <c r="Z1352" s="15"/>
      <c r="AA1352" s="15" t="s">
        <v>1628</v>
      </c>
    </row>
    <row r="1353" spans="1:27" ht="33" customHeight="1">
      <c r="A1353" s="8" t="s">
        <v>5061</v>
      </c>
      <c r="B1353" s="9">
        <v>1506</v>
      </c>
      <c r="C1353" s="8" t="s">
        <v>5062</v>
      </c>
      <c r="D1353" s="8" t="s">
        <v>5063</v>
      </c>
      <c r="E1353" s="8" t="s">
        <v>2134</v>
      </c>
      <c r="F1353" s="8" t="s">
        <v>1263</v>
      </c>
      <c r="G1353" s="8" t="s">
        <v>376</v>
      </c>
      <c r="H1353" s="8"/>
      <c r="I1353" s="14" t="s">
        <v>1642</v>
      </c>
      <c r="J1353" s="15"/>
      <c r="K1353" s="8" t="s">
        <v>1976</v>
      </c>
      <c r="L1353" s="8"/>
      <c r="M1353" s="6" t="s">
        <v>1643</v>
      </c>
      <c r="N1353" s="6" t="s">
        <v>1644</v>
      </c>
      <c r="O1353" s="7">
        <f>SUMIFS('05_상품별배치367'!$K$7:$K$373,'05_상품별배치367'!$E$7:$E$373,A1353,'05_상품별배치367'!$H$7:$H$373,"본진")</f>
        <v>0</v>
      </c>
      <c r="P1353" s="7">
        <f>SUMIFS('05_상품별배치367'!$K$7:$K$373,'05_상품별배치367'!$E$7:$E$373,A1353,'05_상품별배치367'!$H$7:$H$373,"추가 진열")</f>
        <v>0</v>
      </c>
      <c r="Q1353" s="7">
        <f>O1353+P1353</f>
        <v>0</v>
      </c>
      <c r="R1353" s="7">
        <v>1</v>
      </c>
      <c r="S1353" s="6" t="s">
        <v>3016</v>
      </c>
      <c r="T1353" s="6" t="s">
        <v>1637</v>
      </c>
      <c r="U1353" s="6"/>
      <c r="V1353" s="16"/>
      <c r="W1353" s="16"/>
      <c r="X1353" s="16"/>
      <c r="Y1353" s="6" t="s">
        <v>1655</v>
      </c>
      <c r="Z1353" s="15"/>
      <c r="AA1353" s="15" t="s">
        <v>1628</v>
      </c>
    </row>
    <row r="1354" spans="1:27" ht="33" customHeight="1">
      <c r="A1354" s="6" t="s">
        <v>5064</v>
      </c>
      <c r="B1354" s="7">
        <v>1507</v>
      </c>
      <c r="C1354" s="6" t="s">
        <v>5065</v>
      </c>
      <c r="D1354" s="6" t="s">
        <v>2133</v>
      </c>
      <c r="E1354" s="6" t="s">
        <v>2134</v>
      </c>
      <c r="F1354" s="6" t="s">
        <v>163</v>
      </c>
      <c r="G1354" s="6" t="s">
        <v>414</v>
      </c>
      <c r="H1354" s="6"/>
      <c r="I1354" s="14" t="s">
        <v>1642</v>
      </c>
      <c r="J1354" s="15"/>
      <c r="K1354" s="6" t="s">
        <v>1976</v>
      </c>
      <c r="L1354" s="6"/>
      <c r="M1354" s="6" t="s">
        <v>1643</v>
      </c>
      <c r="N1354" s="6" t="s">
        <v>1644</v>
      </c>
      <c r="O1354" s="7">
        <f>SUMIFS('05_상품별배치367'!$K$7:$K$373,'05_상품별배치367'!$E$7:$E$373,A1354,'05_상품별배치367'!$H$7:$H$373,"본진")</f>
        <v>0</v>
      </c>
      <c r="P1354" s="7">
        <f>SUMIFS('05_상품별배치367'!$K$7:$K$373,'05_상품별배치367'!$E$7:$E$373,A1354,'05_상품별배치367'!$H$7:$H$373,"추가 진열")</f>
        <v>0</v>
      </c>
      <c r="Q1354" s="7">
        <f>O1354+P1354</f>
        <v>0</v>
      </c>
      <c r="R1354" s="7">
        <v>1</v>
      </c>
      <c r="S1354" s="6" t="s">
        <v>3048</v>
      </c>
      <c r="T1354" s="6" t="s">
        <v>1637</v>
      </c>
      <c r="U1354" s="6"/>
      <c r="V1354" s="16"/>
      <c r="W1354" s="16"/>
      <c r="X1354" s="16"/>
      <c r="Y1354" s="6" t="s">
        <v>1627</v>
      </c>
      <c r="Z1354" s="15"/>
      <c r="AA1354" s="15" t="s">
        <v>1628</v>
      </c>
    </row>
    <row r="1355" spans="1:27" ht="33" customHeight="1">
      <c r="A1355" s="8" t="s">
        <v>1726</v>
      </c>
      <c r="B1355" s="9">
        <v>28</v>
      </c>
      <c r="C1355" s="8" t="s">
        <v>1727</v>
      </c>
      <c r="D1355" s="8" t="s">
        <v>1631</v>
      </c>
      <c r="E1355" s="8" t="s">
        <v>1632</v>
      </c>
      <c r="F1355" s="8" t="s">
        <v>563</v>
      </c>
      <c r="G1355" s="8" t="s">
        <v>25</v>
      </c>
      <c r="H1355" s="8"/>
      <c r="I1355" s="14" t="s">
        <v>1642</v>
      </c>
      <c r="J1355" s="15"/>
      <c r="K1355" s="8" t="s">
        <v>1634</v>
      </c>
      <c r="L1355" s="8"/>
      <c r="M1355" s="6" t="s">
        <v>1643</v>
      </c>
      <c r="N1355" s="6" t="s">
        <v>1624</v>
      </c>
      <c r="O1355" s="7">
        <f>SUMIFS('05_상품별배치367'!$K$7:$K$373,'05_상품별배치367'!$E$7:$E$373,A1355,'05_상품별배치367'!$H$7:$H$373,"본진")</f>
        <v>0</v>
      </c>
      <c r="P1355" s="7">
        <f>SUMIFS('05_상품별배치367'!$K$7:$K$373,'05_상품별배치367'!$E$7:$E$373,A1355,'05_상품별배치367'!$H$7:$H$373,"추가 진열")</f>
        <v>0</v>
      </c>
      <c r="Q1355" s="7">
        <f>O1355+P1355</f>
        <v>0</v>
      </c>
      <c r="R1355" s="7">
        <v>1</v>
      </c>
      <c r="S1355" s="6" t="s">
        <v>1728</v>
      </c>
      <c r="T1355" s="6" t="s">
        <v>1637</v>
      </c>
      <c r="U1355" s="6"/>
      <c r="V1355" s="16"/>
      <c r="W1355" s="16"/>
      <c r="X1355" s="16"/>
      <c r="Y1355" s="6" t="s">
        <v>1627</v>
      </c>
      <c r="Z1355" s="15"/>
      <c r="AA1355" s="15" t="s">
        <v>1628</v>
      </c>
    </row>
    <row r="1356" spans="1:27" ht="33" customHeight="1">
      <c r="A1356" s="6" t="s">
        <v>4877</v>
      </c>
      <c r="B1356" s="7">
        <v>1421</v>
      </c>
      <c r="C1356" s="6" t="s">
        <v>4878</v>
      </c>
      <c r="D1356" s="6" t="s">
        <v>1658</v>
      </c>
      <c r="E1356" s="6" t="s">
        <v>2134</v>
      </c>
      <c r="F1356" s="6" t="s">
        <v>1081</v>
      </c>
      <c r="G1356" s="6" t="s">
        <v>290</v>
      </c>
      <c r="H1356" s="6"/>
      <c r="I1356" s="14" t="s">
        <v>1642</v>
      </c>
      <c r="J1356" s="15"/>
      <c r="K1356" s="6" t="s">
        <v>1976</v>
      </c>
      <c r="L1356" s="6"/>
      <c r="M1356" s="6" t="s">
        <v>1643</v>
      </c>
      <c r="N1356" s="6" t="s">
        <v>1644</v>
      </c>
      <c r="O1356" s="7">
        <f>SUMIFS('05_상품별배치367'!$K$7:$K$373,'05_상품별배치367'!$E$7:$E$373,A1356,'05_상품별배치367'!$H$7:$H$373,"본진")</f>
        <v>0</v>
      </c>
      <c r="P1356" s="7">
        <f>SUMIFS('05_상품별배치367'!$K$7:$K$373,'05_상품별배치367'!$E$7:$E$373,A1356,'05_상품별배치367'!$H$7:$H$373,"추가 진열")</f>
        <v>0</v>
      </c>
      <c r="Q1356" s="7">
        <f>O1356+P1356</f>
        <v>0</v>
      </c>
      <c r="R1356" s="7">
        <v>1</v>
      </c>
      <c r="S1356" s="6" t="s">
        <v>2135</v>
      </c>
      <c r="T1356" s="6" t="s">
        <v>1637</v>
      </c>
      <c r="U1356" s="6"/>
      <c r="V1356" s="16"/>
      <c r="W1356" s="16"/>
      <c r="X1356" s="16"/>
      <c r="Y1356" s="6" t="s">
        <v>1627</v>
      </c>
      <c r="Z1356" s="15"/>
      <c r="AA1356" s="15" t="s">
        <v>1628</v>
      </c>
    </row>
    <row r="1357" spans="1:27" ht="33" customHeight="1">
      <c r="A1357" s="8" t="s">
        <v>4879</v>
      </c>
      <c r="B1357" s="9">
        <v>1422</v>
      </c>
      <c r="C1357" s="8" t="s">
        <v>4880</v>
      </c>
      <c r="D1357" s="8" t="s">
        <v>4881</v>
      </c>
      <c r="E1357" s="8" t="s">
        <v>2134</v>
      </c>
      <c r="F1357" s="8" t="s">
        <v>1263</v>
      </c>
      <c r="G1357" s="8" t="s">
        <v>376</v>
      </c>
      <c r="H1357" s="8"/>
      <c r="I1357" s="14" t="s">
        <v>1642</v>
      </c>
      <c r="J1357" s="15"/>
      <c r="K1357" s="8" t="s">
        <v>1976</v>
      </c>
      <c r="L1357" s="8"/>
      <c r="M1357" s="6" t="s">
        <v>1643</v>
      </c>
      <c r="N1357" s="6" t="s">
        <v>1644</v>
      </c>
      <c r="O1357" s="7">
        <f>SUMIFS('05_상품별배치367'!$K$7:$K$373,'05_상품별배치367'!$E$7:$E$373,A1357,'05_상품별배치367'!$H$7:$H$373,"본진")</f>
        <v>0</v>
      </c>
      <c r="P1357" s="7">
        <f>SUMIFS('05_상품별배치367'!$K$7:$K$373,'05_상품별배치367'!$E$7:$E$373,A1357,'05_상품별배치367'!$H$7:$H$373,"추가 진열")</f>
        <v>0</v>
      </c>
      <c r="Q1357" s="7">
        <f>O1357+P1357</f>
        <v>0</v>
      </c>
      <c r="R1357" s="7">
        <v>1</v>
      </c>
      <c r="S1357" s="6" t="s">
        <v>3016</v>
      </c>
      <c r="T1357" s="6" t="s">
        <v>1637</v>
      </c>
      <c r="U1357" s="6"/>
      <c r="V1357" s="16"/>
      <c r="W1357" s="16"/>
      <c r="X1357" s="16"/>
      <c r="Y1357" s="6" t="s">
        <v>1627</v>
      </c>
      <c r="Z1357" s="15"/>
      <c r="AA1357" s="15" t="s">
        <v>1628</v>
      </c>
    </row>
    <row r="1358" spans="1:27" ht="33" customHeight="1">
      <c r="A1358" s="6" t="s">
        <v>4872</v>
      </c>
      <c r="B1358" s="7">
        <v>1419</v>
      </c>
      <c r="C1358" s="6" t="s">
        <v>4873</v>
      </c>
      <c r="D1358" s="6" t="s">
        <v>4874</v>
      </c>
      <c r="E1358" s="6" t="s">
        <v>2134</v>
      </c>
      <c r="F1358" s="6" t="s">
        <v>1081</v>
      </c>
      <c r="G1358" s="6" t="s">
        <v>290</v>
      </c>
      <c r="H1358" s="6"/>
      <c r="I1358" s="14" t="s">
        <v>1642</v>
      </c>
      <c r="J1358" s="15"/>
      <c r="K1358" s="6" t="s">
        <v>1976</v>
      </c>
      <c r="L1358" s="6"/>
      <c r="M1358" s="6" t="s">
        <v>1643</v>
      </c>
      <c r="N1358" s="6" t="s">
        <v>1644</v>
      </c>
      <c r="O1358" s="7">
        <f>SUMIFS('05_상품별배치367'!$K$7:$K$373,'05_상품별배치367'!$E$7:$E$373,A1358,'05_상품별배치367'!$H$7:$H$373,"본진")</f>
        <v>0</v>
      </c>
      <c r="P1358" s="7">
        <f>SUMIFS('05_상품별배치367'!$K$7:$K$373,'05_상품별배치367'!$E$7:$E$373,A1358,'05_상품별배치367'!$H$7:$H$373,"추가 진열")</f>
        <v>0</v>
      </c>
      <c r="Q1358" s="7">
        <f>O1358+P1358</f>
        <v>0</v>
      </c>
      <c r="R1358" s="7">
        <v>1</v>
      </c>
      <c r="S1358" s="6" t="s">
        <v>2135</v>
      </c>
      <c r="T1358" s="6" t="s">
        <v>1637</v>
      </c>
      <c r="U1358" s="6"/>
      <c r="V1358" s="16"/>
      <c r="W1358" s="16"/>
      <c r="X1358" s="16"/>
      <c r="Y1358" s="6" t="s">
        <v>1627</v>
      </c>
      <c r="Z1358" s="15"/>
      <c r="AA1358" s="15" t="s">
        <v>1628</v>
      </c>
    </row>
    <row r="1359" spans="1:27" ht="33" customHeight="1">
      <c r="A1359" s="8" t="s">
        <v>4884</v>
      </c>
      <c r="B1359" s="9">
        <v>1424</v>
      </c>
      <c r="C1359" s="8" t="s">
        <v>4885</v>
      </c>
      <c r="D1359" s="8" t="s">
        <v>4881</v>
      </c>
      <c r="E1359" s="8" t="s">
        <v>2134</v>
      </c>
      <c r="F1359" s="8" t="s">
        <v>1081</v>
      </c>
      <c r="G1359" s="8" t="s">
        <v>290</v>
      </c>
      <c r="H1359" s="8"/>
      <c r="I1359" s="14" t="s">
        <v>1642</v>
      </c>
      <c r="J1359" s="15"/>
      <c r="K1359" s="8" t="s">
        <v>1976</v>
      </c>
      <c r="L1359" s="8"/>
      <c r="M1359" s="6" t="s">
        <v>1643</v>
      </c>
      <c r="N1359" s="6" t="s">
        <v>1644</v>
      </c>
      <c r="O1359" s="7">
        <f>SUMIFS('05_상품별배치367'!$K$7:$K$373,'05_상품별배치367'!$E$7:$E$373,A1359,'05_상품별배치367'!$H$7:$H$373,"본진")</f>
        <v>0</v>
      </c>
      <c r="P1359" s="7">
        <f>SUMIFS('05_상품별배치367'!$K$7:$K$373,'05_상품별배치367'!$E$7:$E$373,A1359,'05_상품별배치367'!$H$7:$H$373,"추가 진열")</f>
        <v>0</v>
      </c>
      <c r="Q1359" s="7">
        <f>O1359+P1359</f>
        <v>0</v>
      </c>
      <c r="R1359" s="7">
        <v>1</v>
      </c>
      <c r="S1359" s="6" t="s">
        <v>2135</v>
      </c>
      <c r="T1359" s="6" t="s">
        <v>1637</v>
      </c>
      <c r="U1359" s="6"/>
      <c r="V1359" s="16"/>
      <c r="W1359" s="16"/>
      <c r="X1359" s="16"/>
      <c r="Y1359" s="6" t="s">
        <v>1627</v>
      </c>
      <c r="Z1359" s="15"/>
      <c r="AA1359" s="15" t="s">
        <v>1628</v>
      </c>
    </row>
    <row r="1360" spans="1:27" ht="33" customHeight="1">
      <c r="A1360" s="8" t="s">
        <v>4870</v>
      </c>
      <c r="B1360" s="9">
        <v>1418</v>
      </c>
      <c r="C1360" s="8" t="s">
        <v>4871</v>
      </c>
      <c r="D1360" s="8" t="s">
        <v>3872</v>
      </c>
      <c r="E1360" s="8" t="s">
        <v>2134</v>
      </c>
      <c r="F1360" s="8" t="s">
        <v>1081</v>
      </c>
      <c r="G1360" s="8" t="s">
        <v>290</v>
      </c>
      <c r="H1360" s="8"/>
      <c r="I1360" s="14" t="s">
        <v>1642</v>
      </c>
      <c r="J1360" s="15"/>
      <c r="K1360" s="8" t="s">
        <v>1976</v>
      </c>
      <c r="L1360" s="8"/>
      <c r="M1360" s="6" t="s">
        <v>1643</v>
      </c>
      <c r="N1360" s="6" t="s">
        <v>1644</v>
      </c>
      <c r="O1360" s="7">
        <f>SUMIFS('05_상품별배치367'!$K$7:$K$373,'05_상품별배치367'!$E$7:$E$373,A1360,'05_상품별배치367'!$H$7:$H$373,"본진")</f>
        <v>0</v>
      </c>
      <c r="P1360" s="7">
        <f>SUMIFS('05_상품별배치367'!$K$7:$K$373,'05_상품별배치367'!$E$7:$E$373,A1360,'05_상품별배치367'!$H$7:$H$373,"추가 진열")</f>
        <v>0</v>
      </c>
      <c r="Q1360" s="7">
        <f>O1360+P1360</f>
        <v>0</v>
      </c>
      <c r="R1360" s="7">
        <v>1</v>
      </c>
      <c r="S1360" s="6" t="s">
        <v>2135</v>
      </c>
      <c r="T1360" s="6" t="s">
        <v>1637</v>
      </c>
      <c r="U1360" s="6"/>
      <c r="V1360" s="16"/>
      <c r="W1360" s="16"/>
      <c r="X1360" s="16"/>
      <c r="Y1360" s="6" t="s">
        <v>1627</v>
      </c>
      <c r="Z1360" s="15"/>
      <c r="AA1360" s="15" t="s">
        <v>1628</v>
      </c>
    </row>
    <row r="1361" spans="1:27" ht="33" customHeight="1">
      <c r="A1361" s="8" t="s">
        <v>4875</v>
      </c>
      <c r="B1361" s="9">
        <v>1420</v>
      </c>
      <c r="C1361" s="8" t="s">
        <v>4876</v>
      </c>
      <c r="D1361" s="8" t="s">
        <v>3862</v>
      </c>
      <c r="E1361" s="8" t="s">
        <v>1986</v>
      </c>
      <c r="F1361" s="8" t="s">
        <v>913</v>
      </c>
      <c r="G1361" s="8" t="s">
        <v>201</v>
      </c>
      <c r="H1361" s="8"/>
      <c r="I1361" s="14" t="s">
        <v>1642</v>
      </c>
      <c r="J1361" s="15"/>
      <c r="K1361" s="8" t="s">
        <v>1976</v>
      </c>
      <c r="L1361" s="8"/>
      <c r="M1361" s="6" t="s">
        <v>1643</v>
      </c>
      <c r="N1361" s="6" t="s">
        <v>1644</v>
      </c>
      <c r="O1361" s="7">
        <f>SUMIFS('05_상품별배치367'!$K$7:$K$373,'05_상품별배치367'!$E$7:$E$373,A1361,'05_상품별배치367'!$H$7:$H$373,"본진")</f>
        <v>0</v>
      </c>
      <c r="P1361" s="7">
        <f>SUMIFS('05_상품별배치367'!$K$7:$K$373,'05_상품별배치367'!$E$7:$E$373,A1361,'05_상품별배치367'!$H$7:$H$373,"추가 진열")</f>
        <v>0</v>
      </c>
      <c r="Q1361" s="7">
        <f>O1361+P1361</f>
        <v>0</v>
      </c>
      <c r="R1361" s="7">
        <v>1</v>
      </c>
      <c r="S1361" s="6" t="s">
        <v>2907</v>
      </c>
      <c r="T1361" s="6" t="s">
        <v>1637</v>
      </c>
      <c r="U1361" s="6"/>
      <c r="V1361" s="16"/>
      <c r="W1361" s="16"/>
      <c r="X1361" s="16"/>
      <c r="Y1361" s="6" t="s">
        <v>1627</v>
      </c>
      <c r="Z1361" s="15"/>
      <c r="AA1361" s="15" t="s">
        <v>1628</v>
      </c>
    </row>
    <row r="1362" spans="1:27" ht="33" customHeight="1">
      <c r="A1362" s="6" t="s">
        <v>4868</v>
      </c>
      <c r="B1362" s="7">
        <v>1417</v>
      </c>
      <c r="C1362" s="6" t="s">
        <v>4869</v>
      </c>
      <c r="D1362" s="6" t="s">
        <v>2701</v>
      </c>
      <c r="E1362" s="6" t="s">
        <v>2134</v>
      </c>
      <c r="F1362" s="6" t="s">
        <v>1081</v>
      </c>
      <c r="G1362" s="6" t="s">
        <v>290</v>
      </c>
      <c r="H1362" s="6"/>
      <c r="I1362" s="14" t="s">
        <v>1642</v>
      </c>
      <c r="J1362" s="15"/>
      <c r="K1362" s="6" t="s">
        <v>1976</v>
      </c>
      <c r="L1362" s="6"/>
      <c r="M1362" s="6" t="s">
        <v>1643</v>
      </c>
      <c r="N1362" s="6" t="s">
        <v>1644</v>
      </c>
      <c r="O1362" s="7">
        <f>SUMIFS('05_상품별배치367'!$K$7:$K$373,'05_상품별배치367'!$E$7:$E$373,A1362,'05_상품별배치367'!$H$7:$H$373,"본진")</f>
        <v>0</v>
      </c>
      <c r="P1362" s="7">
        <f>SUMIFS('05_상품별배치367'!$K$7:$K$373,'05_상품별배치367'!$E$7:$E$373,A1362,'05_상품별배치367'!$H$7:$H$373,"추가 진열")</f>
        <v>0</v>
      </c>
      <c r="Q1362" s="7">
        <f>O1362+P1362</f>
        <v>0</v>
      </c>
      <c r="R1362" s="7">
        <v>1</v>
      </c>
      <c r="S1362" s="6" t="s">
        <v>2135</v>
      </c>
      <c r="T1362" s="6" t="s">
        <v>1637</v>
      </c>
      <c r="U1362" s="6"/>
      <c r="V1362" s="16"/>
      <c r="W1362" s="16"/>
      <c r="X1362" s="16"/>
      <c r="Y1362" s="6" t="s">
        <v>1627</v>
      </c>
      <c r="Z1362" s="15"/>
      <c r="AA1362" s="15" t="s">
        <v>1628</v>
      </c>
    </row>
    <row r="1363" spans="1:27" ht="33" customHeight="1">
      <c r="A1363" s="6" t="s">
        <v>4882</v>
      </c>
      <c r="B1363" s="7">
        <v>1423</v>
      </c>
      <c r="C1363" s="6" t="s">
        <v>4883</v>
      </c>
      <c r="D1363" s="6" t="s">
        <v>4881</v>
      </c>
      <c r="E1363" s="6" t="s">
        <v>2134</v>
      </c>
      <c r="F1363" s="6" t="s">
        <v>1263</v>
      </c>
      <c r="G1363" s="6" t="s">
        <v>376</v>
      </c>
      <c r="H1363" s="6"/>
      <c r="I1363" s="14" t="s">
        <v>1642</v>
      </c>
      <c r="J1363" s="15"/>
      <c r="K1363" s="6" t="s">
        <v>1976</v>
      </c>
      <c r="L1363" s="6"/>
      <c r="M1363" s="6" t="s">
        <v>1643</v>
      </c>
      <c r="N1363" s="6" t="s">
        <v>1644</v>
      </c>
      <c r="O1363" s="7">
        <f>SUMIFS('05_상품별배치367'!$K$7:$K$373,'05_상품별배치367'!$E$7:$E$373,A1363,'05_상품별배치367'!$H$7:$H$373,"본진")</f>
        <v>0</v>
      </c>
      <c r="P1363" s="7">
        <f>SUMIFS('05_상품별배치367'!$K$7:$K$373,'05_상품별배치367'!$E$7:$E$373,A1363,'05_상품별배치367'!$H$7:$H$373,"추가 진열")</f>
        <v>0</v>
      </c>
      <c r="Q1363" s="7">
        <f>O1363+P1363</f>
        <v>0</v>
      </c>
      <c r="R1363" s="7">
        <v>1</v>
      </c>
      <c r="S1363" s="6" t="s">
        <v>3016</v>
      </c>
      <c r="T1363" s="6" t="s">
        <v>1637</v>
      </c>
      <c r="U1363" s="6"/>
      <c r="V1363" s="16"/>
      <c r="W1363" s="16"/>
      <c r="X1363" s="16"/>
      <c r="Y1363" s="6" t="s">
        <v>1627</v>
      </c>
      <c r="Z1363" s="15"/>
      <c r="AA1363" s="15" t="s">
        <v>1628</v>
      </c>
    </row>
    <row r="1364" spans="1:27" ht="33" customHeight="1">
      <c r="A1364" s="8" t="s">
        <v>3122</v>
      </c>
      <c r="B1364" s="9">
        <v>602</v>
      </c>
      <c r="C1364" s="8" t="s">
        <v>3123</v>
      </c>
      <c r="D1364" s="8" t="s">
        <v>3124</v>
      </c>
      <c r="E1364" s="8" t="s">
        <v>1986</v>
      </c>
      <c r="F1364" s="8" t="s">
        <v>913</v>
      </c>
      <c r="G1364" s="8" t="s">
        <v>201</v>
      </c>
      <c r="H1364" s="8"/>
      <c r="I1364" s="14" t="s">
        <v>1642</v>
      </c>
      <c r="J1364" s="15"/>
      <c r="K1364" s="8" t="s">
        <v>1976</v>
      </c>
      <c r="L1364" s="8"/>
      <c r="M1364" s="6" t="s">
        <v>1643</v>
      </c>
      <c r="N1364" s="6" t="s">
        <v>1644</v>
      </c>
      <c r="O1364" s="7">
        <f>SUMIFS('05_상품별배치367'!$K$7:$K$373,'05_상품별배치367'!$E$7:$E$373,A1364,'05_상품별배치367'!$H$7:$H$373,"본진")</f>
        <v>0</v>
      </c>
      <c r="P1364" s="7">
        <f>SUMIFS('05_상품별배치367'!$K$7:$K$373,'05_상품별배치367'!$E$7:$E$373,A1364,'05_상품별배치367'!$H$7:$H$373,"추가 진열")</f>
        <v>0</v>
      </c>
      <c r="Q1364" s="7">
        <f>O1364+P1364</f>
        <v>0</v>
      </c>
      <c r="R1364" s="7">
        <v>1</v>
      </c>
      <c r="S1364" s="6" t="s">
        <v>2907</v>
      </c>
      <c r="T1364" s="6" t="s">
        <v>1637</v>
      </c>
      <c r="U1364" s="6"/>
      <c r="V1364" s="16"/>
      <c r="W1364" s="16"/>
      <c r="X1364" s="16"/>
      <c r="Y1364" s="6" t="s">
        <v>1627</v>
      </c>
      <c r="Z1364" s="15"/>
      <c r="AA1364" s="15" t="s">
        <v>1628</v>
      </c>
    </row>
    <row r="1365" spans="1:27" ht="33" customHeight="1">
      <c r="A1365" s="6" t="s">
        <v>3120</v>
      </c>
      <c r="B1365" s="7">
        <v>601</v>
      </c>
      <c r="C1365" s="6" t="s">
        <v>3121</v>
      </c>
      <c r="D1365" s="6" t="s">
        <v>3119</v>
      </c>
      <c r="E1365" s="6" t="s">
        <v>2134</v>
      </c>
      <c r="F1365" s="6" t="s">
        <v>1081</v>
      </c>
      <c r="G1365" s="6" t="s">
        <v>290</v>
      </c>
      <c r="H1365" s="6"/>
      <c r="I1365" s="14" t="s">
        <v>1642</v>
      </c>
      <c r="J1365" s="15"/>
      <c r="K1365" s="6" t="s">
        <v>1976</v>
      </c>
      <c r="L1365" s="6"/>
      <c r="M1365" s="6" t="s">
        <v>1643</v>
      </c>
      <c r="N1365" s="6" t="s">
        <v>1644</v>
      </c>
      <c r="O1365" s="7">
        <f>SUMIFS('05_상품별배치367'!$K$7:$K$373,'05_상품별배치367'!$E$7:$E$373,A1365,'05_상품별배치367'!$H$7:$H$373,"본진")</f>
        <v>0</v>
      </c>
      <c r="P1365" s="7">
        <f>SUMIFS('05_상품별배치367'!$K$7:$K$373,'05_상품별배치367'!$E$7:$E$373,A1365,'05_상품별배치367'!$H$7:$H$373,"추가 진열")</f>
        <v>0</v>
      </c>
      <c r="Q1365" s="7">
        <f>O1365+P1365</f>
        <v>0</v>
      </c>
      <c r="R1365" s="7">
        <v>1</v>
      </c>
      <c r="S1365" s="6" t="s">
        <v>2135</v>
      </c>
      <c r="T1365" s="6" t="s">
        <v>1637</v>
      </c>
      <c r="U1365" s="6"/>
      <c r="V1365" s="16"/>
      <c r="W1365" s="16"/>
      <c r="X1365" s="16"/>
      <c r="Y1365" s="6" t="s">
        <v>1627</v>
      </c>
      <c r="Z1365" s="15"/>
      <c r="AA1365" s="15" t="s">
        <v>1628</v>
      </c>
    </row>
    <row r="1366" spans="1:27" ht="33" customHeight="1">
      <c r="A1366" s="8" t="s">
        <v>3117</v>
      </c>
      <c r="B1366" s="9">
        <v>600</v>
      </c>
      <c r="C1366" s="8" t="s">
        <v>3118</v>
      </c>
      <c r="D1366" s="8" t="s">
        <v>3119</v>
      </c>
      <c r="E1366" s="8" t="s">
        <v>2134</v>
      </c>
      <c r="F1366" s="8" t="s">
        <v>162</v>
      </c>
      <c r="G1366" s="8" t="s">
        <v>404</v>
      </c>
      <c r="H1366" s="8"/>
      <c r="I1366" s="14" t="s">
        <v>1642</v>
      </c>
      <c r="J1366" s="15"/>
      <c r="K1366" s="8" t="s">
        <v>1976</v>
      </c>
      <c r="L1366" s="8"/>
      <c r="M1366" s="6" t="s">
        <v>1643</v>
      </c>
      <c r="N1366" s="6" t="s">
        <v>1644</v>
      </c>
      <c r="O1366" s="7">
        <f>SUMIFS('05_상품별배치367'!$K$7:$K$373,'05_상품별배치367'!$E$7:$E$373,A1366,'05_상품별배치367'!$H$7:$H$373,"본진")</f>
        <v>0</v>
      </c>
      <c r="P1366" s="7">
        <f>SUMIFS('05_상품별배치367'!$K$7:$K$373,'05_상품별배치367'!$E$7:$E$373,A1366,'05_상품별배치367'!$H$7:$H$373,"추가 진열")</f>
        <v>0</v>
      </c>
      <c r="Q1366" s="7">
        <f>O1366+P1366</f>
        <v>0</v>
      </c>
      <c r="R1366" s="7">
        <v>1</v>
      </c>
      <c r="S1366" s="6" t="s">
        <v>2996</v>
      </c>
      <c r="T1366" s="6" t="s">
        <v>1637</v>
      </c>
      <c r="U1366" s="6"/>
      <c r="V1366" s="16"/>
      <c r="W1366" s="16"/>
      <c r="X1366" s="16"/>
      <c r="Y1366" s="6" t="s">
        <v>1627</v>
      </c>
      <c r="Z1366" s="15"/>
      <c r="AA1366" s="15" t="s">
        <v>1628</v>
      </c>
    </row>
    <row r="1367" spans="1:27" ht="33" customHeight="1">
      <c r="A1367" s="6" t="s">
        <v>3125</v>
      </c>
      <c r="B1367" s="7">
        <v>603</v>
      </c>
      <c r="C1367" s="6" t="s">
        <v>3126</v>
      </c>
      <c r="D1367" s="6" t="s">
        <v>2133</v>
      </c>
      <c r="E1367" s="6" t="s">
        <v>2134</v>
      </c>
      <c r="F1367" s="6" t="s">
        <v>2933</v>
      </c>
      <c r="G1367" s="6" t="s">
        <v>1668</v>
      </c>
      <c r="H1367" s="6"/>
      <c r="I1367" s="14" t="s">
        <v>1807</v>
      </c>
      <c r="J1367" s="15"/>
      <c r="K1367" s="6" t="s">
        <v>1976</v>
      </c>
      <c r="L1367" s="6" t="s">
        <v>2032</v>
      </c>
      <c r="M1367" s="6" t="s">
        <v>1809</v>
      </c>
      <c r="N1367" s="6" t="s">
        <v>1644</v>
      </c>
      <c r="O1367" s="7">
        <f>SUMIFS('05_상품별배치367'!$K$7:$K$373,'05_상품별배치367'!$E$7:$E$373,A1367,'05_상품별배치367'!$H$7:$H$373,"본진")</f>
        <v>0</v>
      </c>
      <c r="P1367" s="7">
        <f>SUMIFS('05_상품별배치367'!$K$7:$K$373,'05_상품별배치367'!$E$7:$E$373,A1367,'05_상품별배치367'!$H$7:$H$373,"추가 진열")</f>
        <v>0</v>
      </c>
      <c r="Q1367" s="7">
        <f>O1367+P1367</f>
        <v>0</v>
      </c>
      <c r="R1367" s="7">
        <v>0</v>
      </c>
      <c r="S1367" s="6" t="s">
        <v>1810</v>
      </c>
      <c r="T1367" s="6" t="s">
        <v>1637</v>
      </c>
      <c r="U1367" s="6"/>
      <c r="V1367" s="16"/>
      <c r="W1367" s="16"/>
      <c r="X1367" s="16"/>
      <c r="Y1367" s="6" t="s">
        <v>1627</v>
      </c>
      <c r="Z1367" s="15"/>
      <c r="AA1367" s="15" t="s">
        <v>1628</v>
      </c>
    </row>
    <row r="1368" spans="1:27" ht="33" customHeight="1">
      <c r="A1368" s="6" t="s">
        <v>3114</v>
      </c>
      <c r="B1368" s="7">
        <v>599</v>
      </c>
      <c r="C1368" s="6" t="s">
        <v>3115</v>
      </c>
      <c r="D1368" s="6" t="s">
        <v>3116</v>
      </c>
      <c r="E1368" s="6" t="s">
        <v>1986</v>
      </c>
      <c r="F1368" s="6" t="s">
        <v>1276</v>
      </c>
      <c r="G1368" s="6" t="s">
        <v>1987</v>
      </c>
      <c r="H1368" s="6"/>
      <c r="I1368" s="14" t="s">
        <v>1642</v>
      </c>
      <c r="J1368" s="15"/>
      <c r="K1368" s="6" t="s">
        <v>1976</v>
      </c>
      <c r="L1368" s="6"/>
      <c r="M1368" s="6" t="s">
        <v>1643</v>
      </c>
      <c r="N1368" s="6" t="s">
        <v>1644</v>
      </c>
      <c r="O1368" s="7">
        <f>SUMIFS('05_상품별배치367'!$K$7:$K$373,'05_상품별배치367'!$E$7:$E$373,A1368,'05_상품별배치367'!$H$7:$H$373,"본진")</f>
        <v>0</v>
      </c>
      <c r="P1368" s="7">
        <f>SUMIFS('05_상품별배치367'!$K$7:$K$373,'05_상품별배치367'!$E$7:$E$373,A1368,'05_상품별배치367'!$H$7:$H$373,"추가 진열")</f>
        <v>0</v>
      </c>
      <c r="Q1368" s="7">
        <f>O1368+P1368</f>
        <v>0</v>
      </c>
      <c r="R1368" s="7">
        <v>1</v>
      </c>
      <c r="S1368" s="6" t="s">
        <v>1988</v>
      </c>
      <c r="T1368" s="6" t="s">
        <v>1637</v>
      </c>
      <c r="U1368" s="6"/>
      <c r="V1368" s="16"/>
      <c r="W1368" s="16"/>
      <c r="X1368" s="16"/>
      <c r="Y1368" s="6" t="s">
        <v>1627</v>
      </c>
      <c r="Z1368" s="15"/>
      <c r="AA1368" s="15" t="s">
        <v>1628</v>
      </c>
    </row>
    <row r="1369" spans="1:27" ht="33" customHeight="1">
      <c r="A1369" s="6" t="s">
        <v>4567</v>
      </c>
      <c r="B1369" s="7">
        <v>1271</v>
      </c>
      <c r="C1369" s="6" t="s">
        <v>4568</v>
      </c>
      <c r="D1369" s="6" t="s">
        <v>2913</v>
      </c>
      <c r="E1369" s="6" t="s">
        <v>2134</v>
      </c>
      <c r="F1369" s="6" t="s">
        <v>575</v>
      </c>
      <c r="G1369" s="6" t="s">
        <v>38</v>
      </c>
      <c r="H1369" s="6"/>
      <c r="I1369" s="14" t="s">
        <v>1642</v>
      </c>
      <c r="J1369" s="15"/>
      <c r="K1369" s="6" t="s">
        <v>1976</v>
      </c>
      <c r="L1369" s="6"/>
      <c r="M1369" s="6" t="s">
        <v>1643</v>
      </c>
      <c r="N1369" s="6" t="s">
        <v>1644</v>
      </c>
      <c r="O1369" s="7">
        <f>SUMIFS('05_상품별배치367'!$K$7:$K$373,'05_상품별배치367'!$E$7:$E$373,A1369,'05_상품별배치367'!$H$7:$H$373,"본진")</f>
        <v>0</v>
      </c>
      <c r="P1369" s="7">
        <f>SUMIFS('05_상품별배치367'!$K$7:$K$373,'05_상품별배치367'!$E$7:$E$373,A1369,'05_상품별배치367'!$H$7:$H$373,"추가 진열")</f>
        <v>0</v>
      </c>
      <c r="Q1369" s="7">
        <f>O1369+P1369</f>
        <v>0</v>
      </c>
      <c r="R1369" s="7">
        <v>1</v>
      </c>
      <c r="S1369" s="6" t="s">
        <v>3615</v>
      </c>
      <c r="T1369" s="6" t="s">
        <v>1637</v>
      </c>
      <c r="U1369" s="6"/>
      <c r="V1369" s="16"/>
      <c r="W1369" s="16"/>
      <c r="X1369" s="16"/>
      <c r="Y1369" s="6" t="s">
        <v>1627</v>
      </c>
      <c r="Z1369" s="15"/>
      <c r="AA1369" s="15" t="s">
        <v>1628</v>
      </c>
    </row>
    <row r="1370" spans="1:27" ht="33" customHeight="1">
      <c r="A1370" s="8" t="s">
        <v>4565</v>
      </c>
      <c r="B1370" s="9">
        <v>1270</v>
      </c>
      <c r="C1370" s="8" t="s">
        <v>4566</v>
      </c>
      <c r="D1370" s="8" t="s">
        <v>2856</v>
      </c>
      <c r="E1370" s="8" t="s">
        <v>2134</v>
      </c>
      <c r="F1370" s="8" t="s">
        <v>575</v>
      </c>
      <c r="G1370" s="8" t="s">
        <v>38</v>
      </c>
      <c r="H1370" s="8"/>
      <c r="I1370" s="14" t="s">
        <v>1642</v>
      </c>
      <c r="J1370" s="15"/>
      <c r="K1370" s="8" t="s">
        <v>1976</v>
      </c>
      <c r="L1370" s="8"/>
      <c r="M1370" s="6" t="s">
        <v>1643</v>
      </c>
      <c r="N1370" s="6" t="s">
        <v>1644</v>
      </c>
      <c r="O1370" s="7">
        <f>SUMIFS('05_상품별배치367'!$K$7:$K$373,'05_상품별배치367'!$E$7:$E$373,A1370,'05_상품별배치367'!$H$7:$H$373,"본진")</f>
        <v>0</v>
      </c>
      <c r="P1370" s="7">
        <f>SUMIFS('05_상품별배치367'!$K$7:$K$373,'05_상품별배치367'!$E$7:$E$373,A1370,'05_상품별배치367'!$H$7:$H$373,"추가 진열")</f>
        <v>0</v>
      </c>
      <c r="Q1370" s="7">
        <f>O1370+P1370</f>
        <v>0</v>
      </c>
      <c r="R1370" s="7">
        <v>1</v>
      </c>
      <c r="S1370" s="6" t="s">
        <v>3615</v>
      </c>
      <c r="T1370" s="6" t="s">
        <v>1637</v>
      </c>
      <c r="U1370" s="6"/>
      <c r="V1370" s="16"/>
      <c r="W1370" s="16"/>
      <c r="X1370" s="16"/>
      <c r="Y1370" s="6" t="s">
        <v>1627</v>
      </c>
      <c r="Z1370" s="15"/>
      <c r="AA1370" s="15" t="s">
        <v>1628</v>
      </c>
    </row>
    <row r="1371" spans="1:27" ht="33" customHeight="1">
      <c r="A1371" s="8" t="s">
        <v>4569</v>
      </c>
      <c r="B1371" s="9">
        <v>1272</v>
      </c>
      <c r="C1371" s="8" t="s">
        <v>4570</v>
      </c>
      <c r="D1371" s="8" t="s">
        <v>2133</v>
      </c>
      <c r="E1371" s="8" t="s">
        <v>1986</v>
      </c>
      <c r="F1371" s="8" t="s">
        <v>493</v>
      </c>
      <c r="G1371" s="8" t="s">
        <v>299</v>
      </c>
      <c r="H1371" s="8"/>
      <c r="I1371" s="14" t="s">
        <v>1642</v>
      </c>
      <c r="J1371" s="15"/>
      <c r="K1371" s="8" t="s">
        <v>1976</v>
      </c>
      <c r="L1371" s="8"/>
      <c r="M1371" s="6" t="s">
        <v>1643</v>
      </c>
      <c r="N1371" s="6" t="s">
        <v>1644</v>
      </c>
      <c r="O1371" s="7">
        <f>SUMIFS('05_상품별배치367'!$K$7:$K$373,'05_상품별배치367'!$E$7:$E$373,A1371,'05_상품별배치367'!$H$7:$H$373,"본진")</f>
        <v>0</v>
      </c>
      <c r="P1371" s="7">
        <f>SUMIFS('05_상품별배치367'!$K$7:$K$373,'05_상품별배치367'!$E$7:$E$373,A1371,'05_상품별배치367'!$H$7:$H$373,"추가 진열")</f>
        <v>0</v>
      </c>
      <c r="Q1371" s="7">
        <f>O1371+P1371</f>
        <v>0</v>
      </c>
      <c r="R1371" s="7">
        <v>1</v>
      </c>
      <c r="S1371" s="6" t="s">
        <v>3084</v>
      </c>
      <c r="T1371" s="6" t="s">
        <v>1637</v>
      </c>
      <c r="U1371" s="6"/>
      <c r="V1371" s="16"/>
      <c r="W1371" s="16"/>
      <c r="X1371" s="16"/>
      <c r="Y1371" s="6" t="s">
        <v>1627</v>
      </c>
      <c r="Z1371" s="15"/>
      <c r="AA1371" s="15" t="s">
        <v>1628</v>
      </c>
    </row>
    <row r="1372" spans="1:27" ht="33" customHeight="1">
      <c r="A1372" s="8" t="s">
        <v>5085</v>
      </c>
      <c r="B1372" s="9">
        <v>1518</v>
      </c>
      <c r="C1372" s="8" t="s">
        <v>5086</v>
      </c>
      <c r="D1372" s="8" t="s">
        <v>2856</v>
      </c>
      <c r="E1372" s="8" t="s">
        <v>2134</v>
      </c>
      <c r="F1372" s="8" t="s">
        <v>2933</v>
      </c>
      <c r="G1372" s="8" t="s">
        <v>1668</v>
      </c>
      <c r="H1372" s="8"/>
      <c r="I1372" s="14" t="s">
        <v>1807</v>
      </c>
      <c r="J1372" s="15"/>
      <c r="K1372" s="8" t="s">
        <v>1976</v>
      </c>
      <c r="L1372" s="8" t="s">
        <v>2032</v>
      </c>
      <c r="M1372" s="6" t="s">
        <v>1809</v>
      </c>
      <c r="N1372" s="6" t="s">
        <v>1644</v>
      </c>
      <c r="O1372" s="7">
        <f>SUMIFS('05_상품별배치367'!$K$7:$K$373,'05_상품별배치367'!$E$7:$E$373,A1372,'05_상품별배치367'!$H$7:$H$373,"본진")</f>
        <v>0</v>
      </c>
      <c r="P1372" s="7">
        <f>SUMIFS('05_상품별배치367'!$K$7:$K$373,'05_상품별배치367'!$E$7:$E$373,A1372,'05_상품별배치367'!$H$7:$H$373,"추가 진열")</f>
        <v>0</v>
      </c>
      <c r="Q1372" s="7">
        <f>O1372+P1372</f>
        <v>0</v>
      </c>
      <c r="R1372" s="7">
        <v>0</v>
      </c>
      <c r="S1372" s="6" t="s">
        <v>1810</v>
      </c>
      <c r="T1372" s="6" t="s">
        <v>1637</v>
      </c>
      <c r="U1372" s="6"/>
      <c r="V1372" s="16"/>
      <c r="W1372" s="16"/>
      <c r="X1372" s="16"/>
      <c r="Y1372" s="6" t="s">
        <v>1627</v>
      </c>
      <c r="Z1372" s="15"/>
      <c r="AA1372" s="15" t="s">
        <v>1628</v>
      </c>
    </row>
    <row r="1373" spans="1:27" ht="33" customHeight="1">
      <c r="A1373" s="6" t="s">
        <v>5083</v>
      </c>
      <c r="B1373" s="7">
        <v>1517</v>
      </c>
      <c r="C1373" s="6" t="s">
        <v>5084</v>
      </c>
      <c r="D1373" s="6" t="s">
        <v>2856</v>
      </c>
      <c r="E1373" s="6" t="s">
        <v>2134</v>
      </c>
      <c r="F1373" s="6" t="s">
        <v>1263</v>
      </c>
      <c r="G1373" s="6" t="s">
        <v>376</v>
      </c>
      <c r="H1373" s="6"/>
      <c r="I1373" s="14" t="s">
        <v>1642</v>
      </c>
      <c r="J1373" s="15"/>
      <c r="K1373" s="6" t="s">
        <v>1976</v>
      </c>
      <c r="L1373" s="6"/>
      <c r="M1373" s="6" t="s">
        <v>1643</v>
      </c>
      <c r="N1373" s="6" t="s">
        <v>1644</v>
      </c>
      <c r="O1373" s="7">
        <f>SUMIFS('05_상품별배치367'!$K$7:$K$373,'05_상품별배치367'!$E$7:$E$373,A1373,'05_상품별배치367'!$H$7:$H$373,"본진")</f>
        <v>0</v>
      </c>
      <c r="P1373" s="7">
        <f>SUMIFS('05_상품별배치367'!$K$7:$K$373,'05_상품별배치367'!$E$7:$E$373,A1373,'05_상품별배치367'!$H$7:$H$373,"추가 진열")</f>
        <v>0</v>
      </c>
      <c r="Q1373" s="7">
        <f>O1373+P1373</f>
        <v>0</v>
      </c>
      <c r="R1373" s="7">
        <v>1</v>
      </c>
      <c r="S1373" s="6" t="s">
        <v>3016</v>
      </c>
      <c r="T1373" s="6" t="s">
        <v>1637</v>
      </c>
      <c r="U1373" s="6"/>
      <c r="V1373" s="16"/>
      <c r="W1373" s="16"/>
      <c r="X1373" s="16"/>
      <c r="Y1373" s="6" t="s">
        <v>1627</v>
      </c>
      <c r="Z1373" s="15"/>
      <c r="AA1373" s="15" t="s">
        <v>1628</v>
      </c>
    </row>
    <row r="1374" spans="1:27" ht="33" customHeight="1">
      <c r="A1374" s="8" t="s">
        <v>5080</v>
      </c>
      <c r="B1374" s="9">
        <v>1516</v>
      </c>
      <c r="C1374" s="8" t="s">
        <v>5081</v>
      </c>
      <c r="D1374" s="8" t="s">
        <v>5082</v>
      </c>
      <c r="E1374" s="8" t="s">
        <v>2134</v>
      </c>
      <c r="F1374" s="8" t="s">
        <v>1263</v>
      </c>
      <c r="G1374" s="8" t="s">
        <v>376</v>
      </c>
      <c r="H1374" s="8"/>
      <c r="I1374" s="14" t="s">
        <v>1642</v>
      </c>
      <c r="J1374" s="15"/>
      <c r="K1374" s="8" t="s">
        <v>1976</v>
      </c>
      <c r="L1374" s="8"/>
      <c r="M1374" s="6" t="s">
        <v>1643</v>
      </c>
      <c r="N1374" s="6" t="s">
        <v>1644</v>
      </c>
      <c r="O1374" s="7">
        <f>SUMIFS('05_상품별배치367'!$K$7:$K$373,'05_상품별배치367'!$E$7:$E$373,A1374,'05_상품별배치367'!$H$7:$H$373,"본진")</f>
        <v>0</v>
      </c>
      <c r="P1374" s="7">
        <f>SUMIFS('05_상품별배치367'!$K$7:$K$373,'05_상품별배치367'!$E$7:$E$373,A1374,'05_상품별배치367'!$H$7:$H$373,"추가 진열")</f>
        <v>0</v>
      </c>
      <c r="Q1374" s="7">
        <f>O1374+P1374</f>
        <v>0</v>
      </c>
      <c r="R1374" s="7">
        <v>1</v>
      </c>
      <c r="S1374" s="6" t="s">
        <v>3016</v>
      </c>
      <c r="T1374" s="6" t="s">
        <v>1637</v>
      </c>
      <c r="U1374" s="6"/>
      <c r="V1374" s="16"/>
      <c r="W1374" s="16"/>
      <c r="X1374" s="16"/>
      <c r="Y1374" s="6" t="s">
        <v>1627</v>
      </c>
      <c r="Z1374" s="15"/>
      <c r="AA1374" s="15" t="s">
        <v>1628</v>
      </c>
    </row>
    <row r="1375" spans="1:27" ht="33" customHeight="1">
      <c r="A1375" s="8" t="s">
        <v>2003</v>
      </c>
      <c r="B1375" s="9">
        <v>132</v>
      </c>
      <c r="C1375" s="8" t="s">
        <v>2004</v>
      </c>
      <c r="D1375" s="8" t="s">
        <v>1876</v>
      </c>
      <c r="E1375" s="8" t="s">
        <v>1695</v>
      </c>
      <c r="F1375" s="8" t="s">
        <v>482</v>
      </c>
      <c r="G1375" s="8" t="s">
        <v>272</v>
      </c>
      <c r="H1375" s="8"/>
      <c r="I1375" s="14" t="s">
        <v>1642</v>
      </c>
      <c r="J1375" s="15"/>
      <c r="K1375" s="8" t="s">
        <v>1696</v>
      </c>
      <c r="L1375" s="8"/>
      <c r="M1375" s="6" t="s">
        <v>1643</v>
      </c>
      <c r="N1375" s="6" t="s">
        <v>1644</v>
      </c>
      <c r="O1375" s="7">
        <f>SUMIFS('05_상품별배치367'!$K$7:$K$373,'05_상품별배치367'!$E$7:$E$373,A1375,'05_상품별배치367'!$H$7:$H$373,"본진")</f>
        <v>0</v>
      </c>
      <c r="P1375" s="7">
        <f>SUMIFS('05_상품별배치367'!$K$7:$K$373,'05_상품별배치367'!$E$7:$E$373,A1375,'05_상품별배치367'!$H$7:$H$373,"추가 진열")</f>
        <v>0</v>
      </c>
      <c r="Q1375" s="7">
        <f>O1375+P1375</f>
        <v>0</v>
      </c>
      <c r="R1375" s="7">
        <v>1</v>
      </c>
      <c r="S1375" s="6" t="s">
        <v>1942</v>
      </c>
      <c r="T1375" s="6" t="s">
        <v>1637</v>
      </c>
      <c r="U1375" s="6"/>
      <c r="V1375" s="16"/>
      <c r="W1375" s="16"/>
      <c r="X1375" s="16"/>
      <c r="Y1375" s="6" t="s">
        <v>1627</v>
      </c>
      <c r="Z1375" s="15"/>
      <c r="AA1375" s="15" t="s">
        <v>1628</v>
      </c>
    </row>
    <row r="1376" spans="1:27" ht="33" customHeight="1">
      <c r="A1376" s="8" t="s">
        <v>7204</v>
      </c>
      <c r="B1376" s="9">
        <v>2504</v>
      </c>
      <c r="C1376" s="8" t="s">
        <v>7205</v>
      </c>
      <c r="D1376" s="8"/>
      <c r="E1376" s="8" t="s">
        <v>1695</v>
      </c>
      <c r="F1376" s="8" t="s">
        <v>482</v>
      </c>
      <c r="G1376" s="8" t="s">
        <v>272</v>
      </c>
      <c r="H1376" s="8"/>
      <c r="I1376" s="14" t="s">
        <v>1807</v>
      </c>
      <c r="J1376" s="15"/>
      <c r="K1376" s="8" t="s">
        <v>1696</v>
      </c>
      <c r="L1376" s="8" t="s">
        <v>5771</v>
      </c>
      <c r="M1376" s="6" t="s">
        <v>1809</v>
      </c>
      <c r="N1376" s="6" t="s">
        <v>1644</v>
      </c>
      <c r="O1376" s="7">
        <f>SUMIFS('05_상품별배치367'!$K$7:$K$373,'05_상품별배치367'!$E$7:$E$373,A1376,'05_상품별배치367'!$H$7:$H$373,"본진")</f>
        <v>0</v>
      </c>
      <c r="P1376" s="7">
        <f>SUMIFS('05_상품별배치367'!$K$7:$K$373,'05_상품별배치367'!$E$7:$E$373,A1376,'05_상품별배치367'!$H$7:$H$373,"추가 진열")</f>
        <v>0</v>
      </c>
      <c r="Q1376" s="7">
        <f>O1376+P1376</f>
        <v>0</v>
      </c>
      <c r="R1376" s="7">
        <v>0</v>
      </c>
      <c r="S1376" s="6" t="s">
        <v>1810</v>
      </c>
      <c r="T1376" s="6" t="s">
        <v>1637</v>
      </c>
      <c r="U1376" s="6"/>
      <c r="V1376" s="16"/>
      <c r="W1376" s="16"/>
      <c r="X1376" s="16"/>
      <c r="Y1376" s="6" t="s">
        <v>5772</v>
      </c>
      <c r="Z1376" s="15"/>
      <c r="AA1376" s="15" t="s">
        <v>1628</v>
      </c>
    </row>
    <row r="1377" spans="1:27" ht="33" customHeight="1">
      <c r="A1377" s="6" t="s">
        <v>7140</v>
      </c>
      <c r="B1377" s="7">
        <v>2473</v>
      </c>
      <c r="C1377" s="6" t="s">
        <v>7141</v>
      </c>
      <c r="D1377" s="6" t="s">
        <v>7133</v>
      </c>
      <c r="E1377" s="6" t="s">
        <v>1620</v>
      </c>
      <c r="F1377" s="6" t="s">
        <v>1220</v>
      </c>
      <c r="G1377" s="6" t="s">
        <v>349</v>
      </c>
      <c r="H1377" s="6" t="s">
        <v>1224</v>
      </c>
      <c r="I1377" s="14" t="s">
        <v>1633</v>
      </c>
      <c r="J1377" s="15"/>
      <c r="K1377" s="6" t="s">
        <v>1622</v>
      </c>
      <c r="L1377" s="6" t="s">
        <v>3828</v>
      </c>
      <c r="M1377" s="6" t="s">
        <v>1635</v>
      </c>
      <c r="N1377" s="6" t="s">
        <v>1624</v>
      </c>
      <c r="O1377" s="7">
        <f>SUMIFS('05_상품별배치367'!$K$7:$K$373,'05_상품별배치367'!$E$7:$E$373,A1377,'05_상품별배치367'!$H$7:$H$373,"본진")</f>
        <v>1</v>
      </c>
      <c r="P1377" s="7">
        <f>SUMIFS('05_상품별배치367'!$K$7:$K$373,'05_상품별배치367'!$E$7:$E$373,A1377,'05_상품별배치367'!$H$7:$H$373,"추가 진열")</f>
        <v>0</v>
      </c>
      <c r="Q1377" s="7">
        <f>O1377+P1377</f>
        <v>1</v>
      </c>
      <c r="R1377" s="7">
        <v>1</v>
      </c>
      <c r="S1377" s="6" t="s">
        <v>1636</v>
      </c>
      <c r="T1377" s="6" t="s">
        <v>1637</v>
      </c>
      <c r="U1377" s="6"/>
      <c r="V1377" s="16"/>
      <c r="W1377" s="16"/>
      <c r="X1377" s="16"/>
      <c r="Y1377" s="6" t="s">
        <v>1627</v>
      </c>
      <c r="Z1377" s="15"/>
      <c r="AA1377" s="15" t="s">
        <v>1628</v>
      </c>
    </row>
    <row r="1378" spans="1:27" ht="33" customHeight="1">
      <c r="A1378" s="6" t="s">
        <v>5365</v>
      </c>
      <c r="B1378" s="7">
        <v>1651</v>
      </c>
      <c r="C1378" s="6" t="s">
        <v>5366</v>
      </c>
      <c r="D1378" s="6" t="s">
        <v>1711</v>
      </c>
      <c r="E1378" s="6" t="s">
        <v>1986</v>
      </c>
      <c r="F1378" s="6" t="s">
        <v>493</v>
      </c>
      <c r="G1378" s="6" t="s">
        <v>299</v>
      </c>
      <c r="H1378" s="6"/>
      <c r="I1378" s="14" t="s">
        <v>1642</v>
      </c>
      <c r="J1378" s="15"/>
      <c r="K1378" s="6" t="s">
        <v>1976</v>
      </c>
      <c r="L1378" s="6"/>
      <c r="M1378" s="6" t="s">
        <v>1643</v>
      </c>
      <c r="N1378" s="6" t="s">
        <v>1644</v>
      </c>
      <c r="O1378" s="7">
        <f>SUMIFS('05_상품별배치367'!$K$7:$K$373,'05_상품별배치367'!$E$7:$E$373,A1378,'05_상품별배치367'!$H$7:$H$373,"본진")</f>
        <v>0</v>
      </c>
      <c r="P1378" s="7">
        <f>SUMIFS('05_상품별배치367'!$K$7:$K$373,'05_상품별배치367'!$E$7:$E$373,A1378,'05_상품별배치367'!$H$7:$H$373,"추가 진열")</f>
        <v>0</v>
      </c>
      <c r="Q1378" s="7">
        <f>O1378+P1378</f>
        <v>0</v>
      </c>
      <c r="R1378" s="7">
        <v>1</v>
      </c>
      <c r="S1378" s="6" t="s">
        <v>3084</v>
      </c>
      <c r="T1378" s="6" t="s">
        <v>1637</v>
      </c>
      <c r="U1378" s="6"/>
      <c r="V1378" s="16"/>
      <c r="W1378" s="16"/>
      <c r="X1378" s="16"/>
      <c r="Y1378" s="6" t="s">
        <v>1627</v>
      </c>
      <c r="Z1378" s="15"/>
      <c r="AA1378" s="15" t="s">
        <v>1628</v>
      </c>
    </row>
    <row r="1379" spans="1:27" ht="33" customHeight="1">
      <c r="A1379" s="8" t="s">
        <v>5375</v>
      </c>
      <c r="B1379" s="9">
        <v>1656</v>
      </c>
      <c r="C1379" s="8" t="s">
        <v>5376</v>
      </c>
      <c r="D1379" s="8" t="s">
        <v>5377</v>
      </c>
      <c r="E1379" s="8" t="s">
        <v>2134</v>
      </c>
      <c r="F1379" s="8" t="s">
        <v>2933</v>
      </c>
      <c r="G1379" s="8" t="s">
        <v>1668</v>
      </c>
      <c r="H1379" s="8"/>
      <c r="I1379" s="14" t="s">
        <v>1807</v>
      </c>
      <c r="J1379" s="15"/>
      <c r="K1379" s="8" t="s">
        <v>1976</v>
      </c>
      <c r="L1379" s="8" t="s">
        <v>2032</v>
      </c>
      <c r="M1379" s="6" t="s">
        <v>1809</v>
      </c>
      <c r="N1379" s="6" t="s">
        <v>1644</v>
      </c>
      <c r="O1379" s="7">
        <f>SUMIFS('05_상품별배치367'!$K$7:$K$373,'05_상품별배치367'!$E$7:$E$373,A1379,'05_상품별배치367'!$H$7:$H$373,"본진")</f>
        <v>0</v>
      </c>
      <c r="P1379" s="7">
        <f>SUMIFS('05_상품별배치367'!$K$7:$K$373,'05_상품별배치367'!$E$7:$E$373,A1379,'05_상품별배치367'!$H$7:$H$373,"추가 진열")</f>
        <v>0</v>
      </c>
      <c r="Q1379" s="7">
        <f>O1379+P1379</f>
        <v>0</v>
      </c>
      <c r="R1379" s="7">
        <v>0</v>
      </c>
      <c r="S1379" s="6" t="s">
        <v>1810</v>
      </c>
      <c r="T1379" s="6" t="s">
        <v>1637</v>
      </c>
      <c r="U1379" s="6"/>
      <c r="V1379" s="16"/>
      <c r="W1379" s="16"/>
      <c r="X1379" s="16"/>
      <c r="Y1379" s="6" t="s">
        <v>1627</v>
      </c>
      <c r="Z1379" s="15"/>
      <c r="AA1379" s="15" t="s">
        <v>1628</v>
      </c>
    </row>
    <row r="1380" spans="1:27" ht="33" customHeight="1">
      <c r="A1380" s="8" t="s">
        <v>5367</v>
      </c>
      <c r="B1380" s="9">
        <v>1652</v>
      </c>
      <c r="C1380" s="8" t="s">
        <v>5368</v>
      </c>
      <c r="D1380" s="8" t="s">
        <v>2572</v>
      </c>
      <c r="E1380" s="8" t="s">
        <v>2134</v>
      </c>
      <c r="F1380" s="8" t="s">
        <v>1263</v>
      </c>
      <c r="G1380" s="8" t="s">
        <v>376</v>
      </c>
      <c r="H1380" s="8"/>
      <c r="I1380" s="14" t="s">
        <v>1642</v>
      </c>
      <c r="J1380" s="15"/>
      <c r="K1380" s="8" t="s">
        <v>1976</v>
      </c>
      <c r="L1380" s="8"/>
      <c r="M1380" s="6" t="s">
        <v>1643</v>
      </c>
      <c r="N1380" s="6" t="s">
        <v>1644</v>
      </c>
      <c r="O1380" s="7">
        <f>SUMIFS('05_상품별배치367'!$K$7:$K$373,'05_상품별배치367'!$E$7:$E$373,A1380,'05_상품별배치367'!$H$7:$H$373,"본진")</f>
        <v>0</v>
      </c>
      <c r="P1380" s="7">
        <f>SUMIFS('05_상품별배치367'!$K$7:$K$373,'05_상품별배치367'!$E$7:$E$373,A1380,'05_상품별배치367'!$H$7:$H$373,"추가 진열")</f>
        <v>0</v>
      </c>
      <c r="Q1380" s="7">
        <f>O1380+P1380</f>
        <v>0</v>
      </c>
      <c r="R1380" s="7">
        <v>1</v>
      </c>
      <c r="S1380" s="6" t="s">
        <v>3016</v>
      </c>
      <c r="T1380" s="6" t="s">
        <v>1637</v>
      </c>
      <c r="U1380" s="6"/>
      <c r="V1380" s="16"/>
      <c r="W1380" s="16"/>
      <c r="X1380" s="16"/>
      <c r="Y1380" s="6" t="s">
        <v>1627</v>
      </c>
      <c r="Z1380" s="15"/>
      <c r="AA1380" s="15" t="s">
        <v>1628</v>
      </c>
    </row>
    <row r="1381" spans="1:27" ht="33" customHeight="1">
      <c r="A1381" s="6" t="s">
        <v>5373</v>
      </c>
      <c r="B1381" s="7">
        <v>1655</v>
      </c>
      <c r="C1381" s="6" t="s">
        <v>5374</v>
      </c>
      <c r="D1381" s="6" t="s">
        <v>2133</v>
      </c>
      <c r="E1381" s="6" t="s">
        <v>2134</v>
      </c>
      <c r="F1381" s="6" t="s">
        <v>2933</v>
      </c>
      <c r="G1381" s="6" t="s">
        <v>1668</v>
      </c>
      <c r="H1381" s="6"/>
      <c r="I1381" s="14" t="s">
        <v>1807</v>
      </c>
      <c r="J1381" s="15"/>
      <c r="K1381" s="6" t="s">
        <v>1976</v>
      </c>
      <c r="L1381" s="6" t="s">
        <v>2032</v>
      </c>
      <c r="M1381" s="6" t="s">
        <v>1809</v>
      </c>
      <c r="N1381" s="6" t="s">
        <v>1644</v>
      </c>
      <c r="O1381" s="7">
        <f>SUMIFS('05_상품별배치367'!$K$7:$K$373,'05_상품별배치367'!$E$7:$E$373,A1381,'05_상품별배치367'!$H$7:$H$373,"본진")</f>
        <v>0</v>
      </c>
      <c r="P1381" s="7">
        <f>SUMIFS('05_상품별배치367'!$K$7:$K$373,'05_상품별배치367'!$E$7:$E$373,A1381,'05_상품별배치367'!$H$7:$H$373,"추가 진열")</f>
        <v>0</v>
      </c>
      <c r="Q1381" s="7">
        <f>O1381+P1381</f>
        <v>0</v>
      </c>
      <c r="R1381" s="7">
        <v>0</v>
      </c>
      <c r="S1381" s="6" t="s">
        <v>1810</v>
      </c>
      <c r="T1381" s="6" t="s">
        <v>1637</v>
      </c>
      <c r="U1381" s="6"/>
      <c r="V1381" s="16"/>
      <c r="W1381" s="16"/>
      <c r="X1381" s="16"/>
      <c r="Y1381" s="6" t="s">
        <v>1627</v>
      </c>
      <c r="Z1381" s="15"/>
      <c r="AA1381" s="15" t="s">
        <v>1628</v>
      </c>
    </row>
    <row r="1382" spans="1:27" ht="33" customHeight="1">
      <c r="A1382" s="8" t="s">
        <v>5358</v>
      </c>
      <c r="B1382" s="9">
        <v>1648</v>
      </c>
      <c r="C1382" s="8" t="s">
        <v>5359</v>
      </c>
      <c r="D1382" s="8" t="s">
        <v>1665</v>
      </c>
      <c r="E1382" s="8" t="s">
        <v>1986</v>
      </c>
      <c r="F1382" s="8" t="s">
        <v>913</v>
      </c>
      <c r="G1382" s="8" t="s">
        <v>201</v>
      </c>
      <c r="H1382" s="8"/>
      <c r="I1382" s="14" t="s">
        <v>1642</v>
      </c>
      <c r="J1382" s="15"/>
      <c r="K1382" s="8" t="s">
        <v>1976</v>
      </c>
      <c r="L1382" s="8"/>
      <c r="M1382" s="6" t="s">
        <v>1643</v>
      </c>
      <c r="N1382" s="6" t="s">
        <v>1644</v>
      </c>
      <c r="O1382" s="7">
        <f>SUMIFS('05_상품별배치367'!$K$7:$K$373,'05_상품별배치367'!$E$7:$E$373,A1382,'05_상품별배치367'!$H$7:$H$373,"본진")</f>
        <v>0</v>
      </c>
      <c r="P1382" s="7">
        <f>SUMIFS('05_상품별배치367'!$K$7:$K$373,'05_상품별배치367'!$E$7:$E$373,A1382,'05_상품별배치367'!$H$7:$H$373,"추가 진열")</f>
        <v>0</v>
      </c>
      <c r="Q1382" s="7">
        <f>O1382+P1382</f>
        <v>0</v>
      </c>
      <c r="R1382" s="7">
        <v>1</v>
      </c>
      <c r="S1382" s="6" t="s">
        <v>2907</v>
      </c>
      <c r="T1382" s="6" t="s">
        <v>1637</v>
      </c>
      <c r="U1382" s="6"/>
      <c r="V1382" s="16"/>
      <c r="W1382" s="16"/>
      <c r="X1382" s="16"/>
      <c r="Y1382" s="6" t="s">
        <v>1627</v>
      </c>
      <c r="Z1382" s="15"/>
      <c r="AA1382" s="15" t="s">
        <v>1628</v>
      </c>
    </row>
    <row r="1383" spans="1:27" ht="33" customHeight="1">
      <c r="A1383" s="6" t="s">
        <v>5360</v>
      </c>
      <c r="B1383" s="7">
        <v>1649</v>
      </c>
      <c r="C1383" s="6" t="s">
        <v>5361</v>
      </c>
      <c r="D1383" s="6" t="s">
        <v>5362</v>
      </c>
      <c r="E1383" s="6" t="s">
        <v>1986</v>
      </c>
      <c r="F1383" s="6" t="s">
        <v>913</v>
      </c>
      <c r="G1383" s="6" t="s">
        <v>201</v>
      </c>
      <c r="H1383" s="6"/>
      <c r="I1383" s="14" t="s">
        <v>1642</v>
      </c>
      <c r="J1383" s="15"/>
      <c r="K1383" s="6" t="s">
        <v>1976</v>
      </c>
      <c r="L1383" s="6"/>
      <c r="M1383" s="6" t="s">
        <v>1643</v>
      </c>
      <c r="N1383" s="6" t="s">
        <v>1644</v>
      </c>
      <c r="O1383" s="7">
        <f>SUMIFS('05_상품별배치367'!$K$7:$K$373,'05_상품별배치367'!$E$7:$E$373,A1383,'05_상품별배치367'!$H$7:$H$373,"본진")</f>
        <v>0</v>
      </c>
      <c r="P1383" s="7">
        <f>SUMIFS('05_상품별배치367'!$K$7:$K$373,'05_상품별배치367'!$E$7:$E$373,A1383,'05_상품별배치367'!$H$7:$H$373,"추가 진열")</f>
        <v>0</v>
      </c>
      <c r="Q1383" s="7">
        <f>O1383+P1383</f>
        <v>0</v>
      </c>
      <c r="R1383" s="7">
        <v>1</v>
      </c>
      <c r="S1383" s="6" t="s">
        <v>2907</v>
      </c>
      <c r="T1383" s="6" t="s">
        <v>1637</v>
      </c>
      <c r="U1383" s="6"/>
      <c r="V1383" s="16"/>
      <c r="W1383" s="16"/>
      <c r="X1383" s="16"/>
      <c r="Y1383" s="6" t="s">
        <v>1627</v>
      </c>
      <c r="Z1383" s="15"/>
      <c r="AA1383" s="15" t="s">
        <v>1628</v>
      </c>
    </row>
    <row r="1384" spans="1:27" ht="33" customHeight="1">
      <c r="A1384" s="8" t="s">
        <v>5380</v>
      </c>
      <c r="B1384" s="9">
        <v>1658</v>
      </c>
      <c r="C1384" s="8" t="s">
        <v>5381</v>
      </c>
      <c r="D1384" s="8" t="s">
        <v>5382</v>
      </c>
      <c r="E1384" s="8" t="s">
        <v>1986</v>
      </c>
      <c r="F1384" s="8" t="s">
        <v>1276</v>
      </c>
      <c r="G1384" s="8" t="s">
        <v>1987</v>
      </c>
      <c r="H1384" s="8"/>
      <c r="I1384" s="14" t="s">
        <v>1642</v>
      </c>
      <c r="J1384" s="15"/>
      <c r="K1384" s="8" t="s">
        <v>1976</v>
      </c>
      <c r="L1384" s="8"/>
      <c r="M1384" s="6" t="s">
        <v>1643</v>
      </c>
      <c r="N1384" s="6" t="s">
        <v>1644</v>
      </c>
      <c r="O1384" s="7">
        <f>SUMIFS('05_상품별배치367'!$K$7:$K$373,'05_상품별배치367'!$E$7:$E$373,A1384,'05_상품별배치367'!$H$7:$H$373,"본진")</f>
        <v>0</v>
      </c>
      <c r="P1384" s="7">
        <f>SUMIFS('05_상품별배치367'!$K$7:$K$373,'05_상품별배치367'!$E$7:$E$373,A1384,'05_상품별배치367'!$H$7:$H$373,"추가 진열")</f>
        <v>0</v>
      </c>
      <c r="Q1384" s="7">
        <f>O1384+P1384</f>
        <v>0</v>
      </c>
      <c r="R1384" s="7">
        <v>1</v>
      </c>
      <c r="S1384" s="6" t="s">
        <v>1988</v>
      </c>
      <c r="T1384" s="6" t="s">
        <v>1637</v>
      </c>
      <c r="U1384" s="6"/>
      <c r="V1384" s="16"/>
      <c r="W1384" s="16"/>
      <c r="X1384" s="16"/>
      <c r="Y1384" s="6" t="s">
        <v>1655</v>
      </c>
      <c r="Z1384" s="15"/>
      <c r="AA1384" s="15" t="s">
        <v>1628</v>
      </c>
    </row>
    <row r="1385" spans="1:27" ht="33" customHeight="1">
      <c r="A1385" s="8" t="s">
        <v>5385</v>
      </c>
      <c r="B1385" s="9">
        <v>1660</v>
      </c>
      <c r="C1385" s="8" t="s">
        <v>5386</v>
      </c>
      <c r="D1385" s="8" t="s">
        <v>2845</v>
      </c>
      <c r="E1385" s="8" t="s">
        <v>2134</v>
      </c>
      <c r="F1385" s="8" t="s">
        <v>162</v>
      </c>
      <c r="G1385" s="8" t="s">
        <v>404</v>
      </c>
      <c r="H1385" s="8"/>
      <c r="I1385" s="14" t="s">
        <v>1642</v>
      </c>
      <c r="J1385" s="15"/>
      <c r="K1385" s="8" t="s">
        <v>1976</v>
      </c>
      <c r="L1385" s="8"/>
      <c r="M1385" s="6" t="s">
        <v>1643</v>
      </c>
      <c r="N1385" s="6" t="s">
        <v>1644</v>
      </c>
      <c r="O1385" s="7">
        <f>SUMIFS('05_상품별배치367'!$K$7:$K$373,'05_상품별배치367'!$E$7:$E$373,A1385,'05_상품별배치367'!$H$7:$H$373,"본진")</f>
        <v>0</v>
      </c>
      <c r="P1385" s="7">
        <f>SUMIFS('05_상품별배치367'!$K$7:$K$373,'05_상품별배치367'!$E$7:$E$373,A1385,'05_상품별배치367'!$H$7:$H$373,"추가 진열")</f>
        <v>0</v>
      </c>
      <c r="Q1385" s="7">
        <f>O1385+P1385</f>
        <v>0</v>
      </c>
      <c r="R1385" s="7">
        <v>1</v>
      </c>
      <c r="S1385" s="6" t="s">
        <v>2996</v>
      </c>
      <c r="T1385" s="6" t="s">
        <v>1637</v>
      </c>
      <c r="U1385" s="6"/>
      <c r="V1385" s="16"/>
      <c r="W1385" s="16"/>
      <c r="X1385" s="16"/>
      <c r="Y1385" s="6" t="s">
        <v>1627</v>
      </c>
      <c r="Z1385" s="15"/>
      <c r="AA1385" s="15" t="s">
        <v>1628</v>
      </c>
    </row>
    <row r="1386" spans="1:27" ht="33" customHeight="1">
      <c r="A1386" s="6" t="s">
        <v>5383</v>
      </c>
      <c r="B1386" s="7">
        <v>1659</v>
      </c>
      <c r="C1386" s="6" t="s">
        <v>5384</v>
      </c>
      <c r="D1386" s="6" t="s">
        <v>2572</v>
      </c>
      <c r="E1386" s="6" t="s">
        <v>2134</v>
      </c>
      <c r="F1386" s="6" t="s">
        <v>2933</v>
      </c>
      <c r="G1386" s="6" t="s">
        <v>1668</v>
      </c>
      <c r="H1386" s="6"/>
      <c r="I1386" s="14" t="s">
        <v>1807</v>
      </c>
      <c r="J1386" s="15"/>
      <c r="K1386" s="6" t="s">
        <v>1976</v>
      </c>
      <c r="L1386" s="6" t="s">
        <v>2032</v>
      </c>
      <c r="M1386" s="6" t="s">
        <v>1809</v>
      </c>
      <c r="N1386" s="6" t="s">
        <v>1644</v>
      </c>
      <c r="O1386" s="7">
        <f>SUMIFS('05_상품별배치367'!$K$7:$K$373,'05_상품별배치367'!$E$7:$E$373,A1386,'05_상품별배치367'!$H$7:$H$373,"본진")</f>
        <v>0</v>
      </c>
      <c r="P1386" s="7">
        <f>SUMIFS('05_상품별배치367'!$K$7:$K$373,'05_상품별배치367'!$E$7:$E$373,A1386,'05_상품별배치367'!$H$7:$H$373,"추가 진열")</f>
        <v>0</v>
      </c>
      <c r="Q1386" s="7">
        <f>O1386+P1386</f>
        <v>0</v>
      </c>
      <c r="R1386" s="7">
        <v>0</v>
      </c>
      <c r="S1386" s="6" t="s">
        <v>1810</v>
      </c>
      <c r="T1386" s="6" t="s">
        <v>1637</v>
      </c>
      <c r="U1386" s="6"/>
      <c r="V1386" s="16"/>
      <c r="W1386" s="16"/>
      <c r="X1386" s="16"/>
      <c r="Y1386" s="6" t="s">
        <v>1627</v>
      </c>
      <c r="Z1386" s="15"/>
      <c r="AA1386" s="15" t="s">
        <v>1628</v>
      </c>
    </row>
    <row r="1387" spans="1:27" ht="33" customHeight="1">
      <c r="A1387" s="8" t="s">
        <v>5363</v>
      </c>
      <c r="B1387" s="9">
        <v>1650</v>
      </c>
      <c r="C1387" s="8" t="s">
        <v>5364</v>
      </c>
      <c r="D1387" s="8" t="s">
        <v>2588</v>
      </c>
      <c r="E1387" s="8" t="s">
        <v>1986</v>
      </c>
      <c r="F1387" s="8" t="s">
        <v>913</v>
      </c>
      <c r="G1387" s="8" t="s">
        <v>201</v>
      </c>
      <c r="H1387" s="8"/>
      <c r="I1387" s="14" t="s">
        <v>1642</v>
      </c>
      <c r="J1387" s="15"/>
      <c r="K1387" s="8" t="s">
        <v>1976</v>
      </c>
      <c r="L1387" s="8"/>
      <c r="M1387" s="6" t="s">
        <v>1643</v>
      </c>
      <c r="N1387" s="6" t="s">
        <v>1644</v>
      </c>
      <c r="O1387" s="7">
        <f>SUMIFS('05_상품별배치367'!$K$7:$K$373,'05_상품별배치367'!$E$7:$E$373,A1387,'05_상품별배치367'!$H$7:$H$373,"본진")</f>
        <v>0</v>
      </c>
      <c r="P1387" s="7">
        <f>SUMIFS('05_상품별배치367'!$K$7:$K$373,'05_상품별배치367'!$E$7:$E$373,A1387,'05_상품별배치367'!$H$7:$H$373,"추가 진열")</f>
        <v>0</v>
      </c>
      <c r="Q1387" s="7">
        <f>O1387+P1387</f>
        <v>0</v>
      </c>
      <c r="R1387" s="7">
        <v>1</v>
      </c>
      <c r="S1387" s="6" t="s">
        <v>2907</v>
      </c>
      <c r="T1387" s="6" t="s">
        <v>1637</v>
      </c>
      <c r="U1387" s="6"/>
      <c r="V1387" s="16"/>
      <c r="W1387" s="16"/>
      <c r="X1387" s="16"/>
      <c r="Y1387" s="6" t="s">
        <v>1627</v>
      </c>
      <c r="Z1387" s="15"/>
      <c r="AA1387" s="15" t="s">
        <v>1628</v>
      </c>
    </row>
    <row r="1388" spans="1:27" ht="33" customHeight="1">
      <c r="A1388" s="6" t="s">
        <v>5378</v>
      </c>
      <c r="B1388" s="7">
        <v>1657</v>
      </c>
      <c r="C1388" s="6" t="s">
        <v>5379</v>
      </c>
      <c r="D1388" s="6" t="s">
        <v>2133</v>
      </c>
      <c r="E1388" s="6" t="s">
        <v>2134</v>
      </c>
      <c r="F1388" s="6" t="s">
        <v>2933</v>
      </c>
      <c r="G1388" s="6" t="s">
        <v>1668</v>
      </c>
      <c r="H1388" s="6"/>
      <c r="I1388" s="14" t="s">
        <v>1807</v>
      </c>
      <c r="J1388" s="15"/>
      <c r="K1388" s="6" t="s">
        <v>1976</v>
      </c>
      <c r="L1388" s="6" t="s">
        <v>2032</v>
      </c>
      <c r="M1388" s="6" t="s">
        <v>1809</v>
      </c>
      <c r="N1388" s="6" t="s">
        <v>1644</v>
      </c>
      <c r="O1388" s="7">
        <f>SUMIFS('05_상품별배치367'!$K$7:$K$373,'05_상품별배치367'!$E$7:$E$373,A1388,'05_상품별배치367'!$H$7:$H$373,"본진")</f>
        <v>0</v>
      </c>
      <c r="P1388" s="7">
        <f>SUMIFS('05_상품별배치367'!$K$7:$K$373,'05_상품별배치367'!$E$7:$E$373,A1388,'05_상품별배치367'!$H$7:$H$373,"추가 진열")</f>
        <v>0</v>
      </c>
      <c r="Q1388" s="7">
        <f>O1388+P1388</f>
        <v>0</v>
      </c>
      <c r="R1388" s="7">
        <v>0</v>
      </c>
      <c r="S1388" s="6" t="s">
        <v>1810</v>
      </c>
      <c r="T1388" s="6" t="s">
        <v>1637</v>
      </c>
      <c r="U1388" s="6"/>
      <c r="V1388" s="16"/>
      <c r="W1388" s="16"/>
      <c r="X1388" s="16"/>
      <c r="Y1388" s="6" t="s">
        <v>1627</v>
      </c>
      <c r="Z1388" s="15"/>
      <c r="AA1388" s="15" t="s">
        <v>1628</v>
      </c>
    </row>
    <row r="1389" spans="1:27" ht="33" customHeight="1">
      <c r="A1389" s="6" t="s">
        <v>5369</v>
      </c>
      <c r="B1389" s="7">
        <v>1653</v>
      </c>
      <c r="C1389" s="6" t="s">
        <v>5370</v>
      </c>
      <c r="D1389" s="6" t="s">
        <v>1876</v>
      </c>
      <c r="E1389" s="6" t="s">
        <v>2134</v>
      </c>
      <c r="F1389" s="6" t="s">
        <v>2933</v>
      </c>
      <c r="G1389" s="6" t="s">
        <v>1668</v>
      </c>
      <c r="H1389" s="6"/>
      <c r="I1389" s="14" t="s">
        <v>1807</v>
      </c>
      <c r="J1389" s="15"/>
      <c r="K1389" s="6" t="s">
        <v>1976</v>
      </c>
      <c r="L1389" s="6" t="s">
        <v>2032</v>
      </c>
      <c r="M1389" s="6" t="s">
        <v>1809</v>
      </c>
      <c r="N1389" s="6" t="s">
        <v>1644</v>
      </c>
      <c r="O1389" s="7">
        <f>SUMIFS('05_상품별배치367'!$K$7:$K$373,'05_상품별배치367'!$E$7:$E$373,A1389,'05_상품별배치367'!$H$7:$H$373,"본진")</f>
        <v>0</v>
      </c>
      <c r="P1389" s="7">
        <f>SUMIFS('05_상품별배치367'!$K$7:$K$373,'05_상품별배치367'!$E$7:$E$373,A1389,'05_상품별배치367'!$H$7:$H$373,"추가 진열")</f>
        <v>0</v>
      </c>
      <c r="Q1389" s="7">
        <f>O1389+P1389</f>
        <v>0</v>
      </c>
      <c r="R1389" s="7">
        <v>0</v>
      </c>
      <c r="S1389" s="6" t="s">
        <v>1810</v>
      </c>
      <c r="T1389" s="6" t="s">
        <v>1637</v>
      </c>
      <c r="U1389" s="6"/>
      <c r="V1389" s="16"/>
      <c r="W1389" s="16"/>
      <c r="X1389" s="16"/>
      <c r="Y1389" s="6" t="s">
        <v>1627</v>
      </c>
      <c r="Z1389" s="15"/>
      <c r="AA1389" s="15" t="s">
        <v>1628</v>
      </c>
    </row>
    <row r="1390" spans="1:27" ht="33" customHeight="1">
      <c r="A1390" s="8" t="s">
        <v>5371</v>
      </c>
      <c r="B1390" s="9">
        <v>1654</v>
      </c>
      <c r="C1390" s="8" t="s">
        <v>5372</v>
      </c>
      <c r="D1390" s="8" t="s">
        <v>2572</v>
      </c>
      <c r="E1390" s="8" t="s">
        <v>2134</v>
      </c>
      <c r="F1390" s="8" t="s">
        <v>2933</v>
      </c>
      <c r="G1390" s="8" t="s">
        <v>1668</v>
      </c>
      <c r="H1390" s="8"/>
      <c r="I1390" s="14" t="s">
        <v>1807</v>
      </c>
      <c r="J1390" s="15"/>
      <c r="K1390" s="8" t="s">
        <v>1976</v>
      </c>
      <c r="L1390" s="8" t="s">
        <v>2032</v>
      </c>
      <c r="M1390" s="6" t="s">
        <v>1809</v>
      </c>
      <c r="N1390" s="6" t="s">
        <v>1644</v>
      </c>
      <c r="O1390" s="7">
        <f>SUMIFS('05_상품별배치367'!$K$7:$K$373,'05_상품별배치367'!$E$7:$E$373,A1390,'05_상품별배치367'!$H$7:$H$373,"본진")</f>
        <v>0</v>
      </c>
      <c r="P1390" s="7">
        <f>SUMIFS('05_상품별배치367'!$K$7:$K$373,'05_상품별배치367'!$E$7:$E$373,A1390,'05_상품별배치367'!$H$7:$H$373,"추가 진열")</f>
        <v>0</v>
      </c>
      <c r="Q1390" s="7">
        <f>O1390+P1390</f>
        <v>0</v>
      </c>
      <c r="R1390" s="7">
        <v>0</v>
      </c>
      <c r="S1390" s="6" t="s">
        <v>1810</v>
      </c>
      <c r="T1390" s="6" t="s">
        <v>1637</v>
      </c>
      <c r="U1390" s="6"/>
      <c r="V1390" s="16"/>
      <c r="W1390" s="16"/>
      <c r="X1390" s="16"/>
      <c r="Y1390" s="6" t="s">
        <v>1627</v>
      </c>
      <c r="Z1390" s="15"/>
      <c r="AA1390" s="15" t="s">
        <v>1628</v>
      </c>
    </row>
    <row r="1391" spans="1:27" ht="33" customHeight="1">
      <c r="A1391" s="6" t="s">
        <v>1965</v>
      </c>
      <c r="B1391" s="7">
        <v>123</v>
      </c>
      <c r="C1391" s="6" t="s">
        <v>1966</v>
      </c>
      <c r="D1391" s="6" t="s">
        <v>1967</v>
      </c>
      <c r="E1391" s="6" t="s">
        <v>1666</v>
      </c>
      <c r="F1391" s="6" t="s">
        <v>1880</v>
      </c>
      <c r="G1391" s="6" t="s">
        <v>1668</v>
      </c>
      <c r="H1391" s="6"/>
      <c r="I1391" s="14" t="s">
        <v>1642</v>
      </c>
      <c r="J1391" s="15"/>
      <c r="K1391" s="6" t="s">
        <v>1670</v>
      </c>
      <c r="L1391" s="6"/>
      <c r="M1391" s="6" t="s">
        <v>1643</v>
      </c>
      <c r="N1391" s="6" t="s">
        <v>1644</v>
      </c>
      <c r="O1391" s="7">
        <f>SUMIFS('05_상품별배치367'!$K$7:$K$373,'05_상품별배치367'!$E$7:$E$373,A1391,'05_상품별배치367'!$H$7:$H$373,"본진")</f>
        <v>0</v>
      </c>
      <c r="P1391" s="7">
        <f>SUMIFS('05_상품별배치367'!$K$7:$K$373,'05_상품별배치367'!$E$7:$E$373,A1391,'05_상품별배치367'!$H$7:$H$373,"추가 진열")</f>
        <v>0</v>
      </c>
      <c r="Q1391" s="7">
        <f>O1391+P1391</f>
        <v>0</v>
      </c>
      <c r="R1391" s="7">
        <v>1</v>
      </c>
      <c r="S1391" s="6" t="s">
        <v>1881</v>
      </c>
      <c r="T1391" s="6" t="s">
        <v>1637</v>
      </c>
      <c r="U1391" s="6"/>
      <c r="V1391" s="16"/>
      <c r="W1391" s="16"/>
      <c r="X1391" s="16"/>
      <c r="Y1391" s="6" t="s">
        <v>1655</v>
      </c>
      <c r="Z1391" s="15"/>
      <c r="AA1391" s="15" t="s">
        <v>1628</v>
      </c>
    </row>
    <row r="1392" spans="1:27" ht="33" customHeight="1">
      <c r="A1392" s="8" t="s">
        <v>1968</v>
      </c>
      <c r="B1392" s="9">
        <v>124</v>
      </c>
      <c r="C1392" s="8" t="s">
        <v>1969</v>
      </c>
      <c r="D1392" s="8" t="s">
        <v>1967</v>
      </c>
      <c r="E1392" s="8" t="s">
        <v>1666</v>
      </c>
      <c r="F1392" s="8" t="s">
        <v>1880</v>
      </c>
      <c r="G1392" s="8" t="s">
        <v>1668</v>
      </c>
      <c r="H1392" s="8"/>
      <c r="I1392" s="14" t="s">
        <v>1642</v>
      </c>
      <c r="J1392" s="15"/>
      <c r="K1392" s="8" t="s">
        <v>1670</v>
      </c>
      <c r="L1392" s="8"/>
      <c r="M1392" s="6" t="s">
        <v>1643</v>
      </c>
      <c r="N1392" s="6" t="s">
        <v>1644</v>
      </c>
      <c r="O1392" s="7">
        <f>SUMIFS('05_상품별배치367'!$K$7:$K$373,'05_상품별배치367'!$E$7:$E$373,A1392,'05_상품별배치367'!$H$7:$H$373,"본진")</f>
        <v>0</v>
      </c>
      <c r="P1392" s="7">
        <f>SUMIFS('05_상품별배치367'!$K$7:$K$373,'05_상품별배치367'!$E$7:$E$373,A1392,'05_상품별배치367'!$H$7:$H$373,"추가 진열")</f>
        <v>0</v>
      </c>
      <c r="Q1392" s="7">
        <f>O1392+P1392</f>
        <v>0</v>
      </c>
      <c r="R1392" s="7">
        <v>1</v>
      </c>
      <c r="S1392" s="6" t="s">
        <v>1881</v>
      </c>
      <c r="T1392" s="6" t="s">
        <v>1637</v>
      </c>
      <c r="U1392" s="6"/>
      <c r="V1392" s="16"/>
      <c r="W1392" s="16"/>
      <c r="X1392" s="16"/>
      <c r="Y1392" s="6" t="s">
        <v>1655</v>
      </c>
      <c r="Z1392" s="15"/>
      <c r="AA1392" s="15" t="s">
        <v>1628</v>
      </c>
    </row>
    <row r="1393" spans="1:27" ht="33" customHeight="1">
      <c r="A1393" s="8" t="s">
        <v>6976</v>
      </c>
      <c r="B1393" s="9">
        <v>2396</v>
      </c>
      <c r="C1393" s="8" t="s">
        <v>6977</v>
      </c>
      <c r="D1393" s="8" t="s">
        <v>6978</v>
      </c>
      <c r="E1393" s="8" t="s">
        <v>1641</v>
      </c>
      <c r="F1393" s="8" t="s">
        <v>684</v>
      </c>
      <c r="G1393" s="8" t="s">
        <v>91</v>
      </c>
      <c r="H1393" s="8"/>
      <c r="I1393" s="14" t="s">
        <v>1642</v>
      </c>
      <c r="J1393" s="15"/>
      <c r="K1393" s="8" t="s">
        <v>1634</v>
      </c>
      <c r="L1393" s="8" t="s">
        <v>3828</v>
      </c>
      <c r="M1393" s="6" t="s">
        <v>1643</v>
      </c>
      <c r="N1393" s="6" t="s">
        <v>1624</v>
      </c>
      <c r="O1393" s="7">
        <f>SUMIFS('05_상품별배치367'!$K$7:$K$373,'05_상품별배치367'!$E$7:$E$373,A1393,'05_상품별배치367'!$H$7:$H$373,"본진")</f>
        <v>0</v>
      </c>
      <c r="P1393" s="7">
        <f>SUMIFS('05_상품별배치367'!$K$7:$K$373,'05_상품별배치367'!$E$7:$E$373,A1393,'05_상품별배치367'!$H$7:$H$373,"추가 진열")</f>
        <v>0</v>
      </c>
      <c r="Q1393" s="7">
        <f>O1393+P1393</f>
        <v>0</v>
      </c>
      <c r="R1393" s="7">
        <v>1</v>
      </c>
      <c r="S1393" s="6" t="s">
        <v>6975</v>
      </c>
      <c r="T1393" s="6" t="s">
        <v>1637</v>
      </c>
      <c r="U1393" s="6"/>
      <c r="V1393" s="16"/>
      <c r="W1393" s="16"/>
      <c r="X1393" s="16"/>
      <c r="Y1393" s="6" t="s">
        <v>1627</v>
      </c>
      <c r="Z1393" s="15"/>
      <c r="AA1393" s="15" t="s">
        <v>1628</v>
      </c>
    </row>
    <row r="1394" spans="1:27" ht="33" customHeight="1">
      <c r="A1394" s="6" t="s">
        <v>6972</v>
      </c>
      <c r="B1394" s="7">
        <v>2395</v>
      </c>
      <c r="C1394" s="6" t="s">
        <v>6973</v>
      </c>
      <c r="D1394" s="6" t="s">
        <v>6974</v>
      </c>
      <c r="E1394" s="6" t="s">
        <v>1641</v>
      </c>
      <c r="F1394" s="6" t="s">
        <v>684</v>
      </c>
      <c r="G1394" s="6" t="s">
        <v>91</v>
      </c>
      <c r="H1394" s="6" t="s">
        <v>683</v>
      </c>
      <c r="I1394" s="14" t="s">
        <v>1642</v>
      </c>
      <c r="J1394" s="15"/>
      <c r="K1394" s="6" t="s">
        <v>1634</v>
      </c>
      <c r="L1394" s="6" t="s">
        <v>3828</v>
      </c>
      <c r="M1394" s="6" t="s">
        <v>1643</v>
      </c>
      <c r="N1394" s="6" t="s">
        <v>1624</v>
      </c>
      <c r="O1394" s="7">
        <f>SUMIFS('05_상품별배치367'!$K$7:$K$373,'05_상품별배치367'!$E$7:$E$373,A1394,'05_상품별배치367'!$H$7:$H$373,"본진")</f>
        <v>0</v>
      </c>
      <c r="P1394" s="7">
        <f>SUMIFS('05_상품별배치367'!$K$7:$K$373,'05_상품별배치367'!$E$7:$E$373,A1394,'05_상품별배치367'!$H$7:$H$373,"추가 진열")</f>
        <v>0</v>
      </c>
      <c r="Q1394" s="7">
        <f>O1394+P1394</f>
        <v>0</v>
      </c>
      <c r="R1394" s="7">
        <v>1</v>
      </c>
      <c r="S1394" s="6" t="s">
        <v>6975</v>
      </c>
      <c r="T1394" s="6" t="s">
        <v>1637</v>
      </c>
      <c r="U1394" s="6"/>
      <c r="V1394" s="16"/>
      <c r="W1394" s="16"/>
      <c r="X1394" s="16"/>
      <c r="Y1394" s="6" t="s">
        <v>1655</v>
      </c>
      <c r="Z1394" s="15"/>
      <c r="AA1394" s="15" t="s">
        <v>1628</v>
      </c>
    </row>
    <row r="1395" spans="1:27" ht="33" customHeight="1">
      <c r="A1395" s="6" t="s">
        <v>3413</v>
      </c>
      <c r="B1395" s="7">
        <v>733</v>
      </c>
      <c r="C1395" s="6" t="s">
        <v>3414</v>
      </c>
      <c r="D1395" s="6" t="s">
        <v>2133</v>
      </c>
      <c r="E1395" s="6" t="s">
        <v>1986</v>
      </c>
      <c r="F1395" s="6" t="s">
        <v>493</v>
      </c>
      <c r="G1395" s="6" t="s">
        <v>299</v>
      </c>
      <c r="H1395" s="6"/>
      <c r="I1395" s="14" t="s">
        <v>1642</v>
      </c>
      <c r="J1395" s="15"/>
      <c r="K1395" s="6" t="s">
        <v>1976</v>
      </c>
      <c r="L1395" s="6"/>
      <c r="M1395" s="6" t="s">
        <v>1643</v>
      </c>
      <c r="N1395" s="6" t="s">
        <v>1644</v>
      </c>
      <c r="O1395" s="7">
        <f>SUMIFS('05_상품별배치367'!$K$7:$K$373,'05_상품별배치367'!$E$7:$E$373,A1395,'05_상품별배치367'!$H$7:$H$373,"본진")</f>
        <v>0</v>
      </c>
      <c r="P1395" s="7">
        <f>SUMIFS('05_상품별배치367'!$K$7:$K$373,'05_상품별배치367'!$E$7:$E$373,A1395,'05_상품별배치367'!$H$7:$H$373,"추가 진열")</f>
        <v>0</v>
      </c>
      <c r="Q1395" s="7">
        <f>O1395+P1395</f>
        <v>0</v>
      </c>
      <c r="R1395" s="7">
        <v>1</v>
      </c>
      <c r="S1395" s="6" t="s">
        <v>3084</v>
      </c>
      <c r="T1395" s="6" t="s">
        <v>1637</v>
      </c>
      <c r="U1395" s="6"/>
      <c r="V1395" s="16"/>
      <c r="W1395" s="16"/>
      <c r="X1395" s="16"/>
      <c r="Y1395" s="6" t="s">
        <v>1627</v>
      </c>
      <c r="Z1395" s="15"/>
      <c r="AA1395" s="15" t="s">
        <v>1628</v>
      </c>
    </row>
    <row r="1396" spans="1:27" ht="33" customHeight="1">
      <c r="A1396" s="8" t="s">
        <v>3411</v>
      </c>
      <c r="B1396" s="9">
        <v>732</v>
      </c>
      <c r="C1396" s="8" t="s">
        <v>3412</v>
      </c>
      <c r="D1396" s="8" t="s">
        <v>2133</v>
      </c>
      <c r="E1396" s="8" t="s">
        <v>2134</v>
      </c>
      <c r="F1396" s="8" t="s">
        <v>2933</v>
      </c>
      <c r="G1396" s="8" t="s">
        <v>1668</v>
      </c>
      <c r="H1396" s="8"/>
      <c r="I1396" s="14" t="s">
        <v>1807</v>
      </c>
      <c r="J1396" s="15"/>
      <c r="K1396" s="8" t="s">
        <v>1976</v>
      </c>
      <c r="L1396" s="8" t="s">
        <v>2032</v>
      </c>
      <c r="M1396" s="6" t="s">
        <v>1809</v>
      </c>
      <c r="N1396" s="6" t="s">
        <v>1644</v>
      </c>
      <c r="O1396" s="7">
        <f>SUMIFS('05_상품별배치367'!$K$7:$K$373,'05_상품별배치367'!$E$7:$E$373,A1396,'05_상품별배치367'!$H$7:$H$373,"본진")</f>
        <v>0</v>
      </c>
      <c r="P1396" s="7">
        <f>SUMIFS('05_상품별배치367'!$K$7:$K$373,'05_상품별배치367'!$E$7:$E$373,A1396,'05_상품별배치367'!$H$7:$H$373,"추가 진열")</f>
        <v>0</v>
      </c>
      <c r="Q1396" s="7">
        <f>O1396+P1396</f>
        <v>0</v>
      </c>
      <c r="R1396" s="7">
        <v>0</v>
      </c>
      <c r="S1396" s="6" t="s">
        <v>1810</v>
      </c>
      <c r="T1396" s="6" t="s">
        <v>1637</v>
      </c>
      <c r="U1396" s="6"/>
      <c r="V1396" s="16"/>
      <c r="W1396" s="16"/>
      <c r="X1396" s="16"/>
      <c r="Y1396" s="6" t="s">
        <v>1627</v>
      </c>
      <c r="Z1396" s="15"/>
      <c r="AA1396" s="15" t="s">
        <v>1628</v>
      </c>
    </row>
    <row r="1397" spans="1:27" ht="33" customHeight="1">
      <c r="A1397" s="6" t="s">
        <v>3408</v>
      </c>
      <c r="B1397" s="7">
        <v>731</v>
      </c>
      <c r="C1397" s="6" t="s">
        <v>3409</v>
      </c>
      <c r="D1397" s="6" t="s">
        <v>3410</v>
      </c>
      <c r="E1397" s="6" t="s">
        <v>2134</v>
      </c>
      <c r="F1397" s="6" t="s">
        <v>2933</v>
      </c>
      <c r="G1397" s="6" t="s">
        <v>1668</v>
      </c>
      <c r="H1397" s="6"/>
      <c r="I1397" s="14" t="s">
        <v>1807</v>
      </c>
      <c r="J1397" s="15"/>
      <c r="K1397" s="6" t="s">
        <v>1976</v>
      </c>
      <c r="L1397" s="6" t="s">
        <v>2032</v>
      </c>
      <c r="M1397" s="6" t="s">
        <v>1809</v>
      </c>
      <c r="N1397" s="6" t="s">
        <v>1644</v>
      </c>
      <c r="O1397" s="7">
        <f>SUMIFS('05_상품별배치367'!$K$7:$K$373,'05_상품별배치367'!$E$7:$E$373,A1397,'05_상품별배치367'!$H$7:$H$373,"본진")</f>
        <v>0</v>
      </c>
      <c r="P1397" s="7">
        <f>SUMIFS('05_상품별배치367'!$K$7:$K$373,'05_상품별배치367'!$E$7:$E$373,A1397,'05_상품별배치367'!$H$7:$H$373,"추가 진열")</f>
        <v>0</v>
      </c>
      <c r="Q1397" s="7">
        <f>O1397+P1397</f>
        <v>0</v>
      </c>
      <c r="R1397" s="7">
        <v>0</v>
      </c>
      <c r="S1397" s="6" t="s">
        <v>1810</v>
      </c>
      <c r="T1397" s="6" t="s">
        <v>1637</v>
      </c>
      <c r="U1397" s="6"/>
      <c r="V1397" s="16"/>
      <c r="W1397" s="16"/>
      <c r="X1397" s="16"/>
      <c r="Y1397" s="6" t="s">
        <v>1627</v>
      </c>
      <c r="Z1397" s="15"/>
      <c r="AA1397" s="15" t="s">
        <v>1628</v>
      </c>
    </row>
    <row r="1398" spans="1:27" ht="33" customHeight="1">
      <c r="A1398" s="8" t="s">
        <v>6040</v>
      </c>
      <c r="B1398" s="9">
        <v>1968</v>
      </c>
      <c r="C1398" s="8" t="s">
        <v>6041</v>
      </c>
      <c r="D1398" s="8" t="s">
        <v>6042</v>
      </c>
      <c r="E1398" s="8" t="s">
        <v>1814</v>
      </c>
      <c r="F1398" s="8" t="s">
        <v>1359</v>
      </c>
      <c r="G1398" s="8" t="s">
        <v>431</v>
      </c>
      <c r="H1398" s="8"/>
      <c r="I1398" s="14" t="s">
        <v>1642</v>
      </c>
      <c r="J1398" s="15"/>
      <c r="K1398" s="8" t="s">
        <v>1634</v>
      </c>
      <c r="L1398" s="8" t="s">
        <v>3828</v>
      </c>
      <c r="M1398" s="6" t="s">
        <v>1643</v>
      </c>
      <c r="N1398" s="6" t="s">
        <v>1624</v>
      </c>
      <c r="O1398" s="7">
        <f>SUMIFS('05_상품별배치367'!$K$7:$K$373,'05_상품별배치367'!$E$7:$E$373,A1398,'05_상품별배치367'!$H$7:$H$373,"본진")</f>
        <v>0</v>
      </c>
      <c r="P1398" s="7">
        <f>SUMIFS('05_상품별배치367'!$K$7:$K$373,'05_상품별배치367'!$E$7:$E$373,A1398,'05_상품별배치367'!$H$7:$H$373,"추가 진열")</f>
        <v>0</v>
      </c>
      <c r="Q1398" s="7">
        <f>O1398+P1398</f>
        <v>0</v>
      </c>
      <c r="R1398" s="7">
        <v>1</v>
      </c>
      <c r="S1398" s="6" t="s">
        <v>1815</v>
      </c>
      <c r="T1398" s="6" t="s">
        <v>1637</v>
      </c>
      <c r="U1398" s="6"/>
      <c r="V1398" s="16"/>
      <c r="W1398" s="16"/>
      <c r="X1398" s="16"/>
      <c r="Y1398" s="6" t="s">
        <v>1627</v>
      </c>
      <c r="Z1398" s="15"/>
      <c r="AA1398" s="15" t="s">
        <v>1628</v>
      </c>
    </row>
    <row r="1399" spans="1:27" ht="33" customHeight="1">
      <c r="A1399" s="6" t="s">
        <v>6051</v>
      </c>
      <c r="B1399" s="7">
        <v>1973</v>
      </c>
      <c r="C1399" s="6" t="s">
        <v>6052</v>
      </c>
      <c r="D1399" s="6" t="s">
        <v>6042</v>
      </c>
      <c r="E1399" s="6" t="s">
        <v>1814</v>
      </c>
      <c r="F1399" s="6" t="s">
        <v>1359</v>
      </c>
      <c r="G1399" s="6" t="s">
        <v>431</v>
      </c>
      <c r="H1399" s="6"/>
      <c r="I1399" s="14" t="s">
        <v>1642</v>
      </c>
      <c r="J1399" s="15"/>
      <c r="K1399" s="6" t="s">
        <v>1634</v>
      </c>
      <c r="L1399" s="6" t="s">
        <v>3828</v>
      </c>
      <c r="M1399" s="6" t="s">
        <v>1643</v>
      </c>
      <c r="N1399" s="6" t="s">
        <v>1624</v>
      </c>
      <c r="O1399" s="7">
        <f>SUMIFS('05_상품별배치367'!$K$7:$K$373,'05_상품별배치367'!$E$7:$E$373,A1399,'05_상품별배치367'!$H$7:$H$373,"본진")</f>
        <v>0</v>
      </c>
      <c r="P1399" s="7">
        <f>SUMIFS('05_상품별배치367'!$K$7:$K$373,'05_상품별배치367'!$E$7:$E$373,A1399,'05_상품별배치367'!$H$7:$H$373,"추가 진열")</f>
        <v>0</v>
      </c>
      <c r="Q1399" s="7">
        <f>O1399+P1399</f>
        <v>0</v>
      </c>
      <c r="R1399" s="7">
        <v>1</v>
      </c>
      <c r="S1399" s="6" t="s">
        <v>1815</v>
      </c>
      <c r="T1399" s="6" t="s">
        <v>1637</v>
      </c>
      <c r="U1399" s="6"/>
      <c r="V1399" s="16"/>
      <c r="W1399" s="16"/>
      <c r="X1399" s="16"/>
      <c r="Y1399" s="6" t="s">
        <v>1627</v>
      </c>
      <c r="Z1399" s="15"/>
      <c r="AA1399" s="15" t="s">
        <v>1628</v>
      </c>
    </row>
    <row r="1400" spans="1:27" ht="33" customHeight="1">
      <c r="A1400" s="6" t="s">
        <v>6075</v>
      </c>
      <c r="B1400" s="7">
        <v>1983</v>
      </c>
      <c r="C1400" s="6" t="s">
        <v>6076</v>
      </c>
      <c r="D1400" s="6" t="s">
        <v>6042</v>
      </c>
      <c r="E1400" s="6" t="s">
        <v>1814</v>
      </c>
      <c r="F1400" s="6" t="s">
        <v>1359</v>
      </c>
      <c r="G1400" s="6" t="s">
        <v>431</v>
      </c>
      <c r="H1400" s="6"/>
      <c r="I1400" s="14" t="s">
        <v>1642</v>
      </c>
      <c r="J1400" s="15"/>
      <c r="K1400" s="6" t="s">
        <v>1634</v>
      </c>
      <c r="L1400" s="6" t="s">
        <v>3828</v>
      </c>
      <c r="M1400" s="6" t="s">
        <v>1643</v>
      </c>
      <c r="N1400" s="6" t="s">
        <v>1624</v>
      </c>
      <c r="O1400" s="7">
        <f>SUMIFS('05_상품별배치367'!$K$7:$K$373,'05_상품별배치367'!$E$7:$E$373,A1400,'05_상품별배치367'!$H$7:$H$373,"본진")</f>
        <v>0</v>
      </c>
      <c r="P1400" s="7">
        <f>SUMIFS('05_상품별배치367'!$K$7:$K$373,'05_상품별배치367'!$E$7:$E$373,A1400,'05_상품별배치367'!$H$7:$H$373,"추가 진열")</f>
        <v>0</v>
      </c>
      <c r="Q1400" s="7">
        <f>O1400+P1400</f>
        <v>0</v>
      </c>
      <c r="R1400" s="7">
        <v>1</v>
      </c>
      <c r="S1400" s="6" t="s">
        <v>1815</v>
      </c>
      <c r="T1400" s="6" t="s">
        <v>1637</v>
      </c>
      <c r="U1400" s="6"/>
      <c r="V1400" s="16"/>
      <c r="W1400" s="16"/>
      <c r="X1400" s="16"/>
      <c r="Y1400" s="6" t="s">
        <v>1627</v>
      </c>
      <c r="Z1400" s="15"/>
      <c r="AA1400" s="15" t="s">
        <v>1628</v>
      </c>
    </row>
    <row r="1401" spans="1:27" ht="33" customHeight="1">
      <c r="A1401" s="6" t="s">
        <v>6070</v>
      </c>
      <c r="B1401" s="7">
        <v>1981</v>
      </c>
      <c r="C1401" s="6" t="s">
        <v>6071</v>
      </c>
      <c r="D1401" s="6" t="s">
        <v>6042</v>
      </c>
      <c r="E1401" s="6" t="s">
        <v>1814</v>
      </c>
      <c r="F1401" s="6" t="s">
        <v>1359</v>
      </c>
      <c r="G1401" s="6" t="s">
        <v>431</v>
      </c>
      <c r="H1401" s="6"/>
      <c r="I1401" s="14" t="s">
        <v>1642</v>
      </c>
      <c r="J1401" s="15"/>
      <c r="K1401" s="6" t="s">
        <v>1634</v>
      </c>
      <c r="L1401" s="6" t="s">
        <v>3828</v>
      </c>
      <c r="M1401" s="6" t="s">
        <v>1643</v>
      </c>
      <c r="N1401" s="6" t="s">
        <v>1624</v>
      </c>
      <c r="O1401" s="7">
        <f>SUMIFS('05_상품별배치367'!$K$7:$K$373,'05_상품별배치367'!$E$7:$E$373,A1401,'05_상품별배치367'!$H$7:$H$373,"본진")</f>
        <v>0</v>
      </c>
      <c r="P1401" s="7">
        <f>SUMIFS('05_상품별배치367'!$K$7:$K$373,'05_상품별배치367'!$E$7:$E$373,A1401,'05_상품별배치367'!$H$7:$H$373,"추가 진열")</f>
        <v>0</v>
      </c>
      <c r="Q1401" s="7">
        <f>O1401+P1401</f>
        <v>0</v>
      </c>
      <c r="R1401" s="7">
        <v>1</v>
      </c>
      <c r="S1401" s="6" t="s">
        <v>1815</v>
      </c>
      <c r="T1401" s="6" t="s">
        <v>1637</v>
      </c>
      <c r="U1401" s="6"/>
      <c r="V1401" s="16"/>
      <c r="W1401" s="16"/>
      <c r="X1401" s="16"/>
      <c r="Y1401" s="6" t="s">
        <v>1627</v>
      </c>
      <c r="Z1401" s="15"/>
      <c r="AA1401" s="15" t="s">
        <v>1628</v>
      </c>
    </row>
    <row r="1402" spans="1:27" ht="33" customHeight="1">
      <c r="A1402" s="6" t="s">
        <v>6056</v>
      </c>
      <c r="B1402" s="7">
        <v>1975</v>
      </c>
      <c r="C1402" s="6" t="s">
        <v>6057</v>
      </c>
      <c r="D1402" s="6" t="s">
        <v>3423</v>
      </c>
      <c r="E1402" s="6" t="s">
        <v>1814</v>
      </c>
      <c r="F1402" s="6" t="s">
        <v>1359</v>
      </c>
      <c r="G1402" s="6" t="s">
        <v>431</v>
      </c>
      <c r="H1402" s="6" t="s">
        <v>1358</v>
      </c>
      <c r="I1402" s="14" t="s">
        <v>1633</v>
      </c>
      <c r="J1402" s="15"/>
      <c r="K1402" s="6" t="s">
        <v>1634</v>
      </c>
      <c r="L1402" s="6" t="s">
        <v>3828</v>
      </c>
      <c r="M1402" s="6" t="s">
        <v>1635</v>
      </c>
      <c r="N1402" s="6" t="s">
        <v>1624</v>
      </c>
      <c r="O1402" s="7">
        <f>SUMIFS('05_상품별배치367'!$K$7:$K$373,'05_상품별배치367'!$E$7:$E$373,A1402,'05_상품별배치367'!$H$7:$H$373,"본진")</f>
        <v>1</v>
      </c>
      <c r="P1402" s="7">
        <f>SUMIFS('05_상품별배치367'!$K$7:$K$373,'05_상품별배치367'!$E$7:$E$373,A1402,'05_상품별배치367'!$H$7:$H$373,"추가 진열")</f>
        <v>0</v>
      </c>
      <c r="Q1402" s="7">
        <f>O1402+P1402</f>
        <v>1</v>
      </c>
      <c r="R1402" s="7">
        <v>1</v>
      </c>
      <c r="S1402" s="6" t="s">
        <v>1636</v>
      </c>
      <c r="T1402" s="6" t="s">
        <v>1637</v>
      </c>
      <c r="U1402" s="6"/>
      <c r="V1402" s="16"/>
      <c r="W1402" s="16"/>
      <c r="X1402" s="16"/>
      <c r="Y1402" s="6" t="s">
        <v>1627</v>
      </c>
      <c r="Z1402" s="15"/>
      <c r="AA1402" s="15" t="s">
        <v>1628</v>
      </c>
    </row>
    <row r="1403" spans="1:27" ht="33" customHeight="1">
      <c r="A1403" s="8" t="s">
        <v>7215</v>
      </c>
      <c r="B1403" s="9">
        <v>2510</v>
      </c>
      <c r="C1403" s="8" t="s">
        <v>7216</v>
      </c>
      <c r="D1403" s="8" t="s">
        <v>7208</v>
      </c>
      <c r="E1403" s="8" t="s">
        <v>1814</v>
      </c>
      <c r="F1403" s="8" t="s">
        <v>1359</v>
      </c>
      <c r="G1403" s="8" t="s">
        <v>431</v>
      </c>
      <c r="H1403" s="8"/>
      <c r="I1403" s="14" t="s">
        <v>1642</v>
      </c>
      <c r="J1403" s="15"/>
      <c r="K1403" s="8" t="s">
        <v>1634</v>
      </c>
      <c r="L1403" s="8" t="s">
        <v>3828</v>
      </c>
      <c r="M1403" s="6" t="s">
        <v>1643</v>
      </c>
      <c r="N1403" s="6" t="s">
        <v>1624</v>
      </c>
      <c r="O1403" s="7">
        <f>SUMIFS('05_상품별배치367'!$K$7:$K$373,'05_상품별배치367'!$E$7:$E$373,A1403,'05_상품별배치367'!$H$7:$H$373,"본진")</f>
        <v>0</v>
      </c>
      <c r="P1403" s="7">
        <f>SUMIFS('05_상품별배치367'!$K$7:$K$373,'05_상품별배치367'!$E$7:$E$373,A1403,'05_상품별배치367'!$H$7:$H$373,"추가 진열")</f>
        <v>0</v>
      </c>
      <c r="Q1403" s="7">
        <f>O1403+P1403</f>
        <v>0</v>
      </c>
      <c r="R1403" s="7">
        <v>1</v>
      </c>
      <c r="S1403" s="6" t="s">
        <v>1815</v>
      </c>
      <c r="T1403" s="6" t="s">
        <v>1637</v>
      </c>
      <c r="U1403" s="6"/>
      <c r="V1403" s="16"/>
      <c r="W1403" s="16"/>
      <c r="X1403" s="16"/>
      <c r="Y1403" s="6" t="s">
        <v>1627</v>
      </c>
      <c r="Z1403" s="15"/>
      <c r="AA1403" s="15" t="s">
        <v>1628</v>
      </c>
    </row>
    <row r="1404" spans="1:27" ht="33" customHeight="1">
      <c r="A1404" s="8" t="s">
        <v>7206</v>
      </c>
      <c r="B1404" s="9">
        <v>2506</v>
      </c>
      <c r="C1404" s="8" t="s">
        <v>7207</v>
      </c>
      <c r="D1404" s="8" t="s">
        <v>7208</v>
      </c>
      <c r="E1404" s="8" t="s">
        <v>1814</v>
      </c>
      <c r="F1404" s="8" t="s">
        <v>1359</v>
      </c>
      <c r="G1404" s="8" t="s">
        <v>431</v>
      </c>
      <c r="H1404" s="8"/>
      <c r="I1404" s="14" t="s">
        <v>1642</v>
      </c>
      <c r="J1404" s="15"/>
      <c r="K1404" s="8" t="s">
        <v>1634</v>
      </c>
      <c r="L1404" s="8" t="s">
        <v>3828</v>
      </c>
      <c r="M1404" s="6" t="s">
        <v>1643</v>
      </c>
      <c r="N1404" s="6" t="s">
        <v>1624</v>
      </c>
      <c r="O1404" s="7">
        <f>SUMIFS('05_상품별배치367'!$K$7:$K$373,'05_상품별배치367'!$E$7:$E$373,A1404,'05_상품별배치367'!$H$7:$H$373,"본진")</f>
        <v>0</v>
      </c>
      <c r="P1404" s="7">
        <f>SUMIFS('05_상품별배치367'!$K$7:$K$373,'05_상품별배치367'!$E$7:$E$373,A1404,'05_상품별배치367'!$H$7:$H$373,"추가 진열")</f>
        <v>0</v>
      </c>
      <c r="Q1404" s="7">
        <f>O1404+P1404</f>
        <v>0</v>
      </c>
      <c r="R1404" s="7">
        <v>1</v>
      </c>
      <c r="S1404" s="6" t="s">
        <v>1815</v>
      </c>
      <c r="T1404" s="6" t="s">
        <v>1637</v>
      </c>
      <c r="U1404" s="6"/>
      <c r="V1404" s="16"/>
      <c r="W1404" s="16"/>
      <c r="X1404" s="16"/>
      <c r="Y1404" s="6" t="s">
        <v>1627</v>
      </c>
      <c r="Z1404" s="15"/>
      <c r="AA1404" s="15" t="s">
        <v>1628</v>
      </c>
    </row>
    <row r="1405" spans="1:27" ht="33" customHeight="1">
      <c r="A1405" s="8" t="s">
        <v>7220</v>
      </c>
      <c r="B1405" s="9">
        <v>2512</v>
      </c>
      <c r="C1405" s="8" t="s">
        <v>7221</v>
      </c>
      <c r="D1405" s="8" t="s">
        <v>7222</v>
      </c>
      <c r="E1405" s="8" t="s">
        <v>1814</v>
      </c>
      <c r="F1405" s="8" t="s">
        <v>1359</v>
      </c>
      <c r="G1405" s="8" t="s">
        <v>431</v>
      </c>
      <c r="H1405" s="8" t="s">
        <v>1363</v>
      </c>
      <c r="I1405" s="14" t="s">
        <v>1633</v>
      </c>
      <c r="J1405" s="15"/>
      <c r="K1405" s="8" t="s">
        <v>1634</v>
      </c>
      <c r="L1405" s="8" t="s">
        <v>3828</v>
      </c>
      <c r="M1405" s="6" t="s">
        <v>1635</v>
      </c>
      <c r="N1405" s="6" t="s">
        <v>1624</v>
      </c>
      <c r="O1405" s="7">
        <f>SUMIFS('05_상품별배치367'!$K$7:$K$373,'05_상품별배치367'!$E$7:$E$373,A1405,'05_상품별배치367'!$H$7:$H$373,"본진")</f>
        <v>1</v>
      </c>
      <c r="P1405" s="7">
        <f>SUMIFS('05_상품별배치367'!$K$7:$K$373,'05_상품별배치367'!$E$7:$E$373,A1405,'05_상품별배치367'!$H$7:$H$373,"추가 진열")</f>
        <v>0</v>
      </c>
      <c r="Q1405" s="7">
        <f>O1405+P1405</f>
        <v>1</v>
      </c>
      <c r="R1405" s="7">
        <v>1</v>
      </c>
      <c r="S1405" s="6" t="s">
        <v>1636</v>
      </c>
      <c r="T1405" s="6" t="s">
        <v>1637</v>
      </c>
      <c r="U1405" s="6"/>
      <c r="V1405" s="16"/>
      <c r="W1405" s="16"/>
      <c r="X1405" s="16"/>
      <c r="Y1405" s="6" t="s">
        <v>1655</v>
      </c>
      <c r="Z1405" s="15"/>
      <c r="AA1405" s="15" t="s">
        <v>1628</v>
      </c>
    </row>
    <row r="1406" spans="1:27" ht="33" customHeight="1">
      <c r="A1406" s="6" t="s">
        <v>1811</v>
      </c>
      <c r="B1406" s="7">
        <v>65</v>
      </c>
      <c r="C1406" s="6" t="s">
        <v>1812</v>
      </c>
      <c r="D1406" s="6" t="s">
        <v>1813</v>
      </c>
      <c r="E1406" s="6" t="s">
        <v>1814</v>
      </c>
      <c r="F1406" s="6" t="s">
        <v>1359</v>
      </c>
      <c r="G1406" s="6" t="s">
        <v>431</v>
      </c>
      <c r="H1406" s="6"/>
      <c r="I1406" s="14" t="s">
        <v>1642</v>
      </c>
      <c r="J1406" s="15"/>
      <c r="K1406" s="6" t="s">
        <v>1634</v>
      </c>
      <c r="L1406" s="6"/>
      <c r="M1406" s="6" t="s">
        <v>1643</v>
      </c>
      <c r="N1406" s="6" t="s">
        <v>1624</v>
      </c>
      <c r="O1406" s="7">
        <f>SUMIFS('05_상품별배치367'!$K$7:$K$373,'05_상품별배치367'!$E$7:$E$373,A1406,'05_상품별배치367'!$H$7:$H$373,"본진")</f>
        <v>0</v>
      </c>
      <c r="P1406" s="7">
        <f>SUMIFS('05_상품별배치367'!$K$7:$K$373,'05_상품별배치367'!$E$7:$E$373,A1406,'05_상품별배치367'!$H$7:$H$373,"추가 진열")</f>
        <v>0</v>
      </c>
      <c r="Q1406" s="7">
        <f>O1406+P1406</f>
        <v>0</v>
      </c>
      <c r="R1406" s="7">
        <v>1</v>
      </c>
      <c r="S1406" s="6" t="s">
        <v>1815</v>
      </c>
      <c r="T1406" s="6" t="s">
        <v>1637</v>
      </c>
      <c r="U1406" s="6"/>
      <c r="V1406" s="16"/>
      <c r="W1406" s="16"/>
      <c r="X1406" s="16"/>
      <c r="Y1406" s="6" t="s">
        <v>1655</v>
      </c>
      <c r="Z1406" s="15"/>
      <c r="AA1406" s="15" t="s">
        <v>1628</v>
      </c>
    </row>
    <row r="1407" spans="1:27" ht="33" customHeight="1">
      <c r="A1407" s="6" t="s">
        <v>6935</v>
      </c>
      <c r="B1407" s="7">
        <v>2377</v>
      </c>
      <c r="C1407" s="6" t="s">
        <v>6936</v>
      </c>
      <c r="D1407" s="6" t="s">
        <v>6937</v>
      </c>
      <c r="E1407" s="6" t="s">
        <v>1620</v>
      </c>
      <c r="F1407" s="6" t="s">
        <v>505</v>
      </c>
      <c r="G1407" s="6" t="s">
        <v>358</v>
      </c>
      <c r="H1407" s="6"/>
      <c r="I1407" s="14" t="s">
        <v>1642</v>
      </c>
      <c r="J1407" s="15"/>
      <c r="K1407" s="6" t="s">
        <v>1622</v>
      </c>
      <c r="L1407" s="6" t="s">
        <v>3828</v>
      </c>
      <c r="M1407" s="6" t="s">
        <v>1643</v>
      </c>
      <c r="N1407" s="6" t="s">
        <v>1624</v>
      </c>
      <c r="O1407" s="7">
        <f>SUMIFS('05_상품별배치367'!$K$7:$K$373,'05_상품별배치367'!$E$7:$E$373,A1407,'05_상품별배치367'!$H$7:$H$373,"본진")</f>
        <v>0</v>
      </c>
      <c r="P1407" s="7">
        <f>SUMIFS('05_상품별배치367'!$K$7:$K$373,'05_상품별배치367'!$E$7:$E$373,A1407,'05_상품별배치367'!$H$7:$H$373,"추가 진열")</f>
        <v>0</v>
      </c>
      <c r="Q1407" s="7">
        <f>O1407+P1407</f>
        <v>0</v>
      </c>
      <c r="R1407" s="7">
        <v>1</v>
      </c>
      <c r="S1407" s="6" t="s">
        <v>1793</v>
      </c>
      <c r="T1407" s="6" t="s">
        <v>1637</v>
      </c>
      <c r="U1407" s="6"/>
      <c r="V1407" s="16"/>
      <c r="W1407" s="16"/>
      <c r="X1407" s="16"/>
      <c r="Y1407" s="6" t="s">
        <v>1655</v>
      </c>
      <c r="Z1407" s="15"/>
      <c r="AA1407" s="15" t="s">
        <v>1628</v>
      </c>
    </row>
    <row r="1408" spans="1:27" ht="33" customHeight="1">
      <c r="A1408" s="6" t="s">
        <v>6879</v>
      </c>
      <c r="B1408" s="7">
        <v>2351</v>
      </c>
      <c r="C1408" s="6" t="s">
        <v>6880</v>
      </c>
      <c r="D1408" s="6" t="s">
        <v>6881</v>
      </c>
      <c r="E1408" s="6" t="s">
        <v>1632</v>
      </c>
      <c r="F1408" s="6" t="s">
        <v>870</v>
      </c>
      <c r="G1408" s="6" t="s">
        <v>173</v>
      </c>
      <c r="H1408" s="6" t="s">
        <v>869</v>
      </c>
      <c r="I1408" s="14" t="s">
        <v>1633</v>
      </c>
      <c r="J1408" s="15"/>
      <c r="K1408" s="6" t="s">
        <v>1634</v>
      </c>
      <c r="L1408" s="6" t="s">
        <v>3828</v>
      </c>
      <c r="M1408" s="6" t="s">
        <v>1635</v>
      </c>
      <c r="N1408" s="6" t="s">
        <v>1624</v>
      </c>
      <c r="O1408" s="7">
        <f>SUMIFS('05_상품별배치367'!$K$7:$K$373,'05_상품별배치367'!$E$7:$E$373,A1408,'05_상품별배치367'!$H$7:$H$373,"본진")</f>
        <v>1</v>
      </c>
      <c r="P1408" s="7">
        <f>SUMIFS('05_상품별배치367'!$K$7:$K$373,'05_상품별배치367'!$E$7:$E$373,A1408,'05_상품별배치367'!$H$7:$H$373,"추가 진열")</f>
        <v>0</v>
      </c>
      <c r="Q1408" s="7">
        <f>O1408+P1408</f>
        <v>1</v>
      </c>
      <c r="R1408" s="7">
        <v>1</v>
      </c>
      <c r="S1408" s="6" t="s">
        <v>1636</v>
      </c>
      <c r="T1408" s="6" t="s">
        <v>1637</v>
      </c>
      <c r="U1408" s="6"/>
      <c r="V1408" s="16"/>
      <c r="W1408" s="16"/>
      <c r="X1408" s="16"/>
      <c r="Y1408" s="6" t="s">
        <v>1627</v>
      </c>
      <c r="Z1408" s="15"/>
      <c r="AA1408" s="15" t="s">
        <v>1628</v>
      </c>
    </row>
    <row r="1409" spans="1:27" ht="33" customHeight="1">
      <c r="A1409" s="6" t="s">
        <v>6925</v>
      </c>
      <c r="B1409" s="7">
        <v>2373</v>
      </c>
      <c r="C1409" s="6" t="s">
        <v>6926</v>
      </c>
      <c r="D1409" s="6" t="s">
        <v>1631</v>
      </c>
      <c r="E1409" s="6" t="s">
        <v>1632</v>
      </c>
      <c r="F1409" s="6" t="s">
        <v>1020</v>
      </c>
      <c r="G1409" s="6" t="s">
        <v>254</v>
      </c>
      <c r="H1409" s="6"/>
      <c r="I1409" s="14" t="s">
        <v>1642</v>
      </c>
      <c r="J1409" s="15"/>
      <c r="K1409" s="6" t="s">
        <v>1634</v>
      </c>
      <c r="L1409" s="6" t="s">
        <v>3828</v>
      </c>
      <c r="M1409" s="6" t="s">
        <v>1643</v>
      </c>
      <c r="N1409" s="6" t="s">
        <v>1624</v>
      </c>
      <c r="O1409" s="7">
        <f>SUMIFS('05_상품별배치367'!$K$7:$K$373,'05_상품별배치367'!$E$7:$E$373,A1409,'05_상품별배치367'!$H$7:$H$373,"본진")</f>
        <v>0</v>
      </c>
      <c r="P1409" s="7">
        <f>SUMIFS('05_상품별배치367'!$K$7:$K$373,'05_상품별배치367'!$E$7:$E$373,A1409,'05_상품별배치367'!$H$7:$H$373,"추가 진열")</f>
        <v>0</v>
      </c>
      <c r="Q1409" s="7">
        <f>O1409+P1409</f>
        <v>0</v>
      </c>
      <c r="R1409" s="7">
        <v>1</v>
      </c>
      <c r="S1409" s="6" t="s">
        <v>6907</v>
      </c>
      <c r="T1409" s="6" t="s">
        <v>1637</v>
      </c>
      <c r="U1409" s="6"/>
      <c r="V1409" s="16"/>
      <c r="W1409" s="16"/>
      <c r="X1409" s="16"/>
      <c r="Y1409" s="6" t="s">
        <v>1627</v>
      </c>
      <c r="Z1409" s="15"/>
      <c r="AA1409" s="15" t="s">
        <v>1628</v>
      </c>
    </row>
    <row r="1410" spans="1:27" ht="33" customHeight="1">
      <c r="A1410" s="6" t="s">
        <v>5884</v>
      </c>
      <c r="B1410" s="7">
        <v>1897</v>
      </c>
      <c r="C1410" s="6" t="s">
        <v>5885</v>
      </c>
      <c r="D1410" s="6" t="s">
        <v>1649</v>
      </c>
      <c r="E1410" s="6" t="s">
        <v>1632</v>
      </c>
      <c r="F1410" s="6" t="s">
        <v>1020</v>
      </c>
      <c r="G1410" s="6" t="s">
        <v>254</v>
      </c>
      <c r="H1410" s="6" t="s">
        <v>1019</v>
      </c>
      <c r="I1410" s="14" t="s">
        <v>1633</v>
      </c>
      <c r="J1410" s="15"/>
      <c r="K1410" s="6" t="s">
        <v>1634</v>
      </c>
      <c r="L1410" s="6" t="s">
        <v>3828</v>
      </c>
      <c r="M1410" s="6" t="s">
        <v>1635</v>
      </c>
      <c r="N1410" s="6" t="s">
        <v>1624</v>
      </c>
      <c r="O1410" s="7">
        <f>SUMIFS('05_상품별배치367'!$K$7:$K$373,'05_상품별배치367'!$E$7:$E$373,A1410,'05_상품별배치367'!$H$7:$H$373,"본진")</f>
        <v>1</v>
      </c>
      <c r="P1410" s="7">
        <f>SUMIFS('05_상품별배치367'!$K$7:$K$373,'05_상품별배치367'!$E$7:$E$373,A1410,'05_상품별배치367'!$H$7:$H$373,"추가 진열")</f>
        <v>0</v>
      </c>
      <c r="Q1410" s="7">
        <f>O1410+P1410</f>
        <v>1</v>
      </c>
      <c r="R1410" s="7">
        <v>1</v>
      </c>
      <c r="S1410" s="6" t="s">
        <v>1636</v>
      </c>
      <c r="T1410" s="6" t="s">
        <v>1637</v>
      </c>
      <c r="U1410" s="6"/>
      <c r="V1410" s="16"/>
      <c r="W1410" s="16"/>
      <c r="X1410" s="16"/>
      <c r="Y1410" s="6" t="s">
        <v>1627</v>
      </c>
      <c r="Z1410" s="15"/>
      <c r="AA1410" s="15" t="s">
        <v>1628</v>
      </c>
    </row>
    <row r="1411" spans="1:27" ht="33" customHeight="1">
      <c r="A1411" s="8" t="s">
        <v>6396</v>
      </c>
      <c r="B1411" s="9">
        <v>2118</v>
      </c>
      <c r="C1411" s="8" t="s">
        <v>6397</v>
      </c>
      <c r="D1411" s="8" t="s">
        <v>6398</v>
      </c>
      <c r="E1411" s="8" t="s">
        <v>1695</v>
      </c>
      <c r="F1411" s="8" t="s">
        <v>1129</v>
      </c>
      <c r="G1411" s="8" t="s">
        <v>307</v>
      </c>
      <c r="H1411" s="8"/>
      <c r="I1411" s="14" t="s">
        <v>1642</v>
      </c>
      <c r="J1411" s="15"/>
      <c r="K1411" s="8" t="s">
        <v>1696</v>
      </c>
      <c r="L1411" s="8"/>
      <c r="M1411" s="6" t="s">
        <v>1643</v>
      </c>
      <c r="N1411" s="6" t="s">
        <v>1644</v>
      </c>
      <c r="O1411" s="7">
        <f>SUMIFS('05_상품별배치367'!$K$7:$K$373,'05_상품별배치367'!$E$7:$E$373,A1411,'05_상품별배치367'!$H$7:$H$373,"본진")</f>
        <v>0</v>
      </c>
      <c r="P1411" s="7">
        <f>SUMIFS('05_상품별배치367'!$K$7:$K$373,'05_상품별배치367'!$E$7:$E$373,A1411,'05_상품별배치367'!$H$7:$H$373,"추가 진열")</f>
        <v>0</v>
      </c>
      <c r="Q1411" s="7">
        <f>O1411+P1411</f>
        <v>0</v>
      </c>
      <c r="R1411" s="7">
        <v>1</v>
      </c>
      <c r="S1411" s="6" t="s">
        <v>2850</v>
      </c>
      <c r="T1411" s="6" t="s">
        <v>1637</v>
      </c>
      <c r="U1411" s="6"/>
      <c r="V1411" s="16"/>
      <c r="W1411" s="16"/>
      <c r="X1411" s="16"/>
      <c r="Y1411" s="6" t="s">
        <v>1627</v>
      </c>
      <c r="Z1411" s="15"/>
      <c r="AA1411" s="15" t="s">
        <v>1628</v>
      </c>
    </row>
    <row r="1412" spans="1:27" ht="33" customHeight="1">
      <c r="A1412" s="6" t="s">
        <v>6399</v>
      </c>
      <c r="B1412" s="7">
        <v>2119</v>
      </c>
      <c r="C1412" s="6" t="s">
        <v>6400</v>
      </c>
      <c r="D1412" s="6" t="s">
        <v>6401</v>
      </c>
      <c r="E1412" s="6" t="s">
        <v>1695</v>
      </c>
      <c r="F1412" s="6" t="s">
        <v>1129</v>
      </c>
      <c r="G1412" s="6" t="s">
        <v>307</v>
      </c>
      <c r="H1412" s="6"/>
      <c r="I1412" s="14" t="s">
        <v>1642</v>
      </c>
      <c r="J1412" s="15"/>
      <c r="K1412" s="6" t="s">
        <v>1696</v>
      </c>
      <c r="L1412" s="6"/>
      <c r="M1412" s="6" t="s">
        <v>1643</v>
      </c>
      <c r="N1412" s="6" t="s">
        <v>1644</v>
      </c>
      <c r="O1412" s="7">
        <f>SUMIFS('05_상품별배치367'!$K$7:$K$373,'05_상품별배치367'!$E$7:$E$373,A1412,'05_상품별배치367'!$H$7:$H$373,"본진")</f>
        <v>0</v>
      </c>
      <c r="P1412" s="7">
        <f>SUMIFS('05_상품별배치367'!$K$7:$K$373,'05_상품별배치367'!$E$7:$E$373,A1412,'05_상품별배치367'!$H$7:$H$373,"추가 진열")</f>
        <v>0</v>
      </c>
      <c r="Q1412" s="7">
        <f>O1412+P1412</f>
        <v>0</v>
      </c>
      <c r="R1412" s="7">
        <v>1</v>
      </c>
      <c r="S1412" s="6" t="s">
        <v>2850</v>
      </c>
      <c r="T1412" s="6" t="s">
        <v>1637</v>
      </c>
      <c r="U1412" s="6"/>
      <c r="V1412" s="16"/>
      <c r="W1412" s="16"/>
      <c r="X1412" s="16"/>
      <c r="Y1412" s="6" t="s">
        <v>1627</v>
      </c>
      <c r="Z1412" s="15"/>
      <c r="AA1412" s="15" t="s">
        <v>1628</v>
      </c>
    </row>
    <row r="1413" spans="1:27" ht="33" customHeight="1">
      <c r="A1413" s="8" t="s">
        <v>5886</v>
      </c>
      <c r="B1413" s="9">
        <v>1898</v>
      </c>
      <c r="C1413" s="8" t="s">
        <v>5887</v>
      </c>
      <c r="D1413" s="8"/>
      <c r="E1413" s="8" t="s">
        <v>1743</v>
      </c>
      <c r="F1413" s="8" t="s">
        <v>2129</v>
      </c>
      <c r="G1413" s="8" t="s">
        <v>1668</v>
      </c>
      <c r="H1413" s="8"/>
      <c r="I1413" s="14" t="s">
        <v>1807</v>
      </c>
      <c r="J1413" s="15"/>
      <c r="K1413" s="8" t="s">
        <v>1696</v>
      </c>
      <c r="L1413" s="8" t="s">
        <v>5771</v>
      </c>
      <c r="M1413" s="6" t="s">
        <v>1809</v>
      </c>
      <c r="N1413" s="6" t="s">
        <v>1644</v>
      </c>
      <c r="O1413" s="7">
        <f>SUMIFS('05_상품별배치367'!$K$7:$K$373,'05_상품별배치367'!$E$7:$E$373,A1413,'05_상품별배치367'!$H$7:$H$373,"본진")</f>
        <v>0</v>
      </c>
      <c r="P1413" s="7">
        <f>SUMIFS('05_상품별배치367'!$K$7:$K$373,'05_상품별배치367'!$E$7:$E$373,A1413,'05_상품별배치367'!$H$7:$H$373,"추가 진열")</f>
        <v>0</v>
      </c>
      <c r="Q1413" s="7">
        <f>O1413+P1413</f>
        <v>0</v>
      </c>
      <c r="R1413" s="7">
        <v>0</v>
      </c>
      <c r="S1413" s="6" t="s">
        <v>1810</v>
      </c>
      <c r="T1413" s="6" t="s">
        <v>1637</v>
      </c>
      <c r="U1413" s="6"/>
      <c r="V1413" s="16"/>
      <c r="W1413" s="16"/>
      <c r="X1413" s="16"/>
      <c r="Y1413" s="6" t="s">
        <v>5772</v>
      </c>
      <c r="Z1413" s="15"/>
      <c r="AA1413" s="15" t="s">
        <v>1628</v>
      </c>
    </row>
    <row r="1414" spans="1:27" ht="33" customHeight="1">
      <c r="A1414" s="8" t="s">
        <v>6402</v>
      </c>
      <c r="B1414" s="9">
        <v>2120</v>
      </c>
      <c r="C1414" s="8" t="s">
        <v>6403</v>
      </c>
      <c r="D1414" s="8" t="s">
        <v>6404</v>
      </c>
      <c r="E1414" s="8" t="s">
        <v>1743</v>
      </c>
      <c r="F1414" s="8" t="s">
        <v>2129</v>
      </c>
      <c r="G1414" s="8" t="s">
        <v>1668</v>
      </c>
      <c r="H1414" s="8"/>
      <c r="I1414" s="14" t="s">
        <v>1642</v>
      </c>
      <c r="J1414" s="15"/>
      <c r="K1414" s="8" t="s">
        <v>1696</v>
      </c>
      <c r="L1414" s="8"/>
      <c r="M1414" s="6" t="s">
        <v>1643</v>
      </c>
      <c r="N1414" s="6" t="s">
        <v>1644</v>
      </c>
      <c r="O1414" s="7">
        <f>SUMIFS('05_상품별배치367'!$K$7:$K$373,'05_상품별배치367'!$E$7:$E$373,A1414,'05_상품별배치367'!$H$7:$H$373,"본진")</f>
        <v>0</v>
      </c>
      <c r="P1414" s="7">
        <f>SUMIFS('05_상품별배치367'!$K$7:$K$373,'05_상품별배치367'!$E$7:$E$373,A1414,'05_상품별배치367'!$H$7:$H$373,"추가 진열")</f>
        <v>0</v>
      </c>
      <c r="Q1414" s="7">
        <f>O1414+P1414</f>
        <v>0</v>
      </c>
      <c r="R1414" s="7">
        <v>1</v>
      </c>
      <c r="S1414" s="6" t="s">
        <v>2130</v>
      </c>
      <c r="T1414" s="6" t="s">
        <v>1637</v>
      </c>
      <c r="U1414" s="6"/>
      <c r="V1414" s="16"/>
      <c r="W1414" s="16"/>
      <c r="X1414" s="16"/>
      <c r="Y1414" s="6" t="s">
        <v>1627</v>
      </c>
      <c r="Z1414" s="15"/>
      <c r="AA1414" s="15" t="s">
        <v>1628</v>
      </c>
    </row>
    <row r="1415" spans="1:27" ht="33" customHeight="1">
      <c r="A1415" s="6" t="s">
        <v>6405</v>
      </c>
      <c r="B1415" s="7">
        <v>2121</v>
      </c>
      <c r="C1415" s="6" t="s">
        <v>6406</v>
      </c>
      <c r="D1415" s="6" t="s">
        <v>6373</v>
      </c>
      <c r="E1415" s="6" t="s">
        <v>1743</v>
      </c>
      <c r="F1415" s="6" t="s">
        <v>2129</v>
      </c>
      <c r="G1415" s="6" t="s">
        <v>455</v>
      </c>
      <c r="H1415" s="6" t="s">
        <v>1433</v>
      </c>
      <c r="I1415" s="14" t="s">
        <v>1633</v>
      </c>
      <c r="J1415" s="15"/>
      <c r="K1415" s="6" t="s">
        <v>1696</v>
      </c>
      <c r="L1415" s="6"/>
      <c r="M1415" s="6" t="s">
        <v>1635</v>
      </c>
      <c r="N1415" s="6" t="s">
        <v>1644</v>
      </c>
      <c r="O1415" s="7">
        <f>SUMIFS('05_상품별배치367'!$K$7:$K$373,'05_상품별배치367'!$E$7:$E$373,A1415,'05_상품별배치367'!$H$7:$H$373,"본진")</f>
        <v>1</v>
      </c>
      <c r="P1415" s="7">
        <f>SUMIFS('05_상품별배치367'!$K$7:$K$373,'05_상품별배치367'!$E$7:$E$373,A1415,'05_상품별배치367'!$H$7:$H$373,"추가 진열")</f>
        <v>0</v>
      </c>
      <c r="Q1415" s="7">
        <f>O1415+P1415</f>
        <v>1</v>
      </c>
      <c r="R1415" s="7">
        <v>1</v>
      </c>
      <c r="S1415" s="6" t="s">
        <v>1636</v>
      </c>
      <c r="T1415" s="6" t="s">
        <v>1637</v>
      </c>
      <c r="U1415" s="6"/>
      <c r="V1415" s="16"/>
      <c r="W1415" s="16"/>
      <c r="X1415" s="16"/>
      <c r="Y1415" s="6" t="s">
        <v>1627</v>
      </c>
      <c r="Z1415" s="15"/>
      <c r="AA1415" s="15" t="s">
        <v>1628</v>
      </c>
    </row>
    <row r="1416" spans="1:27" ht="33" customHeight="1">
      <c r="A1416" s="8" t="s">
        <v>6407</v>
      </c>
      <c r="B1416" s="9">
        <v>2122</v>
      </c>
      <c r="C1416" s="8" t="s">
        <v>6408</v>
      </c>
      <c r="D1416" s="8" t="s">
        <v>6373</v>
      </c>
      <c r="E1416" s="8" t="s">
        <v>1743</v>
      </c>
      <c r="F1416" s="8" t="s">
        <v>2129</v>
      </c>
      <c r="G1416" s="8" t="s">
        <v>1668</v>
      </c>
      <c r="H1416" s="8"/>
      <c r="I1416" s="14" t="s">
        <v>1642</v>
      </c>
      <c r="J1416" s="15"/>
      <c r="K1416" s="8" t="s">
        <v>1696</v>
      </c>
      <c r="L1416" s="8"/>
      <c r="M1416" s="6" t="s">
        <v>1643</v>
      </c>
      <c r="N1416" s="6" t="s">
        <v>1644</v>
      </c>
      <c r="O1416" s="7">
        <f>SUMIFS('05_상품별배치367'!$K$7:$K$373,'05_상품별배치367'!$E$7:$E$373,A1416,'05_상품별배치367'!$H$7:$H$373,"본진")</f>
        <v>0</v>
      </c>
      <c r="P1416" s="7">
        <f>SUMIFS('05_상품별배치367'!$K$7:$K$373,'05_상품별배치367'!$E$7:$E$373,A1416,'05_상품별배치367'!$H$7:$H$373,"추가 진열")</f>
        <v>0</v>
      </c>
      <c r="Q1416" s="7">
        <f>O1416+P1416</f>
        <v>0</v>
      </c>
      <c r="R1416" s="7">
        <v>1</v>
      </c>
      <c r="S1416" s="6" t="s">
        <v>2130</v>
      </c>
      <c r="T1416" s="6" t="s">
        <v>1637</v>
      </c>
      <c r="U1416" s="6"/>
      <c r="V1416" s="16"/>
      <c r="W1416" s="16"/>
      <c r="X1416" s="16"/>
      <c r="Y1416" s="6" t="s">
        <v>1627</v>
      </c>
      <c r="Z1416" s="15"/>
      <c r="AA1416" s="15" t="s">
        <v>1628</v>
      </c>
    </row>
    <row r="1417" spans="1:27" ht="33" customHeight="1">
      <c r="A1417" s="6" t="s">
        <v>6409</v>
      </c>
      <c r="B1417" s="7">
        <v>2123</v>
      </c>
      <c r="C1417" s="6" t="s">
        <v>6410</v>
      </c>
      <c r="D1417" s="6" t="s">
        <v>6411</v>
      </c>
      <c r="E1417" s="6" t="s">
        <v>1743</v>
      </c>
      <c r="F1417" s="6" t="s">
        <v>2129</v>
      </c>
      <c r="G1417" s="6" t="s">
        <v>1668</v>
      </c>
      <c r="H1417" s="6"/>
      <c r="I1417" s="14" t="s">
        <v>1642</v>
      </c>
      <c r="J1417" s="15"/>
      <c r="K1417" s="6" t="s">
        <v>1696</v>
      </c>
      <c r="L1417" s="6"/>
      <c r="M1417" s="6" t="s">
        <v>1643</v>
      </c>
      <c r="N1417" s="6" t="s">
        <v>1644</v>
      </c>
      <c r="O1417" s="7">
        <f>SUMIFS('05_상품별배치367'!$K$7:$K$373,'05_상품별배치367'!$E$7:$E$373,A1417,'05_상품별배치367'!$H$7:$H$373,"본진")</f>
        <v>0</v>
      </c>
      <c r="P1417" s="7">
        <f>SUMIFS('05_상품별배치367'!$K$7:$K$373,'05_상품별배치367'!$E$7:$E$373,A1417,'05_상품별배치367'!$H$7:$H$373,"추가 진열")</f>
        <v>0</v>
      </c>
      <c r="Q1417" s="7">
        <f>O1417+P1417</f>
        <v>0</v>
      </c>
      <c r="R1417" s="7">
        <v>1</v>
      </c>
      <c r="S1417" s="6" t="s">
        <v>2130</v>
      </c>
      <c r="T1417" s="6" t="s">
        <v>1637</v>
      </c>
      <c r="U1417" s="6"/>
      <c r="V1417" s="16"/>
      <c r="W1417" s="16"/>
      <c r="X1417" s="16"/>
      <c r="Y1417" s="6" t="s">
        <v>1627</v>
      </c>
      <c r="Z1417" s="15"/>
      <c r="AA1417" s="15" t="s">
        <v>1628</v>
      </c>
    </row>
    <row r="1418" spans="1:27" ht="33" customHeight="1">
      <c r="A1418" s="8" t="s">
        <v>6412</v>
      </c>
      <c r="B1418" s="9">
        <v>2124</v>
      </c>
      <c r="C1418" s="8" t="s">
        <v>6413</v>
      </c>
      <c r="D1418" s="8" t="s">
        <v>6373</v>
      </c>
      <c r="E1418" s="8" t="s">
        <v>1743</v>
      </c>
      <c r="F1418" s="8" t="s">
        <v>2129</v>
      </c>
      <c r="G1418" s="8" t="s">
        <v>1668</v>
      </c>
      <c r="H1418" s="8"/>
      <c r="I1418" s="14" t="s">
        <v>1642</v>
      </c>
      <c r="J1418" s="15"/>
      <c r="K1418" s="8" t="s">
        <v>1696</v>
      </c>
      <c r="L1418" s="8"/>
      <c r="M1418" s="6" t="s">
        <v>1643</v>
      </c>
      <c r="N1418" s="6" t="s">
        <v>1644</v>
      </c>
      <c r="O1418" s="7">
        <f>SUMIFS('05_상품별배치367'!$K$7:$K$373,'05_상품별배치367'!$E$7:$E$373,A1418,'05_상품별배치367'!$H$7:$H$373,"본진")</f>
        <v>0</v>
      </c>
      <c r="P1418" s="7">
        <f>SUMIFS('05_상품별배치367'!$K$7:$K$373,'05_상품별배치367'!$E$7:$E$373,A1418,'05_상품별배치367'!$H$7:$H$373,"추가 진열")</f>
        <v>0</v>
      </c>
      <c r="Q1418" s="7">
        <f>O1418+P1418</f>
        <v>0</v>
      </c>
      <c r="R1418" s="7">
        <v>1</v>
      </c>
      <c r="S1418" s="6" t="s">
        <v>2130</v>
      </c>
      <c r="T1418" s="6" t="s">
        <v>1637</v>
      </c>
      <c r="U1418" s="6"/>
      <c r="V1418" s="16"/>
      <c r="W1418" s="16"/>
      <c r="X1418" s="16"/>
      <c r="Y1418" s="6" t="s">
        <v>1627</v>
      </c>
      <c r="Z1418" s="15"/>
      <c r="AA1418" s="15" t="s">
        <v>1628</v>
      </c>
    </row>
    <row r="1419" spans="1:27" ht="33" customHeight="1">
      <c r="A1419" s="6" t="s">
        <v>6414</v>
      </c>
      <c r="B1419" s="7">
        <v>2125</v>
      </c>
      <c r="C1419" s="6" t="s">
        <v>6415</v>
      </c>
      <c r="D1419" s="6" t="s">
        <v>6373</v>
      </c>
      <c r="E1419" s="6" t="s">
        <v>1743</v>
      </c>
      <c r="F1419" s="6" t="s">
        <v>2129</v>
      </c>
      <c r="G1419" s="6" t="s">
        <v>1668</v>
      </c>
      <c r="H1419" s="6"/>
      <c r="I1419" s="14" t="s">
        <v>1642</v>
      </c>
      <c r="J1419" s="15"/>
      <c r="K1419" s="6" t="s">
        <v>1696</v>
      </c>
      <c r="L1419" s="6"/>
      <c r="M1419" s="6" t="s">
        <v>1643</v>
      </c>
      <c r="N1419" s="6" t="s">
        <v>1644</v>
      </c>
      <c r="O1419" s="7">
        <f>SUMIFS('05_상품별배치367'!$K$7:$K$373,'05_상품별배치367'!$E$7:$E$373,A1419,'05_상품별배치367'!$H$7:$H$373,"본진")</f>
        <v>0</v>
      </c>
      <c r="P1419" s="7">
        <f>SUMIFS('05_상품별배치367'!$K$7:$K$373,'05_상품별배치367'!$E$7:$E$373,A1419,'05_상품별배치367'!$H$7:$H$373,"추가 진열")</f>
        <v>0</v>
      </c>
      <c r="Q1419" s="7">
        <f>O1419+P1419</f>
        <v>0</v>
      </c>
      <c r="R1419" s="7">
        <v>1</v>
      </c>
      <c r="S1419" s="6" t="s">
        <v>2130</v>
      </c>
      <c r="T1419" s="6" t="s">
        <v>1637</v>
      </c>
      <c r="U1419" s="6"/>
      <c r="V1419" s="16"/>
      <c r="W1419" s="16"/>
      <c r="X1419" s="16"/>
      <c r="Y1419" s="6" t="s">
        <v>1627</v>
      </c>
      <c r="Z1419" s="15"/>
      <c r="AA1419" s="15" t="s">
        <v>1628</v>
      </c>
    </row>
    <row r="1420" spans="1:27" ht="33" customHeight="1">
      <c r="A1420" s="8" t="s">
        <v>6416</v>
      </c>
      <c r="B1420" s="9">
        <v>2126</v>
      </c>
      <c r="C1420" s="8" t="s">
        <v>6417</v>
      </c>
      <c r="D1420" s="8" t="s">
        <v>6373</v>
      </c>
      <c r="E1420" s="8" t="s">
        <v>1743</v>
      </c>
      <c r="F1420" s="8" t="s">
        <v>2129</v>
      </c>
      <c r="G1420" s="8" t="s">
        <v>1668</v>
      </c>
      <c r="H1420" s="8"/>
      <c r="I1420" s="14" t="s">
        <v>1642</v>
      </c>
      <c r="J1420" s="15"/>
      <c r="K1420" s="8" t="s">
        <v>1696</v>
      </c>
      <c r="L1420" s="8"/>
      <c r="M1420" s="6" t="s">
        <v>1643</v>
      </c>
      <c r="N1420" s="6" t="s">
        <v>1644</v>
      </c>
      <c r="O1420" s="7">
        <f>SUMIFS('05_상품별배치367'!$K$7:$K$373,'05_상품별배치367'!$E$7:$E$373,A1420,'05_상품별배치367'!$H$7:$H$373,"본진")</f>
        <v>0</v>
      </c>
      <c r="P1420" s="7">
        <f>SUMIFS('05_상품별배치367'!$K$7:$K$373,'05_상품별배치367'!$E$7:$E$373,A1420,'05_상품별배치367'!$H$7:$H$373,"추가 진열")</f>
        <v>0</v>
      </c>
      <c r="Q1420" s="7">
        <f>O1420+P1420</f>
        <v>0</v>
      </c>
      <c r="R1420" s="7">
        <v>1</v>
      </c>
      <c r="S1420" s="6" t="s">
        <v>2130</v>
      </c>
      <c r="T1420" s="6" t="s">
        <v>1637</v>
      </c>
      <c r="U1420" s="6"/>
      <c r="V1420" s="16"/>
      <c r="W1420" s="16"/>
      <c r="X1420" s="16"/>
      <c r="Y1420" s="6" t="s">
        <v>1627</v>
      </c>
      <c r="Z1420" s="15"/>
      <c r="AA1420" s="15" t="s">
        <v>1628</v>
      </c>
    </row>
    <row r="1421" spans="1:27" ht="33" customHeight="1">
      <c r="A1421" s="6" t="s">
        <v>6418</v>
      </c>
      <c r="B1421" s="7">
        <v>2127</v>
      </c>
      <c r="C1421" s="6" t="s">
        <v>6419</v>
      </c>
      <c r="D1421" s="6" t="s">
        <v>6373</v>
      </c>
      <c r="E1421" s="6" t="s">
        <v>1743</v>
      </c>
      <c r="F1421" s="6" t="s">
        <v>2129</v>
      </c>
      <c r="G1421" s="6" t="s">
        <v>1668</v>
      </c>
      <c r="H1421" s="6"/>
      <c r="I1421" s="14" t="s">
        <v>1642</v>
      </c>
      <c r="J1421" s="15"/>
      <c r="K1421" s="6" t="s">
        <v>1696</v>
      </c>
      <c r="L1421" s="6"/>
      <c r="M1421" s="6" t="s">
        <v>1643</v>
      </c>
      <c r="N1421" s="6" t="s">
        <v>1644</v>
      </c>
      <c r="O1421" s="7">
        <f>SUMIFS('05_상품별배치367'!$K$7:$K$373,'05_상품별배치367'!$E$7:$E$373,A1421,'05_상품별배치367'!$H$7:$H$373,"본진")</f>
        <v>0</v>
      </c>
      <c r="P1421" s="7">
        <f>SUMIFS('05_상품별배치367'!$K$7:$K$373,'05_상품별배치367'!$E$7:$E$373,A1421,'05_상품별배치367'!$H$7:$H$373,"추가 진열")</f>
        <v>0</v>
      </c>
      <c r="Q1421" s="7">
        <f>O1421+P1421</f>
        <v>0</v>
      </c>
      <c r="R1421" s="7">
        <v>1</v>
      </c>
      <c r="S1421" s="6" t="s">
        <v>2130</v>
      </c>
      <c r="T1421" s="6" t="s">
        <v>1637</v>
      </c>
      <c r="U1421" s="6"/>
      <c r="V1421" s="16"/>
      <c r="W1421" s="16"/>
      <c r="X1421" s="16"/>
      <c r="Y1421" s="6" t="s">
        <v>1627</v>
      </c>
      <c r="Z1421" s="15"/>
      <c r="AA1421" s="15" t="s">
        <v>1628</v>
      </c>
    </row>
    <row r="1422" spans="1:27" ht="33" customHeight="1">
      <c r="A1422" s="8" t="s">
        <v>6420</v>
      </c>
      <c r="B1422" s="9">
        <v>2128</v>
      </c>
      <c r="C1422" s="8" t="s">
        <v>6421</v>
      </c>
      <c r="D1422" s="8" t="s">
        <v>6373</v>
      </c>
      <c r="E1422" s="8" t="s">
        <v>1814</v>
      </c>
      <c r="F1422" s="8" t="s">
        <v>731</v>
      </c>
      <c r="G1422" s="8" t="s">
        <v>107</v>
      </c>
      <c r="H1422" s="8" t="s">
        <v>730</v>
      </c>
      <c r="I1422" s="14" t="s">
        <v>1633</v>
      </c>
      <c r="J1422" s="15"/>
      <c r="K1422" s="8" t="s">
        <v>6422</v>
      </c>
      <c r="L1422" s="8"/>
      <c r="M1422" s="6" t="s">
        <v>1635</v>
      </c>
      <c r="N1422" s="6" t="s">
        <v>1624</v>
      </c>
      <c r="O1422" s="7">
        <f>SUMIFS('05_상품별배치367'!$K$7:$K$373,'05_상품별배치367'!$E$7:$E$373,A1422,'05_상품별배치367'!$H$7:$H$373,"본진")</f>
        <v>1</v>
      </c>
      <c r="P1422" s="7">
        <f>SUMIFS('05_상품별배치367'!$K$7:$K$373,'05_상품별배치367'!$E$7:$E$373,A1422,'05_상품별배치367'!$H$7:$H$373,"추가 진열")</f>
        <v>0</v>
      </c>
      <c r="Q1422" s="7">
        <f>O1422+P1422</f>
        <v>1</v>
      </c>
      <c r="R1422" s="7">
        <v>1</v>
      </c>
      <c r="S1422" s="6" t="s">
        <v>1636</v>
      </c>
      <c r="T1422" s="6" t="s">
        <v>1637</v>
      </c>
      <c r="U1422" s="6"/>
      <c r="V1422" s="16"/>
      <c r="W1422" s="16"/>
      <c r="X1422" s="16"/>
      <c r="Y1422" s="6" t="s">
        <v>1627</v>
      </c>
      <c r="Z1422" s="15"/>
      <c r="AA1422" s="15" t="s">
        <v>1628</v>
      </c>
    </row>
    <row r="1423" spans="1:27" ht="33" customHeight="1">
      <c r="A1423" s="8" t="s">
        <v>5795</v>
      </c>
      <c r="B1423" s="9">
        <v>1854</v>
      </c>
      <c r="C1423" s="8" t="s">
        <v>5796</v>
      </c>
      <c r="D1423" s="8" t="s">
        <v>1631</v>
      </c>
      <c r="E1423" s="8" t="s">
        <v>1632</v>
      </c>
      <c r="F1423" s="8" t="s">
        <v>870</v>
      </c>
      <c r="G1423" s="8" t="s">
        <v>173</v>
      </c>
      <c r="H1423" s="8"/>
      <c r="I1423" s="14" t="s">
        <v>1642</v>
      </c>
      <c r="J1423" s="15"/>
      <c r="K1423" s="8" t="s">
        <v>1634</v>
      </c>
      <c r="L1423" s="8" t="s">
        <v>3828</v>
      </c>
      <c r="M1423" s="6" t="s">
        <v>1643</v>
      </c>
      <c r="N1423" s="6" t="s">
        <v>1624</v>
      </c>
      <c r="O1423" s="7">
        <f>SUMIFS('05_상품별배치367'!$K$7:$K$373,'05_상품별배치367'!$E$7:$E$373,A1423,'05_상품별배치367'!$H$7:$H$373,"본진")</f>
        <v>0</v>
      </c>
      <c r="P1423" s="7">
        <f>SUMIFS('05_상품별배치367'!$K$7:$K$373,'05_상품별배치367'!$E$7:$E$373,A1423,'05_상품별배치367'!$H$7:$H$373,"추가 진열")</f>
        <v>0</v>
      </c>
      <c r="Q1423" s="7">
        <f>O1423+P1423</f>
        <v>0</v>
      </c>
      <c r="R1423" s="7">
        <v>1</v>
      </c>
      <c r="S1423" s="6" t="s">
        <v>5797</v>
      </c>
      <c r="T1423" s="6" t="s">
        <v>1637</v>
      </c>
      <c r="U1423" s="6"/>
      <c r="V1423" s="16"/>
      <c r="W1423" s="16"/>
      <c r="X1423" s="16"/>
      <c r="Y1423" s="6" t="s">
        <v>1627</v>
      </c>
      <c r="Z1423" s="15"/>
      <c r="AA1423" s="15" t="s">
        <v>1628</v>
      </c>
    </row>
    <row r="1424" spans="1:27" ht="33" customHeight="1">
      <c r="A1424" s="8" t="s">
        <v>751</v>
      </c>
      <c r="B1424" s="9">
        <v>904</v>
      </c>
      <c r="C1424" s="8" t="s">
        <v>750</v>
      </c>
      <c r="D1424" s="8" t="s">
        <v>3319</v>
      </c>
      <c r="E1424" s="8" t="s">
        <v>1981</v>
      </c>
      <c r="F1424" s="8" t="s">
        <v>122</v>
      </c>
      <c r="G1424" s="8" t="s">
        <v>185</v>
      </c>
      <c r="H1424" s="8" t="s">
        <v>887</v>
      </c>
      <c r="I1424" s="14" t="s">
        <v>1633</v>
      </c>
      <c r="J1424" s="15"/>
      <c r="K1424" s="8" t="s">
        <v>1982</v>
      </c>
      <c r="L1424" s="8"/>
      <c r="M1424" s="6" t="s">
        <v>1635</v>
      </c>
      <c r="N1424" s="6" t="s">
        <v>1624</v>
      </c>
      <c r="O1424" s="7">
        <f>SUMIFS('05_상품별배치367'!$K$7:$K$373,'05_상품별배치367'!$E$7:$E$373,A1424,'05_상품별배치367'!$H$7:$H$373,"본진")</f>
        <v>1</v>
      </c>
      <c r="P1424" s="7">
        <f>SUMIFS('05_상품별배치367'!$K$7:$K$373,'05_상품별배치367'!$E$7:$E$373,A1424,'05_상품별배치367'!$H$7:$H$373,"추가 진열")</f>
        <v>1</v>
      </c>
      <c r="Q1424" s="7">
        <f>O1424+P1424</f>
        <v>2</v>
      </c>
      <c r="R1424" s="7">
        <v>1</v>
      </c>
      <c r="S1424" s="6" t="s">
        <v>1636</v>
      </c>
      <c r="T1424" s="6" t="s">
        <v>3772</v>
      </c>
      <c r="U1424" s="6"/>
      <c r="V1424" s="16"/>
      <c r="W1424" s="16"/>
      <c r="X1424" s="16"/>
      <c r="Y1424" s="6" t="s">
        <v>1627</v>
      </c>
      <c r="Z1424" s="15"/>
      <c r="AA1424" s="15" t="s">
        <v>1628</v>
      </c>
    </row>
    <row r="1425" spans="1:27" ht="33" customHeight="1">
      <c r="A1425" s="6" t="s">
        <v>3776</v>
      </c>
      <c r="B1425" s="7">
        <v>905</v>
      </c>
      <c r="C1425" s="6" t="s">
        <v>3777</v>
      </c>
      <c r="D1425" s="6" t="s">
        <v>3778</v>
      </c>
      <c r="E1425" s="6" t="s">
        <v>1981</v>
      </c>
      <c r="F1425" s="6" t="s">
        <v>122</v>
      </c>
      <c r="G1425" s="6" t="s">
        <v>185</v>
      </c>
      <c r="H1425" s="6" t="s">
        <v>887</v>
      </c>
      <c r="I1425" s="14" t="s">
        <v>1633</v>
      </c>
      <c r="J1425" s="15"/>
      <c r="K1425" s="6" t="s">
        <v>1982</v>
      </c>
      <c r="L1425" s="6"/>
      <c r="M1425" s="6" t="s">
        <v>1635</v>
      </c>
      <c r="N1425" s="6" t="s">
        <v>1624</v>
      </c>
      <c r="O1425" s="7">
        <f>SUMIFS('05_상품별배치367'!$K$7:$K$373,'05_상품별배치367'!$E$7:$E$373,A1425,'05_상품별배치367'!$H$7:$H$373,"본진")</f>
        <v>1</v>
      </c>
      <c r="P1425" s="7">
        <f>SUMIFS('05_상품별배치367'!$K$7:$K$373,'05_상품별배치367'!$E$7:$E$373,A1425,'05_상품별배치367'!$H$7:$H$373,"추가 진열")</f>
        <v>0</v>
      </c>
      <c r="Q1425" s="7">
        <f>O1425+P1425</f>
        <v>1</v>
      </c>
      <c r="R1425" s="7">
        <v>1</v>
      </c>
      <c r="S1425" s="6" t="s">
        <v>1636</v>
      </c>
      <c r="T1425" s="6" t="s">
        <v>3772</v>
      </c>
      <c r="U1425" s="6"/>
      <c r="V1425" s="16"/>
      <c r="W1425" s="16"/>
      <c r="X1425" s="16"/>
      <c r="Y1425" s="6" t="s">
        <v>1627</v>
      </c>
      <c r="Z1425" s="15"/>
      <c r="AA1425" s="15" t="s">
        <v>1628</v>
      </c>
    </row>
    <row r="1426" spans="1:27" ht="33" customHeight="1">
      <c r="A1426" s="8" t="s">
        <v>3785</v>
      </c>
      <c r="B1426" s="9">
        <v>908</v>
      </c>
      <c r="C1426" s="8" t="s">
        <v>3786</v>
      </c>
      <c r="D1426" s="8" t="s">
        <v>2845</v>
      </c>
      <c r="E1426" s="8" t="s">
        <v>1986</v>
      </c>
      <c r="F1426" s="8" t="s">
        <v>913</v>
      </c>
      <c r="G1426" s="8" t="s">
        <v>201</v>
      </c>
      <c r="H1426" s="8"/>
      <c r="I1426" s="14" t="s">
        <v>1642</v>
      </c>
      <c r="J1426" s="15"/>
      <c r="K1426" s="8" t="s">
        <v>1976</v>
      </c>
      <c r="L1426" s="8"/>
      <c r="M1426" s="6" t="s">
        <v>1643</v>
      </c>
      <c r="N1426" s="6" t="s">
        <v>1644</v>
      </c>
      <c r="O1426" s="7">
        <f>SUMIFS('05_상품별배치367'!$K$7:$K$373,'05_상품별배치367'!$E$7:$E$373,A1426,'05_상품별배치367'!$H$7:$H$373,"본진")</f>
        <v>0</v>
      </c>
      <c r="P1426" s="7">
        <f>SUMIFS('05_상품별배치367'!$K$7:$K$373,'05_상품별배치367'!$E$7:$E$373,A1426,'05_상품별배치367'!$H$7:$H$373,"추가 진열")</f>
        <v>0</v>
      </c>
      <c r="Q1426" s="7">
        <f>O1426+P1426</f>
        <v>0</v>
      </c>
      <c r="R1426" s="7">
        <v>1</v>
      </c>
      <c r="S1426" s="6" t="s">
        <v>2907</v>
      </c>
      <c r="T1426" s="6" t="s">
        <v>3772</v>
      </c>
      <c r="U1426" s="6"/>
      <c r="V1426" s="16"/>
      <c r="W1426" s="16"/>
      <c r="X1426" s="16"/>
      <c r="Y1426" s="6" t="s">
        <v>1627</v>
      </c>
      <c r="Z1426" s="15"/>
      <c r="AA1426" s="15" t="s">
        <v>1628</v>
      </c>
    </row>
    <row r="1427" spans="1:27" ht="33" customHeight="1">
      <c r="A1427" s="6" t="s">
        <v>3773</v>
      </c>
      <c r="B1427" s="7">
        <v>903</v>
      </c>
      <c r="C1427" s="6" t="s">
        <v>3774</v>
      </c>
      <c r="D1427" s="6" t="s">
        <v>3775</v>
      </c>
      <c r="E1427" s="6" t="s">
        <v>2134</v>
      </c>
      <c r="F1427" s="6" t="s">
        <v>481</v>
      </c>
      <c r="G1427" s="6" t="s">
        <v>193</v>
      </c>
      <c r="H1427" s="6"/>
      <c r="I1427" s="14" t="s">
        <v>1642</v>
      </c>
      <c r="J1427" s="15"/>
      <c r="K1427" s="6" t="s">
        <v>1976</v>
      </c>
      <c r="L1427" s="6"/>
      <c r="M1427" s="6" t="s">
        <v>1643</v>
      </c>
      <c r="N1427" s="6" t="s">
        <v>1644</v>
      </c>
      <c r="O1427" s="7">
        <f>SUMIFS('05_상품별배치367'!$K$7:$K$373,'05_상품별배치367'!$E$7:$E$373,A1427,'05_상품별배치367'!$H$7:$H$373,"본진")</f>
        <v>0</v>
      </c>
      <c r="P1427" s="7">
        <f>SUMIFS('05_상품별배치367'!$K$7:$K$373,'05_상품별배치367'!$E$7:$E$373,A1427,'05_상품별배치367'!$H$7:$H$373,"추가 진열")</f>
        <v>0</v>
      </c>
      <c r="Q1427" s="7">
        <f>O1427+P1427</f>
        <v>0</v>
      </c>
      <c r="R1427" s="7">
        <v>1</v>
      </c>
      <c r="S1427" s="6" t="s">
        <v>3000</v>
      </c>
      <c r="T1427" s="6" t="s">
        <v>3772</v>
      </c>
      <c r="U1427" s="6"/>
      <c r="V1427" s="16"/>
      <c r="W1427" s="16"/>
      <c r="X1427" s="16"/>
      <c r="Y1427" s="6" t="s">
        <v>1627</v>
      </c>
      <c r="Z1427" s="15"/>
      <c r="AA1427" s="15" t="s">
        <v>1628</v>
      </c>
    </row>
    <row r="1428" spans="1:27" ht="33" customHeight="1">
      <c r="A1428" s="8" t="s">
        <v>3779</v>
      </c>
      <c r="B1428" s="9">
        <v>906</v>
      </c>
      <c r="C1428" s="8" t="s">
        <v>3780</v>
      </c>
      <c r="D1428" s="8" t="s">
        <v>3781</v>
      </c>
      <c r="E1428" s="8" t="s">
        <v>1981</v>
      </c>
      <c r="F1428" s="8" t="s">
        <v>122</v>
      </c>
      <c r="G1428" s="8" t="s">
        <v>185</v>
      </c>
      <c r="H1428" s="8" t="s">
        <v>883</v>
      </c>
      <c r="I1428" s="14" t="s">
        <v>1633</v>
      </c>
      <c r="J1428" s="15"/>
      <c r="K1428" s="8" t="s">
        <v>1982</v>
      </c>
      <c r="L1428" s="8"/>
      <c r="M1428" s="6" t="s">
        <v>1635</v>
      </c>
      <c r="N1428" s="6" t="s">
        <v>1624</v>
      </c>
      <c r="O1428" s="7">
        <f>SUMIFS('05_상품별배치367'!$K$7:$K$373,'05_상품별배치367'!$E$7:$E$373,A1428,'05_상품별배치367'!$H$7:$H$373,"본진")</f>
        <v>1</v>
      </c>
      <c r="P1428" s="7">
        <f>SUMIFS('05_상품별배치367'!$K$7:$K$373,'05_상품별배치367'!$E$7:$E$373,A1428,'05_상품별배치367'!$H$7:$H$373,"추가 진열")</f>
        <v>0</v>
      </c>
      <c r="Q1428" s="7">
        <f>O1428+P1428</f>
        <v>1</v>
      </c>
      <c r="R1428" s="7">
        <v>1</v>
      </c>
      <c r="S1428" s="6" t="s">
        <v>1636</v>
      </c>
      <c r="T1428" s="6" t="s">
        <v>3772</v>
      </c>
      <c r="U1428" s="6"/>
      <c r="V1428" s="16"/>
      <c r="W1428" s="16"/>
      <c r="X1428" s="16"/>
      <c r="Y1428" s="6" t="s">
        <v>1627</v>
      </c>
      <c r="Z1428" s="15"/>
      <c r="AA1428" s="15" t="s">
        <v>1628</v>
      </c>
    </row>
    <row r="1429" spans="1:27" ht="33" customHeight="1">
      <c r="A1429" s="6" t="s">
        <v>3787</v>
      </c>
      <c r="B1429" s="7">
        <v>909</v>
      </c>
      <c r="C1429" s="6" t="s">
        <v>3788</v>
      </c>
      <c r="D1429" s="6" t="s">
        <v>2913</v>
      </c>
      <c r="E1429" s="6" t="s">
        <v>2134</v>
      </c>
      <c r="F1429" s="6" t="s">
        <v>2933</v>
      </c>
      <c r="G1429" s="6" t="s">
        <v>1668</v>
      </c>
      <c r="H1429" s="6"/>
      <c r="I1429" s="14" t="s">
        <v>1807</v>
      </c>
      <c r="J1429" s="15"/>
      <c r="K1429" s="6" t="s">
        <v>1976</v>
      </c>
      <c r="L1429" s="6" t="s">
        <v>2032</v>
      </c>
      <c r="M1429" s="6" t="s">
        <v>1809</v>
      </c>
      <c r="N1429" s="6" t="s">
        <v>1644</v>
      </c>
      <c r="O1429" s="7">
        <f>SUMIFS('05_상품별배치367'!$K$7:$K$373,'05_상품별배치367'!$E$7:$E$373,A1429,'05_상품별배치367'!$H$7:$H$373,"본진")</f>
        <v>0</v>
      </c>
      <c r="P1429" s="7">
        <f>SUMIFS('05_상품별배치367'!$K$7:$K$373,'05_상품별배치367'!$E$7:$E$373,A1429,'05_상품별배치367'!$H$7:$H$373,"추가 진열")</f>
        <v>0</v>
      </c>
      <c r="Q1429" s="7">
        <f>O1429+P1429</f>
        <v>0</v>
      </c>
      <c r="R1429" s="7">
        <v>0</v>
      </c>
      <c r="S1429" s="6" t="s">
        <v>1810</v>
      </c>
      <c r="T1429" s="6" t="s">
        <v>3772</v>
      </c>
      <c r="U1429" s="6"/>
      <c r="V1429" s="16"/>
      <c r="W1429" s="16"/>
      <c r="X1429" s="16"/>
      <c r="Y1429" s="6" t="s">
        <v>1627</v>
      </c>
      <c r="Z1429" s="15"/>
      <c r="AA1429" s="15" t="s">
        <v>1628</v>
      </c>
    </row>
    <row r="1430" spans="1:27" ht="33" customHeight="1">
      <c r="A1430" s="6" t="s">
        <v>3782</v>
      </c>
      <c r="B1430" s="7">
        <v>907</v>
      </c>
      <c r="C1430" s="6" t="s">
        <v>3783</v>
      </c>
      <c r="D1430" s="6" t="s">
        <v>3784</v>
      </c>
      <c r="E1430" s="6" t="s">
        <v>1986</v>
      </c>
      <c r="F1430" s="6" t="s">
        <v>3378</v>
      </c>
      <c r="G1430" s="6" t="s">
        <v>38</v>
      </c>
      <c r="H1430" s="6"/>
      <c r="I1430" s="14" t="s">
        <v>1642</v>
      </c>
      <c r="J1430" s="15"/>
      <c r="K1430" s="6" t="s">
        <v>1976</v>
      </c>
      <c r="L1430" s="6"/>
      <c r="M1430" s="6" t="s">
        <v>1643</v>
      </c>
      <c r="N1430" s="6" t="s">
        <v>1644</v>
      </c>
      <c r="O1430" s="7">
        <f>SUMIFS('05_상품별배치367'!$K$7:$K$373,'05_상품별배치367'!$E$7:$E$373,A1430,'05_상품별배치367'!$H$7:$H$373,"본진")</f>
        <v>0</v>
      </c>
      <c r="P1430" s="7">
        <f>SUMIFS('05_상품별배치367'!$K$7:$K$373,'05_상품별배치367'!$E$7:$E$373,A1430,'05_상품별배치367'!$H$7:$H$373,"추가 진열")</f>
        <v>0</v>
      </c>
      <c r="Q1430" s="7">
        <f>O1430+P1430</f>
        <v>0</v>
      </c>
      <c r="R1430" s="7">
        <v>1</v>
      </c>
      <c r="S1430" s="6" t="s">
        <v>3379</v>
      </c>
      <c r="T1430" s="6" t="s">
        <v>3772</v>
      </c>
      <c r="U1430" s="6"/>
      <c r="V1430" s="16"/>
      <c r="W1430" s="16"/>
      <c r="X1430" s="16"/>
      <c r="Y1430" s="6" t="s">
        <v>1627</v>
      </c>
      <c r="Z1430" s="15"/>
      <c r="AA1430" s="15" t="s">
        <v>1628</v>
      </c>
    </row>
    <row r="1431" spans="1:27" ht="33" customHeight="1">
      <c r="A1431" s="8" t="s">
        <v>3769</v>
      </c>
      <c r="B1431" s="9">
        <v>902</v>
      </c>
      <c r="C1431" s="8" t="s">
        <v>3770</v>
      </c>
      <c r="D1431" s="8" t="s">
        <v>3771</v>
      </c>
      <c r="E1431" s="8" t="s">
        <v>1981</v>
      </c>
      <c r="F1431" s="8" t="s">
        <v>122</v>
      </c>
      <c r="G1431" s="8" t="s">
        <v>185</v>
      </c>
      <c r="H1431" s="8"/>
      <c r="I1431" s="14" t="s">
        <v>1642</v>
      </c>
      <c r="J1431" s="15"/>
      <c r="K1431" s="8" t="s">
        <v>1982</v>
      </c>
      <c r="L1431" s="8"/>
      <c r="M1431" s="6" t="s">
        <v>1643</v>
      </c>
      <c r="N1431" s="6" t="s">
        <v>1644</v>
      </c>
      <c r="O1431" s="7">
        <f>SUMIFS('05_상품별배치367'!$K$7:$K$373,'05_상품별배치367'!$E$7:$E$373,A1431,'05_상품별배치367'!$H$7:$H$373,"본진")</f>
        <v>0</v>
      </c>
      <c r="P1431" s="7">
        <f>SUMIFS('05_상품별배치367'!$K$7:$K$373,'05_상품별배치367'!$E$7:$E$373,A1431,'05_상품별배치367'!$H$7:$H$373,"추가 진열")</f>
        <v>0</v>
      </c>
      <c r="Q1431" s="7">
        <f>O1431+P1431</f>
        <v>0</v>
      </c>
      <c r="R1431" s="7">
        <v>1</v>
      </c>
      <c r="S1431" s="6" t="s">
        <v>1983</v>
      </c>
      <c r="T1431" s="6" t="s">
        <v>3772</v>
      </c>
      <c r="U1431" s="6"/>
      <c r="V1431" s="16"/>
      <c r="W1431" s="16"/>
      <c r="X1431" s="16"/>
      <c r="Y1431" s="6" t="s">
        <v>1627</v>
      </c>
      <c r="Z1431" s="15"/>
      <c r="AA1431" s="15" t="s">
        <v>1628</v>
      </c>
    </row>
    <row r="1432" spans="1:27" ht="33" customHeight="1">
      <c r="A1432" s="8" t="s">
        <v>7091</v>
      </c>
      <c r="B1432" s="9">
        <v>2452</v>
      </c>
      <c r="C1432" s="8" t="s">
        <v>7092</v>
      </c>
      <c r="D1432" s="8" t="s">
        <v>1851</v>
      </c>
      <c r="E1432" s="8" t="s">
        <v>2134</v>
      </c>
      <c r="F1432" s="8" t="s">
        <v>481</v>
      </c>
      <c r="G1432" s="8" t="s">
        <v>193</v>
      </c>
      <c r="H1432" s="8" t="s">
        <v>896</v>
      </c>
      <c r="I1432" s="14" t="s">
        <v>1621</v>
      </c>
      <c r="J1432" s="15"/>
      <c r="K1432" s="8" t="s">
        <v>1634</v>
      </c>
      <c r="L1432" s="8" t="s">
        <v>7093</v>
      </c>
      <c r="M1432" s="6" t="s">
        <v>1623</v>
      </c>
      <c r="N1432" s="6" t="s">
        <v>1624</v>
      </c>
      <c r="O1432" s="7">
        <f>SUMIFS('05_상품별배치367'!$K$7:$K$373,'05_상품별배치367'!$E$7:$E$373,A1432,'05_상품별배치367'!$H$7:$H$373,"본진")</f>
        <v>1</v>
      </c>
      <c r="P1432" s="7">
        <f>SUMIFS('05_상품별배치367'!$K$7:$K$373,'05_상품별배치367'!$E$7:$E$373,A1432,'05_상품별배치367'!$H$7:$H$373,"추가 진열")</f>
        <v>0</v>
      </c>
      <c r="Q1432" s="7">
        <f>O1432+P1432</f>
        <v>1</v>
      </c>
      <c r="R1432" s="7">
        <v>1</v>
      </c>
      <c r="S1432" s="6" t="s">
        <v>1625</v>
      </c>
      <c r="T1432" s="6" t="s">
        <v>1637</v>
      </c>
      <c r="U1432" s="6"/>
      <c r="V1432" s="16"/>
      <c r="W1432" s="16"/>
      <c r="X1432" s="16"/>
      <c r="Y1432" s="6" t="s">
        <v>1627</v>
      </c>
      <c r="Z1432" s="15"/>
      <c r="AA1432" s="15" t="s">
        <v>1628</v>
      </c>
    </row>
    <row r="1433" spans="1:27" ht="33" customHeight="1">
      <c r="A1433" s="8" t="s">
        <v>7199</v>
      </c>
      <c r="B1433" s="9">
        <v>2502</v>
      </c>
      <c r="C1433" s="8" t="s">
        <v>7200</v>
      </c>
      <c r="D1433" s="8" t="s">
        <v>3813</v>
      </c>
      <c r="E1433" s="8" t="s">
        <v>1632</v>
      </c>
      <c r="F1433" s="8" t="s">
        <v>563</v>
      </c>
      <c r="G1433" s="8" t="s">
        <v>25</v>
      </c>
      <c r="H1433" s="8"/>
      <c r="I1433" s="14" t="s">
        <v>1807</v>
      </c>
      <c r="J1433" s="15"/>
      <c r="K1433" s="8" t="s">
        <v>1634</v>
      </c>
      <c r="L1433" s="8" t="s">
        <v>3828</v>
      </c>
      <c r="M1433" s="6" t="s">
        <v>1809</v>
      </c>
      <c r="N1433" s="6" t="s">
        <v>1644</v>
      </c>
      <c r="O1433" s="7">
        <f>SUMIFS('05_상품별배치367'!$K$7:$K$373,'05_상품별배치367'!$E$7:$E$373,A1433,'05_상품별배치367'!$H$7:$H$373,"본진")</f>
        <v>0</v>
      </c>
      <c r="P1433" s="7">
        <f>SUMIFS('05_상품별배치367'!$K$7:$K$373,'05_상품별배치367'!$E$7:$E$373,A1433,'05_상품별배치367'!$H$7:$H$373,"추가 진열")</f>
        <v>0</v>
      </c>
      <c r="Q1433" s="7">
        <f>O1433+P1433</f>
        <v>0</v>
      </c>
      <c r="R1433" s="7">
        <v>0</v>
      </c>
      <c r="S1433" s="6" t="s">
        <v>1810</v>
      </c>
      <c r="T1433" s="6" t="s">
        <v>1637</v>
      </c>
      <c r="U1433" s="6"/>
      <c r="V1433" s="16"/>
      <c r="W1433" s="16"/>
      <c r="X1433" s="16"/>
      <c r="Y1433" s="6" t="s">
        <v>6630</v>
      </c>
      <c r="Z1433" s="15"/>
      <c r="AA1433" s="15" t="s">
        <v>1628</v>
      </c>
    </row>
    <row r="1434" spans="1:27" ht="33" customHeight="1">
      <c r="A1434" s="6" t="s">
        <v>7196</v>
      </c>
      <c r="B1434" s="7">
        <v>2501</v>
      </c>
      <c r="C1434" s="6" t="s">
        <v>7197</v>
      </c>
      <c r="D1434" s="6" t="s">
        <v>7198</v>
      </c>
      <c r="E1434" s="6" t="s">
        <v>1695</v>
      </c>
      <c r="F1434" s="6" t="s">
        <v>482</v>
      </c>
      <c r="G1434" s="6" t="s">
        <v>272</v>
      </c>
      <c r="H1434" s="6"/>
      <c r="I1434" s="14" t="s">
        <v>1642</v>
      </c>
      <c r="J1434" s="15"/>
      <c r="K1434" s="6" t="s">
        <v>1696</v>
      </c>
      <c r="L1434" s="6" t="s">
        <v>3828</v>
      </c>
      <c r="M1434" s="6" t="s">
        <v>1643</v>
      </c>
      <c r="N1434" s="6" t="s">
        <v>1644</v>
      </c>
      <c r="O1434" s="7">
        <f>SUMIFS('05_상품별배치367'!$K$7:$K$373,'05_상품별배치367'!$E$7:$E$373,A1434,'05_상품별배치367'!$H$7:$H$373,"본진")</f>
        <v>0</v>
      </c>
      <c r="P1434" s="7">
        <f>SUMIFS('05_상품별배치367'!$K$7:$K$373,'05_상품별배치367'!$E$7:$E$373,A1434,'05_상품별배치367'!$H$7:$H$373,"추가 진열")</f>
        <v>0</v>
      </c>
      <c r="Q1434" s="7">
        <f>O1434+P1434</f>
        <v>0</v>
      </c>
      <c r="R1434" s="7">
        <v>1</v>
      </c>
      <c r="S1434" s="6" t="s">
        <v>1942</v>
      </c>
      <c r="T1434" s="6" t="s">
        <v>1637</v>
      </c>
      <c r="U1434" s="6"/>
      <c r="V1434" s="16"/>
      <c r="W1434" s="16"/>
      <c r="X1434" s="16"/>
      <c r="Y1434" s="6" t="s">
        <v>1627</v>
      </c>
      <c r="Z1434" s="15"/>
      <c r="AA1434" s="15" t="s">
        <v>1628</v>
      </c>
    </row>
    <row r="1435" spans="1:27" ht="33" customHeight="1">
      <c r="A1435" s="6" t="s">
        <v>7201</v>
      </c>
      <c r="B1435" s="7">
        <v>2503</v>
      </c>
      <c r="C1435" s="6" t="s">
        <v>7202</v>
      </c>
      <c r="D1435" s="6" t="s">
        <v>7203</v>
      </c>
      <c r="E1435" s="6" t="s">
        <v>1743</v>
      </c>
      <c r="F1435" s="6" t="s">
        <v>2784</v>
      </c>
      <c r="G1435" s="6" t="s">
        <v>1668</v>
      </c>
      <c r="H1435" s="6"/>
      <c r="I1435" s="14" t="s">
        <v>1807</v>
      </c>
      <c r="J1435" s="15"/>
      <c r="K1435" s="6" t="s">
        <v>1696</v>
      </c>
      <c r="L1435" s="6" t="s">
        <v>2001</v>
      </c>
      <c r="M1435" s="6" t="s">
        <v>1809</v>
      </c>
      <c r="N1435" s="6" t="s">
        <v>1644</v>
      </c>
      <c r="O1435" s="7">
        <f>SUMIFS('05_상품별배치367'!$K$7:$K$373,'05_상품별배치367'!$E$7:$E$373,A1435,'05_상품별배치367'!$H$7:$H$373,"본진")</f>
        <v>0</v>
      </c>
      <c r="P1435" s="7">
        <f>SUMIFS('05_상품별배치367'!$K$7:$K$373,'05_상품별배치367'!$E$7:$E$373,A1435,'05_상품별배치367'!$H$7:$H$373,"추가 진열")</f>
        <v>0</v>
      </c>
      <c r="Q1435" s="7">
        <f>O1435+P1435</f>
        <v>0</v>
      </c>
      <c r="R1435" s="7">
        <v>0</v>
      </c>
      <c r="S1435" s="6" t="s">
        <v>1810</v>
      </c>
      <c r="T1435" s="6" t="s">
        <v>1637</v>
      </c>
      <c r="U1435" s="6"/>
      <c r="V1435" s="16"/>
      <c r="W1435" s="16"/>
      <c r="X1435" s="16"/>
      <c r="Y1435" s="6" t="s">
        <v>1627</v>
      </c>
      <c r="Z1435" s="15"/>
      <c r="AA1435" s="15" t="s">
        <v>1628</v>
      </c>
    </row>
    <row r="1436" spans="1:27" ht="33" customHeight="1">
      <c r="A1436" s="8" t="s">
        <v>7226</v>
      </c>
      <c r="B1436" s="9">
        <v>2514</v>
      </c>
      <c r="C1436" s="8" t="s">
        <v>7227</v>
      </c>
      <c r="D1436" s="8" t="s">
        <v>7228</v>
      </c>
      <c r="E1436" s="8" t="s">
        <v>1641</v>
      </c>
      <c r="F1436" s="8" t="s">
        <v>699</v>
      </c>
      <c r="G1436" s="8" t="s">
        <v>99</v>
      </c>
      <c r="H1436" s="8" t="s">
        <v>711</v>
      </c>
      <c r="I1436" s="14" t="s">
        <v>1642</v>
      </c>
      <c r="J1436" s="15"/>
      <c r="K1436" s="8" t="s">
        <v>1634</v>
      </c>
      <c r="L1436" s="8" t="s">
        <v>3828</v>
      </c>
      <c r="M1436" s="6" t="s">
        <v>1643</v>
      </c>
      <c r="N1436" s="6" t="s">
        <v>1624</v>
      </c>
      <c r="O1436" s="7">
        <f>SUMIFS('05_상품별배치367'!$K$7:$K$373,'05_상품별배치367'!$E$7:$E$373,A1436,'05_상품별배치367'!$H$7:$H$373,"본진")</f>
        <v>0</v>
      </c>
      <c r="P1436" s="7">
        <f>SUMIFS('05_상품별배치367'!$K$7:$K$373,'05_상품별배치367'!$E$7:$E$373,A1436,'05_상품별배치367'!$H$7:$H$373,"추가 진열")</f>
        <v>0</v>
      </c>
      <c r="Q1436" s="7">
        <f>O1436+P1436</f>
        <v>0</v>
      </c>
      <c r="R1436" s="7">
        <v>1</v>
      </c>
      <c r="S1436" s="6" t="s">
        <v>1659</v>
      </c>
      <c r="T1436" s="6" t="s">
        <v>1637</v>
      </c>
      <c r="U1436" s="6"/>
      <c r="V1436" s="16"/>
      <c r="W1436" s="16"/>
      <c r="X1436" s="16"/>
      <c r="Y1436" s="6" t="s">
        <v>1655</v>
      </c>
      <c r="Z1436" s="15"/>
      <c r="AA1436" s="15" t="s">
        <v>1628</v>
      </c>
    </row>
    <row r="1437" spans="1:27" ht="33" customHeight="1">
      <c r="A1437" s="6" t="s">
        <v>7223</v>
      </c>
      <c r="B1437" s="7">
        <v>2513</v>
      </c>
      <c r="C1437" s="6" t="s">
        <v>7224</v>
      </c>
      <c r="D1437" s="6" t="s">
        <v>7225</v>
      </c>
      <c r="E1437" s="6" t="s">
        <v>1641</v>
      </c>
      <c r="F1437" s="6" t="s">
        <v>699</v>
      </c>
      <c r="G1437" s="6" t="s">
        <v>99</v>
      </c>
      <c r="H1437" s="6"/>
      <c r="I1437" s="14" t="s">
        <v>1642</v>
      </c>
      <c r="J1437" s="15"/>
      <c r="K1437" s="6" t="s">
        <v>1634</v>
      </c>
      <c r="L1437" s="6" t="s">
        <v>3828</v>
      </c>
      <c r="M1437" s="6" t="s">
        <v>1643</v>
      </c>
      <c r="N1437" s="6" t="s">
        <v>1624</v>
      </c>
      <c r="O1437" s="7">
        <f>SUMIFS('05_상품별배치367'!$K$7:$K$373,'05_상품별배치367'!$E$7:$E$373,A1437,'05_상품별배치367'!$H$7:$H$373,"본진")</f>
        <v>0</v>
      </c>
      <c r="P1437" s="7">
        <f>SUMIFS('05_상품별배치367'!$K$7:$K$373,'05_상품별배치367'!$E$7:$E$373,A1437,'05_상품별배치367'!$H$7:$H$373,"추가 진열")</f>
        <v>0</v>
      </c>
      <c r="Q1437" s="7">
        <f>O1437+P1437</f>
        <v>0</v>
      </c>
      <c r="R1437" s="7">
        <v>1</v>
      </c>
      <c r="S1437" s="6" t="s">
        <v>1659</v>
      </c>
      <c r="T1437" s="6" t="s">
        <v>1637</v>
      </c>
      <c r="U1437" s="6"/>
      <c r="V1437" s="16"/>
      <c r="W1437" s="16"/>
      <c r="X1437" s="16"/>
      <c r="Y1437" s="6" t="s">
        <v>1655</v>
      </c>
      <c r="Z1437" s="15"/>
      <c r="AA1437" s="15" t="s">
        <v>1628</v>
      </c>
    </row>
    <row r="1438" spans="1:27" ht="33" customHeight="1">
      <c r="A1438" s="8" t="s">
        <v>5882</v>
      </c>
      <c r="B1438" s="9">
        <v>1896</v>
      </c>
      <c r="C1438" s="8" t="s">
        <v>5883</v>
      </c>
      <c r="D1438" s="8" t="s">
        <v>1851</v>
      </c>
      <c r="E1438" s="8" t="s">
        <v>1641</v>
      </c>
      <c r="F1438" s="8" t="s">
        <v>699</v>
      </c>
      <c r="G1438" s="8" t="s">
        <v>99</v>
      </c>
      <c r="H1438" s="8" t="s">
        <v>707</v>
      </c>
      <c r="I1438" s="14" t="s">
        <v>1633</v>
      </c>
      <c r="J1438" s="15"/>
      <c r="K1438" s="8" t="s">
        <v>1634</v>
      </c>
      <c r="L1438" s="8" t="s">
        <v>3828</v>
      </c>
      <c r="M1438" s="6" t="s">
        <v>1635</v>
      </c>
      <c r="N1438" s="6" t="s">
        <v>1624</v>
      </c>
      <c r="O1438" s="7">
        <f>SUMIFS('05_상품별배치367'!$K$7:$K$373,'05_상품별배치367'!$E$7:$E$373,A1438,'05_상품별배치367'!$H$7:$H$373,"본진")</f>
        <v>1</v>
      </c>
      <c r="P1438" s="7">
        <f>SUMIFS('05_상품별배치367'!$K$7:$K$373,'05_상품별배치367'!$E$7:$E$373,A1438,'05_상품별배치367'!$H$7:$H$373,"추가 진열")</f>
        <v>0</v>
      </c>
      <c r="Q1438" s="7">
        <f>O1438+P1438</f>
        <v>1</v>
      </c>
      <c r="R1438" s="7">
        <v>1</v>
      </c>
      <c r="S1438" s="6" t="s">
        <v>1636</v>
      </c>
      <c r="T1438" s="6" t="s">
        <v>1637</v>
      </c>
      <c r="U1438" s="6"/>
      <c r="V1438" s="16"/>
      <c r="W1438" s="16"/>
      <c r="X1438" s="16"/>
      <c r="Y1438" s="6" t="s">
        <v>1627</v>
      </c>
      <c r="Z1438" s="15"/>
      <c r="AA1438" s="15" t="s">
        <v>1628</v>
      </c>
    </row>
    <row r="1439" spans="1:27" ht="33" customHeight="1">
      <c r="A1439" s="6" t="s">
        <v>6979</v>
      </c>
      <c r="B1439" s="7">
        <v>2397</v>
      </c>
      <c r="C1439" s="6" t="s">
        <v>6968</v>
      </c>
      <c r="D1439" s="6" t="s">
        <v>2869</v>
      </c>
      <c r="E1439" s="6" t="s">
        <v>1641</v>
      </c>
      <c r="F1439" s="6" t="s">
        <v>699</v>
      </c>
      <c r="G1439" s="6" t="s">
        <v>99</v>
      </c>
      <c r="H1439" s="6"/>
      <c r="I1439" s="14" t="s">
        <v>1642</v>
      </c>
      <c r="J1439" s="15"/>
      <c r="K1439" s="6" t="s">
        <v>1634</v>
      </c>
      <c r="L1439" s="6" t="s">
        <v>3828</v>
      </c>
      <c r="M1439" s="6" t="s">
        <v>1643</v>
      </c>
      <c r="N1439" s="6" t="s">
        <v>1624</v>
      </c>
      <c r="O1439" s="7">
        <f>SUMIFS('05_상품별배치367'!$K$7:$K$373,'05_상품별배치367'!$E$7:$E$373,A1439,'05_상품별배치367'!$H$7:$H$373,"본진")</f>
        <v>0</v>
      </c>
      <c r="P1439" s="7">
        <f>SUMIFS('05_상품별배치367'!$K$7:$K$373,'05_상품별배치367'!$E$7:$E$373,A1439,'05_상품별배치367'!$H$7:$H$373,"추가 진열")</f>
        <v>0</v>
      </c>
      <c r="Q1439" s="7">
        <f>O1439+P1439</f>
        <v>0</v>
      </c>
      <c r="R1439" s="7">
        <v>1</v>
      </c>
      <c r="S1439" s="6" t="s">
        <v>1659</v>
      </c>
      <c r="T1439" s="6" t="s">
        <v>1637</v>
      </c>
      <c r="U1439" s="6"/>
      <c r="V1439" s="16"/>
      <c r="W1439" s="16"/>
      <c r="X1439" s="16"/>
      <c r="Y1439" s="6" t="s">
        <v>1627</v>
      </c>
      <c r="Z1439" s="15"/>
      <c r="AA1439" s="15" t="s">
        <v>1628</v>
      </c>
    </row>
    <row r="1440" spans="1:27" ht="33" customHeight="1">
      <c r="A1440" s="6" t="s">
        <v>6969</v>
      </c>
      <c r="B1440" s="7">
        <v>2393</v>
      </c>
      <c r="C1440" s="6" t="s">
        <v>6968</v>
      </c>
      <c r="D1440" s="6" t="s">
        <v>1631</v>
      </c>
      <c r="E1440" s="6" t="s">
        <v>1641</v>
      </c>
      <c r="F1440" s="6" t="s">
        <v>699</v>
      </c>
      <c r="G1440" s="6" t="s">
        <v>99</v>
      </c>
      <c r="H1440" s="6" t="s">
        <v>707</v>
      </c>
      <c r="I1440" s="14" t="s">
        <v>1621</v>
      </c>
      <c r="J1440" s="15"/>
      <c r="K1440" s="6" t="s">
        <v>1634</v>
      </c>
      <c r="L1440" s="6" t="s">
        <v>3828</v>
      </c>
      <c r="M1440" s="6" t="s">
        <v>1623</v>
      </c>
      <c r="N1440" s="6" t="s">
        <v>1624</v>
      </c>
      <c r="O1440" s="7">
        <f>SUMIFS('05_상품별배치367'!$K$7:$K$373,'05_상품별배치367'!$E$7:$E$373,A1440,'05_상품별배치367'!$H$7:$H$373,"본진")</f>
        <v>1</v>
      </c>
      <c r="P1440" s="7">
        <f>SUMIFS('05_상품별배치367'!$K$7:$K$373,'05_상품별배치367'!$E$7:$E$373,A1440,'05_상품별배치367'!$H$7:$H$373,"추가 진열")</f>
        <v>0</v>
      </c>
      <c r="Q1440" s="7">
        <f>O1440+P1440</f>
        <v>1</v>
      </c>
      <c r="R1440" s="7">
        <v>1</v>
      </c>
      <c r="S1440" s="6" t="s">
        <v>1625</v>
      </c>
      <c r="T1440" s="6" t="s">
        <v>1637</v>
      </c>
      <c r="U1440" s="6"/>
      <c r="V1440" s="16"/>
      <c r="W1440" s="16"/>
      <c r="X1440" s="16"/>
      <c r="Y1440" s="6" t="s">
        <v>1627</v>
      </c>
      <c r="Z1440" s="15"/>
      <c r="AA1440" s="15" t="s">
        <v>1628</v>
      </c>
    </row>
    <row r="1441" spans="1:27" ht="33" customHeight="1">
      <c r="A1441" s="8" t="s">
        <v>6967</v>
      </c>
      <c r="B1441" s="9">
        <v>2392</v>
      </c>
      <c r="C1441" s="8" t="s">
        <v>6968</v>
      </c>
      <c r="D1441" s="8" t="s">
        <v>5618</v>
      </c>
      <c r="E1441" s="8" t="s">
        <v>1641</v>
      </c>
      <c r="F1441" s="8" t="s">
        <v>699</v>
      </c>
      <c r="G1441" s="8" t="s">
        <v>99</v>
      </c>
      <c r="H1441" s="8"/>
      <c r="I1441" s="14" t="s">
        <v>1642</v>
      </c>
      <c r="J1441" s="15"/>
      <c r="K1441" s="8" t="s">
        <v>1634</v>
      </c>
      <c r="L1441" s="8" t="s">
        <v>3828</v>
      </c>
      <c r="M1441" s="6" t="s">
        <v>1643</v>
      </c>
      <c r="N1441" s="6" t="s">
        <v>1624</v>
      </c>
      <c r="O1441" s="7">
        <f>SUMIFS('05_상품별배치367'!$K$7:$K$373,'05_상품별배치367'!$E$7:$E$373,A1441,'05_상품별배치367'!$H$7:$H$373,"본진")</f>
        <v>0</v>
      </c>
      <c r="P1441" s="7">
        <f>SUMIFS('05_상품별배치367'!$K$7:$K$373,'05_상품별배치367'!$E$7:$E$373,A1441,'05_상품별배치367'!$H$7:$H$373,"추가 진열")</f>
        <v>0</v>
      </c>
      <c r="Q1441" s="7">
        <f>O1441+P1441</f>
        <v>0</v>
      </c>
      <c r="R1441" s="7">
        <v>1</v>
      </c>
      <c r="S1441" s="6" t="s">
        <v>1659</v>
      </c>
      <c r="T1441" s="6" t="s">
        <v>1637</v>
      </c>
      <c r="U1441" s="6"/>
      <c r="V1441" s="16"/>
      <c r="W1441" s="16"/>
      <c r="X1441" s="16"/>
      <c r="Y1441" s="6" t="s">
        <v>1627</v>
      </c>
      <c r="Z1441" s="15"/>
      <c r="AA1441" s="15" t="s">
        <v>1628</v>
      </c>
    </row>
    <row r="1442" spans="1:27" ht="33" customHeight="1">
      <c r="A1442" s="6" t="s">
        <v>6965</v>
      </c>
      <c r="B1442" s="7">
        <v>2391</v>
      </c>
      <c r="C1442" s="6" t="s">
        <v>6966</v>
      </c>
      <c r="D1442" s="6" t="s">
        <v>3396</v>
      </c>
      <c r="E1442" s="6" t="s">
        <v>1641</v>
      </c>
      <c r="F1442" s="6" t="s">
        <v>699</v>
      </c>
      <c r="G1442" s="6" t="s">
        <v>99</v>
      </c>
      <c r="H1442" s="6" t="s">
        <v>711</v>
      </c>
      <c r="I1442" s="14" t="s">
        <v>1633</v>
      </c>
      <c r="J1442" s="15"/>
      <c r="K1442" s="6" t="s">
        <v>1634</v>
      </c>
      <c r="L1442" s="6" t="s">
        <v>3828</v>
      </c>
      <c r="M1442" s="6" t="s">
        <v>1635</v>
      </c>
      <c r="N1442" s="6" t="s">
        <v>1624</v>
      </c>
      <c r="O1442" s="7">
        <f>SUMIFS('05_상품별배치367'!$K$7:$K$373,'05_상품별배치367'!$E$7:$E$373,A1442,'05_상품별배치367'!$H$7:$H$373,"본진")</f>
        <v>1</v>
      </c>
      <c r="P1442" s="7">
        <f>SUMIFS('05_상품별배치367'!$K$7:$K$373,'05_상품별배치367'!$E$7:$E$373,A1442,'05_상품별배치367'!$H$7:$H$373,"추가 진열")</f>
        <v>0</v>
      </c>
      <c r="Q1442" s="7">
        <f>O1442+P1442</f>
        <v>1</v>
      </c>
      <c r="R1442" s="7">
        <v>1</v>
      </c>
      <c r="S1442" s="6" t="s">
        <v>1636</v>
      </c>
      <c r="T1442" s="6" t="s">
        <v>1637</v>
      </c>
      <c r="U1442" s="6"/>
      <c r="V1442" s="16"/>
      <c r="W1442" s="16"/>
      <c r="X1442" s="16"/>
      <c r="Y1442" s="6" t="s">
        <v>1627</v>
      </c>
      <c r="Z1442" s="15"/>
      <c r="AA1442" s="15" t="s">
        <v>1628</v>
      </c>
    </row>
    <row r="1443" spans="1:27" ht="33" customHeight="1">
      <c r="A1443" s="8" t="s">
        <v>7046</v>
      </c>
      <c r="B1443" s="9">
        <v>2428</v>
      </c>
      <c r="C1443" s="8" t="s">
        <v>7047</v>
      </c>
      <c r="D1443" s="8" t="s">
        <v>2270</v>
      </c>
      <c r="E1443" s="8" t="s">
        <v>1666</v>
      </c>
      <c r="F1443" s="8" t="s">
        <v>1880</v>
      </c>
      <c r="G1443" s="8" t="s">
        <v>1668</v>
      </c>
      <c r="H1443" s="8"/>
      <c r="I1443" s="14" t="s">
        <v>1642</v>
      </c>
      <c r="J1443" s="15"/>
      <c r="K1443" s="8" t="s">
        <v>1670</v>
      </c>
      <c r="L1443" s="8" t="s">
        <v>3828</v>
      </c>
      <c r="M1443" s="6" t="s">
        <v>1643</v>
      </c>
      <c r="N1443" s="6" t="s">
        <v>1644</v>
      </c>
      <c r="O1443" s="7">
        <f>SUMIFS('05_상품별배치367'!$K$7:$K$373,'05_상품별배치367'!$E$7:$E$373,A1443,'05_상품별배치367'!$H$7:$H$373,"본진")</f>
        <v>0</v>
      </c>
      <c r="P1443" s="7">
        <f>SUMIFS('05_상품별배치367'!$K$7:$K$373,'05_상품별배치367'!$E$7:$E$373,A1443,'05_상품별배치367'!$H$7:$H$373,"추가 진열")</f>
        <v>0</v>
      </c>
      <c r="Q1443" s="7">
        <f>O1443+P1443</f>
        <v>0</v>
      </c>
      <c r="R1443" s="7">
        <v>1</v>
      </c>
      <c r="S1443" s="6" t="s">
        <v>1881</v>
      </c>
      <c r="T1443" s="6" t="s">
        <v>1637</v>
      </c>
      <c r="U1443" s="6"/>
      <c r="V1443" s="16"/>
      <c r="W1443" s="16"/>
      <c r="X1443" s="16"/>
      <c r="Y1443" s="6" t="s">
        <v>1627</v>
      </c>
      <c r="Z1443" s="15"/>
      <c r="AA1443" s="15" t="s">
        <v>1628</v>
      </c>
    </row>
    <row r="1444" spans="1:27" ht="33" customHeight="1">
      <c r="A1444" s="8" t="s">
        <v>2250</v>
      </c>
      <c r="B1444" s="9">
        <v>222</v>
      </c>
      <c r="C1444" s="8" t="s">
        <v>2251</v>
      </c>
      <c r="D1444" s="8" t="s">
        <v>2252</v>
      </c>
      <c r="E1444" s="8" t="s">
        <v>1666</v>
      </c>
      <c r="F1444" s="8" t="s">
        <v>1880</v>
      </c>
      <c r="G1444" s="8" t="s">
        <v>1668</v>
      </c>
      <c r="H1444" s="8"/>
      <c r="I1444" s="14" t="s">
        <v>1642</v>
      </c>
      <c r="J1444" s="15"/>
      <c r="K1444" s="8" t="s">
        <v>1670</v>
      </c>
      <c r="L1444" s="8"/>
      <c r="M1444" s="6" t="s">
        <v>1643</v>
      </c>
      <c r="N1444" s="6" t="s">
        <v>1624</v>
      </c>
      <c r="O1444" s="7">
        <f>SUMIFS('05_상품별배치367'!$K$7:$K$373,'05_상품별배치367'!$E$7:$E$373,A1444,'05_상품별배치367'!$H$7:$H$373,"본진")</f>
        <v>0</v>
      </c>
      <c r="P1444" s="7">
        <f>SUMIFS('05_상품별배치367'!$K$7:$K$373,'05_상품별배치367'!$E$7:$E$373,A1444,'05_상품별배치367'!$H$7:$H$373,"추가 진열")</f>
        <v>0</v>
      </c>
      <c r="Q1444" s="7">
        <f>O1444+P1444</f>
        <v>0</v>
      </c>
      <c r="R1444" s="7">
        <v>1</v>
      </c>
      <c r="S1444" s="6" t="s">
        <v>1881</v>
      </c>
      <c r="T1444" s="6" t="s">
        <v>1637</v>
      </c>
      <c r="U1444" s="6"/>
      <c r="V1444" s="16"/>
      <c r="W1444" s="16"/>
      <c r="X1444" s="16"/>
      <c r="Y1444" s="6" t="s">
        <v>1627</v>
      </c>
      <c r="Z1444" s="15"/>
      <c r="AA1444" s="15" t="s">
        <v>1628</v>
      </c>
    </row>
    <row r="1445" spans="1:27" ht="33" customHeight="1">
      <c r="A1445" s="8" t="s">
        <v>2768</v>
      </c>
      <c r="B1445" s="9">
        <v>446</v>
      </c>
      <c r="C1445" s="8" t="s">
        <v>2769</v>
      </c>
      <c r="D1445" s="8" t="s">
        <v>2252</v>
      </c>
      <c r="E1445" s="8" t="s">
        <v>1666</v>
      </c>
      <c r="F1445" s="8" t="s">
        <v>520</v>
      </c>
      <c r="G1445" s="8" t="s">
        <v>463</v>
      </c>
      <c r="H1445" s="8"/>
      <c r="I1445" s="14" t="s">
        <v>1642</v>
      </c>
      <c r="J1445" s="15"/>
      <c r="K1445" s="8" t="s">
        <v>1670</v>
      </c>
      <c r="L1445" s="8"/>
      <c r="M1445" s="6" t="s">
        <v>1643</v>
      </c>
      <c r="N1445" s="6" t="s">
        <v>1644</v>
      </c>
      <c r="O1445" s="7">
        <f>SUMIFS('05_상품별배치367'!$K$7:$K$373,'05_상품별배치367'!$E$7:$E$373,A1445,'05_상품별배치367'!$H$7:$H$373,"본진")</f>
        <v>0</v>
      </c>
      <c r="P1445" s="7">
        <f>SUMIFS('05_상품별배치367'!$K$7:$K$373,'05_상품별배치367'!$E$7:$E$373,A1445,'05_상품별배치367'!$H$7:$H$373,"추가 진열")</f>
        <v>0</v>
      </c>
      <c r="Q1445" s="7">
        <f>O1445+P1445</f>
        <v>0</v>
      </c>
      <c r="R1445" s="7">
        <v>1</v>
      </c>
      <c r="S1445" s="6" t="s">
        <v>2142</v>
      </c>
      <c r="T1445" s="6" t="s">
        <v>1637</v>
      </c>
      <c r="U1445" s="6"/>
      <c r="V1445" s="16"/>
      <c r="W1445" s="16"/>
      <c r="X1445" s="16"/>
      <c r="Y1445" s="6" t="s">
        <v>1627</v>
      </c>
      <c r="Z1445" s="15"/>
      <c r="AA1445" s="15" t="s">
        <v>1628</v>
      </c>
    </row>
    <row r="1446" spans="1:27" ht="33" customHeight="1">
      <c r="A1446" s="8" t="s">
        <v>7059</v>
      </c>
      <c r="B1446" s="9">
        <v>2434</v>
      </c>
      <c r="C1446" s="8" t="s">
        <v>7060</v>
      </c>
      <c r="D1446" s="8" t="s">
        <v>2270</v>
      </c>
      <c r="E1446" s="8" t="s">
        <v>1666</v>
      </c>
      <c r="F1446" s="8" t="s">
        <v>520</v>
      </c>
      <c r="G1446" s="8" t="s">
        <v>463</v>
      </c>
      <c r="H1446" s="8" t="s">
        <v>1451</v>
      </c>
      <c r="I1446" s="14" t="s">
        <v>1633</v>
      </c>
      <c r="J1446" s="15"/>
      <c r="K1446" s="8" t="s">
        <v>1670</v>
      </c>
      <c r="L1446" s="8" t="s">
        <v>3828</v>
      </c>
      <c r="M1446" s="6" t="s">
        <v>1635</v>
      </c>
      <c r="N1446" s="6" t="s">
        <v>1624</v>
      </c>
      <c r="O1446" s="7">
        <f>SUMIFS('05_상품별배치367'!$K$7:$K$373,'05_상품별배치367'!$E$7:$E$373,A1446,'05_상품별배치367'!$H$7:$H$373,"본진")</f>
        <v>1</v>
      </c>
      <c r="P1446" s="7">
        <f>SUMIFS('05_상품별배치367'!$K$7:$K$373,'05_상품별배치367'!$E$7:$E$373,A1446,'05_상품별배치367'!$H$7:$H$373,"추가 진열")</f>
        <v>0</v>
      </c>
      <c r="Q1446" s="7">
        <f>O1446+P1446</f>
        <v>1</v>
      </c>
      <c r="R1446" s="7">
        <v>1</v>
      </c>
      <c r="S1446" s="6" t="s">
        <v>1636</v>
      </c>
      <c r="T1446" s="6" t="s">
        <v>1637</v>
      </c>
      <c r="U1446" s="6"/>
      <c r="V1446" s="16"/>
      <c r="W1446" s="16"/>
      <c r="X1446" s="16"/>
      <c r="Y1446" s="6" t="s">
        <v>1627</v>
      </c>
      <c r="Z1446" s="15"/>
      <c r="AA1446" s="15" t="s">
        <v>1628</v>
      </c>
    </row>
    <row r="1447" spans="1:27" ht="33" customHeight="1">
      <c r="A1447" s="6" t="s">
        <v>2766</v>
      </c>
      <c r="B1447" s="7">
        <v>445</v>
      </c>
      <c r="C1447" s="6" t="s">
        <v>2767</v>
      </c>
      <c r="D1447" s="6" t="s">
        <v>2252</v>
      </c>
      <c r="E1447" s="6" t="s">
        <v>1666</v>
      </c>
      <c r="F1447" s="6" t="s">
        <v>520</v>
      </c>
      <c r="G1447" s="6" t="s">
        <v>463</v>
      </c>
      <c r="H1447" s="6"/>
      <c r="I1447" s="14" t="s">
        <v>1642</v>
      </c>
      <c r="J1447" s="15"/>
      <c r="K1447" s="6" t="s">
        <v>1670</v>
      </c>
      <c r="L1447" s="6"/>
      <c r="M1447" s="6" t="s">
        <v>1643</v>
      </c>
      <c r="N1447" s="6" t="s">
        <v>1644</v>
      </c>
      <c r="O1447" s="7">
        <f>SUMIFS('05_상품별배치367'!$K$7:$K$373,'05_상품별배치367'!$E$7:$E$373,A1447,'05_상품별배치367'!$H$7:$H$373,"본진")</f>
        <v>0</v>
      </c>
      <c r="P1447" s="7">
        <f>SUMIFS('05_상품별배치367'!$K$7:$K$373,'05_상품별배치367'!$E$7:$E$373,A1447,'05_상품별배치367'!$H$7:$H$373,"추가 진열")</f>
        <v>0</v>
      </c>
      <c r="Q1447" s="7">
        <f>O1447+P1447</f>
        <v>0</v>
      </c>
      <c r="R1447" s="7">
        <v>1</v>
      </c>
      <c r="S1447" s="6" t="s">
        <v>2142</v>
      </c>
      <c r="T1447" s="6" t="s">
        <v>1637</v>
      </c>
      <c r="U1447" s="6"/>
      <c r="V1447" s="16"/>
      <c r="W1447" s="16"/>
      <c r="X1447" s="16"/>
      <c r="Y1447" s="6" t="s">
        <v>1627</v>
      </c>
      <c r="Z1447" s="15"/>
      <c r="AA1447" s="15" t="s">
        <v>1628</v>
      </c>
    </row>
    <row r="1448" spans="1:27" ht="33" customHeight="1">
      <c r="A1448" s="6" t="s">
        <v>7061</v>
      </c>
      <c r="B1448" s="7">
        <v>2435</v>
      </c>
      <c r="C1448" s="6" t="s">
        <v>7062</v>
      </c>
      <c r="D1448" s="6" t="s">
        <v>2270</v>
      </c>
      <c r="E1448" s="6" t="s">
        <v>1666</v>
      </c>
      <c r="F1448" s="6" t="s">
        <v>520</v>
      </c>
      <c r="G1448" s="6" t="s">
        <v>463</v>
      </c>
      <c r="H1448" s="6"/>
      <c r="I1448" s="14" t="s">
        <v>1642</v>
      </c>
      <c r="J1448" s="15"/>
      <c r="K1448" s="6" t="s">
        <v>1670</v>
      </c>
      <c r="L1448" s="6" t="s">
        <v>3828</v>
      </c>
      <c r="M1448" s="6" t="s">
        <v>1643</v>
      </c>
      <c r="N1448" s="6" t="s">
        <v>1644</v>
      </c>
      <c r="O1448" s="7">
        <f>SUMIFS('05_상품별배치367'!$K$7:$K$373,'05_상품별배치367'!$E$7:$E$373,A1448,'05_상품별배치367'!$H$7:$H$373,"본진")</f>
        <v>0</v>
      </c>
      <c r="P1448" s="7">
        <f>SUMIFS('05_상품별배치367'!$K$7:$K$373,'05_상품별배치367'!$E$7:$E$373,A1448,'05_상품별배치367'!$H$7:$H$373,"추가 진열")</f>
        <v>0</v>
      </c>
      <c r="Q1448" s="7">
        <f>O1448+P1448</f>
        <v>0</v>
      </c>
      <c r="R1448" s="7">
        <v>1</v>
      </c>
      <c r="S1448" s="6" t="s">
        <v>2142</v>
      </c>
      <c r="T1448" s="6" t="s">
        <v>1637</v>
      </c>
      <c r="U1448" s="6"/>
      <c r="V1448" s="16"/>
      <c r="W1448" s="16"/>
      <c r="X1448" s="16"/>
      <c r="Y1448" s="6" t="s">
        <v>1627</v>
      </c>
      <c r="Z1448" s="15"/>
      <c r="AA1448" s="15" t="s">
        <v>1628</v>
      </c>
    </row>
    <row r="1449" spans="1:27" ht="33" customHeight="1">
      <c r="A1449" s="8" t="s">
        <v>2255</v>
      </c>
      <c r="B1449" s="9">
        <v>224</v>
      </c>
      <c r="C1449" s="8" t="s">
        <v>2256</v>
      </c>
      <c r="D1449" s="8" t="s">
        <v>2252</v>
      </c>
      <c r="E1449" s="8" t="s">
        <v>1666</v>
      </c>
      <c r="F1449" s="8" t="s">
        <v>1880</v>
      </c>
      <c r="G1449" s="8" t="s">
        <v>1668</v>
      </c>
      <c r="H1449" s="8"/>
      <c r="I1449" s="14" t="s">
        <v>1642</v>
      </c>
      <c r="J1449" s="15"/>
      <c r="K1449" s="8" t="s">
        <v>1670</v>
      </c>
      <c r="L1449" s="8"/>
      <c r="M1449" s="6" t="s">
        <v>1643</v>
      </c>
      <c r="N1449" s="6" t="s">
        <v>1624</v>
      </c>
      <c r="O1449" s="7">
        <f>SUMIFS('05_상품별배치367'!$K$7:$K$373,'05_상품별배치367'!$E$7:$E$373,A1449,'05_상품별배치367'!$H$7:$H$373,"본진")</f>
        <v>0</v>
      </c>
      <c r="P1449" s="7">
        <f>SUMIFS('05_상품별배치367'!$K$7:$K$373,'05_상품별배치367'!$E$7:$E$373,A1449,'05_상품별배치367'!$H$7:$H$373,"추가 진열")</f>
        <v>0</v>
      </c>
      <c r="Q1449" s="7">
        <f>O1449+P1449</f>
        <v>0</v>
      </c>
      <c r="R1449" s="7">
        <v>1</v>
      </c>
      <c r="S1449" s="6" t="s">
        <v>1881</v>
      </c>
      <c r="T1449" s="6" t="s">
        <v>1637</v>
      </c>
      <c r="U1449" s="6"/>
      <c r="V1449" s="16"/>
      <c r="W1449" s="16"/>
      <c r="X1449" s="16"/>
      <c r="Y1449" s="6" t="s">
        <v>1627</v>
      </c>
      <c r="Z1449" s="15"/>
      <c r="AA1449" s="15" t="s">
        <v>1628</v>
      </c>
    </row>
    <row r="1450" spans="1:27" ht="33" customHeight="1">
      <c r="A1450" s="6" t="s">
        <v>2253</v>
      </c>
      <c r="B1450" s="7">
        <v>223</v>
      </c>
      <c r="C1450" s="6" t="s">
        <v>2254</v>
      </c>
      <c r="D1450" s="6" t="s">
        <v>2252</v>
      </c>
      <c r="E1450" s="6" t="s">
        <v>1666</v>
      </c>
      <c r="F1450" s="6" t="s">
        <v>1880</v>
      </c>
      <c r="G1450" s="6" t="s">
        <v>1668</v>
      </c>
      <c r="H1450" s="6"/>
      <c r="I1450" s="14" t="s">
        <v>1642</v>
      </c>
      <c r="J1450" s="15"/>
      <c r="K1450" s="6" t="s">
        <v>1670</v>
      </c>
      <c r="L1450" s="6"/>
      <c r="M1450" s="6" t="s">
        <v>1643</v>
      </c>
      <c r="N1450" s="6" t="s">
        <v>1624</v>
      </c>
      <c r="O1450" s="7">
        <f>SUMIFS('05_상품별배치367'!$K$7:$K$373,'05_상품별배치367'!$E$7:$E$373,A1450,'05_상품별배치367'!$H$7:$H$373,"본진")</f>
        <v>0</v>
      </c>
      <c r="P1450" s="7">
        <f>SUMIFS('05_상품별배치367'!$K$7:$K$373,'05_상품별배치367'!$E$7:$E$373,A1450,'05_상품별배치367'!$H$7:$H$373,"추가 진열")</f>
        <v>0</v>
      </c>
      <c r="Q1450" s="7">
        <f>O1450+P1450</f>
        <v>0</v>
      </c>
      <c r="R1450" s="7">
        <v>1</v>
      </c>
      <c r="S1450" s="6" t="s">
        <v>1881</v>
      </c>
      <c r="T1450" s="6" t="s">
        <v>1637</v>
      </c>
      <c r="U1450" s="6"/>
      <c r="V1450" s="16"/>
      <c r="W1450" s="16"/>
      <c r="X1450" s="16"/>
      <c r="Y1450" s="6" t="s">
        <v>1627</v>
      </c>
      <c r="Z1450" s="15"/>
      <c r="AA1450" s="15" t="s">
        <v>1628</v>
      </c>
    </row>
    <row r="1451" spans="1:27" ht="33" customHeight="1">
      <c r="A1451" s="8" t="s">
        <v>7054</v>
      </c>
      <c r="B1451" s="9">
        <v>2432</v>
      </c>
      <c r="C1451" s="8" t="s">
        <v>7055</v>
      </c>
      <c r="D1451" s="8" t="s">
        <v>2714</v>
      </c>
      <c r="E1451" s="8" t="s">
        <v>1666</v>
      </c>
      <c r="F1451" s="8" t="s">
        <v>1880</v>
      </c>
      <c r="G1451" s="8" t="s">
        <v>1668</v>
      </c>
      <c r="H1451" s="8"/>
      <c r="I1451" s="14" t="s">
        <v>1642</v>
      </c>
      <c r="J1451" s="15"/>
      <c r="K1451" s="8" t="s">
        <v>1670</v>
      </c>
      <c r="L1451" s="8" t="s">
        <v>3828</v>
      </c>
      <c r="M1451" s="6" t="s">
        <v>1643</v>
      </c>
      <c r="N1451" s="6" t="s">
        <v>1644</v>
      </c>
      <c r="O1451" s="7">
        <f>SUMIFS('05_상품별배치367'!$K$7:$K$373,'05_상품별배치367'!$E$7:$E$373,A1451,'05_상품별배치367'!$H$7:$H$373,"본진")</f>
        <v>0</v>
      </c>
      <c r="P1451" s="7">
        <f>SUMIFS('05_상품별배치367'!$K$7:$K$373,'05_상품별배치367'!$E$7:$E$373,A1451,'05_상품별배치367'!$H$7:$H$373,"추가 진열")</f>
        <v>0</v>
      </c>
      <c r="Q1451" s="7">
        <f>O1451+P1451</f>
        <v>0</v>
      </c>
      <c r="R1451" s="7">
        <v>1</v>
      </c>
      <c r="S1451" s="6" t="s">
        <v>1881</v>
      </c>
      <c r="T1451" s="6" t="s">
        <v>1637</v>
      </c>
      <c r="U1451" s="6"/>
      <c r="V1451" s="16"/>
      <c r="W1451" s="16"/>
      <c r="X1451" s="16"/>
      <c r="Y1451" s="6" t="s">
        <v>1627</v>
      </c>
      <c r="Z1451" s="15"/>
      <c r="AA1451" s="15" t="s">
        <v>1628</v>
      </c>
    </row>
    <row r="1452" spans="1:27" ht="33" customHeight="1">
      <c r="A1452" s="8" t="s">
        <v>3406</v>
      </c>
      <c r="B1452" s="9">
        <v>730</v>
      </c>
      <c r="C1452" s="8" t="s">
        <v>3407</v>
      </c>
      <c r="D1452" s="8" t="s">
        <v>2133</v>
      </c>
      <c r="E1452" s="8" t="s">
        <v>1986</v>
      </c>
      <c r="F1452" s="8" t="s">
        <v>493</v>
      </c>
      <c r="G1452" s="8" t="s">
        <v>299</v>
      </c>
      <c r="H1452" s="8"/>
      <c r="I1452" s="14" t="s">
        <v>1642</v>
      </c>
      <c r="J1452" s="15"/>
      <c r="K1452" s="8" t="s">
        <v>1976</v>
      </c>
      <c r="L1452" s="8"/>
      <c r="M1452" s="6" t="s">
        <v>1643</v>
      </c>
      <c r="N1452" s="6" t="s">
        <v>1644</v>
      </c>
      <c r="O1452" s="7">
        <f>SUMIFS('05_상품별배치367'!$K$7:$K$373,'05_상품별배치367'!$E$7:$E$373,A1452,'05_상품별배치367'!$H$7:$H$373,"본진")</f>
        <v>0</v>
      </c>
      <c r="P1452" s="7">
        <f>SUMIFS('05_상품별배치367'!$K$7:$K$373,'05_상품별배치367'!$E$7:$E$373,A1452,'05_상품별배치367'!$H$7:$H$373,"추가 진열")</f>
        <v>0</v>
      </c>
      <c r="Q1452" s="7">
        <f>O1452+P1452</f>
        <v>0</v>
      </c>
      <c r="R1452" s="7">
        <v>1</v>
      </c>
      <c r="S1452" s="6" t="s">
        <v>3084</v>
      </c>
      <c r="T1452" s="6" t="s">
        <v>1637</v>
      </c>
      <c r="U1452" s="6"/>
      <c r="V1452" s="16"/>
      <c r="W1452" s="16"/>
      <c r="X1452" s="16"/>
      <c r="Y1452" s="6" t="s">
        <v>1627</v>
      </c>
      <c r="Z1452" s="15"/>
      <c r="AA1452" s="15" t="s">
        <v>1628</v>
      </c>
    </row>
    <row r="1453" spans="1:27" ht="33" customHeight="1">
      <c r="A1453" s="6" t="s">
        <v>3401</v>
      </c>
      <c r="B1453" s="7">
        <v>727</v>
      </c>
      <c r="C1453" s="6" t="s">
        <v>3402</v>
      </c>
      <c r="D1453" s="6" t="s">
        <v>1658</v>
      </c>
      <c r="E1453" s="6" t="s">
        <v>2134</v>
      </c>
      <c r="F1453" s="6" t="s">
        <v>162</v>
      </c>
      <c r="G1453" s="6" t="s">
        <v>404</v>
      </c>
      <c r="H1453" s="6"/>
      <c r="I1453" s="14" t="s">
        <v>1642</v>
      </c>
      <c r="J1453" s="15"/>
      <c r="K1453" s="6" t="s">
        <v>1976</v>
      </c>
      <c r="L1453" s="6"/>
      <c r="M1453" s="6" t="s">
        <v>1643</v>
      </c>
      <c r="N1453" s="6" t="s">
        <v>1644</v>
      </c>
      <c r="O1453" s="7">
        <f>SUMIFS('05_상품별배치367'!$K$7:$K$373,'05_상품별배치367'!$E$7:$E$373,A1453,'05_상품별배치367'!$H$7:$H$373,"본진")</f>
        <v>0</v>
      </c>
      <c r="P1453" s="7">
        <f>SUMIFS('05_상품별배치367'!$K$7:$K$373,'05_상품별배치367'!$E$7:$E$373,A1453,'05_상품별배치367'!$H$7:$H$373,"추가 진열")</f>
        <v>0</v>
      </c>
      <c r="Q1453" s="7">
        <f>O1453+P1453</f>
        <v>0</v>
      </c>
      <c r="R1453" s="7">
        <v>1</v>
      </c>
      <c r="S1453" s="6" t="s">
        <v>2996</v>
      </c>
      <c r="T1453" s="6" t="s">
        <v>1637</v>
      </c>
      <c r="U1453" s="6"/>
      <c r="V1453" s="16"/>
      <c r="W1453" s="16"/>
      <c r="X1453" s="16"/>
      <c r="Y1453" s="6" t="s">
        <v>1627</v>
      </c>
      <c r="Z1453" s="15"/>
      <c r="AA1453" s="15" t="s">
        <v>1628</v>
      </c>
    </row>
    <row r="1454" spans="1:27" ht="33" customHeight="1">
      <c r="A1454" s="8" t="s">
        <v>3403</v>
      </c>
      <c r="B1454" s="9">
        <v>728</v>
      </c>
      <c r="C1454" s="8" t="s">
        <v>3402</v>
      </c>
      <c r="D1454" s="8" t="s">
        <v>1926</v>
      </c>
      <c r="E1454" s="8" t="s">
        <v>2134</v>
      </c>
      <c r="F1454" s="8" t="s">
        <v>162</v>
      </c>
      <c r="G1454" s="8" t="s">
        <v>404</v>
      </c>
      <c r="H1454" s="8"/>
      <c r="I1454" s="14" t="s">
        <v>1642</v>
      </c>
      <c r="J1454" s="15"/>
      <c r="K1454" s="8" t="s">
        <v>1976</v>
      </c>
      <c r="L1454" s="8"/>
      <c r="M1454" s="6" t="s">
        <v>1643</v>
      </c>
      <c r="N1454" s="6" t="s">
        <v>1644</v>
      </c>
      <c r="O1454" s="7">
        <f>SUMIFS('05_상품별배치367'!$K$7:$K$373,'05_상품별배치367'!$E$7:$E$373,A1454,'05_상품별배치367'!$H$7:$H$373,"본진")</f>
        <v>0</v>
      </c>
      <c r="P1454" s="7">
        <f>SUMIFS('05_상품별배치367'!$K$7:$K$373,'05_상품별배치367'!$E$7:$E$373,A1454,'05_상품별배치367'!$H$7:$H$373,"추가 진열")</f>
        <v>0</v>
      </c>
      <c r="Q1454" s="7">
        <f>O1454+P1454</f>
        <v>0</v>
      </c>
      <c r="R1454" s="7">
        <v>1</v>
      </c>
      <c r="S1454" s="6" t="s">
        <v>2996</v>
      </c>
      <c r="T1454" s="6" t="s">
        <v>1637</v>
      </c>
      <c r="U1454" s="6"/>
      <c r="V1454" s="16"/>
      <c r="W1454" s="16"/>
      <c r="X1454" s="16"/>
      <c r="Y1454" s="6" t="s">
        <v>1627</v>
      </c>
      <c r="Z1454" s="15"/>
      <c r="AA1454" s="15" t="s">
        <v>1628</v>
      </c>
    </row>
    <row r="1455" spans="1:27" ht="33" customHeight="1">
      <c r="A1455" s="6" t="s">
        <v>3404</v>
      </c>
      <c r="B1455" s="7">
        <v>729</v>
      </c>
      <c r="C1455" s="6" t="s">
        <v>3405</v>
      </c>
      <c r="D1455" s="6" t="s">
        <v>2133</v>
      </c>
      <c r="E1455" s="6" t="s">
        <v>2134</v>
      </c>
      <c r="F1455" s="6" t="s">
        <v>161</v>
      </c>
      <c r="G1455" s="6" t="s">
        <v>395</v>
      </c>
      <c r="H1455" s="6"/>
      <c r="I1455" s="14" t="s">
        <v>1642</v>
      </c>
      <c r="J1455" s="15"/>
      <c r="K1455" s="6" t="s">
        <v>1976</v>
      </c>
      <c r="L1455" s="6"/>
      <c r="M1455" s="6" t="s">
        <v>1643</v>
      </c>
      <c r="N1455" s="6" t="s">
        <v>1644</v>
      </c>
      <c r="O1455" s="7">
        <f>SUMIFS('05_상품별배치367'!$K$7:$K$373,'05_상품별배치367'!$E$7:$E$373,A1455,'05_상품별배치367'!$H$7:$H$373,"본진")</f>
        <v>0</v>
      </c>
      <c r="P1455" s="7">
        <f>SUMIFS('05_상품별배치367'!$K$7:$K$373,'05_상품별배치367'!$E$7:$E$373,A1455,'05_상품별배치367'!$H$7:$H$373,"추가 진열")</f>
        <v>0</v>
      </c>
      <c r="Q1455" s="7">
        <f>O1455+P1455</f>
        <v>0</v>
      </c>
      <c r="R1455" s="7">
        <v>1</v>
      </c>
      <c r="S1455" s="6" t="s">
        <v>3070</v>
      </c>
      <c r="T1455" s="6" t="s">
        <v>1637</v>
      </c>
      <c r="U1455" s="6"/>
      <c r="V1455" s="16"/>
      <c r="W1455" s="16"/>
      <c r="X1455" s="16"/>
      <c r="Y1455" s="6" t="s">
        <v>1627</v>
      </c>
      <c r="Z1455" s="15"/>
      <c r="AA1455" s="15" t="s">
        <v>1628</v>
      </c>
    </row>
    <row r="1456" spans="1:27" ht="33" customHeight="1">
      <c r="A1456" s="8" t="s">
        <v>3399</v>
      </c>
      <c r="B1456" s="9">
        <v>726</v>
      </c>
      <c r="C1456" s="8" t="s">
        <v>3400</v>
      </c>
      <c r="D1456" s="8" t="s">
        <v>1876</v>
      </c>
      <c r="E1456" s="8" t="s">
        <v>1986</v>
      </c>
      <c r="F1456" s="8" t="s">
        <v>913</v>
      </c>
      <c r="G1456" s="8" t="s">
        <v>201</v>
      </c>
      <c r="H1456" s="8"/>
      <c r="I1456" s="14" t="s">
        <v>1642</v>
      </c>
      <c r="J1456" s="15"/>
      <c r="K1456" s="8" t="s">
        <v>1976</v>
      </c>
      <c r="L1456" s="8"/>
      <c r="M1456" s="6" t="s">
        <v>1643</v>
      </c>
      <c r="N1456" s="6" t="s">
        <v>1644</v>
      </c>
      <c r="O1456" s="7">
        <f>SUMIFS('05_상품별배치367'!$K$7:$K$373,'05_상품별배치367'!$E$7:$E$373,A1456,'05_상품별배치367'!$H$7:$H$373,"본진")</f>
        <v>0</v>
      </c>
      <c r="P1456" s="7">
        <f>SUMIFS('05_상품별배치367'!$K$7:$K$373,'05_상품별배치367'!$E$7:$E$373,A1456,'05_상품별배치367'!$H$7:$H$373,"추가 진열")</f>
        <v>0</v>
      </c>
      <c r="Q1456" s="7">
        <f>O1456+P1456</f>
        <v>0</v>
      </c>
      <c r="R1456" s="7">
        <v>1</v>
      </c>
      <c r="S1456" s="6" t="s">
        <v>2907</v>
      </c>
      <c r="T1456" s="6" t="s">
        <v>1637</v>
      </c>
      <c r="U1456" s="6"/>
      <c r="V1456" s="16"/>
      <c r="W1456" s="16"/>
      <c r="X1456" s="16"/>
      <c r="Y1456" s="6" t="s">
        <v>1627</v>
      </c>
      <c r="Z1456" s="15"/>
      <c r="AA1456" s="15" t="s">
        <v>1628</v>
      </c>
    </row>
    <row r="1457" spans="1:27" ht="33" customHeight="1">
      <c r="A1457" s="8" t="s">
        <v>6627</v>
      </c>
      <c r="B1457" s="9">
        <v>2226</v>
      </c>
      <c r="C1457" s="8" t="s">
        <v>6628</v>
      </c>
      <c r="D1457" s="8" t="s">
        <v>6629</v>
      </c>
      <c r="E1457" s="8" t="s">
        <v>1986</v>
      </c>
      <c r="F1457" s="8" t="s">
        <v>3378</v>
      </c>
      <c r="G1457" s="8" t="s">
        <v>38</v>
      </c>
      <c r="H1457" s="8"/>
      <c r="I1457" s="14" t="s">
        <v>1807</v>
      </c>
      <c r="J1457" s="15"/>
      <c r="K1457" s="8" t="s">
        <v>1976</v>
      </c>
      <c r="L1457" s="8"/>
      <c r="M1457" s="6" t="s">
        <v>1809</v>
      </c>
      <c r="N1457" s="6" t="s">
        <v>1644</v>
      </c>
      <c r="O1457" s="7">
        <f>SUMIFS('05_상품별배치367'!$K$7:$K$373,'05_상품별배치367'!$E$7:$E$373,A1457,'05_상품별배치367'!$H$7:$H$373,"본진")</f>
        <v>0</v>
      </c>
      <c r="P1457" s="7">
        <f>SUMIFS('05_상품별배치367'!$K$7:$K$373,'05_상품별배치367'!$E$7:$E$373,A1457,'05_상품별배치367'!$H$7:$H$373,"추가 진열")</f>
        <v>0</v>
      </c>
      <c r="Q1457" s="7">
        <f>O1457+P1457</f>
        <v>0</v>
      </c>
      <c r="R1457" s="7">
        <v>0</v>
      </c>
      <c r="S1457" s="6" t="s">
        <v>1810</v>
      </c>
      <c r="T1457" s="6" t="s">
        <v>1637</v>
      </c>
      <c r="U1457" s="6"/>
      <c r="V1457" s="16"/>
      <c r="W1457" s="16"/>
      <c r="X1457" s="16"/>
      <c r="Y1457" s="6" t="s">
        <v>6630</v>
      </c>
      <c r="Z1457" s="15"/>
      <c r="AA1457" s="15" t="s">
        <v>1628</v>
      </c>
    </row>
    <row r="1458" spans="1:27" ht="33" customHeight="1">
      <c r="A1458" s="8" t="s">
        <v>6900</v>
      </c>
      <c r="B1458" s="9">
        <v>2362</v>
      </c>
      <c r="C1458" s="8" t="s">
        <v>6901</v>
      </c>
      <c r="D1458" s="8" t="s">
        <v>2078</v>
      </c>
      <c r="E1458" s="8" t="s">
        <v>1986</v>
      </c>
      <c r="F1458" s="8" t="s">
        <v>3378</v>
      </c>
      <c r="G1458" s="8" t="s">
        <v>38</v>
      </c>
      <c r="H1458" s="8"/>
      <c r="I1458" s="14" t="s">
        <v>1642</v>
      </c>
      <c r="J1458" s="15"/>
      <c r="K1458" s="8" t="s">
        <v>1976</v>
      </c>
      <c r="L1458" s="8" t="s">
        <v>5771</v>
      </c>
      <c r="M1458" s="6" t="s">
        <v>1643</v>
      </c>
      <c r="N1458" s="6" t="s">
        <v>1644</v>
      </c>
      <c r="O1458" s="7">
        <f>SUMIFS('05_상품별배치367'!$K$7:$K$373,'05_상품별배치367'!$E$7:$E$373,A1458,'05_상품별배치367'!$H$7:$H$373,"본진")</f>
        <v>0</v>
      </c>
      <c r="P1458" s="7">
        <f>SUMIFS('05_상품별배치367'!$K$7:$K$373,'05_상품별배치367'!$E$7:$E$373,A1458,'05_상품별배치367'!$H$7:$H$373,"추가 진열")</f>
        <v>0</v>
      </c>
      <c r="Q1458" s="7">
        <f>O1458+P1458</f>
        <v>0</v>
      </c>
      <c r="R1458" s="7">
        <v>1</v>
      </c>
      <c r="S1458" s="6" t="s">
        <v>3379</v>
      </c>
      <c r="T1458" s="6" t="s">
        <v>1637</v>
      </c>
      <c r="U1458" s="6"/>
      <c r="V1458" s="16"/>
      <c r="W1458" s="16"/>
      <c r="X1458" s="16"/>
      <c r="Y1458" s="6" t="s">
        <v>1655</v>
      </c>
      <c r="Z1458" s="15"/>
      <c r="AA1458" s="15" t="s">
        <v>1628</v>
      </c>
    </row>
    <row r="1459" spans="1:27" ht="33" customHeight="1">
      <c r="A1459" s="8" t="s">
        <v>7033</v>
      </c>
      <c r="B1459" s="9">
        <v>2422</v>
      </c>
      <c r="C1459" s="8" t="s">
        <v>7034</v>
      </c>
      <c r="D1459" s="8" t="s">
        <v>5979</v>
      </c>
      <c r="E1459" s="8" t="s">
        <v>1641</v>
      </c>
      <c r="F1459" s="8" t="s">
        <v>644</v>
      </c>
      <c r="G1459" s="8" t="s">
        <v>79</v>
      </c>
      <c r="H1459" s="8" t="s">
        <v>643</v>
      </c>
      <c r="I1459" s="14" t="s">
        <v>1633</v>
      </c>
      <c r="J1459" s="15"/>
      <c r="K1459" s="8" t="s">
        <v>1634</v>
      </c>
      <c r="L1459" s="8" t="s">
        <v>3828</v>
      </c>
      <c r="M1459" s="6" t="s">
        <v>1635</v>
      </c>
      <c r="N1459" s="6" t="s">
        <v>1624</v>
      </c>
      <c r="O1459" s="7">
        <f>SUMIFS('05_상품별배치367'!$K$7:$K$373,'05_상품별배치367'!$E$7:$E$373,A1459,'05_상품별배치367'!$H$7:$H$373,"본진")</f>
        <v>1</v>
      </c>
      <c r="P1459" s="7">
        <f>SUMIFS('05_상품별배치367'!$K$7:$K$373,'05_상품별배치367'!$E$7:$E$373,A1459,'05_상품별배치367'!$H$7:$H$373,"추가 진열")</f>
        <v>0</v>
      </c>
      <c r="Q1459" s="7">
        <f>O1459+P1459</f>
        <v>1</v>
      </c>
      <c r="R1459" s="7">
        <v>1</v>
      </c>
      <c r="S1459" s="6" t="s">
        <v>1636</v>
      </c>
      <c r="T1459" s="6" t="s">
        <v>1637</v>
      </c>
      <c r="U1459" s="6"/>
      <c r="V1459" s="16"/>
      <c r="W1459" s="16"/>
      <c r="X1459" s="16"/>
      <c r="Y1459" s="6" t="s">
        <v>1627</v>
      </c>
      <c r="Z1459" s="15"/>
      <c r="AA1459" s="15" t="s">
        <v>1628</v>
      </c>
    </row>
    <row r="1460" spans="1:27" ht="33" customHeight="1">
      <c r="A1460" s="6" t="s">
        <v>1830</v>
      </c>
      <c r="B1460" s="7">
        <v>71</v>
      </c>
      <c r="C1460" s="6" t="s">
        <v>1831</v>
      </c>
      <c r="D1460" s="6" t="s">
        <v>1827</v>
      </c>
      <c r="E1460" s="6" t="s">
        <v>1641</v>
      </c>
      <c r="F1460" s="6" t="s">
        <v>1806</v>
      </c>
      <c r="G1460" s="6" t="s">
        <v>1668</v>
      </c>
      <c r="H1460" s="6"/>
      <c r="I1460" s="14" t="s">
        <v>1807</v>
      </c>
      <c r="J1460" s="15"/>
      <c r="K1460" s="6" t="s">
        <v>1634</v>
      </c>
      <c r="L1460" s="6" t="s">
        <v>1808</v>
      </c>
      <c r="M1460" s="6" t="s">
        <v>1809</v>
      </c>
      <c r="N1460" s="6" t="s">
        <v>1624</v>
      </c>
      <c r="O1460" s="7">
        <f>SUMIFS('05_상품별배치367'!$K$7:$K$373,'05_상품별배치367'!$E$7:$E$373,A1460,'05_상품별배치367'!$H$7:$H$373,"본진")</f>
        <v>0</v>
      </c>
      <c r="P1460" s="7">
        <f>SUMIFS('05_상품별배치367'!$K$7:$K$373,'05_상품별배치367'!$E$7:$E$373,A1460,'05_상품별배치367'!$H$7:$H$373,"추가 진열")</f>
        <v>0</v>
      </c>
      <c r="Q1460" s="7">
        <f>O1460+P1460</f>
        <v>0</v>
      </c>
      <c r="R1460" s="7">
        <v>0</v>
      </c>
      <c r="S1460" s="6" t="s">
        <v>1810</v>
      </c>
      <c r="T1460" s="6" t="s">
        <v>1637</v>
      </c>
      <c r="U1460" s="6"/>
      <c r="V1460" s="16"/>
      <c r="W1460" s="16"/>
      <c r="X1460" s="16"/>
      <c r="Y1460" s="6" t="s">
        <v>1627</v>
      </c>
      <c r="Z1460" s="15"/>
      <c r="AA1460" s="15" t="s">
        <v>1628</v>
      </c>
    </row>
    <row r="1461" spans="1:27" ht="33" customHeight="1">
      <c r="A1461" s="6" t="s">
        <v>1970</v>
      </c>
      <c r="B1461" s="7">
        <v>125</v>
      </c>
      <c r="C1461" s="6" t="s">
        <v>1971</v>
      </c>
      <c r="D1461" s="6" t="s">
        <v>1972</v>
      </c>
      <c r="E1461" s="6" t="s">
        <v>1666</v>
      </c>
      <c r="F1461" s="6" t="s">
        <v>1880</v>
      </c>
      <c r="G1461" s="6" t="s">
        <v>1668</v>
      </c>
      <c r="H1461" s="6"/>
      <c r="I1461" s="14" t="s">
        <v>1642</v>
      </c>
      <c r="J1461" s="15"/>
      <c r="K1461" s="6" t="s">
        <v>1670</v>
      </c>
      <c r="L1461" s="6"/>
      <c r="M1461" s="6" t="s">
        <v>1643</v>
      </c>
      <c r="N1461" s="6" t="s">
        <v>1644</v>
      </c>
      <c r="O1461" s="7">
        <f>SUMIFS('05_상품별배치367'!$K$7:$K$373,'05_상품별배치367'!$E$7:$E$373,A1461,'05_상품별배치367'!$H$7:$H$373,"본진")</f>
        <v>0</v>
      </c>
      <c r="P1461" s="7">
        <f>SUMIFS('05_상품별배치367'!$K$7:$K$373,'05_상품별배치367'!$E$7:$E$373,A1461,'05_상품별배치367'!$H$7:$H$373,"추가 진열")</f>
        <v>0</v>
      </c>
      <c r="Q1461" s="7">
        <f>O1461+P1461</f>
        <v>0</v>
      </c>
      <c r="R1461" s="7">
        <v>1</v>
      </c>
      <c r="S1461" s="6" t="s">
        <v>1881</v>
      </c>
      <c r="T1461" s="6" t="s">
        <v>1637</v>
      </c>
      <c r="U1461" s="6"/>
      <c r="V1461" s="16"/>
      <c r="W1461" s="16"/>
      <c r="X1461" s="16"/>
      <c r="Y1461" s="6" t="s">
        <v>1627</v>
      </c>
      <c r="Z1461" s="15"/>
      <c r="AA1461" s="15" t="s">
        <v>1628</v>
      </c>
    </row>
    <row r="1462" spans="1:27" ht="33" customHeight="1">
      <c r="A1462" s="6" t="s">
        <v>6580</v>
      </c>
      <c r="B1462" s="7">
        <v>2205</v>
      </c>
      <c r="C1462" s="6" t="s">
        <v>6581</v>
      </c>
      <c r="D1462" s="6" t="s">
        <v>6582</v>
      </c>
      <c r="E1462" s="6" t="s">
        <v>1666</v>
      </c>
      <c r="F1462" s="6" t="s">
        <v>1880</v>
      </c>
      <c r="G1462" s="6" t="s">
        <v>1668</v>
      </c>
      <c r="H1462" s="6"/>
      <c r="I1462" s="14" t="s">
        <v>1642</v>
      </c>
      <c r="J1462" s="15"/>
      <c r="K1462" s="6" t="s">
        <v>1670</v>
      </c>
      <c r="L1462" s="6"/>
      <c r="M1462" s="6" t="s">
        <v>1643</v>
      </c>
      <c r="N1462" s="6" t="s">
        <v>1644</v>
      </c>
      <c r="O1462" s="7">
        <f>SUMIFS('05_상품별배치367'!$K$7:$K$373,'05_상품별배치367'!$E$7:$E$373,A1462,'05_상품별배치367'!$H$7:$H$373,"본진")</f>
        <v>0</v>
      </c>
      <c r="P1462" s="7">
        <f>SUMIFS('05_상품별배치367'!$K$7:$K$373,'05_상품별배치367'!$E$7:$E$373,A1462,'05_상품별배치367'!$H$7:$H$373,"추가 진열")</f>
        <v>0</v>
      </c>
      <c r="Q1462" s="7">
        <f>O1462+P1462</f>
        <v>0</v>
      </c>
      <c r="R1462" s="7">
        <v>1</v>
      </c>
      <c r="S1462" s="6" t="s">
        <v>1881</v>
      </c>
      <c r="T1462" s="6" t="s">
        <v>1637</v>
      </c>
      <c r="U1462" s="6"/>
      <c r="V1462" s="16"/>
      <c r="W1462" s="16"/>
      <c r="X1462" s="16"/>
      <c r="Y1462" s="6" t="s">
        <v>1655</v>
      </c>
      <c r="Z1462" s="15"/>
      <c r="AA1462" s="15" t="s">
        <v>1628</v>
      </c>
    </row>
    <row r="1463" spans="1:27" ht="33" customHeight="1">
      <c r="A1463" s="6" t="s">
        <v>1901</v>
      </c>
      <c r="B1463" s="7">
        <v>97</v>
      </c>
      <c r="C1463" s="6" t="s">
        <v>1902</v>
      </c>
      <c r="D1463" s="6" t="s">
        <v>1879</v>
      </c>
      <c r="E1463" s="6" t="s">
        <v>1666</v>
      </c>
      <c r="F1463" s="6" t="s">
        <v>1880</v>
      </c>
      <c r="G1463" s="6" t="s">
        <v>1668</v>
      </c>
      <c r="H1463" s="6"/>
      <c r="I1463" s="14" t="s">
        <v>1642</v>
      </c>
      <c r="J1463" s="15"/>
      <c r="K1463" s="6" t="s">
        <v>1670</v>
      </c>
      <c r="L1463" s="6"/>
      <c r="M1463" s="6" t="s">
        <v>1643</v>
      </c>
      <c r="N1463" s="6" t="s">
        <v>1624</v>
      </c>
      <c r="O1463" s="7">
        <f>SUMIFS('05_상품별배치367'!$K$7:$K$373,'05_상품별배치367'!$E$7:$E$373,A1463,'05_상품별배치367'!$H$7:$H$373,"본진")</f>
        <v>0</v>
      </c>
      <c r="P1463" s="7">
        <f>SUMIFS('05_상품별배치367'!$K$7:$K$373,'05_상품별배치367'!$E$7:$E$373,A1463,'05_상품별배치367'!$H$7:$H$373,"추가 진열")</f>
        <v>0</v>
      </c>
      <c r="Q1463" s="7">
        <f>O1463+P1463</f>
        <v>0</v>
      </c>
      <c r="R1463" s="7">
        <v>1</v>
      </c>
      <c r="S1463" s="6" t="s">
        <v>1881</v>
      </c>
      <c r="T1463" s="6" t="s">
        <v>1637</v>
      </c>
      <c r="U1463" s="6"/>
      <c r="V1463" s="16"/>
      <c r="W1463" s="16"/>
      <c r="X1463" s="16"/>
      <c r="Y1463" s="6" t="s">
        <v>1655</v>
      </c>
      <c r="Z1463" s="15"/>
      <c r="AA1463" s="15" t="s">
        <v>1628</v>
      </c>
    </row>
    <row r="1464" spans="1:27" ht="33" customHeight="1">
      <c r="A1464" s="8" t="s">
        <v>1877</v>
      </c>
      <c r="B1464" s="9">
        <v>88</v>
      </c>
      <c r="C1464" s="8" t="s">
        <v>1878</v>
      </c>
      <c r="D1464" s="8" t="s">
        <v>1879</v>
      </c>
      <c r="E1464" s="8" t="s">
        <v>1666</v>
      </c>
      <c r="F1464" s="8" t="s">
        <v>1880</v>
      </c>
      <c r="G1464" s="8" t="s">
        <v>1668</v>
      </c>
      <c r="H1464" s="8"/>
      <c r="I1464" s="14" t="s">
        <v>1642</v>
      </c>
      <c r="J1464" s="15"/>
      <c r="K1464" s="8" t="s">
        <v>1670</v>
      </c>
      <c r="L1464" s="8"/>
      <c r="M1464" s="6" t="s">
        <v>1643</v>
      </c>
      <c r="N1464" s="6" t="s">
        <v>1624</v>
      </c>
      <c r="O1464" s="7">
        <f>SUMIFS('05_상품별배치367'!$K$7:$K$373,'05_상품별배치367'!$E$7:$E$373,A1464,'05_상품별배치367'!$H$7:$H$373,"본진")</f>
        <v>0</v>
      </c>
      <c r="P1464" s="7">
        <f>SUMIFS('05_상품별배치367'!$K$7:$K$373,'05_상품별배치367'!$E$7:$E$373,A1464,'05_상품별배치367'!$H$7:$H$373,"추가 진열")</f>
        <v>0</v>
      </c>
      <c r="Q1464" s="7">
        <f>O1464+P1464</f>
        <v>0</v>
      </c>
      <c r="R1464" s="7">
        <v>1</v>
      </c>
      <c r="S1464" s="6" t="s">
        <v>1881</v>
      </c>
      <c r="T1464" s="6" t="s">
        <v>1637</v>
      </c>
      <c r="U1464" s="6"/>
      <c r="V1464" s="16"/>
      <c r="W1464" s="16"/>
      <c r="X1464" s="16"/>
      <c r="Y1464" s="6" t="s">
        <v>1655</v>
      </c>
      <c r="Z1464" s="15"/>
      <c r="AA1464" s="15" t="s">
        <v>1628</v>
      </c>
    </row>
    <row r="1465" spans="1:27" ht="33" customHeight="1">
      <c r="A1465" s="8" t="s">
        <v>6942</v>
      </c>
      <c r="B1465" s="9">
        <v>2380</v>
      </c>
      <c r="C1465" s="8" t="s">
        <v>6943</v>
      </c>
      <c r="D1465" s="8" t="s">
        <v>3810</v>
      </c>
      <c r="E1465" s="8" t="s">
        <v>1981</v>
      </c>
      <c r="F1465" s="8" t="s">
        <v>1025</v>
      </c>
      <c r="G1465" s="8" t="s">
        <v>254</v>
      </c>
      <c r="H1465" s="8" t="s">
        <v>1024</v>
      </c>
      <c r="I1465" s="14" t="s">
        <v>1621</v>
      </c>
      <c r="J1465" s="15"/>
      <c r="K1465" s="8" t="s">
        <v>1982</v>
      </c>
      <c r="L1465" s="8" t="s">
        <v>3828</v>
      </c>
      <c r="M1465" s="6" t="s">
        <v>1623</v>
      </c>
      <c r="N1465" s="6" t="s">
        <v>1624</v>
      </c>
      <c r="O1465" s="7">
        <f>SUMIFS('05_상품별배치367'!$K$7:$K$373,'05_상품별배치367'!$E$7:$E$373,A1465,'05_상품별배치367'!$H$7:$H$373,"본진")</f>
        <v>1</v>
      </c>
      <c r="P1465" s="7">
        <f>SUMIFS('05_상품별배치367'!$K$7:$K$373,'05_상품별배치367'!$E$7:$E$373,A1465,'05_상품별배치367'!$H$7:$H$373,"추가 진열")</f>
        <v>0</v>
      </c>
      <c r="Q1465" s="7">
        <f>O1465+P1465</f>
        <v>1</v>
      </c>
      <c r="R1465" s="7">
        <v>1</v>
      </c>
      <c r="S1465" s="6" t="s">
        <v>1625</v>
      </c>
      <c r="T1465" s="6" t="s">
        <v>1637</v>
      </c>
      <c r="U1465" s="6"/>
      <c r="V1465" s="16"/>
      <c r="W1465" s="16"/>
      <c r="X1465" s="16"/>
      <c r="Y1465" s="6" t="s">
        <v>1627</v>
      </c>
      <c r="Z1465" s="15"/>
      <c r="AA1465" s="15" t="s">
        <v>1628</v>
      </c>
    </row>
    <row r="1466" spans="1:27" ht="33" customHeight="1">
      <c r="A1466" s="6" t="s">
        <v>5798</v>
      </c>
      <c r="B1466" s="7">
        <v>1855</v>
      </c>
      <c r="C1466" s="6" t="s">
        <v>5799</v>
      </c>
      <c r="D1466" s="6" t="s">
        <v>5800</v>
      </c>
      <c r="E1466" s="6" t="s">
        <v>1632</v>
      </c>
      <c r="F1466" s="6" t="s">
        <v>865</v>
      </c>
      <c r="G1466" s="6" t="s">
        <v>173</v>
      </c>
      <c r="H1466" s="6" t="s">
        <v>864</v>
      </c>
      <c r="I1466" s="14" t="s">
        <v>1621</v>
      </c>
      <c r="J1466" s="15"/>
      <c r="K1466" s="6" t="s">
        <v>1634</v>
      </c>
      <c r="L1466" s="6" t="s">
        <v>3828</v>
      </c>
      <c r="M1466" s="6" t="s">
        <v>1623</v>
      </c>
      <c r="N1466" s="6" t="s">
        <v>1624</v>
      </c>
      <c r="O1466" s="7">
        <f>SUMIFS('05_상품별배치367'!$K$7:$K$373,'05_상품별배치367'!$E$7:$E$373,A1466,'05_상품별배치367'!$H$7:$H$373,"본진")</f>
        <v>2</v>
      </c>
      <c r="P1466" s="7">
        <f>SUMIFS('05_상품별배치367'!$K$7:$K$373,'05_상품별배치367'!$E$7:$E$373,A1466,'05_상품별배치367'!$H$7:$H$373,"추가 진열")</f>
        <v>1</v>
      </c>
      <c r="Q1466" s="7">
        <f>O1466+P1466</f>
        <v>3</v>
      </c>
      <c r="R1466" s="7">
        <v>2</v>
      </c>
      <c r="S1466" s="6" t="s">
        <v>1625</v>
      </c>
      <c r="T1466" s="6" t="s">
        <v>1637</v>
      </c>
      <c r="U1466" s="6"/>
      <c r="V1466" s="16"/>
      <c r="W1466" s="16"/>
      <c r="X1466" s="16"/>
      <c r="Y1466" s="6" t="s">
        <v>1627</v>
      </c>
      <c r="Z1466" s="15"/>
      <c r="AA1466" s="15" t="s">
        <v>1628</v>
      </c>
    </row>
    <row r="1467" spans="1:27" ht="33" customHeight="1">
      <c r="A1467" s="8" t="s">
        <v>5760</v>
      </c>
      <c r="B1467" s="9">
        <v>1836</v>
      </c>
      <c r="C1467" s="8" t="s">
        <v>5761</v>
      </c>
      <c r="D1467" s="8" t="s">
        <v>1649</v>
      </c>
      <c r="E1467" s="8" t="s">
        <v>1632</v>
      </c>
      <c r="F1467" s="8" t="s">
        <v>858</v>
      </c>
      <c r="G1467" s="8" t="s">
        <v>173</v>
      </c>
      <c r="H1467" s="8" t="s">
        <v>860</v>
      </c>
      <c r="I1467" s="14" t="s">
        <v>1621</v>
      </c>
      <c r="J1467" s="15"/>
      <c r="K1467" s="8" t="s">
        <v>5762</v>
      </c>
      <c r="L1467" s="8" t="s">
        <v>3828</v>
      </c>
      <c r="M1467" s="6" t="s">
        <v>1623</v>
      </c>
      <c r="N1467" s="6" t="s">
        <v>1624</v>
      </c>
      <c r="O1467" s="7">
        <f>SUMIFS('05_상품별배치367'!$K$7:$K$373,'05_상품별배치367'!$E$7:$E$373,A1467,'05_상품별배치367'!$H$7:$H$373,"본진")</f>
        <v>2</v>
      </c>
      <c r="P1467" s="7">
        <f>SUMIFS('05_상품별배치367'!$K$7:$K$373,'05_상품별배치367'!$E$7:$E$373,A1467,'05_상품별배치367'!$H$7:$H$373,"추가 진열")</f>
        <v>1</v>
      </c>
      <c r="Q1467" s="7">
        <f>O1467+P1467</f>
        <v>3</v>
      </c>
      <c r="R1467" s="7">
        <v>2</v>
      </c>
      <c r="S1467" s="6" t="s">
        <v>1625</v>
      </c>
      <c r="T1467" s="6" t="s">
        <v>1637</v>
      </c>
      <c r="U1467" s="6"/>
      <c r="V1467" s="16"/>
      <c r="W1467" s="16"/>
      <c r="X1467" s="16"/>
      <c r="Y1467" s="6" t="s">
        <v>1627</v>
      </c>
      <c r="Z1467" s="15"/>
      <c r="AA1467" s="15" t="s">
        <v>1628</v>
      </c>
    </row>
    <row r="1468" spans="1:27" ht="33" customHeight="1">
      <c r="A1468" s="6" t="s">
        <v>965</v>
      </c>
      <c r="B1468" s="7">
        <v>1859</v>
      </c>
      <c r="C1468" s="6" t="s">
        <v>964</v>
      </c>
      <c r="D1468" s="6" t="s">
        <v>3807</v>
      </c>
      <c r="E1468" s="6" t="s">
        <v>1632</v>
      </c>
      <c r="F1468" s="6" t="s">
        <v>963</v>
      </c>
      <c r="G1468" s="6" t="s">
        <v>219</v>
      </c>
      <c r="H1468" s="6" t="s">
        <v>962</v>
      </c>
      <c r="I1468" s="14" t="s">
        <v>1621</v>
      </c>
      <c r="J1468" s="15"/>
      <c r="K1468" s="6" t="s">
        <v>1634</v>
      </c>
      <c r="L1468" s="6" t="s">
        <v>5806</v>
      </c>
      <c r="M1468" s="6" t="s">
        <v>1623</v>
      </c>
      <c r="N1468" s="6" t="s">
        <v>1624</v>
      </c>
      <c r="O1468" s="7">
        <f>SUMIFS('05_상품별배치367'!$K$7:$K$373,'05_상품별배치367'!$E$7:$E$373,A1468,'05_상품별배치367'!$H$7:$H$373,"본진")</f>
        <v>1</v>
      </c>
      <c r="P1468" s="7">
        <f>SUMIFS('05_상품별배치367'!$K$7:$K$373,'05_상품별배치367'!$E$7:$E$373,A1468,'05_상품별배치367'!$H$7:$H$373,"추가 진열")</f>
        <v>0</v>
      </c>
      <c r="Q1468" s="7">
        <f>O1468+P1468</f>
        <v>1</v>
      </c>
      <c r="R1468" s="7">
        <v>1</v>
      </c>
      <c r="S1468" s="6" t="s">
        <v>1625</v>
      </c>
      <c r="T1468" s="6" t="s">
        <v>1637</v>
      </c>
      <c r="U1468" s="6"/>
      <c r="V1468" s="16"/>
      <c r="W1468" s="16"/>
      <c r="X1468" s="16"/>
      <c r="Y1468" s="6" t="s">
        <v>1627</v>
      </c>
      <c r="Z1468" s="15"/>
      <c r="AA1468" s="15" t="s">
        <v>1628</v>
      </c>
    </row>
    <row r="1469" spans="1:27" ht="33" customHeight="1">
      <c r="A1469" s="6" t="s">
        <v>6122</v>
      </c>
      <c r="B1469" s="7">
        <v>2003</v>
      </c>
      <c r="C1469" s="6" t="s">
        <v>6123</v>
      </c>
      <c r="D1469" s="6" t="s">
        <v>6124</v>
      </c>
      <c r="E1469" s="6" t="s">
        <v>1620</v>
      </c>
      <c r="F1469" s="6" t="s">
        <v>2031</v>
      </c>
      <c r="G1469" s="6" t="s">
        <v>1668</v>
      </c>
      <c r="H1469" s="6"/>
      <c r="I1469" s="14" t="s">
        <v>1642</v>
      </c>
      <c r="J1469" s="15"/>
      <c r="K1469" s="6" t="s">
        <v>1622</v>
      </c>
      <c r="L1469" s="6" t="s">
        <v>6125</v>
      </c>
      <c r="M1469" s="6" t="s">
        <v>1643</v>
      </c>
      <c r="N1469" s="6" t="s">
        <v>1624</v>
      </c>
      <c r="O1469" s="7">
        <f>SUMIFS('05_상품별배치367'!$K$7:$K$373,'05_상품별배치367'!$E$7:$E$373,A1469,'05_상품별배치367'!$H$7:$H$373,"본진")</f>
        <v>0</v>
      </c>
      <c r="P1469" s="7">
        <f>SUMIFS('05_상품별배치367'!$K$7:$K$373,'05_상품별배치367'!$E$7:$E$373,A1469,'05_상품별배치367'!$H$7:$H$373,"추가 진열")</f>
        <v>0</v>
      </c>
      <c r="Q1469" s="7">
        <f>O1469+P1469</f>
        <v>0</v>
      </c>
      <c r="R1469" s="7">
        <v>1</v>
      </c>
      <c r="S1469" s="6" t="s">
        <v>2033</v>
      </c>
      <c r="T1469" s="6" t="s">
        <v>1637</v>
      </c>
      <c r="U1469" s="6"/>
      <c r="V1469" s="16"/>
      <c r="W1469" s="16"/>
      <c r="X1469" s="16"/>
      <c r="Y1469" s="6" t="s">
        <v>1655</v>
      </c>
      <c r="Z1469" s="15"/>
      <c r="AA1469" s="15" t="s">
        <v>1628</v>
      </c>
    </row>
    <row r="1470" spans="1:27" ht="33" customHeight="1">
      <c r="A1470" s="6" t="s">
        <v>4628</v>
      </c>
      <c r="B1470" s="7">
        <v>1301</v>
      </c>
      <c r="C1470" s="6" t="s">
        <v>4629</v>
      </c>
      <c r="D1470" s="6" t="s">
        <v>2133</v>
      </c>
      <c r="E1470" s="6" t="s">
        <v>2134</v>
      </c>
      <c r="F1470" s="6" t="s">
        <v>1263</v>
      </c>
      <c r="G1470" s="6" t="s">
        <v>376</v>
      </c>
      <c r="H1470" s="6"/>
      <c r="I1470" s="14" t="s">
        <v>1642</v>
      </c>
      <c r="J1470" s="15"/>
      <c r="K1470" s="6" t="s">
        <v>1976</v>
      </c>
      <c r="L1470" s="6"/>
      <c r="M1470" s="6" t="s">
        <v>1643</v>
      </c>
      <c r="N1470" s="6" t="s">
        <v>1644</v>
      </c>
      <c r="O1470" s="7">
        <f>SUMIFS('05_상품별배치367'!$K$7:$K$373,'05_상품별배치367'!$E$7:$E$373,A1470,'05_상품별배치367'!$H$7:$H$373,"본진")</f>
        <v>0</v>
      </c>
      <c r="P1470" s="7">
        <f>SUMIFS('05_상품별배치367'!$K$7:$K$373,'05_상품별배치367'!$E$7:$E$373,A1470,'05_상품별배치367'!$H$7:$H$373,"추가 진열")</f>
        <v>0</v>
      </c>
      <c r="Q1470" s="7">
        <f>O1470+P1470</f>
        <v>0</v>
      </c>
      <c r="R1470" s="7">
        <v>1</v>
      </c>
      <c r="S1470" s="6" t="s">
        <v>3016</v>
      </c>
      <c r="T1470" s="6" t="s">
        <v>1637</v>
      </c>
      <c r="U1470" s="6"/>
      <c r="V1470" s="16"/>
      <c r="W1470" s="16"/>
      <c r="X1470" s="16"/>
      <c r="Y1470" s="6" t="s">
        <v>1627</v>
      </c>
      <c r="Z1470" s="15"/>
      <c r="AA1470" s="15" t="s">
        <v>1628</v>
      </c>
    </row>
    <row r="1471" spans="1:27" ht="33" customHeight="1">
      <c r="A1471" s="8" t="s">
        <v>4622</v>
      </c>
      <c r="B1471" s="9">
        <v>1298</v>
      </c>
      <c r="C1471" s="8" t="s">
        <v>4623</v>
      </c>
      <c r="D1471" s="8" t="s">
        <v>2133</v>
      </c>
      <c r="E1471" s="8" t="s">
        <v>2134</v>
      </c>
      <c r="F1471" s="8" t="s">
        <v>2933</v>
      </c>
      <c r="G1471" s="8" t="s">
        <v>1668</v>
      </c>
      <c r="H1471" s="8"/>
      <c r="I1471" s="14" t="s">
        <v>1807</v>
      </c>
      <c r="J1471" s="15"/>
      <c r="K1471" s="8" t="s">
        <v>1976</v>
      </c>
      <c r="L1471" s="8" t="s">
        <v>2032</v>
      </c>
      <c r="M1471" s="6" t="s">
        <v>1809</v>
      </c>
      <c r="N1471" s="6" t="s">
        <v>1644</v>
      </c>
      <c r="O1471" s="7">
        <f>SUMIFS('05_상품별배치367'!$K$7:$K$373,'05_상품별배치367'!$E$7:$E$373,A1471,'05_상품별배치367'!$H$7:$H$373,"본진")</f>
        <v>0</v>
      </c>
      <c r="P1471" s="7">
        <f>SUMIFS('05_상품별배치367'!$K$7:$K$373,'05_상품별배치367'!$E$7:$E$373,A1471,'05_상품별배치367'!$H$7:$H$373,"추가 진열")</f>
        <v>0</v>
      </c>
      <c r="Q1471" s="7">
        <f>O1471+P1471</f>
        <v>0</v>
      </c>
      <c r="R1471" s="7">
        <v>0</v>
      </c>
      <c r="S1471" s="6" t="s">
        <v>1810</v>
      </c>
      <c r="T1471" s="6" t="s">
        <v>1637</v>
      </c>
      <c r="U1471" s="6"/>
      <c r="V1471" s="16"/>
      <c r="W1471" s="16"/>
      <c r="X1471" s="16"/>
      <c r="Y1471" s="6" t="s">
        <v>1627</v>
      </c>
      <c r="Z1471" s="15"/>
      <c r="AA1471" s="15" t="s">
        <v>1628</v>
      </c>
    </row>
    <row r="1472" spans="1:27" ht="33" customHeight="1">
      <c r="A1472" s="8" t="s">
        <v>4630</v>
      </c>
      <c r="B1472" s="9">
        <v>1302</v>
      </c>
      <c r="C1472" s="8" t="s">
        <v>4631</v>
      </c>
      <c r="D1472" s="8" t="s">
        <v>2133</v>
      </c>
      <c r="E1472" s="8" t="s">
        <v>2134</v>
      </c>
      <c r="F1472" s="8" t="s">
        <v>2933</v>
      </c>
      <c r="G1472" s="8" t="s">
        <v>1668</v>
      </c>
      <c r="H1472" s="8"/>
      <c r="I1472" s="14" t="s">
        <v>1807</v>
      </c>
      <c r="J1472" s="15"/>
      <c r="K1472" s="8" t="s">
        <v>1976</v>
      </c>
      <c r="L1472" s="8" t="s">
        <v>2032</v>
      </c>
      <c r="M1472" s="6" t="s">
        <v>1809</v>
      </c>
      <c r="N1472" s="6" t="s">
        <v>1644</v>
      </c>
      <c r="O1472" s="7">
        <f>SUMIFS('05_상품별배치367'!$K$7:$K$373,'05_상품별배치367'!$E$7:$E$373,A1472,'05_상품별배치367'!$H$7:$H$373,"본진")</f>
        <v>0</v>
      </c>
      <c r="P1472" s="7">
        <f>SUMIFS('05_상품별배치367'!$K$7:$K$373,'05_상품별배치367'!$E$7:$E$373,A1472,'05_상품별배치367'!$H$7:$H$373,"추가 진열")</f>
        <v>0</v>
      </c>
      <c r="Q1472" s="7">
        <f>O1472+P1472</f>
        <v>0</v>
      </c>
      <c r="R1472" s="7">
        <v>0</v>
      </c>
      <c r="S1472" s="6" t="s">
        <v>1810</v>
      </c>
      <c r="T1472" s="6" t="s">
        <v>1637</v>
      </c>
      <c r="U1472" s="6"/>
      <c r="V1472" s="16"/>
      <c r="W1472" s="16"/>
      <c r="X1472" s="16"/>
      <c r="Y1472" s="6" t="s">
        <v>1627</v>
      </c>
      <c r="Z1472" s="15"/>
      <c r="AA1472" s="15" t="s">
        <v>1628</v>
      </c>
    </row>
    <row r="1473" spans="1:27" ht="33" customHeight="1">
      <c r="A1473" s="8" t="s">
        <v>4626</v>
      </c>
      <c r="B1473" s="9">
        <v>1300</v>
      </c>
      <c r="C1473" s="8" t="s">
        <v>4627</v>
      </c>
      <c r="D1473" s="8" t="s">
        <v>2133</v>
      </c>
      <c r="E1473" s="8" t="s">
        <v>2134</v>
      </c>
      <c r="F1473" s="8" t="s">
        <v>2933</v>
      </c>
      <c r="G1473" s="8" t="s">
        <v>1668</v>
      </c>
      <c r="H1473" s="8"/>
      <c r="I1473" s="14" t="s">
        <v>1807</v>
      </c>
      <c r="J1473" s="15"/>
      <c r="K1473" s="8" t="s">
        <v>1976</v>
      </c>
      <c r="L1473" s="8" t="s">
        <v>2032</v>
      </c>
      <c r="M1473" s="6" t="s">
        <v>1809</v>
      </c>
      <c r="N1473" s="6" t="s">
        <v>1644</v>
      </c>
      <c r="O1473" s="7">
        <f>SUMIFS('05_상품별배치367'!$K$7:$K$373,'05_상품별배치367'!$E$7:$E$373,A1473,'05_상품별배치367'!$H$7:$H$373,"본진")</f>
        <v>0</v>
      </c>
      <c r="P1473" s="7">
        <f>SUMIFS('05_상품별배치367'!$K$7:$K$373,'05_상품별배치367'!$E$7:$E$373,A1473,'05_상품별배치367'!$H$7:$H$373,"추가 진열")</f>
        <v>0</v>
      </c>
      <c r="Q1473" s="7">
        <f>O1473+P1473</f>
        <v>0</v>
      </c>
      <c r="R1473" s="7">
        <v>0</v>
      </c>
      <c r="S1473" s="6" t="s">
        <v>1810</v>
      </c>
      <c r="T1473" s="6" t="s">
        <v>1637</v>
      </c>
      <c r="U1473" s="6"/>
      <c r="V1473" s="16"/>
      <c r="W1473" s="16"/>
      <c r="X1473" s="16"/>
      <c r="Y1473" s="6" t="s">
        <v>1627</v>
      </c>
      <c r="Z1473" s="15"/>
      <c r="AA1473" s="15" t="s">
        <v>1628</v>
      </c>
    </row>
    <row r="1474" spans="1:27" ht="33" customHeight="1">
      <c r="A1474" s="6" t="s">
        <v>4624</v>
      </c>
      <c r="B1474" s="7">
        <v>1299</v>
      </c>
      <c r="C1474" s="6" t="s">
        <v>4625</v>
      </c>
      <c r="D1474" s="6" t="s">
        <v>2133</v>
      </c>
      <c r="E1474" s="6" t="s">
        <v>2134</v>
      </c>
      <c r="F1474" s="6" t="s">
        <v>162</v>
      </c>
      <c r="G1474" s="6" t="s">
        <v>404</v>
      </c>
      <c r="H1474" s="6"/>
      <c r="I1474" s="14" t="s">
        <v>1642</v>
      </c>
      <c r="J1474" s="15"/>
      <c r="K1474" s="6" t="s">
        <v>1976</v>
      </c>
      <c r="L1474" s="6"/>
      <c r="M1474" s="6" t="s">
        <v>1643</v>
      </c>
      <c r="N1474" s="6" t="s">
        <v>1644</v>
      </c>
      <c r="O1474" s="7">
        <f>SUMIFS('05_상품별배치367'!$K$7:$K$373,'05_상품별배치367'!$E$7:$E$373,A1474,'05_상품별배치367'!$H$7:$H$373,"본진")</f>
        <v>0</v>
      </c>
      <c r="P1474" s="7">
        <f>SUMIFS('05_상품별배치367'!$K$7:$K$373,'05_상품별배치367'!$E$7:$E$373,A1474,'05_상품별배치367'!$H$7:$H$373,"추가 진열")</f>
        <v>0</v>
      </c>
      <c r="Q1474" s="7">
        <f>O1474+P1474</f>
        <v>0</v>
      </c>
      <c r="R1474" s="7">
        <v>1</v>
      </c>
      <c r="S1474" s="6" t="s">
        <v>2996</v>
      </c>
      <c r="T1474" s="6" t="s">
        <v>1637</v>
      </c>
      <c r="U1474" s="6"/>
      <c r="V1474" s="16"/>
      <c r="W1474" s="16"/>
      <c r="X1474" s="16"/>
      <c r="Y1474" s="6" t="s">
        <v>1627</v>
      </c>
      <c r="Z1474" s="15"/>
      <c r="AA1474" s="15" t="s">
        <v>1628</v>
      </c>
    </row>
    <row r="1475" spans="1:27" ht="33" customHeight="1">
      <c r="A1475" s="8" t="s">
        <v>7123</v>
      </c>
      <c r="B1475" s="9">
        <v>2466</v>
      </c>
      <c r="C1475" s="8" t="s">
        <v>7124</v>
      </c>
      <c r="D1475" s="8" t="s">
        <v>7125</v>
      </c>
      <c r="E1475" s="8" t="s">
        <v>1620</v>
      </c>
      <c r="F1475" s="8" t="s">
        <v>1163</v>
      </c>
      <c r="G1475" s="8" t="s">
        <v>323</v>
      </c>
      <c r="H1475" s="8" t="s">
        <v>1162</v>
      </c>
      <c r="I1475" s="14" t="s">
        <v>1992</v>
      </c>
      <c r="J1475" s="15"/>
      <c r="K1475" s="8" t="s">
        <v>1622</v>
      </c>
      <c r="L1475" s="8" t="s">
        <v>3828</v>
      </c>
      <c r="M1475" s="6" t="s">
        <v>1993</v>
      </c>
      <c r="N1475" s="6" t="s">
        <v>1624</v>
      </c>
      <c r="O1475" s="7">
        <f>SUMIFS('05_상품별배치367'!$K$7:$K$373,'05_상품별배치367'!$E$7:$E$373,A1475,'05_상품별배치367'!$H$7:$H$373,"본진")</f>
        <v>1</v>
      </c>
      <c r="P1475" s="7">
        <f>SUMIFS('05_상품별배치367'!$K$7:$K$373,'05_상품별배치367'!$E$7:$E$373,A1475,'05_상품별배치367'!$H$7:$H$373,"추가 진열")</f>
        <v>0</v>
      </c>
      <c r="Q1475" s="7">
        <f>O1475+P1475</f>
        <v>1</v>
      </c>
      <c r="R1475" s="7">
        <v>1</v>
      </c>
      <c r="S1475" s="6" t="s">
        <v>1994</v>
      </c>
      <c r="T1475" s="6" t="s">
        <v>1637</v>
      </c>
      <c r="U1475" s="6"/>
      <c r="V1475" s="16"/>
      <c r="W1475" s="16"/>
      <c r="X1475" s="16"/>
      <c r="Y1475" s="6" t="s">
        <v>1627</v>
      </c>
      <c r="Z1475" s="15"/>
      <c r="AA1475" s="15" t="s">
        <v>1628</v>
      </c>
    </row>
    <row r="1476" spans="1:27" ht="33" customHeight="1">
      <c r="A1476" s="6" t="s">
        <v>6093</v>
      </c>
      <c r="B1476" s="7">
        <v>1991</v>
      </c>
      <c r="C1476" s="6" t="s">
        <v>6094</v>
      </c>
      <c r="D1476" s="6" t="s">
        <v>6095</v>
      </c>
      <c r="E1476" s="6" t="s">
        <v>1620</v>
      </c>
      <c r="F1476" s="6" t="s">
        <v>151</v>
      </c>
      <c r="G1476" s="6" t="s">
        <v>349</v>
      </c>
      <c r="H1476" s="6" t="s">
        <v>1211</v>
      </c>
      <c r="I1476" s="14" t="s">
        <v>1642</v>
      </c>
      <c r="J1476" s="15"/>
      <c r="K1476" s="6" t="s">
        <v>1622</v>
      </c>
      <c r="L1476" s="6" t="s">
        <v>3828</v>
      </c>
      <c r="M1476" s="6" t="s">
        <v>1643</v>
      </c>
      <c r="N1476" s="6" t="s">
        <v>1644</v>
      </c>
      <c r="O1476" s="7">
        <f>SUMIFS('05_상품별배치367'!$K$7:$K$373,'05_상품별배치367'!$E$7:$E$373,A1476,'05_상품별배치367'!$H$7:$H$373,"본진")</f>
        <v>0</v>
      </c>
      <c r="P1476" s="7">
        <f>SUMIFS('05_상품별배치367'!$K$7:$K$373,'05_상품별배치367'!$E$7:$E$373,A1476,'05_상품별배치367'!$H$7:$H$373,"추가 진열")</f>
        <v>0</v>
      </c>
      <c r="Q1476" s="7">
        <f>O1476+P1476</f>
        <v>0</v>
      </c>
      <c r="R1476" s="7">
        <v>1</v>
      </c>
      <c r="S1476" s="6" t="s">
        <v>1676</v>
      </c>
      <c r="T1476" s="6" t="s">
        <v>1637</v>
      </c>
      <c r="U1476" s="6"/>
      <c r="V1476" s="16"/>
      <c r="W1476" s="16"/>
      <c r="X1476" s="16"/>
      <c r="Y1476" s="6" t="s">
        <v>1655</v>
      </c>
      <c r="Z1476" s="15"/>
      <c r="AA1476" s="15" t="s">
        <v>1628</v>
      </c>
    </row>
    <row r="1477" spans="1:27" ht="33" customHeight="1">
      <c r="A1477" s="6" t="s">
        <v>1217</v>
      </c>
      <c r="B1477" s="7">
        <v>2013</v>
      </c>
      <c r="C1477" s="6" t="s">
        <v>1216</v>
      </c>
      <c r="D1477" s="6" t="s">
        <v>1786</v>
      </c>
      <c r="E1477" s="6" t="s">
        <v>1620</v>
      </c>
      <c r="F1477" s="6" t="s">
        <v>151</v>
      </c>
      <c r="G1477" s="6" t="s">
        <v>349</v>
      </c>
      <c r="H1477" s="6" t="s">
        <v>1215</v>
      </c>
      <c r="I1477" s="14" t="s">
        <v>1621</v>
      </c>
      <c r="J1477" s="15"/>
      <c r="K1477" s="6" t="s">
        <v>1622</v>
      </c>
      <c r="L1477" s="6" t="s">
        <v>3828</v>
      </c>
      <c r="M1477" s="6" t="s">
        <v>1623</v>
      </c>
      <c r="N1477" s="6" t="s">
        <v>1624</v>
      </c>
      <c r="O1477" s="7">
        <f>SUMIFS('05_상품별배치367'!$K$7:$K$373,'05_상품별배치367'!$E$7:$E$373,A1477,'05_상품별배치367'!$H$7:$H$373,"본진")</f>
        <v>1</v>
      </c>
      <c r="P1477" s="7">
        <f>SUMIFS('05_상품별배치367'!$K$7:$K$373,'05_상품별배치367'!$E$7:$E$373,A1477,'05_상품별배치367'!$H$7:$H$373,"추가 진열")</f>
        <v>1</v>
      </c>
      <c r="Q1477" s="7">
        <f>O1477+P1477</f>
        <v>2</v>
      </c>
      <c r="R1477" s="7">
        <v>1</v>
      </c>
      <c r="S1477" s="6" t="s">
        <v>1625</v>
      </c>
      <c r="T1477" s="6" t="s">
        <v>1637</v>
      </c>
      <c r="U1477" s="6"/>
      <c r="V1477" s="16"/>
      <c r="W1477" s="16"/>
      <c r="X1477" s="16"/>
      <c r="Y1477" s="6" t="s">
        <v>1627</v>
      </c>
      <c r="Z1477" s="15"/>
      <c r="AA1477" s="15" t="s">
        <v>1628</v>
      </c>
    </row>
    <row r="1478" spans="1:27" ht="33" customHeight="1">
      <c r="A1478" s="8" t="s">
        <v>5744</v>
      </c>
      <c r="B1478" s="9">
        <v>1826</v>
      </c>
      <c r="C1478" s="8" t="s">
        <v>5745</v>
      </c>
      <c r="D1478" s="8" t="s">
        <v>3865</v>
      </c>
      <c r="E1478" s="8" t="s">
        <v>1997</v>
      </c>
      <c r="F1478" s="8" t="s">
        <v>5740</v>
      </c>
      <c r="G1478" s="8" t="s">
        <v>1668</v>
      </c>
      <c r="H1478" s="8"/>
      <c r="I1478" s="14" t="s">
        <v>1999</v>
      </c>
      <c r="J1478" s="15"/>
      <c r="K1478" s="8" t="s">
        <v>5741</v>
      </c>
      <c r="L1478" s="8" t="s">
        <v>3828</v>
      </c>
      <c r="M1478" s="6" t="s">
        <v>1671</v>
      </c>
      <c r="N1478" s="6" t="s">
        <v>1644</v>
      </c>
      <c r="O1478" s="7">
        <f>SUMIFS('05_상품별배치367'!$K$7:$K$373,'05_상품별배치367'!$E$7:$E$373,A1478,'05_상품별배치367'!$H$7:$H$373,"본진")</f>
        <v>0</v>
      </c>
      <c r="P1478" s="7">
        <f>SUMIFS('05_상품별배치367'!$K$7:$K$373,'05_상품별배치367'!$E$7:$E$373,A1478,'05_상품별배치367'!$H$7:$H$373,"추가 진열")</f>
        <v>0</v>
      </c>
      <c r="Q1478" s="7">
        <f>O1478+P1478</f>
        <v>0</v>
      </c>
      <c r="R1478" s="7">
        <v>0</v>
      </c>
      <c r="S1478" s="6" t="s">
        <v>2002</v>
      </c>
      <c r="T1478" s="6" t="s">
        <v>1637</v>
      </c>
      <c r="U1478" s="6"/>
      <c r="V1478" s="16"/>
      <c r="W1478" s="16"/>
      <c r="X1478" s="16"/>
      <c r="Y1478" s="6" t="s">
        <v>1627</v>
      </c>
      <c r="Z1478" s="15"/>
      <c r="AA1478" s="15" t="s">
        <v>1628</v>
      </c>
    </row>
    <row r="1479" spans="1:27" ht="33" customHeight="1">
      <c r="A1479" s="6" t="s">
        <v>5746</v>
      </c>
      <c r="B1479" s="7">
        <v>1827</v>
      </c>
      <c r="C1479" s="6" t="s">
        <v>5745</v>
      </c>
      <c r="D1479" s="6" t="s">
        <v>5747</v>
      </c>
      <c r="E1479" s="6" t="s">
        <v>1997</v>
      </c>
      <c r="F1479" s="6" t="s">
        <v>5740</v>
      </c>
      <c r="G1479" s="6" t="s">
        <v>1668</v>
      </c>
      <c r="H1479" s="6"/>
      <c r="I1479" s="14" t="s">
        <v>1999</v>
      </c>
      <c r="J1479" s="15"/>
      <c r="K1479" s="6" t="s">
        <v>5741</v>
      </c>
      <c r="L1479" s="6" t="s">
        <v>3828</v>
      </c>
      <c r="M1479" s="6" t="s">
        <v>1671</v>
      </c>
      <c r="N1479" s="6" t="s">
        <v>1644</v>
      </c>
      <c r="O1479" s="7">
        <f>SUMIFS('05_상품별배치367'!$K$7:$K$373,'05_상품별배치367'!$E$7:$E$373,A1479,'05_상품별배치367'!$H$7:$H$373,"본진")</f>
        <v>0</v>
      </c>
      <c r="P1479" s="7">
        <f>SUMIFS('05_상품별배치367'!$K$7:$K$373,'05_상품별배치367'!$E$7:$E$373,A1479,'05_상품별배치367'!$H$7:$H$373,"추가 진열")</f>
        <v>0</v>
      </c>
      <c r="Q1479" s="7">
        <f>O1479+P1479</f>
        <v>0</v>
      </c>
      <c r="R1479" s="7">
        <v>0</v>
      </c>
      <c r="S1479" s="6" t="s">
        <v>2002</v>
      </c>
      <c r="T1479" s="6" t="s">
        <v>1637</v>
      </c>
      <c r="U1479" s="6"/>
      <c r="V1479" s="16"/>
      <c r="W1479" s="16"/>
      <c r="X1479" s="16"/>
      <c r="Y1479" s="6" t="s">
        <v>1627</v>
      </c>
      <c r="Z1479" s="15"/>
      <c r="AA1479" s="15" t="s">
        <v>1628</v>
      </c>
    </row>
    <row r="1480" spans="1:27" ht="33" customHeight="1">
      <c r="A1480" s="8" t="s">
        <v>5752</v>
      </c>
      <c r="B1480" s="9">
        <v>1830</v>
      </c>
      <c r="C1480" s="8" t="s">
        <v>5745</v>
      </c>
      <c r="D1480" s="8" t="s">
        <v>5753</v>
      </c>
      <c r="E1480" s="8" t="s">
        <v>1997</v>
      </c>
      <c r="F1480" s="8" t="s">
        <v>5740</v>
      </c>
      <c r="G1480" s="8" t="s">
        <v>1668</v>
      </c>
      <c r="H1480" s="8"/>
      <c r="I1480" s="14" t="s">
        <v>1999</v>
      </c>
      <c r="J1480" s="15"/>
      <c r="K1480" s="8" t="s">
        <v>5741</v>
      </c>
      <c r="L1480" s="8" t="s">
        <v>3828</v>
      </c>
      <c r="M1480" s="6" t="s">
        <v>1671</v>
      </c>
      <c r="N1480" s="6" t="s">
        <v>1644</v>
      </c>
      <c r="O1480" s="7">
        <f>SUMIFS('05_상품별배치367'!$K$7:$K$373,'05_상품별배치367'!$E$7:$E$373,A1480,'05_상품별배치367'!$H$7:$H$373,"본진")</f>
        <v>0</v>
      </c>
      <c r="P1480" s="7">
        <f>SUMIFS('05_상품별배치367'!$K$7:$K$373,'05_상품별배치367'!$E$7:$E$373,A1480,'05_상품별배치367'!$H$7:$H$373,"추가 진열")</f>
        <v>0</v>
      </c>
      <c r="Q1480" s="7">
        <f>O1480+P1480</f>
        <v>0</v>
      </c>
      <c r="R1480" s="7">
        <v>0</v>
      </c>
      <c r="S1480" s="6" t="s">
        <v>2002</v>
      </c>
      <c r="T1480" s="6" t="s">
        <v>1637</v>
      </c>
      <c r="U1480" s="6"/>
      <c r="V1480" s="16"/>
      <c r="W1480" s="16"/>
      <c r="X1480" s="16"/>
      <c r="Y1480" s="6" t="s">
        <v>1627</v>
      </c>
      <c r="Z1480" s="15"/>
      <c r="AA1480" s="15" t="s">
        <v>1628</v>
      </c>
    </row>
    <row r="1481" spans="1:27" ht="33" customHeight="1">
      <c r="A1481" s="8" t="s">
        <v>4694</v>
      </c>
      <c r="B1481" s="9">
        <v>1332</v>
      </c>
      <c r="C1481" s="8" t="s">
        <v>4695</v>
      </c>
      <c r="D1481" s="8" t="s">
        <v>1658</v>
      </c>
      <c r="E1481" s="8" t="s">
        <v>2134</v>
      </c>
      <c r="F1481" s="8" t="s">
        <v>1081</v>
      </c>
      <c r="G1481" s="8" t="s">
        <v>290</v>
      </c>
      <c r="H1481" s="8"/>
      <c r="I1481" s="14" t="s">
        <v>1642</v>
      </c>
      <c r="J1481" s="15"/>
      <c r="K1481" s="8" t="s">
        <v>1976</v>
      </c>
      <c r="L1481" s="8"/>
      <c r="M1481" s="6" t="s">
        <v>1643</v>
      </c>
      <c r="N1481" s="6" t="s">
        <v>1644</v>
      </c>
      <c r="O1481" s="7">
        <f>SUMIFS('05_상품별배치367'!$K$7:$K$373,'05_상품별배치367'!$E$7:$E$373,A1481,'05_상품별배치367'!$H$7:$H$373,"본진")</f>
        <v>0</v>
      </c>
      <c r="P1481" s="7">
        <f>SUMIFS('05_상품별배치367'!$K$7:$K$373,'05_상품별배치367'!$E$7:$E$373,A1481,'05_상품별배치367'!$H$7:$H$373,"추가 진열")</f>
        <v>0</v>
      </c>
      <c r="Q1481" s="7">
        <f>O1481+P1481</f>
        <v>0</v>
      </c>
      <c r="R1481" s="7">
        <v>1</v>
      </c>
      <c r="S1481" s="6" t="s">
        <v>2135</v>
      </c>
      <c r="T1481" s="6" t="s">
        <v>1637</v>
      </c>
      <c r="U1481" s="6"/>
      <c r="V1481" s="16"/>
      <c r="W1481" s="16"/>
      <c r="X1481" s="16"/>
      <c r="Y1481" s="6" t="s">
        <v>1627</v>
      </c>
      <c r="Z1481" s="15"/>
      <c r="AA1481" s="15" t="s">
        <v>1628</v>
      </c>
    </row>
    <row r="1482" spans="1:27" ht="33" customHeight="1">
      <c r="A1482" s="6" t="s">
        <v>4692</v>
      </c>
      <c r="B1482" s="7">
        <v>1331</v>
      </c>
      <c r="C1482" s="6" t="s">
        <v>4693</v>
      </c>
      <c r="D1482" s="6" t="s">
        <v>3042</v>
      </c>
      <c r="E1482" s="6" t="s">
        <v>2134</v>
      </c>
      <c r="F1482" s="6" t="s">
        <v>1081</v>
      </c>
      <c r="G1482" s="6" t="s">
        <v>290</v>
      </c>
      <c r="H1482" s="6"/>
      <c r="I1482" s="14" t="s">
        <v>1642</v>
      </c>
      <c r="J1482" s="15"/>
      <c r="K1482" s="6" t="s">
        <v>1976</v>
      </c>
      <c r="L1482" s="6"/>
      <c r="M1482" s="6" t="s">
        <v>1643</v>
      </c>
      <c r="N1482" s="6" t="s">
        <v>1644</v>
      </c>
      <c r="O1482" s="7">
        <f>SUMIFS('05_상품별배치367'!$K$7:$K$373,'05_상품별배치367'!$E$7:$E$373,A1482,'05_상품별배치367'!$H$7:$H$373,"본진")</f>
        <v>0</v>
      </c>
      <c r="P1482" s="7">
        <f>SUMIFS('05_상품별배치367'!$K$7:$K$373,'05_상품별배치367'!$E$7:$E$373,A1482,'05_상품별배치367'!$H$7:$H$373,"추가 진열")</f>
        <v>0</v>
      </c>
      <c r="Q1482" s="7">
        <f>O1482+P1482</f>
        <v>0</v>
      </c>
      <c r="R1482" s="7">
        <v>1</v>
      </c>
      <c r="S1482" s="6" t="s">
        <v>2135</v>
      </c>
      <c r="T1482" s="6" t="s">
        <v>1637</v>
      </c>
      <c r="U1482" s="6"/>
      <c r="V1482" s="16"/>
      <c r="W1482" s="16"/>
      <c r="X1482" s="16"/>
      <c r="Y1482" s="6" t="s">
        <v>1627</v>
      </c>
      <c r="Z1482" s="15"/>
      <c r="AA1482" s="15" t="s">
        <v>1628</v>
      </c>
    </row>
    <row r="1483" spans="1:27" ht="33" customHeight="1">
      <c r="A1483" s="8" t="s">
        <v>4682</v>
      </c>
      <c r="B1483" s="9">
        <v>1326</v>
      </c>
      <c r="C1483" s="8" t="s">
        <v>4683</v>
      </c>
      <c r="D1483" s="8" t="s">
        <v>1937</v>
      </c>
      <c r="E1483" s="8" t="s">
        <v>1986</v>
      </c>
      <c r="F1483" s="8" t="s">
        <v>913</v>
      </c>
      <c r="G1483" s="8" t="s">
        <v>201</v>
      </c>
      <c r="H1483" s="8"/>
      <c r="I1483" s="14" t="s">
        <v>1642</v>
      </c>
      <c r="J1483" s="15"/>
      <c r="K1483" s="8" t="s">
        <v>1976</v>
      </c>
      <c r="L1483" s="8"/>
      <c r="M1483" s="6" t="s">
        <v>1643</v>
      </c>
      <c r="N1483" s="6" t="s">
        <v>1644</v>
      </c>
      <c r="O1483" s="7">
        <f>SUMIFS('05_상품별배치367'!$K$7:$K$373,'05_상품별배치367'!$E$7:$E$373,A1483,'05_상품별배치367'!$H$7:$H$373,"본진")</f>
        <v>0</v>
      </c>
      <c r="P1483" s="7">
        <f>SUMIFS('05_상품별배치367'!$K$7:$K$373,'05_상품별배치367'!$E$7:$E$373,A1483,'05_상품별배치367'!$H$7:$H$373,"추가 진열")</f>
        <v>0</v>
      </c>
      <c r="Q1483" s="7">
        <f>O1483+P1483</f>
        <v>0</v>
      </c>
      <c r="R1483" s="7">
        <v>1</v>
      </c>
      <c r="S1483" s="6" t="s">
        <v>2907</v>
      </c>
      <c r="T1483" s="6" t="s">
        <v>1637</v>
      </c>
      <c r="U1483" s="6"/>
      <c r="V1483" s="16"/>
      <c r="W1483" s="16"/>
      <c r="X1483" s="16"/>
      <c r="Y1483" s="6" t="s">
        <v>1627</v>
      </c>
      <c r="Z1483" s="15"/>
      <c r="AA1483" s="15" t="s">
        <v>1628</v>
      </c>
    </row>
    <row r="1484" spans="1:27" ht="33" customHeight="1">
      <c r="A1484" s="6" t="s">
        <v>4696</v>
      </c>
      <c r="B1484" s="7">
        <v>1333</v>
      </c>
      <c r="C1484" s="6" t="s">
        <v>4697</v>
      </c>
      <c r="D1484" s="6" t="s">
        <v>2133</v>
      </c>
      <c r="E1484" s="6" t="s">
        <v>2134</v>
      </c>
      <c r="F1484" s="6" t="s">
        <v>163</v>
      </c>
      <c r="G1484" s="6" t="s">
        <v>414</v>
      </c>
      <c r="H1484" s="6"/>
      <c r="I1484" s="14" t="s">
        <v>1642</v>
      </c>
      <c r="J1484" s="15"/>
      <c r="K1484" s="6" t="s">
        <v>1976</v>
      </c>
      <c r="L1484" s="6"/>
      <c r="M1484" s="6" t="s">
        <v>1643</v>
      </c>
      <c r="N1484" s="6" t="s">
        <v>1644</v>
      </c>
      <c r="O1484" s="7">
        <f>SUMIFS('05_상품별배치367'!$K$7:$K$373,'05_상품별배치367'!$E$7:$E$373,A1484,'05_상품별배치367'!$H$7:$H$373,"본진")</f>
        <v>0</v>
      </c>
      <c r="P1484" s="7">
        <f>SUMIFS('05_상품별배치367'!$K$7:$K$373,'05_상품별배치367'!$E$7:$E$373,A1484,'05_상품별배치367'!$H$7:$H$373,"추가 진열")</f>
        <v>0</v>
      </c>
      <c r="Q1484" s="7">
        <f>O1484+P1484</f>
        <v>0</v>
      </c>
      <c r="R1484" s="7">
        <v>1</v>
      </c>
      <c r="S1484" s="6" t="s">
        <v>3048</v>
      </c>
      <c r="T1484" s="6" t="s">
        <v>1637</v>
      </c>
      <c r="U1484" s="6"/>
      <c r="V1484" s="16"/>
      <c r="W1484" s="16"/>
      <c r="X1484" s="16"/>
      <c r="Y1484" s="6" t="s">
        <v>1627</v>
      </c>
      <c r="Z1484" s="15"/>
      <c r="AA1484" s="15" t="s">
        <v>1628</v>
      </c>
    </row>
    <row r="1485" spans="1:27" ht="33" customHeight="1">
      <c r="A1485" s="6" t="s">
        <v>4688</v>
      </c>
      <c r="B1485" s="7">
        <v>1329</v>
      </c>
      <c r="C1485" s="6" t="s">
        <v>4689</v>
      </c>
      <c r="D1485" s="6" t="s">
        <v>2961</v>
      </c>
      <c r="E1485" s="6" t="s">
        <v>2134</v>
      </c>
      <c r="F1485" s="6" t="s">
        <v>162</v>
      </c>
      <c r="G1485" s="6" t="s">
        <v>404</v>
      </c>
      <c r="H1485" s="6"/>
      <c r="I1485" s="14" t="s">
        <v>1642</v>
      </c>
      <c r="J1485" s="15"/>
      <c r="K1485" s="6" t="s">
        <v>1976</v>
      </c>
      <c r="L1485" s="6"/>
      <c r="M1485" s="6" t="s">
        <v>1643</v>
      </c>
      <c r="N1485" s="6" t="s">
        <v>1644</v>
      </c>
      <c r="O1485" s="7">
        <f>SUMIFS('05_상품별배치367'!$K$7:$K$373,'05_상품별배치367'!$E$7:$E$373,A1485,'05_상품별배치367'!$H$7:$H$373,"본진")</f>
        <v>0</v>
      </c>
      <c r="P1485" s="7">
        <f>SUMIFS('05_상품별배치367'!$K$7:$K$373,'05_상품별배치367'!$E$7:$E$373,A1485,'05_상품별배치367'!$H$7:$H$373,"추가 진열")</f>
        <v>0</v>
      </c>
      <c r="Q1485" s="7">
        <f>O1485+P1485</f>
        <v>0</v>
      </c>
      <c r="R1485" s="7">
        <v>1</v>
      </c>
      <c r="S1485" s="6" t="s">
        <v>2996</v>
      </c>
      <c r="T1485" s="6" t="s">
        <v>1637</v>
      </c>
      <c r="U1485" s="6"/>
      <c r="V1485" s="16"/>
      <c r="W1485" s="16"/>
      <c r="X1485" s="16"/>
      <c r="Y1485" s="6" t="s">
        <v>1627</v>
      </c>
      <c r="Z1485" s="15"/>
      <c r="AA1485" s="15" t="s">
        <v>1628</v>
      </c>
    </row>
    <row r="1486" spans="1:27" ht="33" customHeight="1">
      <c r="A1486" s="8" t="s">
        <v>4686</v>
      </c>
      <c r="B1486" s="9">
        <v>1328</v>
      </c>
      <c r="C1486" s="8" t="s">
        <v>4687</v>
      </c>
      <c r="D1486" s="8" t="s">
        <v>1851</v>
      </c>
      <c r="E1486" s="8" t="s">
        <v>2134</v>
      </c>
      <c r="F1486" s="8" t="s">
        <v>162</v>
      </c>
      <c r="G1486" s="8" t="s">
        <v>404</v>
      </c>
      <c r="H1486" s="8"/>
      <c r="I1486" s="14" t="s">
        <v>1642</v>
      </c>
      <c r="J1486" s="15"/>
      <c r="K1486" s="8" t="s">
        <v>1976</v>
      </c>
      <c r="L1486" s="8"/>
      <c r="M1486" s="6" t="s">
        <v>1643</v>
      </c>
      <c r="N1486" s="6" t="s">
        <v>1644</v>
      </c>
      <c r="O1486" s="7">
        <f>SUMIFS('05_상품별배치367'!$K$7:$K$373,'05_상품별배치367'!$E$7:$E$373,A1486,'05_상품별배치367'!$H$7:$H$373,"본진")</f>
        <v>0</v>
      </c>
      <c r="P1486" s="7">
        <f>SUMIFS('05_상품별배치367'!$K$7:$K$373,'05_상품별배치367'!$E$7:$E$373,A1486,'05_상품별배치367'!$H$7:$H$373,"추가 진열")</f>
        <v>0</v>
      </c>
      <c r="Q1486" s="7">
        <f>O1486+P1486</f>
        <v>0</v>
      </c>
      <c r="R1486" s="7">
        <v>1</v>
      </c>
      <c r="S1486" s="6" t="s">
        <v>2996</v>
      </c>
      <c r="T1486" s="6" t="s">
        <v>1637</v>
      </c>
      <c r="U1486" s="6"/>
      <c r="V1486" s="16"/>
      <c r="W1486" s="16"/>
      <c r="X1486" s="16"/>
      <c r="Y1486" s="6" t="s">
        <v>1627</v>
      </c>
      <c r="Z1486" s="15"/>
      <c r="AA1486" s="15" t="s">
        <v>1628</v>
      </c>
    </row>
    <row r="1487" spans="1:27" ht="33" customHeight="1">
      <c r="A1487" s="6" t="s">
        <v>4684</v>
      </c>
      <c r="B1487" s="7">
        <v>1327</v>
      </c>
      <c r="C1487" s="6" t="s">
        <v>4685</v>
      </c>
      <c r="D1487" s="6" t="s">
        <v>2845</v>
      </c>
      <c r="E1487" s="6" t="s">
        <v>2134</v>
      </c>
      <c r="F1487" s="6" t="s">
        <v>162</v>
      </c>
      <c r="G1487" s="6" t="s">
        <v>404</v>
      </c>
      <c r="H1487" s="6"/>
      <c r="I1487" s="14" t="s">
        <v>1642</v>
      </c>
      <c r="J1487" s="15"/>
      <c r="K1487" s="6" t="s">
        <v>1976</v>
      </c>
      <c r="L1487" s="6"/>
      <c r="M1487" s="6" t="s">
        <v>1643</v>
      </c>
      <c r="N1487" s="6" t="s">
        <v>1644</v>
      </c>
      <c r="O1487" s="7">
        <f>SUMIFS('05_상품별배치367'!$K$7:$K$373,'05_상품별배치367'!$E$7:$E$373,A1487,'05_상품별배치367'!$H$7:$H$373,"본진")</f>
        <v>0</v>
      </c>
      <c r="P1487" s="7">
        <f>SUMIFS('05_상품별배치367'!$K$7:$K$373,'05_상품별배치367'!$E$7:$E$373,A1487,'05_상품별배치367'!$H$7:$H$373,"추가 진열")</f>
        <v>0</v>
      </c>
      <c r="Q1487" s="7">
        <f>O1487+P1487</f>
        <v>0</v>
      </c>
      <c r="R1487" s="7">
        <v>1</v>
      </c>
      <c r="S1487" s="6" t="s">
        <v>2996</v>
      </c>
      <c r="T1487" s="6" t="s">
        <v>1637</v>
      </c>
      <c r="U1487" s="6"/>
      <c r="V1487" s="16"/>
      <c r="W1487" s="16"/>
      <c r="X1487" s="16"/>
      <c r="Y1487" s="6" t="s">
        <v>1627</v>
      </c>
      <c r="Z1487" s="15"/>
      <c r="AA1487" s="15" t="s">
        <v>1628</v>
      </c>
    </row>
    <row r="1488" spans="1:27" ht="33" customHeight="1">
      <c r="A1488" s="8" t="s">
        <v>4698</v>
      </c>
      <c r="B1488" s="9">
        <v>1334</v>
      </c>
      <c r="C1488" s="8" t="s">
        <v>4699</v>
      </c>
      <c r="D1488" s="8" t="s">
        <v>3008</v>
      </c>
      <c r="E1488" s="8" t="s">
        <v>1986</v>
      </c>
      <c r="F1488" s="8" t="s">
        <v>493</v>
      </c>
      <c r="G1488" s="8" t="s">
        <v>299</v>
      </c>
      <c r="H1488" s="8"/>
      <c r="I1488" s="14" t="s">
        <v>1642</v>
      </c>
      <c r="J1488" s="15"/>
      <c r="K1488" s="8" t="s">
        <v>1976</v>
      </c>
      <c r="L1488" s="8"/>
      <c r="M1488" s="6" t="s">
        <v>1643</v>
      </c>
      <c r="N1488" s="6" t="s">
        <v>1644</v>
      </c>
      <c r="O1488" s="7">
        <f>SUMIFS('05_상품별배치367'!$K$7:$K$373,'05_상품별배치367'!$E$7:$E$373,A1488,'05_상품별배치367'!$H$7:$H$373,"본진")</f>
        <v>0</v>
      </c>
      <c r="P1488" s="7">
        <f>SUMIFS('05_상품별배치367'!$K$7:$K$373,'05_상품별배치367'!$E$7:$E$373,A1488,'05_상품별배치367'!$H$7:$H$373,"추가 진열")</f>
        <v>0</v>
      </c>
      <c r="Q1488" s="7">
        <f>O1488+P1488</f>
        <v>0</v>
      </c>
      <c r="R1488" s="7">
        <v>1</v>
      </c>
      <c r="S1488" s="6" t="s">
        <v>3084</v>
      </c>
      <c r="T1488" s="6" t="s">
        <v>1637</v>
      </c>
      <c r="U1488" s="6"/>
      <c r="V1488" s="16"/>
      <c r="W1488" s="16"/>
      <c r="X1488" s="16"/>
      <c r="Y1488" s="6" t="s">
        <v>1627</v>
      </c>
      <c r="Z1488" s="15"/>
      <c r="AA1488" s="15" t="s">
        <v>1628</v>
      </c>
    </row>
    <row r="1489" spans="1:27" ht="33" customHeight="1">
      <c r="A1489" s="8" t="s">
        <v>4690</v>
      </c>
      <c r="B1489" s="9">
        <v>1330</v>
      </c>
      <c r="C1489" s="8" t="s">
        <v>4691</v>
      </c>
      <c r="D1489" s="8" t="s">
        <v>3008</v>
      </c>
      <c r="E1489" s="8" t="s">
        <v>2134</v>
      </c>
      <c r="F1489" s="8" t="s">
        <v>1263</v>
      </c>
      <c r="G1489" s="8" t="s">
        <v>376</v>
      </c>
      <c r="H1489" s="8"/>
      <c r="I1489" s="14" t="s">
        <v>1642</v>
      </c>
      <c r="J1489" s="15"/>
      <c r="K1489" s="8" t="s">
        <v>1976</v>
      </c>
      <c r="L1489" s="8"/>
      <c r="M1489" s="6" t="s">
        <v>1643</v>
      </c>
      <c r="N1489" s="6" t="s">
        <v>1644</v>
      </c>
      <c r="O1489" s="7">
        <f>SUMIFS('05_상품별배치367'!$K$7:$K$373,'05_상품별배치367'!$E$7:$E$373,A1489,'05_상품별배치367'!$H$7:$H$373,"본진")</f>
        <v>0</v>
      </c>
      <c r="P1489" s="7">
        <f>SUMIFS('05_상품별배치367'!$K$7:$K$373,'05_상품별배치367'!$E$7:$E$373,A1489,'05_상품별배치367'!$H$7:$H$373,"추가 진열")</f>
        <v>0</v>
      </c>
      <c r="Q1489" s="7">
        <f>O1489+P1489</f>
        <v>0</v>
      </c>
      <c r="R1489" s="7">
        <v>1</v>
      </c>
      <c r="S1489" s="6" t="s">
        <v>3016</v>
      </c>
      <c r="T1489" s="6" t="s">
        <v>1637</v>
      </c>
      <c r="U1489" s="6"/>
      <c r="V1489" s="16"/>
      <c r="W1489" s="16"/>
      <c r="X1489" s="16"/>
      <c r="Y1489" s="6" t="s">
        <v>1627</v>
      </c>
      <c r="Z1489" s="15"/>
      <c r="AA1489" s="15" t="s">
        <v>1628</v>
      </c>
    </row>
    <row r="1490" spans="1:27" ht="33" customHeight="1">
      <c r="A1490" s="6" t="s">
        <v>4700</v>
      </c>
      <c r="B1490" s="7">
        <v>1335</v>
      </c>
      <c r="C1490" s="6" t="s">
        <v>4701</v>
      </c>
      <c r="D1490" s="6" t="s">
        <v>3227</v>
      </c>
      <c r="E1490" s="6" t="s">
        <v>1986</v>
      </c>
      <c r="F1490" s="6" t="s">
        <v>493</v>
      </c>
      <c r="G1490" s="6" t="s">
        <v>299</v>
      </c>
      <c r="H1490" s="6"/>
      <c r="I1490" s="14" t="s">
        <v>1642</v>
      </c>
      <c r="J1490" s="15"/>
      <c r="K1490" s="6" t="s">
        <v>1976</v>
      </c>
      <c r="L1490" s="6"/>
      <c r="M1490" s="6" t="s">
        <v>1643</v>
      </c>
      <c r="N1490" s="6" t="s">
        <v>1644</v>
      </c>
      <c r="O1490" s="7">
        <f>SUMIFS('05_상품별배치367'!$K$7:$K$373,'05_상품별배치367'!$E$7:$E$373,A1490,'05_상품별배치367'!$H$7:$H$373,"본진")</f>
        <v>0</v>
      </c>
      <c r="P1490" s="7">
        <f>SUMIFS('05_상품별배치367'!$K$7:$K$373,'05_상품별배치367'!$E$7:$E$373,A1490,'05_상품별배치367'!$H$7:$H$373,"추가 진열")</f>
        <v>0</v>
      </c>
      <c r="Q1490" s="7">
        <f>O1490+P1490</f>
        <v>0</v>
      </c>
      <c r="R1490" s="7">
        <v>1</v>
      </c>
      <c r="S1490" s="6" t="s">
        <v>3084</v>
      </c>
      <c r="T1490" s="6" t="s">
        <v>1637</v>
      </c>
      <c r="U1490" s="6"/>
      <c r="V1490" s="16"/>
      <c r="W1490" s="16"/>
      <c r="X1490" s="16"/>
      <c r="Y1490" s="6" t="s">
        <v>1627</v>
      </c>
      <c r="Z1490" s="15"/>
      <c r="AA1490" s="15" t="s">
        <v>1628</v>
      </c>
    </row>
    <row r="1491" spans="1:27" ht="33" customHeight="1">
      <c r="A1491" s="8" t="s">
        <v>4702</v>
      </c>
      <c r="B1491" s="9">
        <v>1336</v>
      </c>
      <c r="C1491" s="8" t="s">
        <v>4703</v>
      </c>
      <c r="D1491" s="8" t="s">
        <v>2133</v>
      </c>
      <c r="E1491" s="8" t="s">
        <v>1695</v>
      </c>
      <c r="F1491" s="8" t="s">
        <v>1049</v>
      </c>
      <c r="G1491" s="8" t="s">
        <v>272</v>
      </c>
      <c r="H1491" s="8"/>
      <c r="I1491" s="14" t="s">
        <v>1642</v>
      </c>
      <c r="J1491" s="15"/>
      <c r="K1491" s="8" t="s">
        <v>1696</v>
      </c>
      <c r="L1491" s="8"/>
      <c r="M1491" s="6" t="s">
        <v>1643</v>
      </c>
      <c r="N1491" s="6" t="s">
        <v>1644</v>
      </c>
      <c r="O1491" s="7">
        <f>SUMIFS('05_상품별배치367'!$K$7:$K$373,'05_상품별배치367'!$E$7:$E$373,A1491,'05_상품별배치367'!$H$7:$H$373,"본진")</f>
        <v>0</v>
      </c>
      <c r="P1491" s="7">
        <f>SUMIFS('05_상품별배치367'!$K$7:$K$373,'05_상품별배치367'!$E$7:$E$373,A1491,'05_상품별배치367'!$H$7:$H$373,"추가 진열")</f>
        <v>0</v>
      </c>
      <c r="Q1491" s="7">
        <f>O1491+P1491</f>
        <v>0</v>
      </c>
      <c r="R1491" s="7">
        <v>1</v>
      </c>
      <c r="S1491" s="6" t="s">
        <v>2902</v>
      </c>
      <c r="T1491" s="6" t="s">
        <v>1637</v>
      </c>
      <c r="U1491" s="6"/>
      <c r="V1491" s="16"/>
      <c r="W1491" s="16"/>
      <c r="X1491" s="16"/>
      <c r="Y1491" s="6" t="s">
        <v>1627</v>
      </c>
      <c r="Z1491" s="15"/>
      <c r="AA1491" s="15" t="s">
        <v>1628</v>
      </c>
    </row>
    <row r="1492" spans="1:27" ht="33" customHeight="1">
      <c r="A1492" s="6" t="s">
        <v>3186</v>
      </c>
      <c r="B1492" s="7">
        <v>631</v>
      </c>
      <c r="C1492" s="6" t="s">
        <v>3187</v>
      </c>
      <c r="D1492" s="6" t="s">
        <v>1937</v>
      </c>
      <c r="E1492" s="6" t="s">
        <v>1986</v>
      </c>
      <c r="F1492" s="6" t="s">
        <v>913</v>
      </c>
      <c r="G1492" s="6" t="s">
        <v>201</v>
      </c>
      <c r="H1492" s="6"/>
      <c r="I1492" s="14" t="s">
        <v>1642</v>
      </c>
      <c r="J1492" s="15"/>
      <c r="K1492" s="6" t="s">
        <v>1976</v>
      </c>
      <c r="L1492" s="6"/>
      <c r="M1492" s="6" t="s">
        <v>1643</v>
      </c>
      <c r="N1492" s="6" t="s">
        <v>1644</v>
      </c>
      <c r="O1492" s="7">
        <f>SUMIFS('05_상품별배치367'!$K$7:$K$373,'05_상품별배치367'!$E$7:$E$373,A1492,'05_상품별배치367'!$H$7:$H$373,"본진")</f>
        <v>0</v>
      </c>
      <c r="P1492" s="7">
        <f>SUMIFS('05_상품별배치367'!$K$7:$K$373,'05_상품별배치367'!$E$7:$E$373,A1492,'05_상품별배치367'!$H$7:$H$373,"추가 진열")</f>
        <v>0</v>
      </c>
      <c r="Q1492" s="7">
        <f>O1492+P1492</f>
        <v>0</v>
      </c>
      <c r="R1492" s="7">
        <v>1</v>
      </c>
      <c r="S1492" s="6" t="s">
        <v>2907</v>
      </c>
      <c r="T1492" s="6" t="s">
        <v>1637</v>
      </c>
      <c r="U1492" s="6"/>
      <c r="V1492" s="16"/>
      <c r="W1492" s="16"/>
      <c r="X1492" s="16"/>
      <c r="Y1492" s="6" t="s">
        <v>1627</v>
      </c>
      <c r="Z1492" s="15"/>
      <c r="AA1492" s="15" t="s">
        <v>1628</v>
      </c>
    </row>
    <row r="1493" spans="1:27" ht="33" customHeight="1">
      <c r="A1493" s="6" t="s">
        <v>3190</v>
      </c>
      <c r="B1493" s="7">
        <v>633</v>
      </c>
      <c r="C1493" s="6" t="s">
        <v>3191</v>
      </c>
      <c r="D1493" s="6" t="s">
        <v>2572</v>
      </c>
      <c r="E1493" s="6" t="s">
        <v>2134</v>
      </c>
      <c r="F1493" s="6" t="s">
        <v>481</v>
      </c>
      <c r="G1493" s="6" t="s">
        <v>193</v>
      </c>
      <c r="H1493" s="6"/>
      <c r="I1493" s="14" t="s">
        <v>1642</v>
      </c>
      <c r="J1493" s="15"/>
      <c r="K1493" s="6" t="s">
        <v>1976</v>
      </c>
      <c r="L1493" s="6"/>
      <c r="M1493" s="6" t="s">
        <v>1643</v>
      </c>
      <c r="N1493" s="6" t="s">
        <v>1644</v>
      </c>
      <c r="O1493" s="7">
        <f>SUMIFS('05_상품별배치367'!$K$7:$K$373,'05_상품별배치367'!$E$7:$E$373,A1493,'05_상품별배치367'!$H$7:$H$373,"본진")</f>
        <v>0</v>
      </c>
      <c r="P1493" s="7">
        <f>SUMIFS('05_상품별배치367'!$K$7:$K$373,'05_상품별배치367'!$E$7:$E$373,A1493,'05_상품별배치367'!$H$7:$H$373,"추가 진열")</f>
        <v>0</v>
      </c>
      <c r="Q1493" s="7">
        <f>O1493+P1493</f>
        <v>0</v>
      </c>
      <c r="R1493" s="7">
        <v>1</v>
      </c>
      <c r="S1493" s="6" t="s">
        <v>3000</v>
      </c>
      <c r="T1493" s="6" t="s">
        <v>1637</v>
      </c>
      <c r="U1493" s="6"/>
      <c r="V1493" s="16"/>
      <c r="W1493" s="16"/>
      <c r="X1493" s="16"/>
      <c r="Y1493" s="6" t="s">
        <v>1627</v>
      </c>
      <c r="Z1493" s="15"/>
      <c r="AA1493" s="15" t="s">
        <v>1628</v>
      </c>
    </row>
    <row r="1494" spans="1:27" ht="33" customHeight="1">
      <c r="A1494" s="8" t="s">
        <v>3188</v>
      </c>
      <c r="B1494" s="9">
        <v>632</v>
      </c>
      <c r="C1494" s="8" t="s">
        <v>3189</v>
      </c>
      <c r="D1494" s="8" t="s">
        <v>3164</v>
      </c>
      <c r="E1494" s="8" t="s">
        <v>2134</v>
      </c>
      <c r="F1494" s="8" t="s">
        <v>481</v>
      </c>
      <c r="G1494" s="8" t="s">
        <v>193</v>
      </c>
      <c r="H1494" s="8"/>
      <c r="I1494" s="14" t="s">
        <v>1642</v>
      </c>
      <c r="J1494" s="15"/>
      <c r="K1494" s="8" t="s">
        <v>1976</v>
      </c>
      <c r="L1494" s="8"/>
      <c r="M1494" s="6" t="s">
        <v>1643</v>
      </c>
      <c r="N1494" s="6" t="s">
        <v>1644</v>
      </c>
      <c r="O1494" s="7">
        <f>SUMIFS('05_상품별배치367'!$K$7:$K$373,'05_상품별배치367'!$E$7:$E$373,A1494,'05_상품별배치367'!$H$7:$H$373,"본진")</f>
        <v>0</v>
      </c>
      <c r="P1494" s="7">
        <f>SUMIFS('05_상품별배치367'!$K$7:$K$373,'05_상품별배치367'!$E$7:$E$373,A1494,'05_상품별배치367'!$H$7:$H$373,"추가 진열")</f>
        <v>0</v>
      </c>
      <c r="Q1494" s="7">
        <f>O1494+P1494</f>
        <v>0</v>
      </c>
      <c r="R1494" s="7">
        <v>1</v>
      </c>
      <c r="S1494" s="6" t="s">
        <v>3000</v>
      </c>
      <c r="T1494" s="6" t="s">
        <v>1637</v>
      </c>
      <c r="U1494" s="6"/>
      <c r="V1494" s="16"/>
      <c r="W1494" s="16"/>
      <c r="X1494" s="16"/>
      <c r="Y1494" s="6" t="s">
        <v>1627</v>
      </c>
      <c r="Z1494" s="15"/>
      <c r="AA1494" s="15" t="s">
        <v>1628</v>
      </c>
    </row>
    <row r="1495" spans="1:27" ht="33" customHeight="1">
      <c r="A1495" s="8" t="s">
        <v>3183</v>
      </c>
      <c r="B1495" s="9">
        <v>630</v>
      </c>
      <c r="C1495" s="8" t="s">
        <v>3184</v>
      </c>
      <c r="D1495" s="8" t="s">
        <v>3185</v>
      </c>
      <c r="E1495" s="8" t="s">
        <v>2134</v>
      </c>
      <c r="F1495" s="8" t="s">
        <v>1081</v>
      </c>
      <c r="G1495" s="8" t="s">
        <v>290</v>
      </c>
      <c r="H1495" s="8"/>
      <c r="I1495" s="14" t="s">
        <v>1642</v>
      </c>
      <c r="J1495" s="15"/>
      <c r="K1495" s="8" t="s">
        <v>1976</v>
      </c>
      <c r="L1495" s="8"/>
      <c r="M1495" s="6" t="s">
        <v>1643</v>
      </c>
      <c r="N1495" s="6" t="s">
        <v>1644</v>
      </c>
      <c r="O1495" s="7">
        <f>SUMIFS('05_상품별배치367'!$K$7:$K$373,'05_상품별배치367'!$E$7:$E$373,A1495,'05_상품별배치367'!$H$7:$H$373,"본진")</f>
        <v>0</v>
      </c>
      <c r="P1495" s="7">
        <f>SUMIFS('05_상품별배치367'!$K$7:$K$373,'05_상품별배치367'!$E$7:$E$373,A1495,'05_상품별배치367'!$H$7:$H$373,"추가 진열")</f>
        <v>0</v>
      </c>
      <c r="Q1495" s="7">
        <f>O1495+P1495</f>
        <v>0</v>
      </c>
      <c r="R1495" s="7">
        <v>1</v>
      </c>
      <c r="S1495" s="6" t="s">
        <v>2135</v>
      </c>
      <c r="T1495" s="6" t="s">
        <v>1637</v>
      </c>
      <c r="U1495" s="6"/>
      <c r="V1495" s="16"/>
      <c r="W1495" s="16"/>
      <c r="X1495" s="16"/>
      <c r="Y1495" s="6" t="s">
        <v>1627</v>
      </c>
      <c r="Z1495" s="15"/>
      <c r="AA1495" s="15" t="s">
        <v>1628</v>
      </c>
    </row>
    <row r="1496" spans="1:27" ht="33" customHeight="1">
      <c r="A1496" s="6" t="s">
        <v>3181</v>
      </c>
      <c r="B1496" s="7">
        <v>629</v>
      </c>
      <c r="C1496" s="6" t="s">
        <v>3182</v>
      </c>
      <c r="D1496" s="6" t="s">
        <v>2133</v>
      </c>
      <c r="E1496" s="6" t="s">
        <v>2134</v>
      </c>
      <c r="F1496" s="6" t="s">
        <v>1081</v>
      </c>
      <c r="G1496" s="6" t="s">
        <v>290</v>
      </c>
      <c r="H1496" s="6"/>
      <c r="I1496" s="14" t="s">
        <v>1642</v>
      </c>
      <c r="J1496" s="15"/>
      <c r="K1496" s="6" t="s">
        <v>1976</v>
      </c>
      <c r="L1496" s="6"/>
      <c r="M1496" s="6" t="s">
        <v>1643</v>
      </c>
      <c r="N1496" s="6" t="s">
        <v>1644</v>
      </c>
      <c r="O1496" s="7">
        <f>SUMIFS('05_상품별배치367'!$K$7:$K$373,'05_상품별배치367'!$E$7:$E$373,A1496,'05_상품별배치367'!$H$7:$H$373,"본진")</f>
        <v>0</v>
      </c>
      <c r="P1496" s="7">
        <f>SUMIFS('05_상품별배치367'!$K$7:$K$373,'05_상품별배치367'!$E$7:$E$373,A1496,'05_상품별배치367'!$H$7:$H$373,"추가 진열")</f>
        <v>0</v>
      </c>
      <c r="Q1496" s="7">
        <f>O1496+P1496</f>
        <v>0</v>
      </c>
      <c r="R1496" s="7">
        <v>1</v>
      </c>
      <c r="S1496" s="6" t="s">
        <v>2135</v>
      </c>
      <c r="T1496" s="6" t="s">
        <v>1637</v>
      </c>
      <c r="U1496" s="6"/>
      <c r="V1496" s="16"/>
      <c r="W1496" s="16"/>
      <c r="X1496" s="16"/>
      <c r="Y1496" s="6" t="s">
        <v>1627</v>
      </c>
      <c r="Z1496" s="15"/>
      <c r="AA1496" s="15" t="s">
        <v>1628</v>
      </c>
    </row>
    <row r="1497" spans="1:27" ht="33" customHeight="1">
      <c r="A1497" s="8" t="s">
        <v>3179</v>
      </c>
      <c r="B1497" s="9">
        <v>628</v>
      </c>
      <c r="C1497" s="8" t="s">
        <v>3180</v>
      </c>
      <c r="D1497" s="8" t="s">
        <v>2572</v>
      </c>
      <c r="E1497" s="8" t="s">
        <v>1986</v>
      </c>
      <c r="F1497" s="8" t="s">
        <v>493</v>
      </c>
      <c r="G1497" s="8" t="s">
        <v>299</v>
      </c>
      <c r="H1497" s="8"/>
      <c r="I1497" s="14" t="s">
        <v>1642</v>
      </c>
      <c r="J1497" s="15"/>
      <c r="K1497" s="8" t="s">
        <v>1976</v>
      </c>
      <c r="L1497" s="8"/>
      <c r="M1497" s="6" t="s">
        <v>1643</v>
      </c>
      <c r="N1497" s="6" t="s">
        <v>1644</v>
      </c>
      <c r="O1497" s="7">
        <f>SUMIFS('05_상품별배치367'!$K$7:$K$373,'05_상품별배치367'!$E$7:$E$373,A1497,'05_상품별배치367'!$H$7:$H$373,"본진")</f>
        <v>0</v>
      </c>
      <c r="P1497" s="7">
        <f>SUMIFS('05_상품별배치367'!$K$7:$K$373,'05_상품별배치367'!$E$7:$E$373,A1497,'05_상품별배치367'!$H$7:$H$373,"추가 진열")</f>
        <v>0</v>
      </c>
      <c r="Q1497" s="7">
        <f>O1497+P1497</f>
        <v>0</v>
      </c>
      <c r="R1497" s="7">
        <v>1</v>
      </c>
      <c r="S1497" s="6" t="s">
        <v>3084</v>
      </c>
      <c r="T1497" s="6" t="s">
        <v>1637</v>
      </c>
      <c r="U1497" s="6"/>
      <c r="V1497" s="16"/>
      <c r="W1497" s="16"/>
      <c r="X1497" s="16"/>
      <c r="Y1497" s="6" t="s">
        <v>1627</v>
      </c>
      <c r="Z1497" s="15"/>
      <c r="AA1497" s="15" t="s">
        <v>1628</v>
      </c>
    </row>
    <row r="1498" spans="1:27" ht="33" customHeight="1">
      <c r="A1498" s="6" t="s">
        <v>3177</v>
      </c>
      <c r="B1498" s="7">
        <v>627</v>
      </c>
      <c r="C1498" s="6" t="s">
        <v>3178</v>
      </c>
      <c r="D1498" s="6" t="s">
        <v>2572</v>
      </c>
      <c r="E1498" s="6" t="s">
        <v>2134</v>
      </c>
      <c r="F1498" s="6" t="s">
        <v>842</v>
      </c>
      <c r="G1498" s="6" t="s">
        <v>164</v>
      </c>
      <c r="H1498" s="6"/>
      <c r="I1498" s="14" t="s">
        <v>1642</v>
      </c>
      <c r="J1498" s="15"/>
      <c r="K1498" s="6" t="s">
        <v>1976</v>
      </c>
      <c r="L1498" s="6"/>
      <c r="M1498" s="6" t="s">
        <v>1643</v>
      </c>
      <c r="N1498" s="6" t="s">
        <v>1644</v>
      </c>
      <c r="O1498" s="7">
        <f>SUMIFS('05_상품별배치367'!$K$7:$K$373,'05_상품별배치367'!$E$7:$E$373,A1498,'05_상품별배치367'!$H$7:$H$373,"본진")</f>
        <v>0</v>
      </c>
      <c r="P1498" s="7">
        <f>SUMIFS('05_상품별배치367'!$K$7:$K$373,'05_상품별배치367'!$E$7:$E$373,A1498,'05_상품별배치367'!$H$7:$H$373,"추가 진열")</f>
        <v>0</v>
      </c>
      <c r="Q1498" s="7">
        <f>O1498+P1498</f>
        <v>0</v>
      </c>
      <c r="R1498" s="7">
        <v>1</v>
      </c>
      <c r="S1498" s="6" t="s">
        <v>3009</v>
      </c>
      <c r="T1498" s="6" t="s">
        <v>1637</v>
      </c>
      <c r="U1498" s="6"/>
      <c r="V1498" s="16"/>
      <c r="W1498" s="16"/>
      <c r="X1498" s="16"/>
      <c r="Y1498" s="6" t="s">
        <v>1627</v>
      </c>
      <c r="Z1498" s="15"/>
      <c r="AA1498" s="15" t="s">
        <v>1628</v>
      </c>
    </row>
    <row r="1499" spans="1:27" ht="33" customHeight="1">
      <c r="A1499" s="8" t="s">
        <v>3192</v>
      </c>
      <c r="B1499" s="9">
        <v>634</v>
      </c>
      <c r="C1499" s="8" t="s">
        <v>3193</v>
      </c>
      <c r="D1499" s="8" t="s">
        <v>3185</v>
      </c>
      <c r="E1499" s="8" t="s">
        <v>1986</v>
      </c>
      <c r="F1499" s="8" t="s">
        <v>493</v>
      </c>
      <c r="G1499" s="8" t="s">
        <v>299</v>
      </c>
      <c r="H1499" s="8"/>
      <c r="I1499" s="14" t="s">
        <v>1642</v>
      </c>
      <c r="J1499" s="15"/>
      <c r="K1499" s="8" t="s">
        <v>1976</v>
      </c>
      <c r="L1499" s="8"/>
      <c r="M1499" s="6" t="s">
        <v>1643</v>
      </c>
      <c r="N1499" s="6" t="s">
        <v>1644</v>
      </c>
      <c r="O1499" s="7">
        <f>SUMIFS('05_상품별배치367'!$K$7:$K$373,'05_상품별배치367'!$E$7:$E$373,A1499,'05_상품별배치367'!$H$7:$H$373,"본진")</f>
        <v>0</v>
      </c>
      <c r="P1499" s="7">
        <f>SUMIFS('05_상품별배치367'!$K$7:$K$373,'05_상품별배치367'!$E$7:$E$373,A1499,'05_상품별배치367'!$H$7:$H$373,"추가 진열")</f>
        <v>0</v>
      </c>
      <c r="Q1499" s="7">
        <f>O1499+P1499</f>
        <v>0</v>
      </c>
      <c r="R1499" s="7">
        <v>1</v>
      </c>
      <c r="S1499" s="6" t="s">
        <v>3084</v>
      </c>
      <c r="T1499" s="6" t="s">
        <v>1637</v>
      </c>
      <c r="U1499" s="6"/>
      <c r="V1499" s="16"/>
      <c r="W1499" s="16"/>
      <c r="X1499" s="16"/>
      <c r="Y1499" s="6" t="s">
        <v>1627</v>
      </c>
      <c r="Z1499" s="15"/>
      <c r="AA1499" s="15" t="s">
        <v>1628</v>
      </c>
    </row>
    <row r="1500" spans="1:27" ht="33" customHeight="1">
      <c r="A1500" s="6" t="s">
        <v>5387</v>
      </c>
      <c r="B1500" s="7">
        <v>1661</v>
      </c>
      <c r="C1500" s="6" t="s">
        <v>5388</v>
      </c>
      <c r="D1500" s="6" t="s">
        <v>5389</v>
      </c>
      <c r="E1500" s="6" t="s">
        <v>1986</v>
      </c>
      <c r="F1500" s="6" t="s">
        <v>1276</v>
      </c>
      <c r="G1500" s="6" t="s">
        <v>1987</v>
      </c>
      <c r="H1500" s="6"/>
      <c r="I1500" s="14" t="s">
        <v>1642</v>
      </c>
      <c r="J1500" s="15"/>
      <c r="K1500" s="6" t="s">
        <v>1976</v>
      </c>
      <c r="L1500" s="6"/>
      <c r="M1500" s="6" t="s">
        <v>1643</v>
      </c>
      <c r="N1500" s="6" t="s">
        <v>1644</v>
      </c>
      <c r="O1500" s="7">
        <f>SUMIFS('05_상품별배치367'!$K$7:$K$373,'05_상품별배치367'!$E$7:$E$373,A1500,'05_상품별배치367'!$H$7:$H$373,"본진")</f>
        <v>0</v>
      </c>
      <c r="P1500" s="7">
        <f>SUMIFS('05_상품별배치367'!$K$7:$K$373,'05_상품별배치367'!$E$7:$E$373,A1500,'05_상품별배치367'!$H$7:$H$373,"추가 진열")</f>
        <v>0</v>
      </c>
      <c r="Q1500" s="7">
        <f>O1500+P1500</f>
        <v>0</v>
      </c>
      <c r="R1500" s="7">
        <v>1</v>
      </c>
      <c r="S1500" s="6" t="s">
        <v>1988</v>
      </c>
      <c r="T1500" s="6" t="s">
        <v>1637</v>
      </c>
      <c r="U1500" s="6"/>
      <c r="V1500" s="16"/>
      <c r="W1500" s="16"/>
      <c r="X1500" s="16"/>
      <c r="Y1500" s="6" t="s">
        <v>1627</v>
      </c>
      <c r="Z1500" s="15"/>
      <c r="AA1500" s="15" t="s">
        <v>1628</v>
      </c>
    </row>
    <row r="1501" spans="1:27" ht="33" customHeight="1">
      <c r="A1501" s="6" t="s">
        <v>3988</v>
      </c>
      <c r="B1501" s="7">
        <v>999</v>
      </c>
      <c r="C1501" s="6" t="s">
        <v>3989</v>
      </c>
      <c r="D1501" s="6" t="s">
        <v>1658</v>
      </c>
      <c r="E1501" s="6" t="s">
        <v>1986</v>
      </c>
      <c r="F1501" s="6" t="s">
        <v>1276</v>
      </c>
      <c r="G1501" s="6" t="s">
        <v>1987</v>
      </c>
      <c r="H1501" s="6"/>
      <c r="I1501" s="14" t="s">
        <v>1642</v>
      </c>
      <c r="J1501" s="15"/>
      <c r="K1501" s="6" t="s">
        <v>1976</v>
      </c>
      <c r="L1501" s="6"/>
      <c r="M1501" s="6" t="s">
        <v>1643</v>
      </c>
      <c r="N1501" s="6" t="s">
        <v>1644</v>
      </c>
      <c r="O1501" s="7">
        <f>SUMIFS('05_상품별배치367'!$K$7:$K$373,'05_상품별배치367'!$E$7:$E$373,A1501,'05_상품별배치367'!$H$7:$H$373,"본진")</f>
        <v>0</v>
      </c>
      <c r="P1501" s="7">
        <f>SUMIFS('05_상품별배치367'!$K$7:$K$373,'05_상품별배치367'!$E$7:$E$373,A1501,'05_상품별배치367'!$H$7:$H$373,"추가 진열")</f>
        <v>0</v>
      </c>
      <c r="Q1501" s="7">
        <f>O1501+P1501</f>
        <v>0</v>
      </c>
      <c r="R1501" s="7">
        <v>1</v>
      </c>
      <c r="S1501" s="6" t="s">
        <v>1988</v>
      </c>
      <c r="T1501" s="6" t="s">
        <v>1637</v>
      </c>
      <c r="U1501" s="6"/>
      <c r="V1501" s="16"/>
      <c r="W1501" s="16"/>
      <c r="X1501" s="16"/>
      <c r="Y1501" s="6" t="s">
        <v>1627</v>
      </c>
      <c r="Z1501" s="15"/>
      <c r="AA1501" s="15" t="s">
        <v>1628</v>
      </c>
    </row>
    <row r="1502" spans="1:27" ht="33" customHeight="1">
      <c r="A1502" s="8" t="s">
        <v>3986</v>
      </c>
      <c r="B1502" s="9">
        <v>998</v>
      </c>
      <c r="C1502" s="8" t="s">
        <v>3987</v>
      </c>
      <c r="D1502" s="8" t="s">
        <v>2133</v>
      </c>
      <c r="E1502" s="8" t="s">
        <v>2134</v>
      </c>
      <c r="F1502" s="8" t="s">
        <v>2933</v>
      </c>
      <c r="G1502" s="8" t="s">
        <v>1668</v>
      </c>
      <c r="H1502" s="8"/>
      <c r="I1502" s="14" t="s">
        <v>1807</v>
      </c>
      <c r="J1502" s="15"/>
      <c r="K1502" s="8" t="s">
        <v>1976</v>
      </c>
      <c r="L1502" s="8" t="s">
        <v>2032</v>
      </c>
      <c r="M1502" s="6" t="s">
        <v>1809</v>
      </c>
      <c r="N1502" s="6" t="s">
        <v>1644</v>
      </c>
      <c r="O1502" s="7">
        <f>SUMIFS('05_상품별배치367'!$K$7:$K$373,'05_상품별배치367'!$E$7:$E$373,A1502,'05_상품별배치367'!$H$7:$H$373,"본진")</f>
        <v>0</v>
      </c>
      <c r="P1502" s="7">
        <f>SUMIFS('05_상품별배치367'!$K$7:$K$373,'05_상품별배치367'!$E$7:$E$373,A1502,'05_상품별배치367'!$H$7:$H$373,"추가 진열")</f>
        <v>0</v>
      </c>
      <c r="Q1502" s="7">
        <f>O1502+P1502</f>
        <v>0</v>
      </c>
      <c r="R1502" s="7">
        <v>0</v>
      </c>
      <c r="S1502" s="6" t="s">
        <v>1810</v>
      </c>
      <c r="T1502" s="6" t="s">
        <v>1637</v>
      </c>
      <c r="U1502" s="6"/>
      <c r="V1502" s="16"/>
      <c r="W1502" s="16"/>
      <c r="X1502" s="16"/>
      <c r="Y1502" s="6" t="s">
        <v>1627</v>
      </c>
      <c r="Z1502" s="15"/>
      <c r="AA1502" s="15" t="s">
        <v>1628</v>
      </c>
    </row>
    <row r="1503" spans="1:27" ht="33" customHeight="1">
      <c r="A1503" s="6" t="s">
        <v>3984</v>
      </c>
      <c r="B1503" s="7">
        <v>997</v>
      </c>
      <c r="C1503" s="6" t="s">
        <v>3985</v>
      </c>
      <c r="D1503" s="6" t="s">
        <v>2572</v>
      </c>
      <c r="E1503" s="6" t="s">
        <v>2134</v>
      </c>
      <c r="F1503" s="6" t="s">
        <v>2933</v>
      </c>
      <c r="G1503" s="6" t="s">
        <v>1668</v>
      </c>
      <c r="H1503" s="6"/>
      <c r="I1503" s="14" t="s">
        <v>1807</v>
      </c>
      <c r="J1503" s="15"/>
      <c r="K1503" s="6" t="s">
        <v>1976</v>
      </c>
      <c r="L1503" s="6" t="s">
        <v>2032</v>
      </c>
      <c r="M1503" s="6" t="s">
        <v>1809</v>
      </c>
      <c r="N1503" s="6" t="s">
        <v>1644</v>
      </c>
      <c r="O1503" s="7">
        <f>SUMIFS('05_상품별배치367'!$K$7:$K$373,'05_상품별배치367'!$E$7:$E$373,A1503,'05_상품별배치367'!$H$7:$H$373,"본진")</f>
        <v>0</v>
      </c>
      <c r="P1503" s="7">
        <f>SUMIFS('05_상품별배치367'!$K$7:$K$373,'05_상품별배치367'!$E$7:$E$373,A1503,'05_상품별배치367'!$H$7:$H$373,"추가 진열")</f>
        <v>0</v>
      </c>
      <c r="Q1503" s="7">
        <f>O1503+P1503</f>
        <v>0</v>
      </c>
      <c r="R1503" s="7">
        <v>0</v>
      </c>
      <c r="S1503" s="6" t="s">
        <v>1810</v>
      </c>
      <c r="T1503" s="6" t="s">
        <v>1637</v>
      </c>
      <c r="U1503" s="6"/>
      <c r="V1503" s="16"/>
      <c r="W1503" s="16"/>
      <c r="X1503" s="16"/>
      <c r="Y1503" s="6" t="s">
        <v>1627</v>
      </c>
      <c r="Z1503" s="15"/>
      <c r="AA1503" s="15" t="s">
        <v>1628</v>
      </c>
    </row>
    <row r="1504" spans="1:27" ht="33" customHeight="1">
      <c r="A1504" s="6" t="s">
        <v>3992</v>
      </c>
      <c r="B1504" s="7">
        <v>1001</v>
      </c>
      <c r="C1504" s="6" t="s">
        <v>3993</v>
      </c>
      <c r="D1504" s="6" t="s">
        <v>2845</v>
      </c>
      <c r="E1504" s="6" t="s">
        <v>1986</v>
      </c>
      <c r="F1504" s="6" t="s">
        <v>913</v>
      </c>
      <c r="G1504" s="6" t="s">
        <v>201</v>
      </c>
      <c r="H1504" s="6"/>
      <c r="I1504" s="14" t="s">
        <v>1642</v>
      </c>
      <c r="J1504" s="15"/>
      <c r="K1504" s="6" t="s">
        <v>1976</v>
      </c>
      <c r="L1504" s="6"/>
      <c r="M1504" s="6" t="s">
        <v>1643</v>
      </c>
      <c r="N1504" s="6" t="s">
        <v>1644</v>
      </c>
      <c r="O1504" s="7">
        <f>SUMIFS('05_상품별배치367'!$K$7:$K$373,'05_상품별배치367'!$E$7:$E$373,A1504,'05_상품별배치367'!$H$7:$H$373,"본진")</f>
        <v>0</v>
      </c>
      <c r="P1504" s="7">
        <f>SUMIFS('05_상품별배치367'!$K$7:$K$373,'05_상품별배치367'!$E$7:$E$373,A1504,'05_상품별배치367'!$H$7:$H$373,"추가 진열")</f>
        <v>0</v>
      </c>
      <c r="Q1504" s="7">
        <f>O1504+P1504</f>
        <v>0</v>
      </c>
      <c r="R1504" s="7">
        <v>1</v>
      </c>
      <c r="S1504" s="6" t="s">
        <v>2907</v>
      </c>
      <c r="T1504" s="6" t="s">
        <v>1637</v>
      </c>
      <c r="U1504" s="6"/>
      <c r="V1504" s="16"/>
      <c r="W1504" s="16"/>
      <c r="X1504" s="16"/>
      <c r="Y1504" s="6" t="s">
        <v>1627</v>
      </c>
      <c r="Z1504" s="15"/>
      <c r="AA1504" s="15" t="s">
        <v>1628</v>
      </c>
    </row>
    <row r="1505" spans="1:27" ht="33" customHeight="1">
      <c r="A1505" s="8" t="s">
        <v>3990</v>
      </c>
      <c r="B1505" s="9">
        <v>1000</v>
      </c>
      <c r="C1505" s="8" t="s">
        <v>3991</v>
      </c>
      <c r="D1505" s="8" t="s">
        <v>2845</v>
      </c>
      <c r="E1505" s="8" t="s">
        <v>2134</v>
      </c>
      <c r="F1505" s="8" t="s">
        <v>2933</v>
      </c>
      <c r="G1505" s="8" t="s">
        <v>1668</v>
      </c>
      <c r="H1505" s="8"/>
      <c r="I1505" s="14" t="s">
        <v>1807</v>
      </c>
      <c r="J1505" s="15"/>
      <c r="K1505" s="8" t="s">
        <v>1976</v>
      </c>
      <c r="L1505" s="8" t="s">
        <v>2032</v>
      </c>
      <c r="M1505" s="6" t="s">
        <v>1809</v>
      </c>
      <c r="N1505" s="6" t="s">
        <v>1644</v>
      </c>
      <c r="O1505" s="7">
        <f>SUMIFS('05_상품별배치367'!$K$7:$K$373,'05_상품별배치367'!$E$7:$E$373,A1505,'05_상품별배치367'!$H$7:$H$373,"본진")</f>
        <v>0</v>
      </c>
      <c r="P1505" s="7">
        <f>SUMIFS('05_상품별배치367'!$K$7:$K$373,'05_상품별배치367'!$E$7:$E$373,A1505,'05_상품별배치367'!$H$7:$H$373,"추가 진열")</f>
        <v>0</v>
      </c>
      <c r="Q1505" s="7">
        <f>O1505+P1505</f>
        <v>0</v>
      </c>
      <c r="R1505" s="7">
        <v>0</v>
      </c>
      <c r="S1505" s="6" t="s">
        <v>1810</v>
      </c>
      <c r="T1505" s="6" t="s">
        <v>1637</v>
      </c>
      <c r="U1505" s="6"/>
      <c r="V1505" s="16"/>
      <c r="W1505" s="16"/>
      <c r="X1505" s="16"/>
      <c r="Y1505" s="6" t="s">
        <v>1627</v>
      </c>
      <c r="Z1505" s="15"/>
      <c r="AA1505" s="15" t="s">
        <v>1628</v>
      </c>
    </row>
    <row r="1506" spans="1:27" ht="33" customHeight="1">
      <c r="A1506" s="8" t="s">
        <v>618</v>
      </c>
      <c r="B1506" s="9">
        <v>1906</v>
      </c>
      <c r="C1506" s="8" t="s">
        <v>617</v>
      </c>
      <c r="D1506" s="8" t="s">
        <v>5904</v>
      </c>
      <c r="E1506" s="8" t="s">
        <v>1620</v>
      </c>
      <c r="F1506" s="8" t="s">
        <v>616</v>
      </c>
      <c r="G1506" s="8" t="s">
        <v>59</v>
      </c>
      <c r="H1506" s="8" t="s">
        <v>615</v>
      </c>
      <c r="I1506" s="14" t="s">
        <v>1621</v>
      </c>
      <c r="J1506" s="15"/>
      <c r="K1506" s="8" t="s">
        <v>1634</v>
      </c>
      <c r="L1506" s="8" t="s">
        <v>3828</v>
      </c>
      <c r="M1506" s="6" t="s">
        <v>1623</v>
      </c>
      <c r="N1506" s="6" t="s">
        <v>1624</v>
      </c>
      <c r="O1506" s="7">
        <f>SUMIFS('05_상품별배치367'!$K$7:$K$373,'05_상품별배치367'!$E$7:$E$373,A1506,'05_상품별배치367'!$H$7:$H$373,"본진")</f>
        <v>1</v>
      </c>
      <c r="P1506" s="7">
        <f>SUMIFS('05_상품별배치367'!$K$7:$K$373,'05_상품별배치367'!$E$7:$E$373,A1506,'05_상품별배치367'!$H$7:$H$373,"추가 진열")</f>
        <v>0</v>
      </c>
      <c r="Q1506" s="7">
        <f>O1506+P1506</f>
        <v>1</v>
      </c>
      <c r="R1506" s="7">
        <v>1</v>
      </c>
      <c r="S1506" s="6" t="s">
        <v>1625</v>
      </c>
      <c r="T1506" s="6" t="s">
        <v>1637</v>
      </c>
      <c r="U1506" s="6"/>
      <c r="V1506" s="16"/>
      <c r="W1506" s="16"/>
      <c r="X1506" s="16"/>
      <c r="Y1506" s="6" t="s">
        <v>1655</v>
      </c>
      <c r="Z1506" s="15"/>
      <c r="AA1506" s="15" t="s">
        <v>1628</v>
      </c>
    </row>
    <row r="1507" spans="1:27" ht="33" customHeight="1">
      <c r="A1507" s="6" t="s">
        <v>5897</v>
      </c>
      <c r="B1507" s="7">
        <v>1903</v>
      </c>
      <c r="C1507" s="6" t="s">
        <v>617</v>
      </c>
      <c r="D1507" s="6" t="s">
        <v>5898</v>
      </c>
      <c r="E1507" s="6" t="s">
        <v>1620</v>
      </c>
      <c r="F1507" s="6" t="s">
        <v>616</v>
      </c>
      <c r="G1507" s="6" t="s">
        <v>59</v>
      </c>
      <c r="H1507" s="6" t="s">
        <v>611</v>
      </c>
      <c r="I1507" s="14" t="s">
        <v>1642</v>
      </c>
      <c r="J1507" s="15"/>
      <c r="K1507" s="6" t="s">
        <v>1634</v>
      </c>
      <c r="L1507" s="6" t="s">
        <v>3828</v>
      </c>
      <c r="M1507" s="6" t="s">
        <v>1643</v>
      </c>
      <c r="N1507" s="6" t="s">
        <v>1644</v>
      </c>
      <c r="O1507" s="7">
        <f>SUMIFS('05_상품별배치367'!$K$7:$K$373,'05_상품별배치367'!$E$7:$E$373,A1507,'05_상품별배치367'!$H$7:$H$373,"본진")</f>
        <v>0</v>
      </c>
      <c r="P1507" s="7">
        <f>SUMIFS('05_상품별배치367'!$K$7:$K$373,'05_상품별배치367'!$E$7:$E$373,A1507,'05_상품별배치367'!$H$7:$H$373,"추가 진열")</f>
        <v>0</v>
      </c>
      <c r="Q1507" s="7">
        <f>O1507+P1507</f>
        <v>0</v>
      </c>
      <c r="R1507" s="7">
        <v>1</v>
      </c>
      <c r="S1507" s="6" t="s">
        <v>5899</v>
      </c>
      <c r="T1507" s="6" t="s">
        <v>1637</v>
      </c>
      <c r="U1507" s="6"/>
      <c r="V1507" s="16"/>
      <c r="W1507" s="16"/>
      <c r="X1507" s="16"/>
      <c r="Y1507" s="6" t="s">
        <v>1627</v>
      </c>
      <c r="Z1507" s="15"/>
      <c r="AA1507" s="15" t="s">
        <v>1628</v>
      </c>
    </row>
    <row r="1508" spans="1:27" ht="33" customHeight="1">
      <c r="A1508" s="8" t="s">
        <v>1847</v>
      </c>
      <c r="B1508" s="9">
        <v>78</v>
      </c>
      <c r="C1508" s="8" t="s">
        <v>1848</v>
      </c>
      <c r="D1508" s="8" t="s">
        <v>1783</v>
      </c>
      <c r="E1508" s="8" t="s">
        <v>1620</v>
      </c>
      <c r="F1508" s="8" t="s">
        <v>151</v>
      </c>
      <c r="G1508" s="8" t="s">
        <v>349</v>
      </c>
      <c r="H1508" s="8"/>
      <c r="I1508" s="14" t="s">
        <v>1642</v>
      </c>
      <c r="J1508" s="15"/>
      <c r="K1508" s="8" t="s">
        <v>1622</v>
      </c>
      <c r="L1508" s="8"/>
      <c r="M1508" s="6" t="s">
        <v>1643</v>
      </c>
      <c r="N1508" s="6" t="s">
        <v>1644</v>
      </c>
      <c r="O1508" s="7">
        <f>SUMIFS('05_상품별배치367'!$K$7:$K$373,'05_상품별배치367'!$E$7:$E$373,A1508,'05_상품별배치367'!$H$7:$H$373,"본진")</f>
        <v>0</v>
      </c>
      <c r="P1508" s="7">
        <f>SUMIFS('05_상품별배치367'!$K$7:$K$373,'05_상품별배치367'!$E$7:$E$373,A1508,'05_상품별배치367'!$H$7:$H$373,"추가 진열")</f>
        <v>0</v>
      </c>
      <c r="Q1508" s="7">
        <f>O1508+P1508</f>
        <v>0</v>
      </c>
      <c r="R1508" s="7">
        <v>1</v>
      </c>
      <c r="S1508" s="6" t="s">
        <v>1676</v>
      </c>
      <c r="T1508" s="6" t="s">
        <v>1626</v>
      </c>
      <c r="U1508" s="6"/>
      <c r="V1508" s="16"/>
      <c r="W1508" s="16"/>
      <c r="X1508" s="16"/>
      <c r="Y1508" s="6" t="s">
        <v>1627</v>
      </c>
      <c r="Z1508" s="15"/>
      <c r="AA1508" s="15" t="s">
        <v>1628</v>
      </c>
    </row>
    <row r="1509" spans="1:27" ht="33" customHeight="1">
      <c r="A1509" s="6" t="s">
        <v>1800</v>
      </c>
      <c r="B1509" s="7">
        <v>63</v>
      </c>
      <c r="C1509" s="6" t="s">
        <v>1801</v>
      </c>
      <c r="D1509" s="6" t="s">
        <v>1802</v>
      </c>
      <c r="E1509" s="6" t="s">
        <v>1620</v>
      </c>
      <c r="F1509" s="6" t="s">
        <v>151</v>
      </c>
      <c r="G1509" s="6" t="s">
        <v>69</v>
      </c>
      <c r="H1509" s="6" t="s">
        <v>634</v>
      </c>
      <c r="I1509" s="14" t="s">
        <v>1633</v>
      </c>
      <c r="J1509" s="15"/>
      <c r="K1509" s="6" t="s">
        <v>1622</v>
      </c>
      <c r="L1509" s="6"/>
      <c r="M1509" s="6" t="s">
        <v>1635</v>
      </c>
      <c r="N1509" s="6" t="s">
        <v>1624</v>
      </c>
      <c r="O1509" s="7">
        <f>SUMIFS('05_상품별배치367'!$K$7:$K$373,'05_상품별배치367'!$E$7:$E$373,A1509,'05_상품별배치367'!$H$7:$H$373,"본진")</f>
        <v>1</v>
      </c>
      <c r="P1509" s="7">
        <f>SUMIFS('05_상품별배치367'!$K$7:$K$373,'05_상품별배치367'!$E$7:$E$373,A1509,'05_상품별배치367'!$H$7:$H$373,"추가 진열")</f>
        <v>0</v>
      </c>
      <c r="Q1509" s="7">
        <f>O1509+P1509</f>
        <v>1</v>
      </c>
      <c r="R1509" s="7">
        <v>1</v>
      </c>
      <c r="S1509" s="6" t="s">
        <v>1636</v>
      </c>
      <c r="T1509" s="6" t="s">
        <v>1626</v>
      </c>
      <c r="U1509" s="6"/>
      <c r="V1509" s="16"/>
      <c r="W1509" s="16"/>
      <c r="X1509" s="16"/>
      <c r="Y1509" s="6" t="s">
        <v>1627</v>
      </c>
      <c r="Z1509" s="15"/>
      <c r="AA1509" s="15" t="s">
        <v>1628</v>
      </c>
    </row>
    <row r="1510" spans="1:27" ht="33" customHeight="1">
      <c r="A1510" s="6" t="s">
        <v>1673</v>
      </c>
      <c r="B1510" s="7">
        <v>11</v>
      </c>
      <c r="C1510" s="6" t="s">
        <v>1674</v>
      </c>
      <c r="D1510" s="6" t="s">
        <v>1675</v>
      </c>
      <c r="E1510" s="6" t="s">
        <v>1620</v>
      </c>
      <c r="F1510" s="6" t="s">
        <v>151</v>
      </c>
      <c r="G1510" s="6" t="s">
        <v>349</v>
      </c>
      <c r="H1510" s="6"/>
      <c r="I1510" s="14" t="s">
        <v>1642</v>
      </c>
      <c r="J1510" s="15"/>
      <c r="K1510" s="6" t="s">
        <v>1622</v>
      </c>
      <c r="L1510" s="6"/>
      <c r="M1510" s="6" t="s">
        <v>1643</v>
      </c>
      <c r="N1510" s="6" t="s">
        <v>1644</v>
      </c>
      <c r="O1510" s="7">
        <f>SUMIFS('05_상품별배치367'!$K$7:$K$373,'05_상품별배치367'!$E$7:$E$373,A1510,'05_상품별배치367'!$H$7:$H$373,"본진")</f>
        <v>0</v>
      </c>
      <c r="P1510" s="7">
        <f>SUMIFS('05_상품별배치367'!$K$7:$K$373,'05_상품별배치367'!$E$7:$E$373,A1510,'05_상품별배치367'!$H$7:$H$373,"추가 진열")</f>
        <v>0</v>
      </c>
      <c r="Q1510" s="7">
        <f>O1510+P1510</f>
        <v>0</v>
      </c>
      <c r="R1510" s="7">
        <v>1</v>
      </c>
      <c r="S1510" s="6" t="s">
        <v>1676</v>
      </c>
      <c r="T1510" s="6" t="s">
        <v>1626</v>
      </c>
      <c r="U1510" s="6"/>
      <c r="V1510" s="16"/>
      <c r="W1510" s="16"/>
      <c r="X1510" s="16"/>
      <c r="Y1510" s="6" t="s">
        <v>1655</v>
      </c>
      <c r="Z1510" s="15"/>
      <c r="AA1510" s="15" t="s">
        <v>1628</v>
      </c>
    </row>
    <row r="1511" spans="1:27" ht="33" customHeight="1">
      <c r="A1511" s="6" t="s">
        <v>1781</v>
      </c>
      <c r="B1511" s="7">
        <v>55</v>
      </c>
      <c r="C1511" s="6" t="s">
        <v>1782</v>
      </c>
      <c r="D1511" s="6" t="s">
        <v>1783</v>
      </c>
      <c r="E1511" s="6" t="s">
        <v>1620</v>
      </c>
      <c r="F1511" s="6" t="s">
        <v>151</v>
      </c>
      <c r="G1511" s="6" t="s">
        <v>349</v>
      </c>
      <c r="H1511" s="6"/>
      <c r="I1511" s="14" t="s">
        <v>1642</v>
      </c>
      <c r="J1511" s="15"/>
      <c r="K1511" s="6" t="s">
        <v>1622</v>
      </c>
      <c r="L1511" s="6"/>
      <c r="M1511" s="6" t="s">
        <v>1643</v>
      </c>
      <c r="N1511" s="6" t="s">
        <v>1644</v>
      </c>
      <c r="O1511" s="7">
        <f>SUMIFS('05_상품별배치367'!$K$7:$K$373,'05_상품별배치367'!$E$7:$E$373,A1511,'05_상품별배치367'!$H$7:$H$373,"본진")</f>
        <v>0</v>
      </c>
      <c r="P1511" s="7">
        <f>SUMIFS('05_상품별배치367'!$K$7:$K$373,'05_상품별배치367'!$E$7:$E$373,A1511,'05_상품별배치367'!$H$7:$H$373,"추가 진열")</f>
        <v>0</v>
      </c>
      <c r="Q1511" s="7">
        <f>O1511+P1511</f>
        <v>0</v>
      </c>
      <c r="R1511" s="7">
        <v>1</v>
      </c>
      <c r="S1511" s="6" t="s">
        <v>1676</v>
      </c>
      <c r="T1511" s="6" t="s">
        <v>1626</v>
      </c>
      <c r="U1511" s="6"/>
      <c r="V1511" s="16"/>
      <c r="W1511" s="16"/>
      <c r="X1511" s="16"/>
      <c r="Y1511" s="6" t="s">
        <v>1627</v>
      </c>
      <c r="Z1511" s="15"/>
      <c r="AA1511" s="15" t="s">
        <v>1628</v>
      </c>
    </row>
    <row r="1512" spans="1:27" ht="33" customHeight="1">
      <c r="A1512" s="6" t="s">
        <v>805</v>
      </c>
      <c r="B1512" s="7">
        <v>3</v>
      </c>
      <c r="C1512" s="6" t="s">
        <v>804</v>
      </c>
      <c r="D1512" s="6" t="s">
        <v>1619</v>
      </c>
      <c r="E1512" s="6" t="s">
        <v>1620</v>
      </c>
      <c r="F1512" s="6" t="s">
        <v>151</v>
      </c>
      <c r="G1512" s="6" t="s">
        <v>349</v>
      </c>
      <c r="H1512" s="6" t="s">
        <v>1211</v>
      </c>
      <c r="I1512" s="14" t="s">
        <v>1621</v>
      </c>
      <c r="J1512" s="15"/>
      <c r="K1512" s="6" t="s">
        <v>1622</v>
      </c>
      <c r="L1512" s="6"/>
      <c r="M1512" s="6" t="s">
        <v>1623</v>
      </c>
      <c r="N1512" s="6" t="s">
        <v>1624</v>
      </c>
      <c r="O1512" s="7">
        <f>SUMIFS('05_상품별배치367'!$K$7:$K$373,'05_상품별배치367'!$E$7:$E$373,A1512,'05_상품별배치367'!$H$7:$H$373,"본진")</f>
        <v>2</v>
      </c>
      <c r="P1512" s="7">
        <f>SUMIFS('05_상품별배치367'!$K$7:$K$373,'05_상품별배치367'!$E$7:$E$373,A1512,'05_상품별배치367'!$H$7:$H$373,"추가 진열")</f>
        <v>1</v>
      </c>
      <c r="Q1512" s="7">
        <f>O1512+P1512</f>
        <v>3</v>
      </c>
      <c r="R1512" s="7">
        <v>2</v>
      </c>
      <c r="S1512" s="6" t="s">
        <v>1625</v>
      </c>
      <c r="T1512" s="6" t="s">
        <v>1626</v>
      </c>
      <c r="U1512" s="6"/>
      <c r="V1512" s="16"/>
      <c r="W1512" s="16"/>
      <c r="X1512" s="16"/>
      <c r="Y1512" s="6" t="s">
        <v>1627</v>
      </c>
      <c r="Z1512" s="15"/>
      <c r="AA1512" s="15" t="s">
        <v>1628</v>
      </c>
    </row>
    <row r="1513" spans="1:27" ht="33" customHeight="1">
      <c r="A1513" s="8" t="s">
        <v>1784</v>
      </c>
      <c r="B1513" s="9">
        <v>56</v>
      </c>
      <c r="C1513" s="8" t="s">
        <v>1785</v>
      </c>
      <c r="D1513" s="8" t="s">
        <v>1786</v>
      </c>
      <c r="E1513" s="8" t="s">
        <v>1620</v>
      </c>
      <c r="F1513" s="8" t="s">
        <v>151</v>
      </c>
      <c r="G1513" s="8" t="s">
        <v>349</v>
      </c>
      <c r="H1513" s="8" t="s">
        <v>1211</v>
      </c>
      <c r="I1513" s="14" t="s">
        <v>1633</v>
      </c>
      <c r="J1513" s="15"/>
      <c r="K1513" s="8" t="s">
        <v>1622</v>
      </c>
      <c r="L1513" s="8"/>
      <c r="M1513" s="6" t="s">
        <v>1635</v>
      </c>
      <c r="N1513" s="6" t="s">
        <v>1624</v>
      </c>
      <c r="O1513" s="7">
        <f>SUMIFS('05_상품별배치367'!$K$7:$K$373,'05_상품별배치367'!$E$7:$E$373,A1513,'05_상품별배치367'!$H$7:$H$373,"본진")</f>
        <v>1</v>
      </c>
      <c r="P1513" s="7">
        <f>SUMIFS('05_상품별배치367'!$K$7:$K$373,'05_상품별배치367'!$E$7:$E$373,A1513,'05_상품별배치367'!$H$7:$H$373,"추가 진열")</f>
        <v>0</v>
      </c>
      <c r="Q1513" s="7">
        <f>O1513+P1513</f>
        <v>1</v>
      </c>
      <c r="R1513" s="7">
        <v>1</v>
      </c>
      <c r="S1513" s="6" t="s">
        <v>1636</v>
      </c>
      <c r="T1513" s="6" t="s">
        <v>1626</v>
      </c>
      <c r="U1513" s="6"/>
      <c r="V1513" s="16"/>
      <c r="W1513" s="16"/>
      <c r="X1513" s="16"/>
      <c r="Y1513" s="6" t="s">
        <v>1627</v>
      </c>
      <c r="Z1513" s="15"/>
      <c r="AA1513" s="15" t="s">
        <v>1628</v>
      </c>
    </row>
    <row r="1514" spans="1:27" ht="33" customHeight="1">
      <c r="A1514" s="6" t="s">
        <v>5392</v>
      </c>
      <c r="B1514" s="7">
        <v>1663</v>
      </c>
      <c r="C1514" s="6" t="s">
        <v>5393</v>
      </c>
      <c r="D1514" s="6" t="s">
        <v>3185</v>
      </c>
      <c r="E1514" s="6" t="s">
        <v>2134</v>
      </c>
      <c r="F1514" s="6" t="s">
        <v>2933</v>
      </c>
      <c r="G1514" s="6" t="s">
        <v>1668</v>
      </c>
      <c r="H1514" s="6"/>
      <c r="I1514" s="14" t="s">
        <v>1807</v>
      </c>
      <c r="J1514" s="15"/>
      <c r="K1514" s="6" t="s">
        <v>1976</v>
      </c>
      <c r="L1514" s="6" t="s">
        <v>2032</v>
      </c>
      <c r="M1514" s="6" t="s">
        <v>1809</v>
      </c>
      <c r="N1514" s="6" t="s">
        <v>1644</v>
      </c>
      <c r="O1514" s="7">
        <f>SUMIFS('05_상품별배치367'!$K$7:$K$373,'05_상품별배치367'!$E$7:$E$373,A1514,'05_상품별배치367'!$H$7:$H$373,"본진")</f>
        <v>0</v>
      </c>
      <c r="P1514" s="7">
        <f>SUMIFS('05_상품별배치367'!$K$7:$K$373,'05_상품별배치367'!$E$7:$E$373,A1514,'05_상품별배치367'!$H$7:$H$373,"추가 진열")</f>
        <v>0</v>
      </c>
      <c r="Q1514" s="7">
        <f>O1514+P1514</f>
        <v>0</v>
      </c>
      <c r="R1514" s="7">
        <v>0</v>
      </c>
      <c r="S1514" s="6" t="s">
        <v>1810</v>
      </c>
      <c r="T1514" s="6" t="s">
        <v>1637</v>
      </c>
      <c r="U1514" s="6"/>
      <c r="V1514" s="16"/>
      <c r="W1514" s="16"/>
      <c r="X1514" s="16"/>
      <c r="Y1514" s="6" t="s">
        <v>1627</v>
      </c>
      <c r="Z1514" s="15"/>
      <c r="AA1514" s="15" t="s">
        <v>1628</v>
      </c>
    </row>
    <row r="1515" spans="1:27" ht="33" customHeight="1">
      <c r="A1515" s="8" t="s">
        <v>5394</v>
      </c>
      <c r="B1515" s="9">
        <v>1664</v>
      </c>
      <c r="C1515" s="8" t="s">
        <v>5395</v>
      </c>
      <c r="D1515" s="8" t="s">
        <v>3150</v>
      </c>
      <c r="E1515" s="8" t="s">
        <v>2134</v>
      </c>
      <c r="F1515" s="8" t="s">
        <v>1263</v>
      </c>
      <c r="G1515" s="8" t="s">
        <v>376</v>
      </c>
      <c r="H1515" s="8"/>
      <c r="I1515" s="14" t="s">
        <v>1642</v>
      </c>
      <c r="J1515" s="15"/>
      <c r="K1515" s="8" t="s">
        <v>1976</v>
      </c>
      <c r="L1515" s="8"/>
      <c r="M1515" s="6" t="s">
        <v>1643</v>
      </c>
      <c r="N1515" s="6" t="s">
        <v>1644</v>
      </c>
      <c r="O1515" s="7">
        <f>SUMIFS('05_상품별배치367'!$K$7:$K$373,'05_상품별배치367'!$E$7:$E$373,A1515,'05_상품별배치367'!$H$7:$H$373,"본진")</f>
        <v>0</v>
      </c>
      <c r="P1515" s="7">
        <f>SUMIFS('05_상품별배치367'!$K$7:$K$373,'05_상품별배치367'!$E$7:$E$373,A1515,'05_상품별배치367'!$H$7:$H$373,"추가 진열")</f>
        <v>0</v>
      </c>
      <c r="Q1515" s="7">
        <f>O1515+P1515</f>
        <v>0</v>
      </c>
      <c r="R1515" s="7">
        <v>1</v>
      </c>
      <c r="S1515" s="6" t="s">
        <v>3016</v>
      </c>
      <c r="T1515" s="6" t="s">
        <v>1637</v>
      </c>
      <c r="U1515" s="6"/>
      <c r="V1515" s="16"/>
      <c r="W1515" s="16"/>
      <c r="X1515" s="16"/>
      <c r="Y1515" s="6" t="s">
        <v>1627</v>
      </c>
      <c r="Z1515" s="15"/>
      <c r="AA1515" s="15" t="s">
        <v>1628</v>
      </c>
    </row>
    <row r="1516" spans="1:27" ht="33" customHeight="1">
      <c r="A1516" s="8" t="s">
        <v>5390</v>
      </c>
      <c r="B1516" s="9">
        <v>1662</v>
      </c>
      <c r="C1516" s="8" t="s">
        <v>5391</v>
      </c>
      <c r="D1516" s="8" t="s">
        <v>2556</v>
      </c>
      <c r="E1516" s="8" t="s">
        <v>2134</v>
      </c>
      <c r="F1516" s="8" t="s">
        <v>2933</v>
      </c>
      <c r="G1516" s="8" t="s">
        <v>1668</v>
      </c>
      <c r="H1516" s="8"/>
      <c r="I1516" s="14" t="s">
        <v>1807</v>
      </c>
      <c r="J1516" s="15"/>
      <c r="K1516" s="8" t="s">
        <v>1976</v>
      </c>
      <c r="L1516" s="8" t="s">
        <v>2032</v>
      </c>
      <c r="M1516" s="6" t="s">
        <v>1809</v>
      </c>
      <c r="N1516" s="6" t="s">
        <v>1644</v>
      </c>
      <c r="O1516" s="7">
        <f>SUMIFS('05_상품별배치367'!$K$7:$K$373,'05_상품별배치367'!$E$7:$E$373,A1516,'05_상품별배치367'!$H$7:$H$373,"본진")</f>
        <v>0</v>
      </c>
      <c r="P1516" s="7">
        <f>SUMIFS('05_상품별배치367'!$K$7:$K$373,'05_상품별배치367'!$E$7:$E$373,A1516,'05_상품별배치367'!$H$7:$H$373,"추가 진열")</f>
        <v>0</v>
      </c>
      <c r="Q1516" s="7">
        <f>O1516+P1516</f>
        <v>0</v>
      </c>
      <c r="R1516" s="7">
        <v>0</v>
      </c>
      <c r="S1516" s="6" t="s">
        <v>1810</v>
      </c>
      <c r="T1516" s="6" t="s">
        <v>1637</v>
      </c>
      <c r="U1516" s="6"/>
      <c r="V1516" s="16"/>
      <c r="W1516" s="16"/>
      <c r="X1516" s="16"/>
      <c r="Y1516" s="6" t="s">
        <v>1627</v>
      </c>
      <c r="Z1516" s="15"/>
      <c r="AA1516" s="15" t="s">
        <v>1628</v>
      </c>
    </row>
    <row r="1517" spans="1:27" ht="33" customHeight="1">
      <c r="A1517" s="8" t="s">
        <v>4510</v>
      </c>
      <c r="B1517" s="9">
        <v>1244</v>
      </c>
      <c r="C1517" s="8" t="s">
        <v>4511</v>
      </c>
      <c r="D1517" s="8" t="s">
        <v>1851</v>
      </c>
      <c r="E1517" s="8" t="s">
        <v>2134</v>
      </c>
      <c r="F1517" s="8" t="s">
        <v>2933</v>
      </c>
      <c r="G1517" s="8" t="s">
        <v>1668</v>
      </c>
      <c r="H1517" s="8"/>
      <c r="I1517" s="14" t="s">
        <v>1807</v>
      </c>
      <c r="J1517" s="15"/>
      <c r="K1517" s="8" t="s">
        <v>1976</v>
      </c>
      <c r="L1517" s="8" t="s">
        <v>2032</v>
      </c>
      <c r="M1517" s="6" t="s">
        <v>1809</v>
      </c>
      <c r="N1517" s="6" t="s">
        <v>1644</v>
      </c>
      <c r="O1517" s="7">
        <f>SUMIFS('05_상품별배치367'!$K$7:$K$373,'05_상품별배치367'!$E$7:$E$373,A1517,'05_상품별배치367'!$H$7:$H$373,"본진")</f>
        <v>0</v>
      </c>
      <c r="P1517" s="7">
        <f>SUMIFS('05_상품별배치367'!$K$7:$K$373,'05_상품별배치367'!$E$7:$E$373,A1517,'05_상품별배치367'!$H$7:$H$373,"추가 진열")</f>
        <v>0</v>
      </c>
      <c r="Q1517" s="7">
        <f>O1517+P1517</f>
        <v>0</v>
      </c>
      <c r="R1517" s="7">
        <v>0</v>
      </c>
      <c r="S1517" s="6" t="s">
        <v>1810</v>
      </c>
      <c r="T1517" s="6" t="s">
        <v>1637</v>
      </c>
      <c r="U1517" s="6"/>
      <c r="V1517" s="16"/>
      <c r="W1517" s="16"/>
      <c r="X1517" s="16"/>
      <c r="Y1517" s="6" t="s">
        <v>1627</v>
      </c>
      <c r="Z1517" s="15"/>
      <c r="AA1517" s="15" t="s">
        <v>1628</v>
      </c>
    </row>
    <row r="1518" spans="1:27" ht="33" customHeight="1">
      <c r="A1518" s="8" t="s">
        <v>4514</v>
      </c>
      <c r="B1518" s="9">
        <v>1246</v>
      </c>
      <c r="C1518" s="8" t="s">
        <v>4515</v>
      </c>
      <c r="D1518" s="8" t="s">
        <v>4516</v>
      </c>
      <c r="E1518" s="8" t="s">
        <v>1695</v>
      </c>
      <c r="F1518" s="8" t="s">
        <v>954</v>
      </c>
      <c r="G1518" s="8" t="s">
        <v>219</v>
      </c>
      <c r="H1518" s="8"/>
      <c r="I1518" s="14" t="s">
        <v>1642</v>
      </c>
      <c r="J1518" s="15"/>
      <c r="K1518" s="8" t="s">
        <v>1696</v>
      </c>
      <c r="L1518" s="8"/>
      <c r="M1518" s="6" t="s">
        <v>1643</v>
      </c>
      <c r="N1518" s="6" t="s">
        <v>1644</v>
      </c>
      <c r="O1518" s="7">
        <f>SUMIFS('05_상품별배치367'!$K$7:$K$373,'05_상품별배치367'!$E$7:$E$373,A1518,'05_상품별배치367'!$H$7:$H$373,"본진")</f>
        <v>0</v>
      </c>
      <c r="P1518" s="7">
        <f>SUMIFS('05_상품별배치367'!$K$7:$K$373,'05_상품별배치367'!$E$7:$E$373,A1518,'05_상품별배치367'!$H$7:$H$373,"추가 진열")</f>
        <v>0</v>
      </c>
      <c r="Q1518" s="7">
        <f>O1518+P1518</f>
        <v>0</v>
      </c>
      <c r="R1518" s="7">
        <v>1</v>
      </c>
      <c r="S1518" s="6" t="s">
        <v>2884</v>
      </c>
      <c r="T1518" s="6" t="s">
        <v>1637</v>
      </c>
      <c r="U1518" s="6"/>
      <c r="V1518" s="16"/>
      <c r="W1518" s="16"/>
      <c r="X1518" s="16"/>
      <c r="Y1518" s="6" t="s">
        <v>1627</v>
      </c>
      <c r="Z1518" s="15"/>
      <c r="AA1518" s="15" t="s">
        <v>1628</v>
      </c>
    </row>
    <row r="1519" spans="1:27" ht="33" customHeight="1">
      <c r="A1519" s="6" t="s">
        <v>4512</v>
      </c>
      <c r="B1519" s="7">
        <v>1245</v>
      </c>
      <c r="C1519" s="6" t="s">
        <v>4513</v>
      </c>
      <c r="D1519" s="6" t="s">
        <v>2672</v>
      </c>
      <c r="E1519" s="6" t="s">
        <v>2134</v>
      </c>
      <c r="F1519" s="6" t="s">
        <v>2933</v>
      </c>
      <c r="G1519" s="6" t="s">
        <v>1668</v>
      </c>
      <c r="H1519" s="6"/>
      <c r="I1519" s="14" t="s">
        <v>1807</v>
      </c>
      <c r="J1519" s="15"/>
      <c r="K1519" s="6" t="s">
        <v>1976</v>
      </c>
      <c r="L1519" s="6" t="s">
        <v>2032</v>
      </c>
      <c r="M1519" s="6" t="s">
        <v>1809</v>
      </c>
      <c r="N1519" s="6" t="s">
        <v>1644</v>
      </c>
      <c r="O1519" s="7">
        <f>SUMIFS('05_상품별배치367'!$K$7:$K$373,'05_상품별배치367'!$E$7:$E$373,A1519,'05_상품별배치367'!$H$7:$H$373,"본진")</f>
        <v>0</v>
      </c>
      <c r="P1519" s="7">
        <f>SUMIFS('05_상품별배치367'!$K$7:$K$373,'05_상품별배치367'!$E$7:$E$373,A1519,'05_상품별배치367'!$H$7:$H$373,"추가 진열")</f>
        <v>0</v>
      </c>
      <c r="Q1519" s="7">
        <f>O1519+P1519</f>
        <v>0</v>
      </c>
      <c r="R1519" s="7">
        <v>0</v>
      </c>
      <c r="S1519" s="6" t="s">
        <v>1810</v>
      </c>
      <c r="T1519" s="6" t="s">
        <v>1637</v>
      </c>
      <c r="U1519" s="6"/>
      <c r="V1519" s="16"/>
      <c r="W1519" s="16"/>
      <c r="X1519" s="16"/>
      <c r="Y1519" s="6" t="s">
        <v>1627</v>
      </c>
      <c r="Z1519" s="15"/>
      <c r="AA1519" s="15" t="s">
        <v>1628</v>
      </c>
    </row>
    <row r="1520" spans="1:27" ht="33" customHeight="1">
      <c r="A1520" s="6" t="s">
        <v>4517</v>
      </c>
      <c r="B1520" s="7">
        <v>1247</v>
      </c>
      <c r="C1520" s="6" t="s">
        <v>4518</v>
      </c>
      <c r="D1520" s="6" t="s">
        <v>3810</v>
      </c>
      <c r="E1520" s="6" t="s">
        <v>2134</v>
      </c>
      <c r="F1520" s="6" t="s">
        <v>162</v>
      </c>
      <c r="G1520" s="6" t="s">
        <v>404</v>
      </c>
      <c r="H1520" s="6"/>
      <c r="I1520" s="14" t="s">
        <v>1642</v>
      </c>
      <c r="J1520" s="15"/>
      <c r="K1520" s="6" t="s">
        <v>1976</v>
      </c>
      <c r="L1520" s="6"/>
      <c r="M1520" s="6" t="s">
        <v>1643</v>
      </c>
      <c r="N1520" s="6" t="s">
        <v>1644</v>
      </c>
      <c r="O1520" s="7">
        <f>SUMIFS('05_상품별배치367'!$K$7:$K$373,'05_상품별배치367'!$E$7:$E$373,A1520,'05_상품별배치367'!$H$7:$H$373,"본진")</f>
        <v>0</v>
      </c>
      <c r="P1520" s="7">
        <f>SUMIFS('05_상품별배치367'!$K$7:$K$373,'05_상품별배치367'!$E$7:$E$373,A1520,'05_상품별배치367'!$H$7:$H$373,"추가 진열")</f>
        <v>0</v>
      </c>
      <c r="Q1520" s="7">
        <f>O1520+P1520</f>
        <v>0</v>
      </c>
      <c r="R1520" s="7">
        <v>1</v>
      </c>
      <c r="S1520" s="6" t="s">
        <v>2996</v>
      </c>
      <c r="T1520" s="6" t="s">
        <v>1637</v>
      </c>
      <c r="U1520" s="6"/>
      <c r="V1520" s="16"/>
      <c r="W1520" s="16"/>
      <c r="X1520" s="16"/>
      <c r="Y1520" s="6" t="s">
        <v>1627</v>
      </c>
      <c r="Z1520" s="15"/>
      <c r="AA1520" s="15" t="s">
        <v>1628</v>
      </c>
    </row>
    <row r="1521" spans="1:27" ht="33" customHeight="1">
      <c r="A1521" s="8" t="s">
        <v>4519</v>
      </c>
      <c r="B1521" s="9">
        <v>1248</v>
      </c>
      <c r="C1521" s="8" t="s">
        <v>4520</v>
      </c>
      <c r="D1521" s="8" t="s">
        <v>3807</v>
      </c>
      <c r="E1521" s="8" t="s">
        <v>1986</v>
      </c>
      <c r="F1521" s="8" t="s">
        <v>913</v>
      </c>
      <c r="G1521" s="8" t="s">
        <v>201</v>
      </c>
      <c r="H1521" s="8"/>
      <c r="I1521" s="14" t="s">
        <v>1642</v>
      </c>
      <c r="J1521" s="15"/>
      <c r="K1521" s="8" t="s">
        <v>1976</v>
      </c>
      <c r="L1521" s="8"/>
      <c r="M1521" s="6" t="s">
        <v>1643</v>
      </c>
      <c r="N1521" s="6" t="s">
        <v>1644</v>
      </c>
      <c r="O1521" s="7">
        <f>SUMIFS('05_상품별배치367'!$K$7:$K$373,'05_상품별배치367'!$E$7:$E$373,A1521,'05_상품별배치367'!$H$7:$H$373,"본진")</f>
        <v>0</v>
      </c>
      <c r="P1521" s="7">
        <f>SUMIFS('05_상품별배치367'!$K$7:$K$373,'05_상품별배치367'!$E$7:$E$373,A1521,'05_상품별배치367'!$H$7:$H$373,"추가 진열")</f>
        <v>0</v>
      </c>
      <c r="Q1521" s="7">
        <f>O1521+P1521</f>
        <v>0</v>
      </c>
      <c r="R1521" s="7">
        <v>1</v>
      </c>
      <c r="S1521" s="6" t="s">
        <v>2907</v>
      </c>
      <c r="T1521" s="6" t="s">
        <v>1637</v>
      </c>
      <c r="U1521" s="6"/>
      <c r="V1521" s="16"/>
      <c r="W1521" s="16"/>
      <c r="X1521" s="16"/>
      <c r="Y1521" s="6" t="s">
        <v>1627</v>
      </c>
      <c r="Z1521" s="15"/>
      <c r="AA1521" s="15" t="s">
        <v>1628</v>
      </c>
    </row>
    <row r="1522" spans="1:27" ht="33" customHeight="1">
      <c r="A1522" s="6" t="s">
        <v>4521</v>
      </c>
      <c r="B1522" s="7">
        <v>1249</v>
      </c>
      <c r="C1522" s="6" t="s">
        <v>4522</v>
      </c>
      <c r="D1522" s="6" t="s">
        <v>1686</v>
      </c>
      <c r="E1522" s="6" t="s">
        <v>2134</v>
      </c>
      <c r="F1522" s="6" t="s">
        <v>481</v>
      </c>
      <c r="G1522" s="6" t="s">
        <v>193</v>
      </c>
      <c r="H1522" s="6"/>
      <c r="I1522" s="14" t="s">
        <v>1642</v>
      </c>
      <c r="J1522" s="15"/>
      <c r="K1522" s="6" t="s">
        <v>1976</v>
      </c>
      <c r="L1522" s="6"/>
      <c r="M1522" s="6" t="s">
        <v>1643</v>
      </c>
      <c r="N1522" s="6" t="s">
        <v>1644</v>
      </c>
      <c r="O1522" s="7">
        <f>SUMIFS('05_상품별배치367'!$K$7:$K$373,'05_상품별배치367'!$E$7:$E$373,A1522,'05_상품별배치367'!$H$7:$H$373,"본진")</f>
        <v>0</v>
      </c>
      <c r="P1522" s="7">
        <f>SUMIFS('05_상품별배치367'!$K$7:$K$373,'05_상품별배치367'!$E$7:$E$373,A1522,'05_상품별배치367'!$H$7:$H$373,"추가 진열")</f>
        <v>0</v>
      </c>
      <c r="Q1522" s="7">
        <f>O1522+P1522</f>
        <v>0</v>
      </c>
      <c r="R1522" s="7">
        <v>1</v>
      </c>
      <c r="S1522" s="6" t="s">
        <v>3000</v>
      </c>
      <c r="T1522" s="6" t="s">
        <v>1637</v>
      </c>
      <c r="U1522" s="6"/>
      <c r="V1522" s="16"/>
      <c r="W1522" s="16"/>
      <c r="X1522" s="16"/>
      <c r="Y1522" s="6" t="s">
        <v>1627</v>
      </c>
      <c r="Z1522" s="15"/>
      <c r="AA1522" s="15" t="s">
        <v>1628</v>
      </c>
    </row>
    <row r="1523" spans="1:27" ht="33" customHeight="1">
      <c r="A1523" s="6" t="s">
        <v>5237</v>
      </c>
      <c r="B1523" s="7">
        <v>1589</v>
      </c>
      <c r="C1523" s="6" t="s">
        <v>5238</v>
      </c>
      <c r="D1523" s="6" t="s">
        <v>2007</v>
      </c>
      <c r="E1523" s="6" t="s">
        <v>2134</v>
      </c>
      <c r="F1523" s="6" t="s">
        <v>2933</v>
      </c>
      <c r="G1523" s="6" t="s">
        <v>1668</v>
      </c>
      <c r="H1523" s="6"/>
      <c r="I1523" s="14" t="s">
        <v>1807</v>
      </c>
      <c r="J1523" s="15"/>
      <c r="K1523" s="6" t="s">
        <v>1976</v>
      </c>
      <c r="L1523" s="6" t="s">
        <v>2032</v>
      </c>
      <c r="M1523" s="6" t="s">
        <v>1809</v>
      </c>
      <c r="N1523" s="6" t="s">
        <v>1624</v>
      </c>
      <c r="O1523" s="7">
        <f>SUMIFS('05_상품별배치367'!$K$7:$K$373,'05_상품별배치367'!$E$7:$E$373,A1523,'05_상품별배치367'!$H$7:$H$373,"본진")</f>
        <v>0</v>
      </c>
      <c r="P1523" s="7">
        <f>SUMIFS('05_상품별배치367'!$K$7:$K$373,'05_상품별배치367'!$E$7:$E$373,A1523,'05_상품별배치367'!$H$7:$H$373,"추가 진열")</f>
        <v>0</v>
      </c>
      <c r="Q1523" s="7">
        <f>O1523+P1523</f>
        <v>0</v>
      </c>
      <c r="R1523" s="7">
        <v>0</v>
      </c>
      <c r="S1523" s="6" t="s">
        <v>1810</v>
      </c>
      <c r="T1523" s="6" t="s">
        <v>1637</v>
      </c>
      <c r="U1523" s="6"/>
      <c r="V1523" s="16"/>
      <c r="W1523" s="16"/>
      <c r="X1523" s="16"/>
      <c r="Y1523" s="6" t="s">
        <v>1627</v>
      </c>
      <c r="Z1523" s="15"/>
      <c r="AA1523" s="15" t="s">
        <v>1628</v>
      </c>
    </row>
    <row r="1524" spans="1:27" ht="33" customHeight="1">
      <c r="A1524" s="8" t="s">
        <v>5234</v>
      </c>
      <c r="B1524" s="9">
        <v>1588</v>
      </c>
      <c r="C1524" s="8" t="s">
        <v>5235</v>
      </c>
      <c r="D1524" s="8" t="s">
        <v>5236</v>
      </c>
      <c r="E1524" s="8" t="s">
        <v>1986</v>
      </c>
      <c r="F1524" s="8" t="s">
        <v>913</v>
      </c>
      <c r="G1524" s="8" t="s">
        <v>201</v>
      </c>
      <c r="H1524" s="8"/>
      <c r="I1524" s="14" t="s">
        <v>1642</v>
      </c>
      <c r="J1524" s="15"/>
      <c r="K1524" s="8" t="s">
        <v>1976</v>
      </c>
      <c r="L1524" s="8"/>
      <c r="M1524" s="6" t="s">
        <v>1643</v>
      </c>
      <c r="N1524" s="6" t="s">
        <v>1644</v>
      </c>
      <c r="O1524" s="7">
        <f>SUMIFS('05_상품별배치367'!$K$7:$K$373,'05_상품별배치367'!$E$7:$E$373,A1524,'05_상품별배치367'!$H$7:$H$373,"본진")</f>
        <v>0</v>
      </c>
      <c r="P1524" s="7">
        <f>SUMIFS('05_상품별배치367'!$K$7:$K$373,'05_상품별배치367'!$E$7:$E$373,A1524,'05_상품별배치367'!$H$7:$H$373,"추가 진열")</f>
        <v>0</v>
      </c>
      <c r="Q1524" s="7">
        <f>O1524+P1524</f>
        <v>0</v>
      </c>
      <c r="R1524" s="7">
        <v>1</v>
      </c>
      <c r="S1524" s="6" t="s">
        <v>2907</v>
      </c>
      <c r="T1524" s="6" t="s">
        <v>1637</v>
      </c>
      <c r="U1524" s="6"/>
      <c r="V1524" s="16"/>
      <c r="W1524" s="16"/>
      <c r="X1524" s="16"/>
      <c r="Y1524" s="6" t="s">
        <v>1627</v>
      </c>
      <c r="Z1524" s="15"/>
      <c r="AA1524" s="15" t="s">
        <v>1628</v>
      </c>
    </row>
    <row r="1525" spans="1:27" ht="33" customHeight="1">
      <c r="A1525" s="6" t="s">
        <v>5241</v>
      </c>
      <c r="B1525" s="7">
        <v>1591</v>
      </c>
      <c r="C1525" s="6" t="s">
        <v>5242</v>
      </c>
      <c r="D1525" s="6" t="s">
        <v>1658</v>
      </c>
      <c r="E1525" s="6" t="s">
        <v>2134</v>
      </c>
      <c r="F1525" s="6" t="s">
        <v>163</v>
      </c>
      <c r="G1525" s="6" t="s">
        <v>414</v>
      </c>
      <c r="H1525" s="6"/>
      <c r="I1525" s="14" t="s">
        <v>1642</v>
      </c>
      <c r="J1525" s="15"/>
      <c r="K1525" s="6" t="s">
        <v>1976</v>
      </c>
      <c r="L1525" s="6"/>
      <c r="M1525" s="6" t="s">
        <v>1643</v>
      </c>
      <c r="N1525" s="6" t="s">
        <v>1644</v>
      </c>
      <c r="O1525" s="7">
        <f>SUMIFS('05_상품별배치367'!$K$7:$K$373,'05_상품별배치367'!$E$7:$E$373,A1525,'05_상품별배치367'!$H$7:$H$373,"본진")</f>
        <v>0</v>
      </c>
      <c r="P1525" s="7">
        <f>SUMIFS('05_상품별배치367'!$K$7:$K$373,'05_상품별배치367'!$E$7:$E$373,A1525,'05_상품별배치367'!$H$7:$H$373,"추가 진열")</f>
        <v>0</v>
      </c>
      <c r="Q1525" s="7">
        <f>O1525+P1525</f>
        <v>0</v>
      </c>
      <c r="R1525" s="7">
        <v>1</v>
      </c>
      <c r="S1525" s="6" t="s">
        <v>3048</v>
      </c>
      <c r="T1525" s="6" t="s">
        <v>1637</v>
      </c>
      <c r="U1525" s="6"/>
      <c r="V1525" s="16"/>
      <c r="W1525" s="16"/>
      <c r="X1525" s="16"/>
      <c r="Y1525" s="6" t="s">
        <v>1627</v>
      </c>
      <c r="Z1525" s="15"/>
      <c r="AA1525" s="15" t="s">
        <v>1628</v>
      </c>
    </row>
    <row r="1526" spans="1:27" ht="33" customHeight="1">
      <c r="A1526" s="6" t="s">
        <v>5218</v>
      </c>
      <c r="B1526" s="7">
        <v>1581</v>
      </c>
      <c r="C1526" s="6" t="s">
        <v>5219</v>
      </c>
      <c r="D1526" s="6" t="s">
        <v>2961</v>
      </c>
      <c r="E1526" s="6" t="s">
        <v>1986</v>
      </c>
      <c r="F1526" s="6" t="s">
        <v>913</v>
      </c>
      <c r="G1526" s="6" t="s">
        <v>201</v>
      </c>
      <c r="H1526" s="6"/>
      <c r="I1526" s="14" t="s">
        <v>1642</v>
      </c>
      <c r="J1526" s="15"/>
      <c r="K1526" s="6" t="s">
        <v>1976</v>
      </c>
      <c r="L1526" s="6"/>
      <c r="M1526" s="6" t="s">
        <v>1643</v>
      </c>
      <c r="N1526" s="6" t="s">
        <v>1644</v>
      </c>
      <c r="O1526" s="7">
        <f>SUMIFS('05_상품별배치367'!$K$7:$K$373,'05_상품별배치367'!$E$7:$E$373,A1526,'05_상품별배치367'!$H$7:$H$373,"본진")</f>
        <v>0</v>
      </c>
      <c r="P1526" s="7">
        <f>SUMIFS('05_상품별배치367'!$K$7:$K$373,'05_상품별배치367'!$E$7:$E$373,A1526,'05_상품별배치367'!$H$7:$H$373,"추가 진열")</f>
        <v>0</v>
      </c>
      <c r="Q1526" s="7">
        <f>O1526+P1526</f>
        <v>0</v>
      </c>
      <c r="R1526" s="7">
        <v>1</v>
      </c>
      <c r="S1526" s="6" t="s">
        <v>2907</v>
      </c>
      <c r="T1526" s="6" t="s">
        <v>1637</v>
      </c>
      <c r="U1526" s="6"/>
      <c r="V1526" s="16"/>
      <c r="W1526" s="16"/>
      <c r="X1526" s="16"/>
      <c r="Y1526" s="6" t="s">
        <v>1627</v>
      </c>
      <c r="Z1526" s="15"/>
      <c r="AA1526" s="15" t="s">
        <v>1628</v>
      </c>
    </row>
    <row r="1527" spans="1:27" ht="33" customHeight="1">
      <c r="A1527" s="8" t="s">
        <v>5225</v>
      </c>
      <c r="B1527" s="9">
        <v>1584</v>
      </c>
      <c r="C1527" s="8" t="s">
        <v>5226</v>
      </c>
      <c r="D1527" s="8" t="s">
        <v>3047</v>
      </c>
      <c r="E1527" s="8" t="s">
        <v>1986</v>
      </c>
      <c r="F1527" s="8" t="s">
        <v>913</v>
      </c>
      <c r="G1527" s="8" t="s">
        <v>201</v>
      </c>
      <c r="H1527" s="8"/>
      <c r="I1527" s="14" t="s">
        <v>1642</v>
      </c>
      <c r="J1527" s="15"/>
      <c r="K1527" s="8" t="s">
        <v>1976</v>
      </c>
      <c r="L1527" s="8"/>
      <c r="M1527" s="6" t="s">
        <v>1643</v>
      </c>
      <c r="N1527" s="6" t="s">
        <v>1644</v>
      </c>
      <c r="O1527" s="7">
        <f>SUMIFS('05_상품별배치367'!$K$7:$K$373,'05_상품별배치367'!$E$7:$E$373,A1527,'05_상품별배치367'!$H$7:$H$373,"본진")</f>
        <v>0</v>
      </c>
      <c r="P1527" s="7">
        <f>SUMIFS('05_상품별배치367'!$K$7:$K$373,'05_상품별배치367'!$E$7:$E$373,A1527,'05_상품별배치367'!$H$7:$H$373,"추가 진열")</f>
        <v>0</v>
      </c>
      <c r="Q1527" s="7">
        <f>O1527+P1527</f>
        <v>0</v>
      </c>
      <c r="R1527" s="7">
        <v>1</v>
      </c>
      <c r="S1527" s="6" t="s">
        <v>2907</v>
      </c>
      <c r="T1527" s="6" t="s">
        <v>1637</v>
      </c>
      <c r="U1527" s="6"/>
      <c r="V1527" s="16"/>
      <c r="W1527" s="16"/>
      <c r="X1527" s="16"/>
      <c r="Y1527" s="6" t="s">
        <v>1627</v>
      </c>
      <c r="Z1527" s="15"/>
      <c r="AA1527" s="15" t="s">
        <v>1628</v>
      </c>
    </row>
    <row r="1528" spans="1:27" ht="33" customHeight="1">
      <c r="A1528" s="8" t="s">
        <v>5220</v>
      </c>
      <c r="B1528" s="9">
        <v>1582</v>
      </c>
      <c r="C1528" s="8" t="s">
        <v>5221</v>
      </c>
      <c r="D1528" s="8" t="s">
        <v>5222</v>
      </c>
      <c r="E1528" s="8" t="s">
        <v>1986</v>
      </c>
      <c r="F1528" s="8" t="s">
        <v>913</v>
      </c>
      <c r="G1528" s="8" t="s">
        <v>201</v>
      </c>
      <c r="H1528" s="8"/>
      <c r="I1528" s="14" t="s">
        <v>1642</v>
      </c>
      <c r="J1528" s="15"/>
      <c r="K1528" s="8" t="s">
        <v>1976</v>
      </c>
      <c r="L1528" s="8"/>
      <c r="M1528" s="6" t="s">
        <v>1643</v>
      </c>
      <c r="N1528" s="6" t="s">
        <v>1644</v>
      </c>
      <c r="O1528" s="7">
        <f>SUMIFS('05_상품별배치367'!$K$7:$K$373,'05_상품별배치367'!$E$7:$E$373,A1528,'05_상품별배치367'!$H$7:$H$373,"본진")</f>
        <v>0</v>
      </c>
      <c r="P1528" s="7">
        <f>SUMIFS('05_상품별배치367'!$K$7:$K$373,'05_상품별배치367'!$E$7:$E$373,A1528,'05_상품별배치367'!$H$7:$H$373,"추가 진열")</f>
        <v>0</v>
      </c>
      <c r="Q1528" s="7">
        <f>O1528+P1528</f>
        <v>0</v>
      </c>
      <c r="R1528" s="7">
        <v>1</v>
      </c>
      <c r="S1528" s="6" t="s">
        <v>2907</v>
      </c>
      <c r="T1528" s="6" t="s">
        <v>1637</v>
      </c>
      <c r="U1528" s="6"/>
      <c r="V1528" s="16"/>
      <c r="W1528" s="16"/>
      <c r="X1528" s="16"/>
      <c r="Y1528" s="6" t="s">
        <v>1627</v>
      </c>
      <c r="Z1528" s="15"/>
      <c r="AA1528" s="15" t="s">
        <v>1628</v>
      </c>
    </row>
    <row r="1529" spans="1:27" ht="33" customHeight="1">
      <c r="A1529" s="6" t="s">
        <v>5223</v>
      </c>
      <c r="B1529" s="7">
        <v>1583</v>
      </c>
      <c r="C1529" s="6" t="s">
        <v>5224</v>
      </c>
      <c r="D1529" s="6" t="s">
        <v>2007</v>
      </c>
      <c r="E1529" s="6" t="s">
        <v>1986</v>
      </c>
      <c r="F1529" s="6" t="s">
        <v>913</v>
      </c>
      <c r="G1529" s="6" t="s">
        <v>201</v>
      </c>
      <c r="H1529" s="6"/>
      <c r="I1529" s="14" t="s">
        <v>1642</v>
      </c>
      <c r="J1529" s="15"/>
      <c r="K1529" s="6" t="s">
        <v>1976</v>
      </c>
      <c r="L1529" s="6"/>
      <c r="M1529" s="6" t="s">
        <v>1643</v>
      </c>
      <c r="N1529" s="6" t="s">
        <v>1644</v>
      </c>
      <c r="O1529" s="7">
        <f>SUMIFS('05_상품별배치367'!$K$7:$K$373,'05_상품별배치367'!$E$7:$E$373,A1529,'05_상품별배치367'!$H$7:$H$373,"본진")</f>
        <v>0</v>
      </c>
      <c r="P1529" s="7">
        <f>SUMIFS('05_상품별배치367'!$K$7:$K$373,'05_상품별배치367'!$E$7:$E$373,A1529,'05_상품별배치367'!$H$7:$H$373,"추가 진열")</f>
        <v>0</v>
      </c>
      <c r="Q1529" s="7">
        <f>O1529+P1529</f>
        <v>0</v>
      </c>
      <c r="R1529" s="7">
        <v>1</v>
      </c>
      <c r="S1529" s="6" t="s">
        <v>2907</v>
      </c>
      <c r="T1529" s="6" t="s">
        <v>1637</v>
      </c>
      <c r="U1529" s="6"/>
      <c r="V1529" s="16"/>
      <c r="W1529" s="16"/>
      <c r="X1529" s="16"/>
      <c r="Y1529" s="6" t="s">
        <v>1627</v>
      </c>
      <c r="Z1529" s="15"/>
      <c r="AA1529" s="15" t="s">
        <v>1628</v>
      </c>
    </row>
    <row r="1530" spans="1:27" ht="33" customHeight="1">
      <c r="A1530" s="6" t="s">
        <v>5214</v>
      </c>
      <c r="B1530" s="7">
        <v>1579</v>
      </c>
      <c r="C1530" s="6" t="s">
        <v>5215</v>
      </c>
      <c r="D1530" s="6" t="s">
        <v>1851</v>
      </c>
      <c r="E1530" s="6" t="s">
        <v>2134</v>
      </c>
      <c r="F1530" s="6" t="s">
        <v>163</v>
      </c>
      <c r="G1530" s="6" t="s">
        <v>414</v>
      </c>
      <c r="H1530" s="6"/>
      <c r="I1530" s="14" t="s">
        <v>1642</v>
      </c>
      <c r="J1530" s="15"/>
      <c r="K1530" s="6" t="s">
        <v>1976</v>
      </c>
      <c r="L1530" s="6"/>
      <c r="M1530" s="6" t="s">
        <v>1643</v>
      </c>
      <c r="N1530" s="6" t="s">
        <v>1644</v>
      </c>
      <c r="O1530" s="7">
        <f>SUMIFS('05_상품별배치367'!$K$7:$K$373,'05_상품별배치367'!$E$7:$E$373,A1530,'05_상품별배치367'!$H$7:$H$373,"본진")</f>
        <v>0</v>
      </c>
      <c r="P1530" s="7">
        <f>SUMIFS('05_상품별배치367'!$K$7:$K$373,'05_상품별배치367'!$E$7:$E$373,A1530,'05_상품별배치367'!$H$7:$H$373,"추가 진열")</f>
        <v>0</v>
      </c>
      <c r="Q1530" s="7">
        <f>O1530+P1530</f>
        <v>0</v>
      </c>
      <c r="R1530" s="7">
        <v>1</v>
      </c>
      <c r="S1530" s="6" t="s">
        <v>3048</v>
      </c>
      <c r="T1530" s="6" t="s">
        <v>1637</v>
      </c>
      <c r="U1530" s="6"/>
      <c r="V1530" s="16"/>
      <c r="W1530" s="16"/>
      <c r="X1530" s="16"/>
      <c r="Y1530" s="6" t="s">
        <v>1627</v>
      </c>
      <c r="Z1530" s="15"/>
      <c r="AA1530" s="15" t="s">
        <v>1628</v>
      </c>
    </row>
    <row r="1531" spans="1:27" ht="33" customHeight="1">
      <c r="A1531" s="8" t="s">
        <v>5212</v>
      </c>
      <c r="B1531" s="9">
        <v>1578</v>
      </c>
      <c r="C1531" s="8" t="s">
        <v>5213</v>
      </c>
      <c r="D1531" s="8" t="s">
        <v>3338</v>
      </c>
      <c r="E1531" s="8" t="s">
        <v>2134</v>
      </c>
      <c r="F1531" s="8" t="s">
        <v>163</v>
      </c>
      <c r="G1531" s="8" t="s">
        <v>414</v>
      </c>
      <c r="H1531" s="8"/>
      <c r="I1531" s="14" t="s">
        <v>1642</v>
      </c>
      <c r="J1531" s="15"/>
      <c r="K1531" s="8" t="s">
        <v>1976</v>
      </c>
      <c r="L1531" s="8"/>
      <c r="M1531" s="6" t="s">
        <v>1643</v>
      </c>
      <c r="N1531" s="6" t="s">
        <v>1644</v>
      </c>
      <c r="O1531" s="7">
        <f>SUMIFS('05_상품별배치367'!$K$7:$K$373,'05_상품별배치367'!$E$7:$E$373,A1531,'05_상품별배치367'!$H$7:$H$373,"본진")</f>
        <v>0</v>
      </c>
      <c r="P1531" s="7">
        <f>SUMIFS('05_상품별배치367'!$K$7:$K$373,'05_상품별배치367'!$E$7:$E$373,A1531,'05_상품별배치367'!$H$7:$H$373,"추가 진열")</f>
        <v>0</v>
      </c>
      <c r="Q1531" s="7">
        <f>O1531+P1531</f>
        <v>0</v>
      </c>
      <c r="R1531" s="7">
        <v>1</v>
      </c>
      <c r="S1531" s="6" t="s">
        <v>3048</v>
      </c>
      <c r="T1531" s="6" t="s">
        <v>1637</v>
      </c>
      <c r="U1531" s="6"/>
      <c r="V1531" s="16"/>
      <c r="W1531" s="16"/>
      <c r="X1531" s="16"/>
      <c r="Y1531" s="6" t="s">
        <v>1627</v>
      </c>
      <c r="Z1531" s="15"/>
      <c r="AA1531" s="15" t="s">
        <v>1628</v>
      </c>
    </row>
    <row r="1532" spans="1:27" ht="33" customHeight="1">
      <c r="A1532" s="6" t="s">
        <v>5210</v>
      </c>
      <c r="B1532" s="7">
        <v>1577</v>
      </c>
      <c r="C1532" s="6" t="s">
        <v>5211</v>
      </c>
      <c r="D1532" s="6" t="s">
        <v>3055</v>
      </c>
      <c r="E1532" s="6" t="s">
        <v>2134</v>
      </c>
      <c r="F1532" s="6" t="s">
        <v>163</v>
      </c>
      <c r="G1532" s="6" t="s">
        <v>414</v>
      </c>
      <c r="H1532" s="6"/>
      <c r="I1532" s="14" t="s">
        <v>1642</v>
      </c>
      <c r="J1532" s="15"/>
      <c r="K1532" s="6" t="s">
        <v>1976</v>
      </c>
      <c r="L1532" s="6"/>
      <c r="M1532" s="6" t="s">
        <v>1643</v>
      </c>
      <c r="N1532" s="6" t="s">
        <v>1644</v>
      </c>
      <c r="O1532" s="7">
        <f>SUMIFS('05_상품별배치367'!$K$7:$K$373,'05_상품별배치367'!$E$7:$E$373,A1532,'05_상품별배치367'!$H$7:$H$373,"본진")</f>
        <v>0</v>
      </c>
      <c r="P1532" s="7">
        <f>SUMIFS('05_상품별배치367'!$K$7:$K$373,'05_상품별배치367'!$E$7:$E$373,A1532,'05_상품별배치367'!$H$7:$H$373,"추가 진열")</f>
        <v>0</v>
      </c>
      <c r="Q1532" s="7">
        <f>O1532+P1532</f>
        <v>0</v>
      </c>
      <c r="R1532" s="7">
        <v>1</v>
      </c>
      <c r="S1532" s="6" t="s">
        <v>3048</v>
      </c>
      <c r="T1532" s="6" t="s">
        <v>1637</v>
      </c>
      <c r="U1532" s="6"/>
      <c r="V1532" s="16"/>
      <c r="W1532" s="16"/>
      <c r="X1532" s="16"/>
      <c r="Y1532" s="6" t="s">
        <v>1627</v>
      </c>
      <c r="Z1532" s="15"/>
      <c r="AA1532" s="15" t="s">
        <v>1628</v>
      </c>
    </row>
    <row r="1533" spans="1:27" ht="33" customHeight="1">
      <c r="A1533" s="6" t="s">
        <v>5245</v>
      </c>
      <c r="B1533" s="7">
        <v>1593</v>
      </c>
      <c r="C1533" s="6" t="s">
        <v>5246</v>
      </c>
      <c r="D1533" s="6" t="s">
        <v>3150</v>
      </c>
      <c r="E1533" s="6" t="s">
        <v>2134</v>
      </c>
      <c r="F1533" s="6" t="s">
        <v>163</v>
      </c>
      <c r="G1533" s="6" t="s">
        <v>414</v>
      </c>
      <c r="H1533" s="6"/>
      <c r="I1533" s="14" t="s">
        <v>1642</v>
      </c>
      <c r="J1533" s="15"/>
      <c r="K1533" s="6" t="s">
        <v>1976</v>
      </c>
      <c r="L1533" s="6"/>
      <c r="M1533" s="6" t="s">
        <v>1643</v>
      </c>
      <c r="N1533" s="6" t="s">
        <v>1644</v>
      </c>
      <c r="O1533" s="7">
        <f>SUMIFS('05_상품별배치367'!$K$7:$K$373,'05_상품별배치367'!$E$7:$E$373,A1533,'05_상품별배치367'!$H$7:$H$373,"본진")</f>
        <v>0</v>
      </c>
      <c r="P1533" s="7">
        <f>SUMIFS('05_상품별배치367'!$K$7:$K$373,'05_상품별배치367'!$E$7:$E$373,A1533,'05_상품별배치367'!$H$7:$H$373,"추가 진열")</f>
        <v>0</v>
      </c>
      <c r="Q1533" s="7">
        <f>O1533+P1533</f>
        <v>0</v>
      </c>
      <c r="R1533" s="7">
        <v>1</v>
      </c>
      <c r="S1533" s="6" t="s">
        <v>3048</v>
      </c>
      <c r="T1533" s="6" t="s">
        <v>1637</v>
      </c>
      <c r="U1533" s="6"/>
      <c r="V1533" s="16"/>
      <c r="W1533" s="16"/>
      <c r="X1533" s="16"/>
      <c r="Y1533" s="6" t="s">
        <v>1627</v>
      </c>
      <c r="Z1533" s="15"/>
      <c r="AA1533" s="15" t="s">
        <v>1628</v>
      </c>
    </row>
    <row r="1534" spans="1:27" ht="33" customHeight="1">
      <c r="A1534" s="8" t="s">
        <v>5216</v>
      </c>
      <c r="B1534" s="9">
        <v>1580</v>
      </c>
      <c r="C1534" s="8" t="s">
        <v>5217</v>
      </c>
      <c r="D1534" s="8" t="s">
        <v>4179</v>
      </c>
      <c r="E1534" s="8" t="s">
        <v>1814</v>
      </c>
      <c r="F1534" s="8" t="s">
        <v>1376</v>
      </c>
      <c r="G1534" s="8" t="s">
        <v>431</v>
      </c>
      <c r="H1534" s="8"/>
      <c r="I1534" s="14" t="s">
        <v>1642</v>
      </c>
      <c r="J1534" s="15"/>
      <c r="K1534" s="8" t="s">
        <v>1976</v>
      </c>
      <c r="L1534" s="8"/>
      <c r="M1534" s="6" t="s">
        <v>1643</v>
      </c>
      <c r="N1534" s="6" t="s">
        <v>1644</v>
      </c>
      <c r="O1534" s="7">
        <f>SUMIFS('05_상품별배치367'!$K$7:$K$373,'05_상품별배치367'!$E$7:$E$373,A1534,'05_상품별배치367'!$H$7:$H$373,"본진")</f>
        <v>0</v>
      </c>
      <c r="P1534" s="7">
        <f>SUMIFS('05_상품별배치367'!$K$7:$K$373,'05_상품별배치367'!$E$7:$E$373,A1534,'05_상품별배치367'!$H$7:$H$373,"추가 진열")</f>
        <v>0</v>
      </c>
      <c r="Q1534" s="7">
        <f>O1534+P1534</f>
        <v>0</v>
      </c>
      <c r="R1534" s="7">
        <v>1</v>
      </c>
      <c r="S1534" s="6" t="s">
        <v>1978</v>
      </c>
      <c r="T1534" s="6" t="s">
        <v>1637</v>
      </c>
      <c r="U1534" s="6"/>
      <c r="V1534" s="16"/>
      <c r="W1534" s="16"/>
      <c r="X1534" s="16"/>
      <c r="Y1534" s="6" t="s">
        <v>1627</v>
      </c>
      <c r="Z1534" s="15"/>
      <c r="AA1534" s="15" t="s">
        <v>1628</v>
      </c>
    </row>
    <row r="1535" spans="1:27" ht="33" customHeight="1">
      <c r="A1535" s="8" t="s">
        <v>5229</v>
      </c>
      <c r="B1535" s="9">
        <v>1586</v>
      </c>
      <c r="C1535" s="8" t="s">
        <v>5230</v>
      </c>
      <c r="D1535" s="8" t="s">
        <v>3055</v>
      </c>
      <c r="E1535" s="8" t="s">
        <v>2134</v>
      </c>
      <c r="F1535" s="8" t="s">
        <v>163</v>
      </c>
      <c r="G1535" s="8" t="s">
        <v>414</v>
      </c>
      <c r="H1535" s="8"/>
      <c r="I1535" s="14" t="s">
        <v>1642</v>
      </c>
      <c r="J1535" s="15"/>
      <c r="K1535" s="8" t="s">
        <v>1976</v>
      </c>
      <c r="L1535" s="8"/>
      <c r="M1535" s="6" t="s">
        <v>1643</v>
      </c>
      <c r="N1535" s="6" t="s">
        <v>1644</v>
      </c>
      <c r="O1535" s="7">
        <f>SUMIFS('05_상품별배치367'!$K$7:$K$373,'05_상품별배치367'!$E$7:$E$373,A1535,'05_상품별배치367'!$H$7:$H$373,"본진")</f>
        <v>0</v>
      </c>
      <c r="P1535" s="7">
        <f>SUMIFS('05_상품별배치367'!$K$7:$K$373,'05_상품별배치367'!$E$7:$E$373,A1535,'05_상품별배치367'!$H$7:$H$373,"추가 진열")</f>
        <v>0</v>
      </c>
      <c r="Q1535" s="7">
        <f>O1535+P1535</f>
        <v>0</v>
      </c>
      <c r="R1535" s="7">
        <v>1</v>
      </c>
      <c r="S1535" s="6" t="s">
        <v>3048</v>
      </c>
      <c r="T1535" s="6" t="s">
        <v>1637</v>
      </c>
      <c r="U1535" s="6"/>
      <c r="V1535" s="16"/>
      <c r="W1535" s="16"/>
      <c r="X1535" s="16"/>
      <c r="Y1535" s="6" t="s">
        <v>1627</v>
      </c>
      <c r="Z1535" s="15"/>
      <c r="AA1535" s="15" t="s">
        <v>1628</v>
      </c>
    </row>
    <row r="1536" spans="1:27" ht="33" customHeight="1">
      <c r="A1536" s="6" t="s">
        <v>5227</v>
      </c>
      <c r="B1536" s="7">
        <v>1585</v>
      </c>
      <c r="C1536" s="6" t="s">
        <v>5228</v>
      </c>
      <c r="D1536" s="6" t="s">
        <v>3030</v>
      </c>
      <c r="E1536" s="6" t="s">
        <v>2134</v>
      </c>
      <c r="F1536" s="6" t="s">
        <v>163</v>
      </c>
      <c r="G1536" s="6" t="s">
        <v>414</v>
      </c>
      <c r="H1536" s="6"/>
      <c r="I1536" s="14" t="s">
        <v>1642</v>
      </c>
      <c r="J1536" s="15"/>
      <c r="K1536" s="6" t="s">
        <v>1976</v>
      </c>
      <c r="L1536" s="6"/>
      <c r="M1536" s="6" t="s">
        <v>1643</v>
      </c>
      <c r="N1536" s="6" t="s">
        <v>1644</v>
      </c>
      <c r="O1536" s="7">
        <f>SUMIFS('05_상품별배치367'!$K$7:$K$373,'05_상품별배치367'!$E$7:$E$373,A1536,'05_상품별배치367'!$H$7:$H$373,"본진")</f>
        <v>0</v>
      </c>
      <c r="P1536" s="7">
        <f>SUMIFS('05_상품별배치367'!$K$7:$K$373,'05_상품별배치367'!$E$7:$E$373,A1536,'05_상품별배치367'!$H$7:$H$373,"추가 진열")</f>
        <v>0</v>
      </c>
      <c r="Q1536" s="7">
        <f>O1536+P1536</f>
        <v>0</v>
      </c>
      <c r="R1536" s="7">
        <v>1</v>
      </c>
      <c r="S1536" s="6" t="s">
        <v>3048</v>
      </c>
      <c r="T1536" s="6" t="s">
        <v>1637</v>
      </c>
      <c r="U1536" s="6"/>
      <c r="V1536" s="16"/>
      <c r="W1536" s="16"/>
      <c r="X1536" s="16"/>
      <c r="Y1536" s="6" t="s">
        <v>1627</v>
      </c>
      <c r="Z1536" s="15"/>
      <c r="AA1536" s="15" t="s">
        <v>1628</v>
      </c>
    </row>
    <row r="1537" spans="1:27" ht="33" customHeight="1">
      <c r="A1537" s="6" t="s">
        <v>5231</v>
      </c>
      <c r="B1537" s="7">
        <v>1587</v>
      </c>
      <c r="C1537" s="6" t="s">
        <v>5232</v>
      </c>
      <c r="D1537" s="6" t="s">
        <v>5233</v>
      </c>
      <c r="E1537" s="6" t="s">
        <v>2134</v>
      </c>
      <c r="F1537" s="6" t="s">
        <v>162</v>
      </c>
      <c r="G1537" s="6" t="s">
        <v>404</v>
      </c>
      <c r="H1537" s="6"/>
      <c r="I1537" s="14" t="s">
        <v>1642</v>
      </c>
      <c r="J1537" s="15"/>
      <c r="K1537" s="6" t="s">
        <v>1976</v>
      </c>
      <c r="L1537" s="6"/>
      <c r="M1537" s="6" t="s">
        <v>1643</v>
      </c>
      <c r="N1537" s="6" t="s">
        <v>1644</v>
      </c>
      <c r="O1537" s="7">
        <f>SUMIFS('05_상품별배치367'!$K$7:$K$373,'05_상품별배치367'!$E$7:$E$373,A1537,'05_상품별배치367'!$H$7:$H$373,"본진")</f>
        <v>0</v>
      </c>
      <c r="P1537" s="7">
        <f>SUMIFS('05_상품별배치367'!$K$7:$K$373,'05_상품별배치367'!$E$7:$E$373,A1537,'05_상품별배치367'!$H$7:$H$373,"추가 진열")</f>
        <v>0</v>
      </c>
      <c r="Q1537" s="7">
        <f>O1537+P1537</f>
        <v>0</v>
      </c>
      <c r="R1537" s="7">
        <v>1</v>
      </c>
      <c r="S1537" s="6" t="s">
        <v>2996</v>
      </c>
      <c r="T1537" s="6" t="s">
        <v>1637</v>
      </c>
      <c r="U1537" s="6"/>
      <c r="V1537" s="16"/>
      <c r="W1537" s="16"/>
      <c r="X1537" s="16"/>
      <c r="Y1537" s="6" t="s">
        <v>1627</v>
      </c>
      <c r="Z1537" s="15"/>
      <c r="AA1537" s="15" t="s">
        <v>1628</v>
      </c>
    </row>
    <row r="1538" spans="1:27" ht="33" customHeight="1">
      <c r="A1538" s="8" t="s">
        <v>5239</v>
      </c>
      <c r="B1538" s="9">
        <v>1590</v>
      </c>
      <c r="C1538" s="8" t="s">
        <v>5240</v>
      </c>
      <c r="D1538" s="8" t="s">
        <v>2133</v>
      </c>
      <c r="E1538" s="8" t="s">
        <v>2134</v>
      </c>
      <c r="F1538" s="8" t="s">
        <v>1081</v>
      </c>
      <c r="G1538" s="8" t="s">
        <v>290</v>
      </c>
      <c r="H1538" s="8"/>
      <c r="I1538" s="14" t="s">
        <v>1642</v>
      </c>
      <c r="J1538" s="15"/>
      <c r="K1538" s="8" t="s">
        <v>1976</v>
      </c>
      <c r="L1538" s="8"/>
      <c r="M1538" s="6" t="s">
        <v>1643</v>
      </c>
      <c r="N1538" s="6" t="s">
        <v>1644</v>
      </c>
      <c r="O1538" s="7">
        <f>SUMIFS('05_상품별배치367'!$K$7:$K$373,'05_상품별배치367'!$E$7:$E$373,A1538,'05_상품별배치367'!$H$7:$H$373,"본진")</f>
        <v>0</v>
      </c>
      <c r="P1538" s="7">
        <f>SUMIFS('05_상품별배치367'!$K$7:$K$373,'05_상품별배치367'!$E$7:$E$373,A1538,'05_상품별배치367'!$H$7:$H$373,"추가 진열")</f>
        <v>0</v>
      </c>
      <c r="Q1538" s="7">
        <f>O1538+P1538</f>
        <v>0</v>
      </c>
      <c r="R1538" s="7">
        <v>1</v>
      </c>
      <c r="S1538" s="6" t="s">
        <v>2135</v>
      </c>
      <c r="T1538" s="6" t="s">
        <v>1637</v>
      </c>
      <c r="U1538" s="6"/>
      <c r="V1538" s="16"/>
      <c r="W1538" s="16"/>
      <c r="X1538" s="16"/>
      <c r="Y1538" s="6" t="s">
        <v>1627</v>
      </c>
      <c r="Z1538" s="15"/>
      <c r="AA1538" s="15" t="s">
        <v>1628</v>
      </c>
    </row>
    <row r="1539" spans="1:27" ht="33" customHeight="1">
      <c r="A1539" s="8" t="s">
        <v>5243</v>
      </c>
      <c r="B1539" s="9">
        <v>1592</v>
      </c>
      <c r="C1539" s="8" t="s">
        <v>5244</v>
      </c>
      <c r="D1539" s="8" t="s">
        <v>1658</v>
      </c>
      <c r="E1539" s="8" t="s">
        <v>2134</v>
      </c>
      <c r="F1539" s="8" t="s">
        <v>1081</v>
      </c>
      <c r="G1539" s="8" t="s">
        <v>290</v>
      </c>
      <c r="H1539" s="8"/>
      <c r="I1539" s="14" t="s">
        <v>1642</v>
      </c>
      <c r="J1539" s="15"/>
      <c r="K1539" s="8" t="s">
        <v>1976</v>
      </c>
      <c r="L1539" s="8"/>
      <c r="M1539" s="6" t="s">
        <v>1643</v>
      </c>
      <c r="N1539" s="6" t="s">
        <v>1644</v>
      </c>
      <c r="O1539" s="7">
        <f>SUMIFS('05_상품별배치367'!$K$7:$K$373,'05_상품별배치367'!$E$7:$E$373,A1539,'05_상품별배치367'!$H$7:$H$373,"본진")</f>
        <v>0</v>
      </c>
      <c r="P1539" s="7">
        <f>SUMIFS('05_상품별배치367'!$K$7:$K$373,'05_상품별배치367'!$E$7:$E$373,A1539,'05_상품별배치367'!$H$7:$H$373,"추가 진열")</f>
        <v>0</v>
      </c>
      <c r="Q1539" s="7">
        <f>O1539+P1539</f>
        <v>0</v>
      </c>
      <c r="R1539" s="7">
        <v>1</v>
      </c>
      <c r="S1539" s="6" t="s">
        <v>2135</v>
      </c>
      <c r="T1539" s="6" t="s">
        <v>1637</v>
      </c>
      <c r="U1539" s="6"/>
      <c r="V1539" s="16"/>
      <c r="W1539" s="16"/>
      <c r="X1539" s="16"/>
      <c r="Y1539" s="6" t="s">
        <v>1627</v>
      </c>
      <c r="Z1539" s="15"/>
      <c r="AA1539" s="15" t="s">
        <v>1628</v>
      </c>
    </row>
    <row r="1540" spans="1:27" ht="33" customHeight="1">
      <c r="A1540" s="6" t="s">
        <v>5876</v>
      </c>
      <c r="B1540" s="7">
        <v>1893</v>
      </c>
      <c r="C1540" s="6" t="s">
        <v>5877</v>
      </c>
      <c r="D1540" s="6" t="s">
        <v>1724</v>
      </c>
      <c r="E1540" s="6" t="s">
        <v>1632</v>
      </c>
      <c r="F1540" s="6" t="s">
        <v>1014</v>
      </c>
      <c r="G1540" s="6" t="s">
        <v>254</v>
      </c>
      <c r="H1540" s="6" t="s">
        <v>1015</v>
      </c>
      <c r="I1540" s="14" t="s">
        <v>1621</v>
      </c>
      <c r="J1540" s="15"/>
      <c r="K1540" s="6" t="s">
        <v>1634</v>
      </c>
      <c r="L1540" s="6" t="s">
        <v>3828</v>
      </c>
      <c r="M1540" s="6" t="s">
        <v>1623</v>
      </c>
      <c r="N1540" s="6" t="s">
        <v>1624</v>
      </c>
      <c r="O1540" s="7">
        <f>SUMIFS('05_상품별배치367'!$K$7:$K$373,'05_상품별배치367'!$E$7:$E$373,A1540,'05_상품별배치367'!$H$7:$H$373,"본진")</f>
        <v>1</v>
      </c>
      <c r="P1540" s="7">
        <f>SUMIFS('05_상품별배치367'!$K$7:$K$373,'05_상품별배치367'!$E$7:$E$373,A1540,'05_상품별배치367'!$H$7:$H$373,"추가 진열")</f>
        <v>0</v>
      </c>
      <c r="Q1540" s="7">
        <f>O1540+P1540</f>
        <v>1</v>
      </c>
      <c r="R1540" s="7">
        <v>1</v>
      </c>
      <c r="S1540" s="6" t="s">
        <v>1625</v>
      </c>
      <c r="T1540" s="6" t="s">
        <v>1637</v>
      </c>
      <c r="U1540" s="6"/>
      <c r="V1540" s="16"/>
      <c r="W1540" s="16"/>
      <c r="X1540" s="16"/>
      <c r="Y1540" s="6" t="s">
        <v>1627</v>
      </c>
      <c r="Z1540" s="15"/>
      <c r="AA1540" s="15" t="s">
        <v>1628</v>
      </c>
    </row>
    <row r="1541" spans="1:27" ht="33" customHeight="1">
      <c r="A1541" s="6" t="s">
        <v>5905</v>
      </c>
      <c r="B1541" s="7">
        <v>1907</v>
      </c>
      <c r="C1541" s="6" t="s">
        <v>5906</v>
      </c>
      <c r="D1541" s="6" t="s">
        <v>1724</v>
      </c>
      <c r="E1541" s="6" t="s">
        <v>1632</v>
      </c>
      <c r="F1541" s="6" t="s">
        <v>1014</v>
      </c>
      <c r="G1541" s="6" t="s">
        <v>254</v>
      </c>
      <c r="H1541" s="6"/>
      <c r="I1541" s="14" t="s">
        <v>1642</v>
      </c>
      <c r="J1541" s="15"/>
      <c r="K1541" s="6" t="s">
        <v>1634</v>
      </c>
      <c r="L1541" s="6" t="s">
        <v>3828</v>
      </c>
      <c r="M1541" s="6" t="s">
        <v>1643</v>
      </c>
      <c r="N1541" s="6" t="s">
        <v>1624</v>
      </c>
      <c r="O1541" s="7">
        <f>SUMIFS('05_상품별배치367'!$K$7:$K$373,'05_상품별배치367'!$E$7:$E$373,A1541,'05_상품별배치367'!$H$7:$H$373,"본진")</f>
        <v>0</v>
      </c>
      <c r="P1541" s="7">
        <f>SUMIFS('05_상품별배치367'!$K$7:$K$373,'05_상품별배치367'!$E$7:$E$373,A1541,'05_상품별배치367'!$H$7:$H$373,"추가 진열")</f>
        <v>0</v>
      </c>
      <c r="Q1541" s="7">
        <f>O1541+P1541</f>
        <v>0</v>
      </c>
      <c r="R1541" s="7">
        <v>1</v>
      </c>
      <c r="S1541" s="6" t="s">
        <v>1725</v>
      </c>
      <c r="T1541" s="6" t="s">
        <v>1637</v>
      </c>
      <c r="U1541" s="6"/>
      <c r="V1541" s="16"/>
      <c r="W1541" s="16"/>
      <c r="X1541" s="16"/>
      <c r="Y1541" s="6" t="s">
        <v>1627</v>
      </c>
      <c r="Z1541" s="15"/>
      <c r="AA1541" s="15" t="s">
        <v>1628</v>
      </c>
    </row>
    <row r="1542" spans="1:27" ht="33" customHeight="1">
      <c r="A1542" s="6" t="s">
        <v>3826</v>
      </c>
      <c r="B1542" s="7">
        <v>927</v>
      </c>
      <c r="C1542" s="6" t="s">
        <v>3827</v>
      </c>
      <c r="D1542" s="6" t="s">
        <v>1658</v>
      </c>
      <c r="E1542" s="6" t="s">
        <v>1986</v>
      </c>
      <c r="F1542" s="6" t="s">
        <v>1276</v>
      </c>
      <c r="G1542" s="6" t="s">
        <v>1987</v>
      </c>
      <c r="H1542" s="6"/>
      <c r="I1542" s="14" t="s">
        <v>1642</v>
      </c>
      <c r="J1542" s="15"/>
      <c r="K1542" s="6" t="s">
        <v>1976</v>
      </c>
      <c r="L1542" s="6" t="s">
        <v>3828</v>
      </c>
      <c r="M1542" s="6" t="s">
        <v>1643</v>
      </c>
      <c r="N1542" s="6" t="s">
        <v>1644</v>
      </c>
      <c r="O1542" s="7">
        <f>SUMIFS('05_상품별배치367'!$K$7:$K$373,'05_상품별배치367'!$E$7:$E$373,A1542,'05_상품별배치367'!$H$7:$H$373,"본진")</f>
        <v>0</v>
      </c>
      <c r="P1542" s="7">
        <f>SUMIFS('05_상품별배치367'!$K$7:$K$373,'05_상품별배치367'!$E$7:$E$373,A1542,'05_상품별배치367'!$H$7:$H$373,"추가 진열")</f>
        <v>0</v>
      </c>
      <c r="Q1542" s="7">
        <f>O1542+P1542</f>
        <v>0</v>
      </c>
      <c r="R1542" s="7">
        <v>1</v>
      </c>
      <c r="S1542" s="6" t="s">
        <v>1988</v>
      </c>
      <c r="T1542" s="6" t="s">
        <v>1637</v>
      </c>
      <c r="U1542" s="6"/>
      <c r="V1542" s="16"/>
      <c r="W1542" s="16"/>
      <c r="X1542" s="16"/>
      <c r="Y1542" s="6" t="s">
        <v>1627</v>
      </c>
      <c r="Z1542" s="15"/>
      <c r="AA1542" s="15" t="s">
        <v>1628</v>
      </c>
    </row>
    <row r="1543" spans="1:27" ht="33" customHeight="1">
      <c r="A1543" s="8" t="s">
        <v>3820</v>
      </c>
      <c r="B1543" s="9">
        <v>924</v>
      </c>
      <c r="C1543" s="8" t="s">
        <v>3821</v>
      </c>
      <c r="D1543" s="8" t="s">
        <v>1851</v>
      </c>
      <c r="E1543" s="8" t="s">
        <v>2134</v>
      </c>
      <c r="F1543" s="8" t="s">
        <v>2933</v>
      </c>
      <c r="G1543" s="8" t="s">
        <v>1668</v>
      </c>
      <c r="H1543" s="8"/>
      <c r="I1543" s="14" t="s">
        <v>1807</v>
      </c>
      <c r="J1543" s="15"/>
      <c r="K1543" s="8" t="s">
        <v>1976</v>
      </c>
      <c r="L1543" s="8" t="s">
        <v>2032</v>
      </c>
      <c r="M1543" s="6" t="s">
        <v>1809</v>
      </c>
      <c r="N1543" s="6" t="s">
        <v>1644</v>
      </c>
      <c r="O1543" s="7">
        <f>SUMIFS('05_상품별배치367'!$K$7:$K$373,'05_상품별배치367'!$E$7:$E$373,A1543,'05_상품별배치367'!$H$7:$H$373,"본진")</f>
        <v>0</v>
      </c>
      <c r="P1543" s="7">
        <f>SUMIFS('05_상품별배치367'!$K$7:$K$373,'05_상품별배치367'!$E$7:$E$373,A1543,'05_상품별배치367'!$H$7:$H$373,"추가 진열")</f>
        <v>0</v>
      </c>
      <c r="Q1543" s="7">
        <f>O1543+P1543</f>
        <v>0</v>
      </c>
      <c r="R1543" s="7">
        <v>0</v>
      </c>
      <c r="S1543" s="6" t="s">
        <v>1810</v>
      </c>
      <c r="T1543" s="6" t="s">
        <v>1637</v>
      </c>
      <c r="U1543" s="6"/>
      <c r="V1543" s="16"/>
      <c r="W1543" s="16"/>
      <c r="X1543" s="16"/>
      <c r="Y1543" s="6" t="s">
        <v>1627</v>
      </c>
      <c r="Z1543" s="15"/>
      <c r="AA1543" s="15" t="s">
        <v>1628</v>
      </c>
    </row>
    <row r="1544" spans="1:27" ht="33" customHeight="1">
      <c r="A1544" s="8" t="s">
        <v>3824</v>
      </c>
      <c r="B1544" s="9">
        <v>926</v>
      </c>
      <c r="C1544" s="8" t="s">
        <v>3825</v>
      </c>
      <c r="D1544" s="8" t="s">
        <v>3600</v>
      </c>
      <c r="E1544" s="8" t="s">
        <v>2134</v>
      </c>
      <c r="F1544" s="8" t="s">
        <v>2933</v>
      </c>
      <c r="G1544" s="8" t="s">
        <v>1668</v>
      </c>
      <c r="H1544" s="8"/>
      <c r="I1544" s="14" t="s">
        <v>1807</v>
      </c>
      <c r="J1544" s="15"/>
      <c r="K1544" s="8" t="s">
        <v>1976</v>
      </c>
      <c r="L1544" s="8" t="s">
        <v>2032</v>
      </c>
      <c r="M1544" s="6" t="s">
        <v>1809</v>
      </c>
      <c r="N1544" s="6" t="s">
        <v>1644</v>
      </c>
      <c r="O1544" s="7">
        <f>SUMIFS('05_상품별배치367'!$K$7:$K$373,'05_상품별배치367'!$E$7:$E$373,A1544,'05_상품별배치367'!$H$7:$H$373,"본진")</f>
        <v>0</v>
      </c>
      <c r="P1544" s="7">
        <f>SUMIFS('05_상품별배치367'!$K$7:$K$373,'05_상품별배치367'!$E$7:$E$373,A1544,'05_상품별배치367'!$H$7:$H$373,"추가 진열")</f>
        <v>0</v>
      </c>
      <c r="Q1544" s="7">
        <f>O1544+P1544</f>
        <v>0</v>
      </c>
      <c r="R1544" s="7">
        <v>0</v>
      </c>
      <c r="S1544" s="6" t="s">
        <v>1810</v>
      </c>
      <c r="T1544" s="6" t="s">
        <v>1637</v>
      </c>
      <c r="U1544" s="6"/>
      <c r="V1544" s="16"/>
      <c r="W1544" s="16"/>
      <c r="X1544" s="16"/>
      <c r="Y1544" s="6" t="s">
        <v>1627</v>
      </c>
      <c r="Z1544" s="15"/>
      <c r="AA1544" s="15" t="s">
        <v>1628</v>
      </c>
    </row>
    <row r="1545" spans="1:27" ht="33" customHeight="1">
      <c r="A1545" s="6" t="s">
        <v>3822</v>
      </c>
      <c r="B1545" s="7">
        <v>925</v>
      </c>
      <c r="C1545" s="6" t="s">
        <v>3823</v>
      </c>
      <c r="D1545" s="6" t="s">
        <v>2133</v>
      </c>
      <c r="E1545" s="6" t="s">
        <v>2134</v>
      </c>
      <c r="F1545" s="6" t="s">
        <v>2933</v>
      </c>
      <c r="G1545" s="6" t="s">
        <v>1668</v>
      </c>
      <c r="H1545" s="6"/>
      <c r="I1545" s="14" t="s">
        <v>1807</v>
      </c>
      <c r="J1545" s="15"/>
      <c r="K1545" s="6" t="s">
        <v>1976</v>
      </c>
      <c r="L1545" s="6" t="s">
        <v>2032</v>
      </c>
      <c r="M1545" s="6" t="s">
        <v>1809</v>
      </c>
      <c r="N1545" s="6" t="s">
        <v>1644</v>
      </c>
      <c r="O1545" s="7">
        <f>SUMIFS('05_상품별배치367'!$K$7:$K$373,'05_상품별배치367'!$E$7:$E$373,A1545,'05_상품별배치367'!$H$7:$H$373,"본진")</f>
        <v>0</v>
      </c>
      <c r="P1545" s="7">
        <f>SUMIFS('05_상품별배치367'!$K$7:$K$373,'05_상품별배치367'!$E$7:$E$373,A1545,'05_상품별배치367'!$H$7:$H$373,"추가 진열")</f>
        <v>0</v>
      </c>
      <c r="Q1545" s="7">
        <f>O1545+P1545</f>
        <v>0</v>
      </c>
      <c r="R1545" s="7">
        <v>0</v>
      </c>
      <c r="S1545" s="6" t="s">
        <v>1810</v>
      </c>
      <c r="T1545" s="6" t="s">
        <v>1637</v>
      </c>
      <c r="U1545" s="6"/>
      <c r="V1545" s="16"/>
      <c r="W1545" s="16"/>
      <c r="X1545" s="16"/>
      <c r="Y1545" s="6" t="s">
        <v>1627</v>
      </c>
      <c r="Z1545" s="15"/>
      <c r="AA1545" s="15" t="s">
        <v>1628</v>
      </c>
    </row>
    <row r="1546" spans="1:27" ht="33" customHeight="1">
      <c r="A1546" s="8" t="s">
        <v>5414</v>
      </c>
      <c r="B1546" s="9">
        <v>1672</v>
      </c>
      <c r="C1546" s="8" t="s">
        <v>5415</v>
      </c>
      <c r="D1546" s="8" t="s">
        <v>3423</v>
      </c>
      <c r="E1546" s="8" t="s">
        <v>1814</v>
      </c>
      <c r="F1546" s="8" t="s">
        <v>514</v>
      </c>
      <c r="G1546" s="8" t="s">
        <v>423</v>
      </c>
      <c r="H1546" s="8"/>
      <c r="I1546" s="14" t="s">
        <v>1642</v>
      </c>
      <c r="J1546" s="15"/>
      <c r="K1546" s="8" t="s">
        <v>1976</v>
      </c>
      <c r="L1546" s="8"/>
      <c r="M1546" s="6" t="s">
        <v>1643</v>
      </c>
      <c r="N1546" s="6" t="s">
        <v>1644</v>
      </c>
      <c r="O1546" s="7">
        <f>SUMIFS('05_상품별배치367'!$K$7:$K$373,'05_상품별배치367'!$E$7:$E$373,A1546,'05_상품별배치367'!$H$7:$H$373,"본진")</f>
        <v>0</v>
      </c>
      <c r="P1546" s="7">
        <f>SUMIFS('05_상품별배치367'!$K$7:$K$373,'05_상품별배치367'!$E$7:$E$373,A1546,'05_상품별배치367'!$H$7:$H$373,"추가 진열")</f>
        <v>0</v>
      </c>
      <c r="Q1546" s="7">
        <f>O1546+P1546</f>
        <v>0</v>
      </c>
      <c r="R1546" s="7">
        <v>1</v>
      </c>
      <c r="S1546" s="6" t="s">
        <v>1991</v>
      </c>
      <c r="T1546" s="6" t="s">
        <v>1637</v>
      </c>
      <c r="U1546" s="6"/>
      <c r="V1546" s="16"/>
      <c r="W1546" s="16"/>
      <c r="X1546" s="16"/>
      <c r="Y1546" s="6" t="s">
        <v>1627</v>
      </c>
      <c r="Z1546" s="15"/>
      <c r="AA1546" s="15" t="s">
        <v>1628</v>
      </c>
    </row>
    <row r="1547" spans="1:27" ht="33" customHeight="1">
      <c r="A1547" s="6" t="s">
        <v>5396</v>
      </c>
      <c r="B1547" s="7">
        <v>1665</v>
      </c>
      <c r="C1547" s="6" t="s">
        <v>5397</v>
      </c>
      <c r="D1547" s="6" t="s">
        <v>5398</v>
      </c>
      <c r="E1547" s="6" t="s">
        <v>2746</v>
      </c>
      <c r="F1547" s="6" t="s">
        <v>5399</v>
      </c>
      <c r="G1547" s="6" t="s">
        <v>1668</v>
      </c>
      <c r="H1547" s="6"/>
      <c r="I1547" s="14" t="s">
        <v>1669</v>
      </c>
      <c r="J1547" s="15"/>
      <c r="K1547" s="6" t="s">
        <v>2748</v>
      </c>
      <c r="L1547" s="6"/>
      <c r="M1547" s="6" t="s">
        <v>1671</v>
      </c>
      <c r="N1547" s="6" t="s">
        <v>1644</v>
      </c>
      <c r="O1547" s="7">
        <f>SUMIFS('05_상품별배치367'!$K$7:$K$373,'05_상품별배치367'!$E$7:$E$373,A1547,'05_상품별배치367'!$H$7:$H$373,"본진")</f>
        <v>0</v>
      </c>
      <c r="P1547" s="7">
        <f>SUMIFS('05_상품별배치367'!$K$7:$K$373,'05_상품별배치367'!$E$7:$E$373,A1547,'05_상품별배치367'!$H$7:$H$373,"추가 진열")</f>
        <v>0</v>
      </c>
      <c r="Q1547" s="7">
        <f>O1547+P1547</f>
        <v>0</v>
      </c>
      <c r="R1547" s="7">
        <v>0</v>
      </c>
      <c r="S1547" s="6" t="s">
        <v>1672</v>
      </c>
      <c r="T1547" s="6" t="s">
        <v>1637</v>
      </c>
      <c r="U1547" s="6"/>
      <c r="V1547" s="16"/>
      <c r="W1547" s="16"/>
      <c r="X1547" s="16"/>
      <c r="Y1547" s="6" t="s">
        <v>1627</v>
      </c>
      <c r="Z1547" s="15"/>
      <c r="AA1547" s="15" t="s">
        <v>1628</v>
      </c>
    </row>
    <row r="1548" spans="1:27" ht="33" customHeight="1">
      <c r="A1548" s="8" t="s">
        <v>5400</v>
      </c>
      <c r="B1548" s="9">
        <v>1666</v>
      </c>
      <c r="C1548" s="8" t="s">
        <v>5401</v>
      </c>
      <c r="D1548" s="8" t="s">
        <v>2714</v>
      </c>
      <c r="E1548" s="8" t="s">
        <v>2134</v>
      </c>
      <c r="F1548" s="8" t="s">
        <v>162</v>
      </c>
      <c r="G1548" s="8" t="s">
        <v>404</v>
      </c>
      <c r="H1548" s="8"/>
      <c r="I1548" s="14" t="s">
        <v>1642</v>
      </c>
      <c r="J1548" s="15"/>
      <c r="K1548" s="8" t="s">
        <v>1976</v>
      </c>
      <c r="L1548" s="8"/>
      <c r="M1548" s="6" t="s">
        <v>1643</v>
      </c>
      <c r="N1548" s="6" t="s">
        <v>1644</v>
      </c>
      <c r="O1548" s="7">
        <f>SUMIFS('05_상품별배치367'!$K$7:$K$373,'05_상품별배치367'!$E$7:$E$373,A1548,'05_상품별배치367'!$H$7:$H$373,"본진")</f>
        <v>0</v>
      </c>
      <c r="P1548" s="7">
        <f>SUMIFS('05_상품별배치367'!$K$7:$K$373,'05_상품별배치367'!$E$7:$E$373,A1548,'05_상품별배치367'!$H$7:$H$373,"추가 진열")</f>
        <v>0</v>
      </c>
      <c r="Q1548" s="7">
        <f>O1548+P1548</f>
        <v>0</v>
      </c>
      <c r="R1548" s="7">
        <v>1</v>
      </c>
      <c r="S1548" s="6" t="s">
        <v>2996</v>
      </c>
      <c r="T1548" s="6" t="s">
        <v>1637</v>
      </c>
      <c r="U1548" s="6"/>
      <c r="V1548" s="16"/>
      <c r="W1548" s="16"/>
      <c r="X1548" s="16"/>
      <c r="Y1548" s="6" t="s">
        <v>1627</v>
      </c>
      <c r="Z1548" s="15"/>
      <c r="AA1548" s="15" t="s">
        <v>1628</v>
      </c>
    </row>
    <row r="1549" spans="1:27" ht="33" customHeight="1">
      <c r="A1549" s="6" t="s">
        <v>5402</v>
      </c>
      <c r="B1549" s="7">
        <v>1667</v>
      </c>
      <c r="C1549" s="6" t="s">
        <v>5403</v>
      </c>
      <c r="D1549" s="6" t="s">
        <v>5404</v>
      </c>
      <c r="E1549" s="6" t="s">
        <v>1695</v>
      </c>
      <c r="F1549" s="6" t="s">
        <v>519</v>
      </c>
      <c r="G1549" s="6" t="s">
        <v>455</v>
      </c>
      <c r="H1549" s="6"/>
      <c r="I1549" s="14" t="s">
        <v>1642</v>
      </c>
      <c r="J1549" s="15"/>
      <c r="K1549" s="6" t="s">
        <v>1696</v>
      </c>
      <c r="L1549" s="6"/>
      <c r="M1549" s="6" t="s">
        <v>1643</v>
      </c>
      <c r="N1549" s="6" t="s">
        <v>1644</v>
      </c>
      <c r="O1549" s="7">
        <f>SUMIFS('05_상품별배치367'!$K$7:$K$373,'05_상품별배치367'!$E$7:$E$373,A1549,'05_상품별배치367'!$H$7:$H$373,"본진")</f>
        <v>0</v>
      </c>
      <c r="P1549" s="7">
        <f>SUMIFS('05_상품별배치367'!$K$7:$K$373,'05_상품별배치367'!$E$7:$E$373,A1549,'05_상품별배치367'!$H$7:$H$373,"추가 진열")</f>
        <v>0</v>
      </c>
      <c r="Q1549" s="7">
        <f>O1549+P1549</f>
        <v>0</v>
      </c>
      <c r="R1549" s="7">
        <v>1</v>
      </c>
      <c r="S1549" s="6" t="s">
        <v>1938</v>
      </c>
      <c r="T1549" s="6" t="s">
        <v>1637</v>
      </c>
      <c r="U1549" s="6"/>
      <c r="V1549" s="16"/>
      <c r="W1549" s="16"/>
      <c r="X1549" s="16"/>
      <c r="Y1549" s="6" t="s">
        <v>1627</v>
      </c>
      <c r="Z1549" s="15"/>
      <c r="AA1549" s="15" t="s">
        <v>1628</v>
      </c>
    </row>
    <row r="1550" spans="1:27" ht="33" customHeight="1">
      <c r="A1550" s="6" t="s">
        <v>5408</v>
      </c>
      <c r="B1550" s="7">
        <v>1669</v>
      </c>
      <c r="C1550" s="6" t="s">
        <v>5409</v>
      </c>
      <c r="D1550" s="6" t="s">
        <v>2133</v>
      </c>
      <c r="E1550" s="6" t="s">
        <v>1986</v>
      </c>
      <c r="F1550" s="6" t="s">
        <v>493</v>
      </c>
      <c r="G1550" s="6" t="s">
        <v>299</v>
      </c>
      <c r="H1550" s="6"/>
      <c r="I1550" s="14" t="s">
        <v>1642</v>
      </c>
      <c r="J1550" s="15"/>
      <c r="K1550" s="6" t="s">
        <v>1976</v>
      </c>
      <c r="L1550" s="6"/>
      <c r="M1550" s="6" t="s">
        <v>1643</v>
      </c>
      <c r="N1550" s="6" t="s">
        <v>1644</v>
      </c>
      <c r="O1550" s="7">
        <f>SUMIFS('05_상품별배치367'!$K$7:$K$373,'05_상품별배치367'!$E$7:$E$373,A1550,'05_상품별배치367'!$H$7:$H$373,"본진")</f>
        <v>0</v>
      </c>
      <c r="P1550" s="7">
        <f>SUMIFS('05_상품별배치367'!$K$7:$K$373,'05_상품별배치367'!$E$7:$E$373,A1550,'05_상품별배치367'!$H$7:$H$373,"추가 진열")</f>
        <v>0</v>
      </c>
      <c r="Q1550" s="7">
        <f>O1550+P1550</f>
        <v>0</v>
      </c>
      <c r="R1550" s="7">
        <v>1</v>
      </c>
      <c r="S1550" s="6" t="s">
        <v>3084</v>
      </c>
      <c r="T1550" s="6" t="s">
        <v>1637</v>
      </c>
      <c r="U1550" s="6"/>
      <c r="V1550" s="16"/>
      <c r="W1550" s="16"/>
      <c r="X1550" s="16"/>
      <c r="Y1550" s="6" t="s">
        <v>1627</v>
      </c>
      <c r="Z1550" s="15"/>
      <c r="AA1550" s="15" t="s">
        <v>1628</v>
      </c>
    </row>
    <row r="1551" spans="1:27" ht="33" customHeight="1">
      <c r="A1551" s="6" t="s">
        <v>5412</v>
      </c>
      <c r="B1551" s="7">
        <v>1671</v>
      </c>
      <c r="C1551" s="6" t="s">
        <v>5413</v>
      </c>
      <c r="D1551" s="6" t="s">
        <v>1937</v>
      </c>
      <c r="E1551" s="6" t="s">
        <v>1986</v>
      </c>
      <c r="F1551" s="6" t="s">
        <v>913</v>
      </c>
      <c r="G1551" s="6" t="s">
        <v>201</v>
      </c>
      <c r="H1551" s="6"/>
      <c r="I1551" s="14" t="s">
        <v>1642</v>
      </c>
      <c r="J1551" s="15"/>
      <c r="K1551" s="6" t="s">
        <v>1976</v>
      </c>
      <c r="L1551" s="6"/>
      <c r="M1551" s="6" t="s">
        <v>1643</v>
      </c>
      <c r="N1551" s="6" t="s">
        <v>1644</v>
      </c>
      <c r="O1551" s="7">
        <f>SUMIFS('05_상품별배치367'!$K$7:$K$373,'05_상품별배치367'!$E$7:$E$373,A1551,'05_상품별배치367'!$H$7:$H$373,"본진")</f>
        <v>0</v>
      </c>
      <c r="P1551" s="7">
        <f>SUMIFS('05_상품별배치367'!$K$7:$K$373,'05_상품별배치367'!$E$7:$E$373,A1551,'05_상품별배치367'!$H$7:$H$373,"추가 진열")</f>
        <v>0</v>
      </c>
      <c r="Q1551" s="7">
        <f>O1551+P1551</f>
        <v>0</v>
      </c>
      <c r="R1551" s="7">
        <v>1</v>
      </c>
      <c r="S1551" s="6" t="s">
        <v>2907</v>
      </c>
      <c r="T1551" s="6" t="s">
        <v>1637</v>
      </c>
      <c r="U1551" s="6"/>
      <c r="V1551" s="16"/>
      <c r="W1551" s="16"/>
      <c r="X1551" s="16"/>
      <c r="Y1551" s="6" t="s">
        <v>1627</v>
      </c>
      <c r="Z1551" s="15"/>
      <c r="AA1551" s="15" t="s">
        <v>1628</v>
      </c>
    </row>
    <row r="1552" spans="1:27" ht="33" customHeight="1">
      <c r="A1552" s="8" t="s">
        <v>5405</v>
      </c>
      <c r="B1552" s="9">
        <v>1668</v>
      </c>
      <c r="C1552" s="8" t="s">
        <v>5406</v>
      </c>
      <c r="D1552" s="8" t="s">
        <v>5407</v>
      </c>
      <c r="E1552" s="8" t="s">
        <v>2134</v>
      </c>
      <c r="F1552" s="8" t="s">
        <v>161</v>
      </c>
      <c r="G1552" s="8" t="s">
        <v>395</v>
      </c>
      <c r="H1552" s="8"/>
      <c r="I1552" s="14" t="s">
        <v>1642</v>
      </c>
      <c r="J1552" s="15"/>
      <c r="K1552" s="8" t="s">
        <v>1976</v>
      </c>
      <c r="L1552" s="8"/>
      <c r="M1552" s="6" t="s">
        <v>1643</v>
      </c>
      <c r="N1552" s="6" t="s">
        <v>1644</v>
      </c>
      <c r="O1552" s="7">
        <f>SUMIFS('05_상품별배치367'!$K$7:$K$373,'05_상품별배치367'!$E$7:$E$373,A1552,'05_상품별배치367'!$H$7:$H$373,"본진")</f>
        <v>0</v>
      </c>
      <c r="P1552" s="7">
        <f>SUMIFS('05_상품별배치367'!$K$7:$K$373,'05_상품별배치367'!$E$7:$E$373,A1552,'05_상품별배치367'!$H$7:$H$373,"추가 진열")</f>
        <v>0</v>
      </c>
      <c r="Q1552" s="7">
        <f>O1552+P1552</f>
        <v>0</v>
      </c>
      <c r="R1552" s="7">
        <v>1</v>
      </c>
      <c r="S1552" s="6" t="s">
        <v>3070</v>
      </c>
      <c r="T1552" s="6" t="s">
        <v>1637</v>
      </c>
      <c r="U1552" s="6"/>
      <c r="V1552" s="16"/>
      <c r="W1552" s="16"/>
      <c r="X1552" s="16"/>
      <c r="Y1552" s="6" t="s">
        <v>1627</v>
      </c>
      <c r="Z1552" s="15"/>
      <c r="AA1552" s="15" t="s">
        <v>1628</v>
      </c>
    </row>
    <row r="1553" spans="1:27" ht="33" customHeight="1">
      <c r="A1553" s="8" t="s">
        <v>5410</v>
      </c>
      <c r="B1553" s="9">
        <v>1670</v>
      </c>
      <c r="C1553" s="8" t="s">
        <v>5411</v>
      </c>
      <c r="D1553" s="8" t="s">
        <v>1937</v>
      </c>
      <c r="E1553" s="8" t="s">
        <v>2134</v>
      </c>
      <c r="F1553" s="8" t="s">
        <v>161</v>
      </c>
      <c r="G1553" s="8" t="s">
        <v>395</v>
      </c>
      <c r="H1553" s="8"/>
      <c r="I1553" s="14" t="s">
        <v>1642</v>
      </c>
      <c r="J1553" s="15"/>
      <c r="K1553" s="8" t="s">
        <v>1976</v>
      </c>
      <c r="L1553" s="8"/>
      <c r="M1553" s="6" t="s">
        <v>1643</v>
      </c>
      <c r="N1553" s="6" t="s">
        <v>1644</v>
      </c>
      <c r="O1553" s="7">
        <f>SUMIFS('05_상품별배치367'!$K$7:$K$373,'05_상품별배치367'!$E$7:$E$373,A1553,'05_상품별배치367'!$H$7:$H$373,"본진")</f>
        <v>0</v>
      </c>
      <c r="P1553" s="7">
        <f>SUMIFS('05_상품별배치367'!$K$7:$K$373,'05_상품별배치367'!$E$7:$E$373,A1553,'05_상품별배치367'!$H$7:$H$373,"추가 진열")</f>
        <v>0</v>
      </c>
      <c r="Q1553" s="7">
        <f>O1553+P1553</f>
        <v>0</v>
      </c>
      <c r="R1553" s="7">
        <v>1</v>
      </c>
      <c r="S1553" s="6" t="s">
        <v>3070</v>
      </c>
      <c r="T1553" s="6" t="s">
        <v>1637</v>
      </c>
      <c r="U1553" s="6"/>
      <c r="V1553" s="16"/>
      <c r="W1553" s="16"/>
      <c r="X1553" s="16"/>
      <c r="Y1553" s="6" t="s">
        <v>1627</v>
      </c>
      <c r="Z1553" s="15"/>
      <c r="AA1553" s="15" t="s">
        <v>1628</v>
      </c>
    </row>
    <row r="1554" spans="1:27" ht="33" customHeight="1">
      <c r="A1554" s="8" t="s">
        <v>5444</v>
      </c>
      <c r="B1554" s="9">
        <v>1686</v>
      </c>
      <c r="C1554" s="8" t="s">
        <v>5445</v>
      </c>
      <c r="D1554" s="8" t="s">
        <v>5446</v>
      </c>
      <c r="E1554" s="8" t="s">
        <v>2134</v>
      </c>
      <c r="F1554" s="8" t="s">
        <v>2933</v>
      </c>
      <c r="G1554" s="8" t="s">
        <v>1668</v>
      </c>
      <c r="H1554" s="8"/>
      <c r="I1554" s="14" t="s">
        <v>1807</v>
      </c>
      <c r="J1554" s="15"/>
      <c r="K1554" s="8" t="s">
        <v>1976</v>
      </c>
      <c r="L1554" s="8" t="s">
        <v>2032</v>
      </c>
      <c r="M1554" s="6" t="s">
        <v>1809</v>
      </c>
      <c r="N1554" s="6" t="s">
        <v>1644</v>
      </c>
      <c r="O1554" s="7">
        <f>SUMIFS('05_상품별배치367'!$K$7:$K$373,'05_상품별배치367'!$E$7:$E$373,A1554,'05_상품별배치367'!$H$7:$H$373,"본진")</f>
        <v>0</v>
      </c>
      <c r="P1554" s="7">
        <f>SUMIFS('05_상품별배치367'!$K$7:$K$373,'05_상품별배치367'!$E$7:$E$373,A1554,'05_상품별배치367'!$H$7:$H$373,"추가 진열")</f>
        <v>0</v>
      </c>
      <c r="Q1554" s="7">
        <f>O1554+P1554</f>
        <v>0</v>
      </c>
      <c r="R1554" s="7">
        <v>0</v>
      </c>
      <c r="S1554" s="6" t="s">
        <v>1810</v>
      </c>
      <c r="T1554" s="6" t="s">
        <v>1637</v>
      </c>
      <c r="U1554" s="6"/>
      <c r="V1554" s="16"/>
      <c r="W1554" s="16"/>
      <c r="X1554" s="16"/>
      <c r="Y1554" s="6" t="s">
        <v>1627</v>
      </c>
      <c r="Z1554" s="15"/>
      <c r="AA1554" s="15" t="s">
        <v>1628</v>
      </c>
    </row>
    <row r="1555" spans="1:27" ht="33" customHeight="1">
      <c r="A1555" s="6" t="s">
        <v>5441</v>
      </c>
      <c r="B1555" s="7">
        <v>1685</v>
      </c>
      <c r="C1555" s="6" t="s">
        <v>5442</v>
      </c>
      <c r="D1555" s="6" t="s">
        <v>5443</v>
      </c>
      <c r="E1555" s="6" t="s">
        <v>1986</v>
      </c>
      <c r="F1555" s="6" t="s">
        <v>913</v>
      </c>
      <c r="G1555" s="6" t="s">
        <v>201</v>
      </c>
      <c r="H1555" s="6"/>
      <c r="I1555" s="14" t="s">
        <v>1642</v>
      </c>
      <c r="J1555" s="15"/>
      <c r="K1555" s="6" t="s">
        <v>1976</v>
      </c>
      <c r="L1555" s="6"/>
      <c r="M1555" s="6" t="s">
        <v>1643</v>
      </c>
      <c r="N1555" s="6" t="s">
        <v>1644</v>
      </c>
      <c r="O1555" s="7">
        <f>SUMIFS('05_상품별배치367'!$K$7:$K$373,'05_상품별배치367'!$E$7:$E$373,A1555,'05_상품별배치367'!$H$7:$H$373,"본진")</f>
        <v>0</v>
      </c>
      <c r="P1555" s="7">
        <f>SUMIFS('05_상품별배치367'!$K$7:$K$373,'05_상품별배치367'!$E$7:$E$373,A1555,'05_상품별배치367'!$H$7:$H$373,"추가 진열")</f>
        <v>0</v>
      </c>
      <c r="Q1555" s="7">
        <f>O1555+P1555</f>
        <v>0</v>
      </c>
      <c r="R1555" s="7">
        <v>1</v>
      </c>
      <c r="S1555" s="6" t="s">
        <v>2907</v>
      </c>
      <c r="T1555" s="6" t="s">
        <v>1637</v>
      </c>
      <c r="U1555" s="6"/>
      <c r="V1555" s="16"/>
      <c r="W1555" s="16"/>
      <c r="X1555" s="16"/>
      <c r="Y1555" s="6" t="s">
        <v>1627</v>
      </c>
      <c r="Z1555" s="15"/>
      <c r="AA1555" s="15" t="s">
        <v>1628</v>
      </c>
    </row>
    <row r="1556" spans="1:27" ht="33" customHeight="1">
      <c r="A1556" s="6" t="s">
        <v>5447</v>
      </c>
      <c r="B1556" s="7">
        <v>1687</v>
      </c>
      <c r="C1556" s="6" t="s">
        <v>5448</v>
      </c>
      <c r="D1556" s="6" t="s">
        <v>1662</v>
      </c>
      <c r="E1556" s="6" t="s">
        <v>1986</v>
      </c>
      <c r="F1556" s="6" t="s">
        <v>1276</v>
      </c>
      <c r="G1556" s="6" t="s">
        <v>1987</v>
      </c>
      <c r="H1556" s="6"/>
      <c r="I1556" s="14" t="s">
        <v>1642</v>
      </c>
      <c r="J1556" s="15"/>
      <c r="K1556" s="6" t="s">
        <v>1976</v>
      </c>
      <c r="L1556" s="6"/>
      <c r="M1556" s="6" t="s">
        <v>1643</v>
      </c>
      <c r="N1556" s="6" t="s">
        <v>1644</v>
      </c>
      <c r="O1556" s="7">
        <f>SUMIFS('05_상품별배치367'!$K$7:$K$373,'05_상품별배치367'!$E$7:$E$373,A1556,'05_상품별배치367'!$H$7:$H$373,"본진")</f>
        <v>0</v>
      </c>
      <c r="P1556" s="7">
        <f>SUMIFS('05_상품별배치367'!$K$7:$K$373,'05_상품별배치367'!$E$7:$E$373,A1556,'05_상품별배치367'!$H$7:$H$373,"추가 진열")</f>
        <v>0</v>
      </c>
      <c r="Q1556" s="7">
        <f>O1556+P1556</f>
        <v>0</v>
      </c>
      <c r="R1556" s="7">
        <v>1</v>
      </c>
      <c r="S1556" s="6" t="s">
        <v>1988</v>
      </c>
      <c r="T1556" s="6" t="s">
        <v>1637</v>
      </c>
      <c r="U1556" s="6"/>
      <c r="V1556" s="16"/>
      <c r="W1556" s="16"/>
      <c r="X1556" s="16"/>
      <c r="Y1556" s="6" t="s">
        <v>1627</v>
      </c>
      <c r="Z1556" s="15"/>
      <c r="AA1556" s="15" t="s">
        <v>1628</v>
      </c>
    </row>
    <row r="1557" spans="1:27" ht="33" customHeight="1">
      <c r="A1557" s="8" t="s">
        <v>4573</v>
      </c>
      <c r="B1557" s="9">
        <v>1274</v>
      </c>
      <c r="C1557" s="8" t="s">
        <v>4574</v>
      </c>
      <c r="D1557" s="8" t="s">
        <v>2133</v>
      </c>
      <c r="E1557" s="8" t="s">
        <v>1986</v>
      </c>
      <c r="F1557" s="8" t="s">
        <v>493</v>
      </c>
      <c r="G1557" s="8" t="s">
        <v>299</v>
      </c>
      <c r="H1557" s="8"/>
      <c r="I1557" s="14" t="s">
        <v>1642</v>
      </c>
      <c r="J1557" s="15"/>
      <c r="K1557" s="8" t="s">
        <v>1976</v>
      </c>
      <c r="L1557" s="8"/>
      <c r="M1557" s="6" t="s">
        <v>1643</v>
      </c>
      <c r="N1557" s="6" t="s">
        <v>1644</v>
      </c>
      <c r="O1557" s="7">
        <f>SUMIFS('05_상품별배치367'!$K$7:$K$373,'05_상품별배치367'!$E$7:$E$373,A1557,'05_상품별배치367'!$H$7:$H$373,"본진")</f>
        <v>0</v>
      </c>
      <c r="P1557" s="7">
        <f>SUMIFS('05_상품별배치367'!$K$7:$K$373,'05_상품별배치367'!$E$7:$E$373,A1557,'05_상품별배치367'!$H$7:$H$373,"추가 진열")</f>
        <v>0</v>
      </c>
      <c r="Q1557" s="7">
        <f>O1557+P1557</f>
        <v>0</v>
      </c>
      <c r="R1557" s="7">
        <v>1</v>
      </c>
      <c r="S1557" s="6" t="s">
        <v>3084</v>
      </c>
      <c r="T1557" s="6" t="s">
        <v>1637</v>
      </c>
      <c r="U1557" s="6"/>
      <c r="V1557" s="16"/>
      <c r="W1557" s="16"/>
      <c r="X1557" s="16"/>
      <c r="Y1557" s="6" t="s">
        <v>1627</v>
      </c>
      <c r="Z1557" s="15"/>
      <c r="AA1557" s="15" t="s">
        <v>1628</v>
      </c>
    </row>
    <row r="1558" spans="1:27" ht="33" customHeight="1">
      <c r="A1558" s="6" t="s">
        <v>4571</v>
      </c>
      <c r="B1558" s="7">
        <v>1273</v>
      </c>
      <c r="C1558" s="6" t="s">
        <v>4572</v>
      </c>
      <c r="D1558" s="6" t="s">
        <v>2133</v>
      </c>
      <c r="E1558" s="6" t="s">
        <v>2134</v>
      </c>
      <c r="F1558" s="6" t="s">
        <v>163</v>
      </c>
      <c r="G1558" s="6" t="s">
        <v>414</v>
      </c>
      <c r="H1558" s="6"/>
      <c r="I1558" s="14" t="s">
        <v>1642</v>
      </c>
      <c r="J1558" s="15"/>
      <c r="K1558" s="6" t="s">
        <v>1976</v>
      </c>
      <c r="L1558" s="6"/>
      <c r="M1558" s="6" t="s">
        <v>1643</v>
      </c>
      <c r="N1558" s="6" t="s">
        <v>1644</v>
      </c>
      <c r="O1558" s="7">
        <f>SUMIFS('05_상품별배치367'!$K$7:$K$373,'05_상품별배치367'!$E$7:$E$373,A1558,'05_상품별배치367'!$H$7:$H$373,"본진")</f>
        <v>0</v>
      </c>
      <c r="P1558" s="7">
        <f>SUMIFS('05_상품별배치367'!$K$7:$K$373,'05_상품별배치367'!$E$7:$E$373,A1558,'05_상품별배치367'!$H$7:$H$373,"추가 진열")</f>
        <v>0</v>
      </c>
      <c r="Q1558" s="7">
        <f>O1558+P1558</f>
        <v>0</v>
      </c>
      <c r="R1558" s="7">
        <v>1</v>
      </c>
      <c r="S1558" s="6" t="s">
        <v>3048</v>
      </c>
      <c r="T1558" s="6" t="s">
        <v>1637</v>
      </c>
      <c r="U1558" s="6"/>
      <c r="V1558" s="16"/>
      <c r="W1558" s="16"/>
      <c r="X1558" s="16"/>
      <c r="Y1558" s="6" t="s">
        <v>1627</v>
      </c>
      <c r="Z1558" s="15"/>
      <c r="AA1558" s="15" t="s">
        <v>1628</v>
      </c>
    </row>
    <row r="1559" spans="1:27" ht="33" customHeight="1">
      <c r="A1559" s="8" t="s">
        <v>6058</v>
      </c>
      <c r="B1559" s="9">
        <v>1976</v>
      </c>
      <c r="C1559" s="8" t="s">
        <v>6059</v>
      </c>
      <c r="D1559" s="8"/>
      <c r="E1559" s="8" t="s">
        <v>1666</v>
      </c>
      <c r="F1559" s="8" t="s">
        <v>1667</v>
      </c>
      <c r="G1559" s="8" t="s">
        <v>1668</v>
      </c>
      <c r="H1559" s="8"/>
      <c r="I1559" s="14" t="s">
        <v>1669</v>
      </c>
      <c r="J1559" s="15"/>
      <c r="K1559" s="8" t="s">
        <v>1670</v>
      </c>
      <c r="L1559" s="8" t="s">
        <v>2079</v>
      </c>
      <c r="M1559" s="6" t="s">
        <v>1671</v>
      </c>
      <c r="N1559" s="6" t="s">
        <v>1644</v>
      </c>
      <c r="O1559" s="7">
        <f>SUMIFS('05_상품별배치367'!$K$7:$K$373,'05_상품별배치367'!$E$7:$E$373,A1559,'05_상품별배치367'!$H$7:$H$373,"본진")</f>
        <v>0</v>
      </c>
      <c r="P1559" s="7">
        <f>SUMIFS('05_상품별배치367'!$K$7:$K$373,'05_상품별배치367'!$E$7:$E$373,A1559,'05_상품별배치367'!$H$7:$H$373,"추가 진열")</f>
        <v>0</v>
      </c>
      <c r="Q1559" s="7">
        <f>O1559+P1559</f>
        <v>0</v>
      </c>
      <c r="R1559" s="7">
        <v>0</v>
      </c>
      <c r="S1559" s="6" t="s">
        <v>1672</v>
      </c>
      <c r="T1559" s="6" t="s">
        <v>1637</v>
      </c>
      <c r="U1559" s="6"/>
      <c r="V1559" s="16"/>
      <c r="W1559" s="16"/>
      <c r="X1559" s="16"/>
      <c r="Y1559" s="6" t="s">
        <v>5772</v>
      </c>
      <c r="Z1559" s="15"/>
      <c r="AA1559" s="15" t="s">
        <v>1628</v>
      </c>
    </row>
    <row r="1560" spans="1:27" ht="33" customHeight="1">
      <c r="A1560" s="6" t="s">
        <v>3885</v>
      </c>
      <c r="B1560" s="7">
        <v>953</v>
      </c>
      <c r="C1560" s="6" t="s">
        <v>3886</v>
      </c>
      <c r="D1560" s="6" t="s">
        <v>2701</v>
      </c>
      <c r="E1560" s="6" t="s">
        <v>1695</v>
      </c>
      <c r="F1560" s="6" t="s">
        <v>1129</v>
      </c>
      <c r="G1560" s="6" t="s">
        <v>307</v>
      </c>
      <c r="H1560" s="6"/>
      <c r="I1560" s="14" t="s">
        <v>1642</v>
      </c>
      <c r="J1560" s="15"/>
      <c r="K1560" s="6" t="s">
        <v>1696</v>
      </c>
      <c r="L1560" s="6"/>
      <c r="M1560" s="6" t="s">
        <v>1643</v>
      </c>
      <c r="N1560" s="6" t="s">
        <v>1644</v>
      </c>
      <c r="O1560" s="7">
        <f>SUMIFS('05_상품별배치367'!$K$7:$K$373,'05_상품별배치367'!$E$7:$E$373,A1560,'05_상품별배치367'!$H$7:$H$373,"본진")</f>
        <v>0</v>
      </c>
      <c r="P1560" s="7">
        <f>SUMIFS('05_상품별배치367'!$K$7:$K$373,'05_상품별배치367'!$E$7:$E$373,A1560,'05_상품별배치367'!$H$7:$H$373,"추가 진열")</f>
        <v>0</v>
      </c>
      <c r="Q1560" s="7">
        <f>O1560+P1560</f>
        <v>0</v>
      </c>
      <c r="R1560" s="7">
        <v>1</v>
      </c>
      <c r="S1560" s="6" t="s">
        <v>2850</v>
      </c>
      <c r="T1560" s="6" t="s">
        <v>1637</v>
      </c>
      <c r="U1560" s="6"/>
      <c r="V1560" s="16"/>
      <c r="W1560" s="16"/>
      <c r="X1560" s="16"/>
      <c r="Y1560" s="6" t="s">
        <v>1627</v>
      </c>
      <c r="Z1560" s="15"/>
      <c r="AA1560" s="15" t="s">
        <v>1628</v>
      </c>
    </row>
    <row r="1561" spans="1:27" ht="33" customHeight="1">
      <c r="A1561" s="8" t="s">
        <v>3887</v>
      </c>
      <c r="B1561" s="9">
        <v>954</v>
      </c>
      <c r="C1561" s="8" t="s">
        <v>3888</v>
      </c>
      <c r="D1561" s="8" t="s">
        <v>3055</v>
      </c>
      <c r="E1561" s="8" t="s">
        <v>2134</v>
      </c>
      <c r="F1561" s="8" t="s">
        <v>2933</v>
      </c>
      <c r="G1561" s="8" t="s">
        <v>1668</v>
      </c>
      <c r="H1561" s="8"/>
      <c r="I1561" s="14" t="s">
        <v>1807</v>
      </c>
      <c r="J1561" s="15"/>
      <c r="K1561" s="8" t="s">
        <v>1976</v>
      </c>
      <c r="L1561" s="8" t="s">
        <v>2032</v>
      </c>
      <c r="M1561" s="6" t="s">
        <v>1809</v>
      </c>
      <c r="N1561" s="6" t="s">
        <v>1644</v>
      </c>
      <c r="O1561" s="7">
        <f>SUMIFS('05_상품별배치367'!$K$7:$K$373,'05_상품별배치367'!$E$7:$E$373,A1561,'05_상품별배치367'!$H$7:$H$373,"본진")</f>
        <v>0</v>
      </c>
      <c r="P1561" s="7">
        <f>SUMIFS('05_상품별배치367'!$K$7:$K$373,'05_상품별배치367'!$E$7:$E$373,A1561,'05_상품별배치367'!$H$7:$H$373,"추가 진열")</f>
        <v>0</v>
      </c>
      <c r="Q1561" s="7">
        <f>O1561+P1561</f>
        <v>0</v>
      </c>
      <c r="R1561" s="7">
        <v>0</v>
      </c>
      <c r="S1561" s="6" t="s">
        <v>1810</v>
      </c>
      <c r="T1561" s="6" t="s">
        <v>1637</v>
      </c>
      <c r="U1561" s="6"/>
      <c r="V1561" s="16"/>
      <c r="W1561" s="16"/>
      <c r="X1561" s="16"/>
      <c r="Y1561" s="6" t="s">
        <v>1627</v>
      </c>
      <c r="Z1561" s="15"/>
      <c r="AA1561" s="15" t="s">
        <v>1628</v>
      </c>
    </row>
    <row r="1562" spans="1:27" ht="33" customHeight="1">
      <c r="A1562" s="8" t="s">
        <v>3877</v>
      </c>
      <c r="B1562" s="9">
        <v>950</v>
      </c>
      <c r="C1562" s="8" t="s">
        <v>3878</v>
      </c>
      <c r="D1562" s="8" t="s">
        <v>1851</v>
      </c>
      <c r="E1562" s="8" t="s">
        <v>2134</v>
      </c>
      <c r="F1562" s="8" t="s">
        <v>161</v>
      </c>
      <c r="G1562" s="8" t="s">
        <v>395</v>
      </c>
      <c r="H1562" s="8"/>
      <c r="I1562" s="14" t="s">
        <v>1642</v>
      </c>
      <c r="J1562" s="15"/>
      <c r="K1562" s="8" t="s">
        <v>1976</v>
      </c>
      <c r="L1562" s="8"/>
      <c r="M1562" s="6" t="s">
        <v>1643</v>
      </c>
      <c r="N1562" s="6" t="s">
        <v>1644</v>
      </c>
      <c r="O1562" s="7">
        <f>SUMIFS('05_상품별배치367'!$K$7:$K$373,'05_상품별배치367'!$E$7:$E$373,A1562,'05_상품별배치367'!$H$7:$H$373,"본진")</f>
        <v>0</v>
      </c>
      <c r="P1562" s="7">
        <f>SUMIFS('05_상품별배치367'!$K$7:$K$373,'05_상품별배치367'!$E$7:$E$373,A1562,'05_상품별배치367'!$H$7:$H$373,"추가 진열")</f>
        <v>0</v>
      </c>
      <c r="Q1562" s="7">
        <f>O1562+P1562</f>
        <v>0</v>
      </c>
      <c r="R1562" s="7">
        <v>1</v>
      </c>
      <c r="S1562" s="6" t="s">
        <v>3070</v>
      </c>
      <c r="T1562" s="6" t="s">
        <v>1637</v>
      </c>
      <c r="U1562" s="6"/>
      <c r="V1562" s="16"/>
      <c r="W1562" s="16"/>
      <c r="X1562" s="16"/>
      <c r="Y1562" s="6" t="s">
        <v>1627</v>
      </c>
      <c r="Z1562" s="15"/>
      <c r="AA1562" s="15" t="s">
        <v>1628</v>
      </c>
    </row>
    <row r="1563" spans="1:27" ht="33" customHeight="1">
      <c r="A1563" s="6" t="s">
        <v>3875</v>
      </c>
      <c r="B1563" s="7">
        <v>949</v>
      </c>
      <c r="C1563" s="6" t="s">
        <v>3876</v>
      </c>
      <c r="D1563" s="6" t="s">
        <v>2572</v>
      </c>
      <c r="E1563" s="6" t="s">
        <v>2134</v>
      </c>
      <c r="F1563" s="6" t="s">
        <v>161</v>
      </c>
      <c r="G1563" s="6" t="s">
        <v>395</v>
      </c>
      <c r="H1563" s="6"/>
      <c r="I1563" s="14" t="s">
        <v>1642</v>
      </c>
      <c r="J1563" s="15"/>
      <c r="K1563" s="6" t="s">
        <v>1976</v>
      </c>
      <c r="L1563" s="6"/>
      <c r="M1563" s="6" t="s">
        <v>1643</v>
      </c>
      <c r="N1563" s="6" t="s">
        <v>1644</v>
      </c>
      <c r="O1563" s="7">
        <f>SUMIFS('05_상품별배치367'!$K$7:$K$373,'05_상품별배치367'!$E$7:$E$373,A1563,'05_상품별배치367'!$H$7:$H$373,"본진")</f>
        <v>0</v>
      </c>
      <c r="P1563" s="7">
        <f>SUMIFS('05_상품별배치367'!$K$7:$K$373,'05_상품별배치367'!$E$7:$E$373,A1563,'05_상품별배치367'!$H$7:$H$373,"추가 진열")</f>
        <v>0</v>
      </c>
      <c r="Q1563" s="7">
        <f>O1563+P1563</f>
        <v>0</v>
      </c>
      <c r="R1563" s="7">
        <v>1</v>
      </c>
      <c r="S1563" s="6" t="s">
        <v>3070</v>
      </c>
      <c r="T1563" s="6" t="s">
        <v>1637</v>
      </c>
      <c r="U1563" s="6"/>
      <c r="V1563" s="16"/>
      <c r="W1563" s="16"/>
      <c r="X1563" s="16"/>
      <c r="Y1563" s="6" t="s">
        <v>1627</v>
      </c>
      <c r="Z1563" s="15"/>
      <c r="AA1563" s="15" t="s">
        <v>1628</v>
      </c>
    </row>
    <row r="1564" spans="1:27" ht="33" customHeight="1">
      <c r="A1564" s="6" t="s">
        <v>3879</v>
      </c>
      <c r="B1564" s="7">
        <v>951</v>
      </c>
      <c r="C1564" s="6" t="s">
        <v>3880</v>
      </c>
      <c r="D1564" s="6" t="s">
        <v>3881</v>
      </c>
      <c r="E1564" s="6" t="s">
        <v>2134</v>
      </c>
      <c r="F1564" s="6" t="s">
        <v>162</v>
      </c>
      <c r="G1564" s="6" t="s">
        <v>404</v>
      </c>
      <c r="H1564" s="6"/>
      <c r="I1564" s="14" t="s">
        <v>1642</v>
      </c>
      <c r="J1564" s="15"/>
      <c r="K1564" s="6" t="s">
        <v>1976</v>
      </c>
      <c r="L1564" s="6"/>
      <c r="M1564" s="6" t="s">
        <v>1643</v>
      </c>
      <c r="N1564" s="6" t="s">
        <v>1644</v>
      </c>
      <c r="O1564" s="7">
        <f>SUMIFS('05_상품별배치367'!$K$7:$K$373,'05_상품별배치367'!$E$7:$E$373,A1564,'05_상품별배치367'!$H$7:$H$373,"본진")</f>
        <v>0</v>
      </c>
      <c r="P1564" s="7">
        <f>SUMIFS('05_상품별배치367'!$K$7:$K$373,'05_상품별배치367'!$E$7:$E$373,A1564,'05_상품별배치367'!$H$7:$H$373,"추가 진열")</f>
        <v>0</v>
      </c>
      <c r="Q1564" s="7">
        <f>O1564+P1564</f>
        <v>0</v>
      </c>
      <c r="R1564" s="7">
        <v>1</v>
      </c>
      <c r="S1564" s="6" t="s">
        <v>2996</v>
      </c>
      <c r="T1564" s="6" t="s">
        <v>1637</v>
      </c>
      <c r="U1564" s="6"/>
      <c r="V1564" s="16"/>
      <c r="W1564" s="16"/>
      <c r="X1564" s="16"/>
      <c r="Y1564" s="6" t="s">
        <v>1655</v>
      </c>
      <c r="Z1564" s="15"/>
      <c r="AA1564" s="15" t="s">
        <v>1628</v>
      </c>
    </row>
    <row r="1565" spans="1:27" ht="33" customHeight="1">
      <c r="A1565" s="8" t="s">
        <v>3882</v>
      </c>
      <c r="B1565" s="9">
        <v>952</v>
      </c>
      <c r="C1565" s="8" t="s">
        <v>3883</v>
      </c>
      <c r="D1565" s="8" t="s">
        <v>3884</v>
      </c>
      <c r="E1565" s="8" t="s">
        <v>1981</v>
      </c>
      <c r="F1565" s="8" t="s">
        <v>122</v>
      </c>
      <c r="G1565" s="8" t="s">
        <v>185</v>
      </c>
      <c r="H1565" s="8"/>
      <c r="I1565" s="14" t="s">
        <v>1642</v>
      </c>
      <c r="J1565" s="15"/>
      <c r="K1565" s="8" t="s">
        <v>1982</v>
      </c>
      <c r="L1565" s="8"/>
      <c r="M1565" s="6" t="s">
        <v>1643</v>
      </c>
      <c r="N1565" s="6" t="s">
        <v>1644</v>
      </c>
      <c r="O1565" s="7">
        <f>SUMIFS('05_상품별배치367'!$K$7:$K$373,'05_상품별배치367'!$E$7:$E$373,A1565,'05_상품별배치367'!$H$7:$H$373,"본진")</f>
        <v>0</v>
      </c>
      <c r="P1565" s="7">
        <f>SUMIFS('05_상품별배치367'!$K$7:$K$373,'05_상품별배치367'!$E$7:$E$373,A1565,'05_상품별배치367'!$H$7:$H$373,"추가 진열")</f>
        <v>0</v>
      </c>
      <c r="Q1565" s="7">
        <f>O1565+P1565</f>
        <v>0</v>
      </c>
      <c r="R1565" s="7">
        <v>1</v>
      </c>
      <c r="S1565" s="6" t="s">
        <v>1983</v>
      </c>
      <c r="T1565" s="6" t="s">
        <v>1637</v>
      </c>
      <c r="U1565" s="6"/>
      <c r="V1565" s="16"/>
      <c r="W1565" s="16"/>
      <c r="X1565" s="16"/>
      <c r="Y1565" s="6" t="s">
        <v>1655</v>
      </c>
      <c r="Z1565" s="15"/>
      <c r="AA1565" s="15" t="s">
        <v>1628</v>
      </c>
    </row>
    <row r="1566" spans="1:27" ht="33" customHeight="1">
      <c r="A1566" s="8" t="s">
        <v>3837</v>
      </c>
      <c r="B1566" s="9">
        <v>932</v>
      </c>
      <c r="C1566" s="8" t="s">
        <v>3838</v>
      </c>
      <c r="D1566" s="8" t="s">
        <v>2856</v>
      </c>
      <c r="E1566" s="8" t="s">
        <v>2134</v>
      </c>
      <c r="F1566" s="8" t="s">
        <v>161</v>
      </c>
      <c r="G1566" s="8" t="s">
        <v>395</v>
      </c>
      <c r="H1566" s="8"/>
      <c r="I1566" s="14" t="s">
        <v>1642</v>
      </c>
      <c r="J1566" s="15"/>
      <c r="K1566" s="8" t="s">
        <v>1976</v>
      </c>
      <c r="L1566" s="8"/>
      <c r="M1566" s="6" t="s">
        <v>1643</v>
      </c>
      <c r="N1566" s="6" t="s">
        <v>1644</v>
      </c>
      <c r="O1566" s="7">
        <f>SUMIFS('05_상품별배치367'!$K$7:$K$373,'05_상품별배치367'!$E$7:$E$373,A1566,'05_상품별배치367'!$H$7:$H$373,"본진")</f>
        <v>0</v>
      </c>
      <c r="P1566" s="7">
        <f>SUMIFS('05_상품별배치367'!$K$7:$K$373,'05_상품별배치367'!$E$7:$E$373,A1566,'05_상품별배치367'!$H$7:$H$373,"추가 진열")</f>
        <v>0</v>
      </c>
      <c r="Q1566" s="7">
        <f>O1566+P1566</f>
        <v>0</v>
      </c>
      <c r="R1566" s="7">
        <v>1</v>
      </c>
      <c r="S1566" s="6" t="s">
        <v>3070</v>
      </c>
      <c r="T1566" s="6" t="s">
        <v>1637</v>
      </c>
      <c r="U1566" s="6"/>
      <c r="V1566" s="16"/>
      <c r="W1566" s="16"/>
      <c r="X1566" s="16"/>
      <c r="Y1566" s="6" t="s">
        <v>1627</v>
      </c>
      <c r="Z1566" s="15"/>
      <c r="AA1566" s="15" t="s">
        <v>1628</v>
      </c>
    </row>
    <row r="1567" spans="1:27" ht="33" customHeight="1">
      <c r="A1567" s="6" t="s">
        <v>3835</v>
      </c>
      <c r="B1567" s="7">
        <v>931</v>
      </c>
      <c r="C1567" s="6" t="s">
        <v>3836</v>
      </c>
      <c r="D1567" s="6" t="s">
        <v>2856</v>
      </c>
      <c r="E1567" s="6" t="s">
        <v>2134</v>
      </c>
      <c r="F1567" s="6" t="s">
        <v>1081</v>
      </c>
      <c r="G1567" s="6" t="s">
        <v>290</v>
      </c>
      <c r="H1567" s="6"/>
      <c r="I1567" s="14" t="s">
        <v>1642</v>
      </c>
      <c r="J1567" s="15"/>
      <c r="K1567" s="6" t="s">
        <v>1976</v>
      </c>
      <c r="L1567" s="6"/>
      <c r="M1567" s="6" t="s">
        <v>1643</v>
      </c>
      <c r="N1567" s="6" t="s">
        <v>1644</v>
      </c>
      <c r="O1567" s="7">
        <f>SUMIFS('05_상품별배치367'!$K$7:$K$373,'05_상품별배치367'!$E$7:$E$373,A1567,'05_상품별배치367'!$H$7:$H$373,"본진")</f>
        <v>0</v>
      </c>
      <c r="P1567" s="7">
        <f>SUMIFS('05_상품별배치367'!$K$7:$K$373,'05_상품별배치367'!$E$7:$E$373,A1567,'05_상품별배치367'!$H$7:$H$373,"추가 진열")</f>
        <v>0</v>
      </c>
      <c r="Q1567" s="7">
        <f>O1567+P1567</f>
        <v>0</v>
      </c>
      <c r="R1567" s="7">
        <v>1</v>
      </c>
      <c r="S1567" s="6" t="s">
        <v>2135</v>
      </c>
      <c r="T1567" s="6" t="s">
        <v>1637</v>
      </c>
      <c r="U1567" s="6"/>
      <c r="V1567" s="16"/>
      <c r="W1567" s="16"/>
      <c r="X1567" s="16"/>
      <c r="Y1567" s="6" t="s">
        <v>1627</v>
      </c>
      <c r="Z1567" s="15"/>
      <c r="AA1567" s="15" t="s">
        <v>1628</v>
      </c>
    </row>
    <row r="1568" spans="1:27" ht="33" customHeight="1">
      <c r="A1568" s="8" t="s">
        <v>3833</v>
      </c>
      <c r="B1568" s="9">
        <v>930</v>
      </c>
      <c r="C1568" s="8" t="s">
        <v>3834</v>
      </c>
      <c r="D1568" s="8" t="s">
        <v>2856</v>
      </c>
      <c r="E1568" s="8" t="s">
        <v>2134</v>
      </c>
      <c r="F1568" s="8" t="s">
        <v>163</v>
      </c>
      <c r="G1568" s="8" t="s">
        <v>414</v>
      </c>
      <c r="H1568" s="8"/>
      <c r="I1568" s="14" t="s">
        <v>1642</v>
      </c>
      <c r="J1568" s="15"/>
      <c r="K1568" s="8" t="s">
        <v>1976</v>
      </c>
      <c r="L1568" s="8"/>
      <c r="M1568" s="6" t="s">
        <v>1643</v>
      </c>
      <c r="N1568" s="6" t="s">
        <v>1644</v>
      </c>
      <c r="O1568" s="7">
        <f>SUMIFS('05_상품별배치367'!$K$7:$K$373,'05_상품별배치367'!$E$7:$E$373,A1568,'05_상품별배치367'!$H$7:$H$373,"본진")</f>
        <v>0</v>
      </c>
      <c r="P1568" s="7">
        <f>SUMIFS('05_상품별배치367'!$K$7:$K$373,'05_상품별배치367'!$E$7:$E$373,A1568,'05_상품별배치367'!$H$7:$H$373,"추가 진열")</f>
        <v>0</v>
      </c>
      <c r="Q1568" s="7">
        <f>O1568+P1568</f>
        <v>0</v>
      </c>
      <c r="R1568" s="7">
        <v>1</v>
      </c>
      <c r="S1568" s="6" t="s">
        <v>3048</v>
      </c>
      <c r="T1568" s="6" t="s">
        <v>1637</v>
      </c>
      <c r="U1568" s="6"/>
      <c r="V1568" s="16"/>
      <c r="W1568" s="16"/>
      <c r="X1568" s="16"/>
      <c r="Y1568" s="6" t="s">
        <v>1627</v>
      </c>
      <c r="Z1568" s="15"/>
      <c r="AA1568" s="15" t="s">
        <v>1628</v>
      </c>
    </row>
    <row r="1569" spans="1:27" ht="33" customHeight="1">
      <c r="A1569" s="8" t="s">
        <v>3249</v>
      </c>
      <c r="B1569" s="9">
        <v>660</v>
      </c>
      <c r="C1569" s="8" t="s">
        <v>3250</v>
      </c>
      <c r="D1569" s="8" t="s">
        <v>1876</v>
      </c>
      <c r="E1569" s="8" t="s">
        <v>2134</v>
      </c>
      <c r="F1569" s="8" t="s">
        <v>2933</v>
      </c>
      <c r="G1569" s="8" t="s">
        <v>1668</v>
      </c>
      <c r="H1569" s="8"/>
      <c r="I1569" s="14" t="s">
        <v>1807</v>
      </c>
      <c r="J1569" s="15"/>
      <c r="K1569" s="8" t="s">
        <v>1976</v>
      </c>
      <c r="L1569" s="8" t="s">
        <v>2032</v>
      </c>
      <c r="M1569" s="6" t="s">
        <v>1809</v>
      </c>
      <c r="N1569" s="6" t="s">
        <v>1644</v>
      </c>
      <c r="O1569" s="7">
        <f>SUMIFS('05_상품별배치367'!$K$7:$K$373,'05_상품별배치367'!$E$7:$E$373,A1569,'05_상품별배치367'!$H$7:$H$373,"본진")</f>
        <v>0</v>
      </c>
      <c r="P1569" s="7">
        <f>SUMIFS('05_상품별배치367'!$K$7:$K$373,'05_상품별배치367'!$E$7:$E$373,A1569,'05_상품별배치367'!$H$7:$H$373,"추가 진열")</f>
        <v>0</v>
      </c>
      <c r="Q1569" s="7">
        <f>O1569+P1569</f>
        <v>0</v>
      </c>
      <c r="R1569" s="7">
        <v>0</v>
      </c>
      <c r="S1569" s="6" t="s">
        <v>1810</v>
      </c>
      <c r="T1569" s="6" t="s">
        <v>1637</v>
      </c>
      <c r="U1569" s="6"/>
      <c r="V1569" s="16"/>
      <c r="W1569" s="16"/>
      <c r="X1569" s="16"/>
      <c r="Y1569" s="6" t="s">
        <v>1627</v>
      </c>
      <c r="Z1569" s="15"/>
      <c r="AA1569" s="15" t="s">
        <v>1628</v>
      </c>
    </row>
    <row r="1570" spans="1:27" ht="33" customHeight="1">
      <c r="A1570" s="6" t="s">
        <v>3247</v>
      </c>
      <c r="B1570" s="7">
        <v>659</v>
      </c>
      <c r="C1570" s="6" t="s">
        <v>3248</v>
      </c>
      <c r="D1570" s="6" t="s">
        <v>3116</v>
      </c>
      <c r="E1570" s="6" t="s">
        <v>2134</v>
      </c>
      <c r="F1570" s="6" t="s">
        <v>2933</v>
      </c>
      <c r="G1570" s="6" t="s">
        <v>1668</v>
      </c>
      <c r="H1570" s="6"/>
      <c r="I1570" s="14" t="s">
        <v>1807</v>
      </c>
      <c r="J1570" s="15"/>
      <c r="K1570" s="6" t="s">
        <v>1976</v>
      </c>
      <c r="L1570" s="6" t="s">
        <v>2032</v>
      </c>
      <c r="M1570" s="6" t="s">
        <v>1809</v>
      </c>
      <c r="N1570" s="6" t="s">
        <v>1644</v>
      </c>
      <c r="O1570" s="7">
        <f>SUMIFS('05_상품별배치367'!$K$7:$K$373,'05_상품별배치367'!$E$7:$E$373,A1570,'05_상품별배치367'!$H$7:$H$373,"본진")</f>
        <v>0</v>
      </c>
      <c r="P1570" s="7">
        <f>SUMIFS('05_상품별배치367'!$K$7:$K$373,'05_상품별배치367'!$E$7:$E$373,A1570,'05_상품별배치367'!$H$7:$H$373,"추가 진열")</f>
        <v>0</v>
      </c>
      <c r="Q1570" s="7">
        <f>O1570+P1570</f>
        <v>0</v>
      </c>
      <c r="R1570" s="7">
        <v>0</v>
      </c>
      <c r="S1570" s="6" t="s">
        <v>1810</v>
      </c>
      <c r="T1570" s="6" t="s">
        <v>1637</v>
      </c>
      <c r="U1570" s="6"/>
      <c r="V1570" s="16"/>
      <c r="W1570" s="16"/>
      <c r="X1570" s="16"/>
      <c r="Y1570" s="6" t="s">
        <v>1627</v>
      </c>
      <c r="Z1570" s="15"/>
      <c r="AA1570" s="15" t="s">
        <v>1628</v>
      </c>
    </row>
    <row r="1571" spans="1:27" ht="33" customHeight="1">
      <c r="A1571" s="8" t="s">
        <v>3245</v>
      </c>
      <c r="B1571" s="9">
        <v>658</v>
      </c>
      <c r="C1571" s="8" t="s">
        <v>3246</v>
      </c>
      <c r="D1571" s="8" t="s">
        <v>2133</v>
      </c>
      <c r="E1571" s="8" t="s">
        <v>2134</v>
      </c>
      <c r="F1571" s="8" t="s">
        <v>2933</v>
      </c>
      <c r="G1571" s="8" t="s">
        <v>1668</v>
      </c>
      <c r="H1571" s="8"/>
      <c r="I1571" s="14" t="s">
        <v>1807</v>
      </c>
      <c r="J1571" s="15"/>
      <c r="K1571" s="8" t="s">
        <v>1976</v>
      </c>
      <c r="L1571" s="8" t="s">
        <v>2032</v>
      </c>
      <c r="M1571" s="6" t="s">
        <v>1809</v>
      </c>
      <c r="N1571" s="6" t="s">
        <v>1644</v>
      </c>
      <c r="O1571" s="7">
        <f>SUMIFS('05_상품별배치367'!$K$7:$K$373,'05_상품별배치367'!$E$7:$E$373,A1571,'05_상품별배치367'!$H$7:$H$373,"본진")</f>
        <v>0</v>
      </c>
      <c r="P1571" s="7">
        <f>SUMIFS('05_상품별배치367'!$K$7:$K$373,'05_상품별배치367'!$E$7:$E$373,A1571,'05_상품별배치367'!$H$7:$H$373,"추가 진열")</f>
        <v>0</v>
      </c>
      <c r="Q1571" s="7">
        <f>O1571+P1571</f>
        <v>0</v>
      </c>
      <c r="R1571" s="7">
        <v>0</v>
      </c>
      <c r="S1571" s="6" t="s">
        <v>1810</v>
      </c>
      <c r="T1571" s="6" t="s">
        <v>1637</v>
      </c>
      <c r="U1571" s="6"/>
      <c r="V1571" s="16"/>
      <c r="W1571" s="16"/>
      <c r="X1571" s="16"/>
      <c r="Y1571" s="6" t="s">
        <v>1627</v>
      </c>
      <c r="Z1571" s="15"/>
      <c r="AA1571" s="15" t="s">
        <v>1628</v>
      </c>
    </row>
    <row r="1572" spans="1:27" ht="33" customHeight="1">
      <c r="A1572" s="6" t="s">
        <v>3251</v>
      </c>
      <c r="B1572" s="7">
        <v>661</v>
      </c>
      <c r="C1572" s="6" t="s">
        <v>3252</v>
      </c>
      <c r="D1572" s="6" t="s">
        <v>2007</v>
      </c>
      <c r="E1572" s="6" t="s">
        <v>1986</v>
      </c>
      <c r="F1572" s="6" t="s">
        <v>913</v>
      </c>
      <c r="G1572" s="6" t="s">
        <v>201</v>
      </c>
      <c r="H1572" s="6"/>
      <c r="I1572" s="14" t="s">
        <v>1642</v>
      </c>
      <c r="J1572" s="15"/>
      <c r="K1572" s="6" t="s">
        <v>1976</v>
      </c>
      <c r="L1572" s="6"/>
      <c r="M1572" s="6" t="s">
        <v>1643</v>
      </c>
      <c r="N1572" s="6" t="s">
        <v>1644</v>
      </c>
      <c r="O1572" s="7">
        <f>SUMIFS('05_상품별배치367'!$K$7:$K$373,'05_상품별배치367'!$E$7:$E$373,A1572,'05_상품별배치367'!$H$7:$H$373,"본진")</f>
        <v>0</v>
      </c>
      <c r="P1572" s="7">
        <f>SUMIFS('05_상품별배치367'!$K$7:$K$373,'05_상품별배치367'!$E$7:$E$373,A1572,'05_상품별배치367'!$H$7:$H$373,"추가 진열")</f>
        <v>0</v>
      </c>
      <c r="Q1572" s="7">
        <f>O1572+P1572</f>
        <v>0</v>
      </c>
      <c r="R1572" s="7">
        <v>1</v>
      </c>
      <c r="S1572" s="6" t="s">
        <v>2907</v>
      </c>
      <c r="T1572" s="6" t="s">
        <v>1637</v>
      </c>
      <c r="U1572" s="6"/>
      <c r="V1572" s="16"/>
      <c r="W1572" s="16"/>
      <c r="X1572" s="16"/>
      <c r="Y1572" s="6" t="s">
        <v>1627</v>
      </c>
      <c r="Z1572" s="15"/>
      <c r="AA1572" s="15" t="s">
        <v>1628</v>
      </c>
    </row>
    <row r="1573" spans="1:27" ht="33" customHeight="1">
      <c r="A1573" s="8" t="s">
        <v>3253</v>
      </c>
      <c r="B1573" s="9">
        <v>662</v>
      </c>
      <c r="C1573" s="8" t="s">
        <v>3254</v>
      </c>
      <c r="D1573" s="8" t="s">
        <v>2845</v>
      </c>
      <c r="E1573" s="8" t="s">
        <v>2134</v>
      </c>
      <c r="F1573" s="8" t="s">
        <v>163</v>
      </c>
      <c r="G1573" s="8" t="s">
        <v>414</v>
      </c>
      <c r="H1573" s="8"/>
      <c r="I1573" s="14" t="s">
        <v>1642</v>
      </c>
      <c r="J1573" s="15"/>
      <c r="K1573" s="8" t="s">
        <v>1976</v>
      </c>
      <c r="L1573" s="8"/>
      <c r="M1573" s="6" t="s">
        <v>1643</v>
      </c>
      <c r="N1573" s="6" t="s">
        <v>1644</v>
      </c>
      <c r="O1573" s="7">
        <f>SUMIFS('05_상품별배치367'!$K$7:$K$373,'05_상품별배치367'!$E$7:$E$373,A1573,'05_상품별배치367'!$H$7:$H$373,"본진")</f>
        <v>0</v>
      </c>
      <c r="P1573" s="7">
        <f>SUMIFS('05_상품별배치367'!$K$7:$K$373,'05_상품별배치367'!$E$7:$E$373,A1573,'05_상품별배치367'!$H$7:$H$373,"추가 진열")</f>
        <v>0</v>
      </c>
      <c r="Q1573" s="7">
        <f>O1573+P1573</f>
        <v>0</v>
      </c>
      <c r="R1573" s="7">
        <v>1</v>
      </c>
      <c r="S1573" s="6" t="s">
        <v>3048</v>
      </c>
      <c r="T1573" s="6" t="s">
        <v>1637</v>
      </c>
      <c r="U1573" s="6"/>
      <c r="V1573" s="16"/>
      <c r="W1573" s="16"/>
      <c r="X1573" s="16"/>
      <c r="Y1573" s="6" t="s">
        <v>1627</v>
      </c>
      <c r="Z1573" s="15"/>
      <c r="AA1573" s="15" t="s">
        <v>1628</v>
      </c>
    </row>
    <row r="1574" spans="1:27" ht="33" customHeight="1">
      <c r="A1574" s="6" t="s">
        <v>3421</v>
      </c>
      <c r="B1574" s="7">
        <v>737</v>
      </c>
      <c r="C1574" s="6" t="s">
        <v>3422</v>
      </c>
      <c r="D1574" s="6" t="s">
        <v>3423</v>
      </c>
      <c r="E1574" s="6" t="s">
        <v>2134</v>
      </c>
      <c r="F1574" s="6" t="s">
        <v>2933</v>
      </c>
      <c r="G1574" s="6" t="s">
        <v>1668</v>
      </c>
      <c r="H1574" s="6"/>
      <c r="I1574" s="14" t="s">
        <v>1807</v>
      </c>
      <c r="J1574" s="15"/>
      <c r="K1574" s="6" t="s">
        <v>1976</v>
      </c>
      <c r="L1574" s="6" t="s">
        <v>2032</v>
      </c>
      <c r="M1574" s="6" t="s">
        <v>1809</v>
      </c>
      <c r="N1574" s="6" t="s">
        <v>1644</v>
      </c>
      <c r="O1574" s="7">
        <f>SUMIFS('05_상품별배치367'!$K$7:$K$373,'05_상품별배치367'!$E$7:$E$373,A1574,'05_상품별배치367'!$H$7:$H$373,"본진")</f>
        <v>0</v>
      </c>
      <c r="P1574" s="7">
        <f>SUMIFS('05_상품별배치367'!$K$7:$K$373,'05_상품별배치367'!$E$7:$E$373,A1574,'05_상품별배치367'!$H$7:$H$373,"추가 진열")</f>
        <v>0</v>
      </c>
      <c r="Q1574" s="7">
        <f>O1574+P1574</f>
        <v>0</v>
      </c>
      <c r="R1574" s="7">
        <v>0</v>
      </c>
      <c r="S1574" s="6" t="s">
        <v>1810</v>
      </c>
      <c r="T1574" s="6" t="s">
        <v>1637</v>
      </c>
      <c r="U1574" s="6"/>
      <c r="V1574" s="16"/>
      <c r="W1574" s="16"/>
      <c r="X1574" s="16"/>
      <c r="Y1574" s="6" t="s">
        <v>1627</v>
      </c>
      <c r="Z1574" s="15"/>
      <c r="AA1574" s="15" t="s">
        <v>1628</v>
      </c>
    </row>
    <row r="1575" spans="1:27" ht="33" customHeight="1">
      <c r="A1575" s="8" t="s">
        <v>3428</v>
      </c>
      <c r="B1575" s="9">
        <v>740</v>
      </c>
      <c r="C1575" s="8" t="s">
        <v>3429</v>
      </c>
      <c r="D1575" s="8" t="s">
        <v>1658</v>
      </c>
      <c r="E1575" s="8" t="s">
        <v>2134</v>
      </c>
      <c r="F1575" s="8" t="s">
        <v>1263</v>
      </c>
      <c r="G1575" s="8" t="s">
        <v>376</v>
      </c>
      <c r="H1575" s="8"/>
      <c r="I1575" s="14" t="s">
        <v>1642</v>
      </c>
      <c r="J1575" s="15"/>
      <c r="K1575" s="8" t="s">
        <v>1976</v>
      </c>
      <c r="L1575" s="8"/>
      <c r="M1575" s="6" t="s">
        <v>1643</v>
      </c>
      <c r="N1575" s="6" t="s">
        <v>1644</v>
      </c>
      <c r="O1575" s="7">
        <f>SUMIFS('05_상품별배치367'!$K$7:$K$373,'05_상품별배치367'!$E$7:$E$373,A1575,'05_상품별배치367'!$H$7:$H$373,"본진")</f>
        <v>0</v>
      </c>
      <c r="P1575" s="7">
        <f>SUMIFS('05_상품별배치367'!$K$7:$K$373,'05_상품별배치367'!$E$7:$E$373,A1575,'05_상품별배치367'!$H$7:$H$373,"추가 진열")</f>
        <v>0</v>
      </c>
      <c r="Q1575" s="7">
        <f>O1575+P1575</f>
        <v>0</v>
      </c>
      <c r="R1575" s="7">
        <v>1</v>
      </c>
      <c r="S1575" s="6" t="s">
        <v>3016</v>
      </c>
      <c r="T1575" s="6" t="s">
        <v>1637</v>
      </c>
      <c r="U1575" s="6"/>
      <c r="V1575" s="16"/>
      <c r="W1575" s="16"/>
      <c r="X1575" s="16"/>
      <c r="Y1575" s="6" t="s">
        <v>1627</v>
      </c>
      <c r="Z1575" s="15"/>
      <c r="AA1575" s="15" t="s">
        <v>1628</v>
      </c>
    </row>
    <row r="1576" spans="1:27" ht="33" customHeight="1">
      <c r="A1576" s="8" t="s">
        <v>3424</v>
      </c>
      <c r="B1576" s="9">
        <v>738</v>
      </c>
      <c r="C1576" s="8" t="s">
        <v>3425</v>
      </c>
      <c r="D1576" s="8" t="s">
        <v>3042</v>
      </c>
      <c r="E1576" s="8" t="s">
        <v>2134</v>
      </c>
      <c r="F1576" s="8" t="s">
        <v>156</v>
      </c>
      <c r="G1576" s="8" t="s">
        <v>3239</v>
      </c>
      <c r="H1576" s="8"/>
      <c r="I1576" s="14" t="s">
        <v>1642</v>
      </c>
      <c r="J1576" s="15"/>
      <c r="K1576" s="8" t="s">
        <v>1976</v>
      </c>
      <c r="L1576" s="8"/>
      <c r="M1576" s="6" t="s">
        <v>1643</v>
      </c>
      <c r="N1576" s="6" t="s">
        <v>1644</v>
      </c>
      <c r="O1576" s="7">
        <f>SUMIFS('05_상품별배치367'!$K$7:$K$373,'05_상품별배치367'!$E$7:$E$373,A1576,'05_상품별배치367'!$H$7:$H$373,"본진")</f>
        <v>0</v>
      </c>
      <c r="P1576" s="7">
        <f>SUMIFS('05_상품별배치367'!$K$7:$K$373,'05_상품별배치367'!$E$7:$E$373,A1576,'05_상품별배치367'!$H$7:$H$373,"추가 진열")</f>
        <v>0</v>
      </c>
      <c r="Q1576" s="7">
        <f>O1576+P1576</f>
        <v>0</v>
      </c>
      <c r="R1576" s="7">
        <v>1</v>
      </c>
      <c r="S1576" s="6" t="s">
        <v>3240</v>
      </c>
      <c r="T1576" s="6" t="s">
        <v>1637</v>
      </c>
      <c r="U1576" s="6"/>
      <c r="V1576" s="16"/>
      <c r="W1576" s="16"/>
      <c r="X1576" s="16"/>
      <c r="Y1576" s="6" t="s">
        <v>1627</v>
      </c>
      <c r="Z1576" s="15"/>
      <c r="AA1576" s="15" t="s">
        <v>1628</v>
      </c>
    </row>
    <row r="1577" spans="1:27" ht="33" customHeight="1">
      <c r="A1577" s="6" t="s">
        <v>3426</v>
      </c>
      <c r="B1577" s="7">
        <v>739</v>
      </c>
      <c r="C1577" s="6" t="s">
        <v>3427</v>
      </c>
      <c r="D1577" s="6" t="s">
        <v>3106</v>
      </c>
      <c r="E1577" s="6" t="s">
        <v>2134</v>
      </c>
      <c r="F1577" s="6" t="s">
        <v>156</v>
      </c>
      <c r="G1577" s="6" t="s">
        <v>3239</v>
      </c>
      <c r="H1577" s="6"/>
      <c r="I1577" s="14" t="s">
        <v>1642</v>
      </c>
      <c r="J1577" s="15"/>
      <c r="K1577" s="6" t="s">
        <v>1976</v>
      </c>
      <c r="L1577" s="6"/>
      <c r="M1577" s="6" t="s">
        <v>1643</v>
      </c>
      <c r="N1577" s="6" t="s">
        <v>1644</v>
      </c>
      <c r="O1577" s="7">
        <f>SUMIFS('05_상품별배치367'!$K$7:$K$373,'05_상품별배치367'!$E$7:$E$373,A1577,'05_상품별배치367'!$H$7:$H$373,"본진")</f>
        <v>0</v>
      </c>
      <c r="P1577" s="7">
        <f>SUMIFS('05_상품별배치367'!$K$7:$K$373,'05_상품별배치367'!$E$7:$E$373,A1577,'05_상품별배치367'!$H$7:$H$373,"추가 진열")</f>
        <v>0</v>
      </c>
      <c r="Q1577" s="7">
        <f>O1577+P1577</f>
        <v>0</v>
      </c>
      <c r="R1577" s="7">
        <v>1</v>
      </c>
      <c r="S1577" s="6" t="s">
        <v>3240</v>
      </c>
      <c r="T1577" s="6" t="s">
        <v>1637</v>
      </c>
      <c r="U1577" s="6"/>
      <c r="V1577" s="16"/>
      <c r="W1577" s="16"/>
      <c r="X1577" s="16"/>
      <c r="Y1577" s="6" t="s">
        <v>1627</v>
      </c>
      <c r="Z1577" s="15"/>
      <c r="AA1577" s="15" t="s">
        <v>1628</v>
      </c>
    </row>
    <row r="1578" spans="1:27" ht="33" customHeight="1">
      <c r="A1578" s="8" t="s">
        <v>3415</v>
      </c>
      <c r="B1578" s="9">
        <v>734</v>
      </c>
      <c r="C1578" s="8" t="s">
        <v>3416</v>
      </c>
      <c r="D1578" s="8" t="s">
        <v>2133</v>
      </c>
      <c r="E1578" s="8" t="s">
        <v>2134</v>
      </c>
      <c r="F1578" s="8" t="s">
        <v>2933</v>
      </c>
      <c r="G1578" s="8" t="s">
        <v>1668</v>
      </c>
      <c r="H1578" s="8"/>
      <c r="I1578" s="14" t="s">
        <v>1807</v>
      </c>
      <c r="J1578" s="15"/>
      <c r="K1578" s="8" t="s">
        <v>1976</v>
      </c>
      <c r="L1578" s="8" t="s">
        <v>2032</v>
      </c>
      <c r="M1578" s="6" t="s">
        <v>1809</v>
      </c>
      <c r="N1578" s="6" t="s">
        <v>1644</v>
      </c>
      <c r="O1578" s="7">
        <f>SUMIFS('05_상품별배치367'!$K$7:$K$373,'05_상품별배치367'!$E$7:$E$373,A1578,'05_상품별배치367'!$H$7:$H$373,"본진")</f>
        <v>0</v>
      </c>
      <c r="P1578" s="7">
        <f>SUMIFS('05_상품별배치367'!$K$7:$K$373,'05_상품별배치367'!$E$7:$E$373,A1578,'05_상품별배치367'!$H$7:$H$373,"추가 진열")</f>
        <v>0</v>
      </c>
      <c r="Q1578" s="7">
        <f>O1578+P1578</f>
        <v>0</v>
      </c>
      <c r="R1578" s="7">
        <v>0</v>
      </c>
      <c r="S1578" s="6" t="s">
        <v>1810</v>
      </c>
      <c r="T1578" s="6" t="s">
        <v>1637</v>
      </c>
      <c r="U1578" s="6"/>
      <c r="V1578" s="16"/>
      <c r="W1578" s="16"/>
      <c r="X1578" s="16"/>
      <c r="Y1578" s="6" t="s">
        <v>1627</v>
      </c>
      <c r="Z1578" s="15"/>
      <c r="AA1578" s="15" t="s">
        <v>1628</v>
      </c>
    </row>
    <row r="1579" spans="1:27" ht="33" customHeight="1">
      <c r="A1579" s="8" t="s">
        <v>3419</v>
      </c>
      <c r="B1579" s="9">
        <v>736</v>
      </c>
      <c r="C1579" s="8" t="s">
        <v>3420</v>
      </c>
      <c r="D1579" s="8" t="s">
        <v>2133</v>
      </c>
      <c r="E1579" s="8" t="s">
        <v>2134</v>
      </c>
      <c r="F1579" s="8" t="s">
        <v>2933</v>
      </c>
      <c r="G1579" s="8" t="s">
        <v>1668</v>
      </c>
      <c r="H1579" s="8"/>
      <c r="I1579" s="14" t="s">
        <v>1807</v>
      </c>
      <c r="J1579" s="15"/>
      <c r="K1579" s="8" t="s">
        <v>1976</v>
      </c>
      <c r="L1579" s="8" t="s">
        <v>2032</v>
      </c>
      <c r="M1579" s="6" t="s">
        <v>1809</v>
      </c>
      <c r="N1579" s="6" t="s">
        <v>1644</v>
      </c>
      <c r="O1579" s="7">
        <f>SUMIFS('05_상품별배치367'!$K$7:$K$373,'05_상품별배치367'!$E$7:$E$373,A1579,'05_상품별배치367'!$H$7:$H$373,"본진")</f>
        <v>0</v>
      </c>
      <c r="P1579" s="7">
        <f>SUMIFS('05_상품별배치367'!$K$7:$K$373,'05_상품별배치367'!$E$7:$E$373,A1579,'05_상품별배치367'!$H$7:$H$373,"추가 진열")</f>
        <v>0</v>
      </c>
      <c r="Q1579" s="7">
        <f>O1579+P1579</f>
        <v>0</v>
      </c>
      <c r="R1579" s="7">
        <v>0</v>
      </c>
      <c r="S1579" s="6" t="s">
        <v>1810</v>
      </c>
      <c r="T1579" s="6" t="s">
        <v>1637</v>
      </c>
      <c r="U1579" s="6"/>
      <c r="V1579" s="16"/>
      <c r="W1579" s="16"/>
      <c r="X1579" s="16"/>
      <c r="Y1579" s="6" t="s">
        <v>1627</v>
      </c>
      <c r="Z1579" s="15"/>
      <c r="AA1579" s="15" t="s">
        <v>1628</v>
      </c>
    </row>
    <row r="1580" spans="1:27" ht="33" customHeight="1">
      <c r="A1580" s="6" t="s">
        <v>3417</v>
      </c>
      <c r="B1580" s="7">
        <v>735</v>
      </c>
      <c r="C1580" s="6" t="s">
        <v>3418</v>
      </c>
      <c r="D1580" s="6" t="s">
        <v>2133</v>
      </c>
      <c r="E1580" s="6" t="s">
        <v>2134</v>
      </c>
      <c r="F1580" s="6" t="s">
        <v>1081</v>
      </c>
      <c r="G1580" s="6" t="s">
        <v>290</v>
      </c>
      <c r="H1580" s="6"/>
      <c r="I1580" s="14" t="s">
        <v>1642</v>
      </c>
      <c r="J1580" s="15"/>
      <c r="K1580" s="6" t="s">
        <v>1976</v>
      </c>
      <c r="L1580" s="6"/>
      <c r="M1580" s="6" t="s">
        <v>1643</v>
      </c>
      <c r="N1580" s="6" t="s">
        <v>1644</v>
      </c>
      <c r="O1580" s="7">
        <f>SUMIFS('05_상품별배치367'!$K$7:$K$373,'05_상품별배치367'!$E$7:$E$373,A1580,'05_상품별배치367'!$H$7:$H$373,"본진")</f>
        <v>0</v>
      </c>
      <c r="P1580" s="7">
        <f>SUMIFS('05_상품별배치367'!$K$7:$K$373,'05_상품별배치367'!$E$7:$E$373,A1580,'05_상품별배치367'!$H$7:$H$373,"추가 진열")</f>
        <v>0</v>
      </c>
      <c r="Q1580" s="7">
        <f>O1580+P1580</f>
        <v>0</v>
      </c>
      <c r="R1580" s="7">
        <v>1</v>
      </c>
      <c r="S1580" s="6" t="s">
        <v>2135</v>
      </c>
      <c r="T1580" s="6" t="s">
        <v>1637</v>
      </c>
      <c r="U1580" s="6"/>
      <c r="V1580" s="16"/>
      <c r="W1580" s="16"/>
      <c r="X1580" s="16"/>
      <c r="Y1580" s="6" t="s">
        <v>1627</v>
      </c>
      <c r="Z1580" s="15"/>
      <c r="AA1580" s="15" t="s">
        <v>1628</v>
      </c>
    </row>
    <row r="1581" spans="1:27" ht="33" customHeight="1">
      <c r="A1581" s="6" t="s">
        <v>5100</v>
      </c>
      <c r="B1581" s="7">
        <v>1525</v>
      </c>
      <c r="C1581" s="6" t="s">
        <v>5101</v>
      </c>
      <c r="D1581" s="6" t="s">
        <v>1662</v>
      </c>
      <c r="E1581" s="6" t="s">
        <v>2134</v>
      </c>
      <c r="F1581" s="6" t="s">
        <v>842</v>
      </c>
      <c r="G1581" s="6" t="s">
        <v>164</v>
      </c>
      <c r="H1581" s="6"/>
      <c r="I1581" s="14" t="s">
        <v>1642</v>
      </c>
      <c r="J1581" s="15"/>
      <c r="K1581" s="6" t="s">
        <v>1976</v>
      </c>
      <c r="L1581" s="6"/>
      <c r="M1581" s="6" t="s">
        <v>1643</v>
      </c>
      <c r="N1581" s="6" t="s">
        <v>1644</v>
      </c>
      <c r="O1581" s="7">
        <f>SUMIFS('05_상품별배치367'!$K$7:$K$373,'05_상품별배치367'!$E$7:$E$373,A1581,'05_상품별배치367'!$H$7:$H$373,"본진")</f>
        <v>0</v>
      </c>
      <c r="P1581" s="7">
        <f>SUMIFS('05_상품별배치367'!$K$7:$K$373,'05_상품별배치367'!$E$7:$E$373,A1581,'05_상품별배치367'!$H$7:$H$373,"추가 진열")</f>
        <v>0</v>
      </c>
      <c r="Q1581" s="7">
        <f>O1581+P1581</f>
        <v>0</v>
      </c>
      <c r="R1581" s="7">
        <v>1</v>
      </c>
      <c r="S1581" s="6" t="s">
        <v>3009</v>
      </c>
      <c r="T1581" s="6" t="s">
        <v>1637</v>
      </c>
      <c r="U1581" s="6"/>
      <c r="V1581" s="16"/>
      <c r="W1581" s="16"/>
      <c r="X1581" s="16"/>
      <c r="Y1581" s="6" t="s">
        <v>1627</v>
      </c>
      <c r="Z1581" s="15"/>
      <c r="AA1581" s="15" t="s">
        <v>1628</v>
      </c>
    </row>
    <row r="1582" spans="1:27" ht="33" customHeight="1">
      <c r="A1582" s="8" t="s">
        <v>5102</v>
      </c>
      <c r="B1582" s="9">
        <v>1526</v>
      </c>
      <c r="C1582" s="8" t="s">
        <v>5103</v>
      </c>
      <c r="D1582" s="8" t="s">
        <v>1662</v>
      </c>
      <c r="E1582" s="8" t="s">
        <v>2134</v>
      </c>
      <c r="F1582" s="8" t="s">
        <v>156</v>
      </c>
      <c r="G1582" s="8" t="s">
        <v>3239</v>
      </c>
      <c r="H1582" s="8"/>
      <c r="I1582" s="14" t="s">
        <v>1642</v>
      </c>
      <c r="J1582" s="15"/>
      <c r="K1582" s="8" t="s">
        <v>1976</v>
      </c>
      <c r="L1582" s="8"/>
      <c r="M1582" s="6" t="s">
        <v>1643</v>
      </c>
      <c r="N1582" s="6" t="s">
        <v>1644</v>
      </c>
      <c r="O1582" s="7">
        <f>SUMIFS('05_상품별배치367'!$K$7:$K$373,'05_상품별배치367'!$E$7:$E$373,A1582,'05_상품별배치367'!$H$7:$H$373,"본진")</f>
        <v>0</v>
      </c>
      <c r="P1582" s="7">
        <f>SUMIFS('05_상품별배치367'!$K$7:$K$373,'05_상품별배치367'!$E$7:$E$373,A1582,'05_상품별배치367'!$H$7:$H$373,"추가 진열")</f>
        <v>0</v>
      </c>
      <c r="Q1582" s="7">
        <f>O1582+P1582</f>
        <v>0</v>
      </c>
      <c r="R1582" s="7">
        <v>1</v>
      </c>
      <c r="S1582" s="6" t="s">
        <v>3240</v>
      </c>
      <c r="T1582" s="6" t="s">
        <v>1637</v>
      </c>
      <c r="U1582" s="6"/>
      <c r="V1582" s="16"/>
      <c r="W1582" s="16"/>
      <c r="X1582" s="16"/>
      <c r="Y1582" s="6" t="s">
        <v>1627</v>
      </c>
      <c r="Z1582" s="15"/>
      <c r="AA1582" s="15" t="s">
        <v>1628</v>
      </c>
    </row>
    <row r="1583" spans="1:27" ht="33" customHeight="1">
      <c r="A1583" s="6" t="s">
        <v>5104</v>
      </c>
      <c r="B1583" s="7">
        <v>1527</v>
      </c>
      <c r="C1583" s="6" t="s">
        <v>5105</v>
      </c>
      <c r="D1583" s="6" t="s">
        <v>5106</v>
      </c>
      <c r="E1583" s="6" t="s">
        <v>2134</v>
      </c>
      <c r="F1583" s="6" t="s">
        <v>156</v>
      </c>
      <c r="G1583" s="6" t="s">
        <v>3239</v>
      </c>
      <c r="H1583" s="6"/>
      <c r="I1583" s="14" t="s">
        <v>1642</v>
      </c>
      <c r="J1583" s="15"/>
      <c r="K1583" s="6" t="s">
        <v>1976</v>
      </c>
      <c r="L1583" s="6"/>
      <c r="M1583" s="6" t="s">
        <v>1643</v>
      </c>
      <c r="N1583" s="6" t="s">
        <v>1644</v>
      </c>
      <c r="O1583" s="7">
        <f>SUMIFS('05_상품별배치367'!$K$7:$K$373,'05_상품별배치367'!$E$7:$E$373,A1583,'05_상품별배치367'!$H$7:$H$373,"본진")</f>
        <v>0</v>
      </c>
      <c r="P1583" s="7">
        <f>SUMIFS('05_상품별배치367'!$K$7:$K$373,'05_상품별배치367'!$E$7:$E$373,A1583,'05_상품별배치367'!$H$7:$H$373,"추가 진열")</f>
        <v>0</v>
      </c>
      <c r="Q1583" s="7">
        <f>O1583+P1583</f>
        <v>0</v>
      </c>
      <c r="R1583" s="7">
        <v>1</v>
      </c>
      <c r="S1583" s="6" t="s">
        <v>3240</v>
      </c>
      <c r="T1583" s="6" t="s">
        <v>1637</v>
      </c>
      <c r="U1583" s="6"/>
      <c r="V1583" s="16"/>
      <c r="W1583" s="16"/>
      <c r="X1583" s="16"/>
      <c r="Y1583" s="6" t="s">
        <v>1627</v>
      </c>
      <c r="Z1583" s="15"/>
      <c r="AA1583" s="15" t="s">
        <v>1628</v>
      </c>
    </row>
    <row r="1584" spans="1:27" ht="33" customHeight="1">
      <c r="A1584" s="8" t="s">
        <v>5107</v>
      </c>
      <c r="B1584" s="9">
        <v>1528</v>
      </c>
      <c r="C1584" s="8" t="s">
        <v>5108</v>
      </c>
      <c r="D1584" s="8" t="s">
        <v>1662</v>
      </c>
      <c r="E1584" s="8" t="s">
        <v>2134</v>
      </c>
      <c r="F1584" s="8" t="s">
        <v>161</v>
      </c>
      <c r="G1584" s="8" t="s">
        <v>395</v>
      </c>
      <c r="H1584" s="8"/>
      <c r="I1584" s="14" t="s">
        <v>1642</v>
      </c>
      <c r="J1584" s="15"/>
      <c r="K1584" s="8" t="s">
        <v>1976</v>
      </c>
      <c r="L1584" s="8"/>
      <c r="M1584" s="6" t="s">
        <v>1643</v>
      </c>
      <c r="N1584" s="6" t="s">
        <v>1644</v>
      </c>
      <c r="O1584" s="7">
        <f>SUMIFS('05_상품별배치367'!$K$7:$K$373,'05_상품별배치367'!$E$7:$E$373,A1584,'05_상품별배치367'!$H$7:$H$373,"본진")</f>
        <v>0</v>
      </c>
      <c r="P1584" s="7">
        <f>SUMIFS('05_상품별배치367'!$K$7:$K$373,'05_상품별배치367'!$E$7:$E$373,A1584,'05_상품별배치367'!$H$7:$H$373,"추가 진열")</f>
        <v>0</v>
      </c>
      <c r="Q1584" s="7">
        <f>O1584+P1584</f>
        <v>0</v>
      </c>
      <c r="R1584" s="7">
        <v>1</v>
      </c>
      <c r="S1584" s="6" t="s">
        <v>3070</v>
      </c>
      <c r="T1584" s="6" t="s">
        <v>1637</v>
      </c>
      <c r="U1584" s="6"/>
      <c r="V1584" s="16"/>
      <c r="W1584" s="16"/>
      <c r="X1584" s="16"/>
      <c r="Y1584" s="6" t="s">
        <v>1627</v>
      </c>
      <c r="Z1584" s="15"/>
      <c r="AA1584" s="15" t="s">
        <v>1628</v>
      </c>
    </row>
    <row r="1585" spans="1:27" ht="33" customHeight="1">
      <c r="A1585" s="8" t="s">
        <v>4743</v>
      </c>
      <c r="B1585" s="9">
        <v>1356</v>
      </c>
      <c r="C1585" s="8" t="s">
        <v>4744</v>
      </c>
      <c r="D1585" s="8" t="s">
        <v>2856</v>
      </c>
      <c r="E1585" s="8" t="s">
        <v>2134</v>
      </c>
      <c r="F1585" s="8" t="s">
        <v>1081</v>
      </c>
      <c r="G1585" s="8" t="s">
        <v>290</v>
      </c>
      <c r="H1585" s="8"/>
      <c r="I1585" s="14" t="s">
        <v>1642</v>
      </c>
      <c r="J1585" s="15"/>
      <c r="K1585" s="8" t="s">
        <v>1976</v>
      </c>
      <c r="L1585" s="8"/>
      <c r="M1585" s="6" t="s">
        <v>1643</v>
      </c>
      <c r="N1585" s="6" t="s">
        <v>1644</v>
      </c>
      <c r="O1585" s="7">
        <f>SUMIFS('05_상품별배치367'!$K$7:$K$373,'05_상품별배치367'!$E$7:$E$373,A1585,'05_상품별배치367'!$H$7:$H$373,"본진")</f>
        <v>0</v>
      </c>
      <c r="P1585" s="7">
        <f>SUMIFS('05_상품별배치367'!$K$7:$K$373,'05_상품별배치367'!$E$7:$E$373,A1585,'05_상품별배치367'!$H$7:$H$373,"추가 진열")</f>
        <v>0</v>
      </c>
      <c r="Q1585" s="7">
        <f>O1585+P1585</f>
        <v>0</v>
      </c>
      <c r="R1585" s="7">
        <v>1</v>
      </c>
      <c r="S1585" s="6" t="s">
        <v>2135</v>
      </c>
      <c r="T1585" s="6" t="s">
        <v>1637</v>
      </c>
      <c r="U1585" s="6"/>
      <c r="V1585" s="16"/>
      <c r="W1585" s="16"/>
      <c r="X1585" s="16"/>
      <c r="Y1585" s="6" t="s">
        <v>1627</v>
      </c>
      <c r="Z1585" s="15"/>
      <c r="AA1585" s="15" t="s">
        <v>1628</v>
      </c>
    </row>
    <row r="1586" spans="1:27" ht="33" customHeight="1">
      <c r="A1586" s="6" t="s">
        <v>3796</v>
      </c>
      <c r="B1586" s="7">
        <v>913</v>
      </c>
      <c r="C1586" s="6" t="s">
        <v>3797</v>
      </c>
      <c r="D1586" s="6" t="s">
        <v>3716</v>
      </c>
      <c r="E1586" s="6" t="s">
        <v>2134</v>
      </c>
      <c r="F1586" s="6" t="s">
        <v>842</v>
      </c>
      <c r="G1586" s="6" t="s">
        <v>164</v>
      </c>
      <c r="H1586" s="6"/>
      <c r="I1586" s="14" t="s">
        <v>1642</v>
      </c>
      <c r="J1586" s="15"/>
      <c r="K1586" s="6" t="s">
        <v>1976</v>
      </c>
      <c r="L1586" s="6"/>
      <c r="M1586" s="6" t="s">
        <v>1643</v>
      </c>
      <c r="N1586" s="6" t="s">
        <v>1644</v>
      </c>
      <c r="O1586" s="7">
        <f>SUMIFS('05_상품별배치367'!$K$7:$K$373,'05_상품별배치367'!$E$7:$E$373,A1586,'05_상품별배치367'!$H$7:$H$373,"본진")</f>
        <v>0</v>
      </c>
      <c r="P1586" s="7">
        <f>SUMIFS('05_상품별배치367'!$K$7:$K$373,'05_상품별배치367'!$E$7:$E$373,A1586,'05_상품별배치367'!$H$7:$H$373,"추가 진열")</f>
        <v>0</v>
      </c>
      <c r="Q1586" s="7">
        <f>O1586+P1586</f>
        <v>0</v>
      </c>
      <c r="R1586" s="7">
        <v>1</v>
      </c>
      <c r="S1586" s="6" t="s">
        <v>3009</v>
      </c>
      <c r="T1586" s="6" t="s">
        <v>1637</v>
      </c>
      <c r="U1586" s="6"/>
      <c r="V1586" s="16"/>
      <c r="W1586" s="16"/>
      <c r="X1586" s="16"/>
      <c r="Y1586" s="6" t="s">
        <v>1655</v>
      </c>
      <c r="Z1586" s="15"/>
      <c r="AA1586" s="15" t="s">
        <v>1628</v>
      </c>
    </row>
    <row r="1587" spans="1:27" ht="33" customHeight="1">
      <c r="A1587" s="8" t="s">
        <v>3789</v>
      </c>
      <c r="B1587" s="9">
        <v>910</v>
      </c>
      <c r="C1587" s="8" t="s">
        <v>3790</v>
      </c>
      <c r="D1587" s="8" t="s">
        <v>3791</v>
      </c>
      <c r="E1587" s="8" t="s">
        <v>2134</v>
      </c>
      <c r="F1587" s="8" t="s">
        <v>842</v>
      </c>
      <c r="G1587" s="8" t="s">
        <v>164</v>
      </c>
      <c r="H1587" s="8"/>
      <c r="I1587" s="14" t="s">
        <v>1642</v>
      </c>
      <c r="J1587" s="15"/>
      <c r="K1587" s="8" t="s">
        <v>1976</v>
      </c>
      <c r="L1587" s="8"/>
      <c r="M1587" s="6" t="s">
        <v>1643</v>
      </c>
      <c r="N1587" s="6" t="s">
        <v>1644</v>
      </c>
      <c r="O1587" s="7">
        <f>SUMIFS('05_상품별배치367'!$K$7:$K$373,'05_상품별배치367'!$E$7:$E$373,A1587,'05_상품별배치367'!$H$7:$H$373,"본진")</f>
        <v>0</v>
      </c>
      <c r="P1587" s="7">
        <f>SUMIFS('05_상품별배치367'!$K$7:$K$373,'05_상품별배치367'!$E$7:$E$373,A1587,'05_상품별배치367'!$H$7:$H$373,"추가 진열")</f>
        <v>0</v>
      </c>
      <c r="Q1587" s="7">
        <f>O1587+P1587</f>
        <v>0</v>
      </c>
      <c r="R1587" s="7">
        <v>1</v>
      </c>
      <c r="S1587" s="6" t="s">
        <v>3009</v>
      </c>
      <c r="T1587" s="6" t="s">
        <v>1637</v>
      </c>
      <c r="U1587" s="6"/>
      <c r="V1587" s="16"/>
      <c r="W1587" s="16"/>
      <c r="X1587" s="16"/>
      <c r="Y1587" s="6" t="s">
        <v>1655</v>
      </c>
      <c r="Z1587" s="15"/>
      <c r="AA1587" s="15" t="s">
        <v>1628</v>
      </c>
    </row>
    <row r="1588" spans="1:27" ht="33" customHeight="1">
      <c r="A1588" s="6" t="s">
        <v>3800</v>
      </c>
      <c r="B1588" s="7">
        <v>915</v>
      </c>
      <c r="C1588" s="6" t="s">
        <v>3801</v>
      </c>
      <c r="D1588" s="6" t="s">
        <v>3716</v>
      </c>
      <c r="E1588" s="6" t="s">
        <v>2134</v>
      </c>
      <c r="F1588" s="6" t="s">
        <v>842</v>
      </c>
      <c r="G1588" s="6" t="s">
        <v>164</v>
      </c>
      <c r="H1588" s="6"/>
      <c r="I1588" s="14" t="s">
        <v>1642</v>
      </c>
      <c r="J1588" s="15"/>
      <c r="K1588" s="6" t="s">
        <v>1976</v>
      </c>
      <c r="L1588" s="6"/>
      <c r="M1588" s="6" t="s">
        <v>1643</v>
      </c>
      <c r="N1588" s="6" t="s">
        <v>1644</v>
      </c>
      <c r="O1588" s="7">
        <f>SUMIFS('05_상품별배치367'!$K$7:$K$373,'05_상품별배치367'!$E$7:$E$373,A1588,'05_상품별배치367'!$H$7:$H$373,"본진")</f>
        <v>0</v>
      </c>
      <c r="P1588" s="7">
        <f>SUMIFS('05_상품별배치367'!$K$7:$K$373,'05_상품별배치367'!$E$7:$E$373,A1588,'05_상품별배치367'!$H$7:$H$373,"추가 진열")</f>
        <v>0</v>
      </c>
      <c r="Q1588" s="7">
        <f>O1588+P1588</f>
        <v>0</v>
      </c>
      <c r="R1588" s="7">
        <v>1</v>
      </c>
      <c r="S1588" s="6" t="s">
        <v>3009</v>
      </c>
      <c r="T1588" s="6" t="s">
        <v>1637</v>
      </c>
      <c r="U1588" s="6"/>
      <c r="V1588" s="16"/>
      <c r="W1588" s="16"/>
      <c r="X1588" s="16"/>
      <c r="Y1588" s="6" t="s">
        <v>1655</v>
      </c>
      <c r="Z1588" s="15"/>
      <c r="AA1588" s="15" t="s">
        <v>1628</v>
      </c>
    </row>
    <row r="1589" spans="1:27" ht="33" customHeight="1">
      <c r="A1589" s="8" t="s">
        <v>3794</v>
      </c>
      <c r="B1589" s="9">
        <v>912</v>
      </c>
      <c r="C1589" s="8" t="s">
        <v>3795</v>
      </c>
      <c r="D1589" s="8" t="s">
        <v>3791</v>
      </c>
      <c r="E1589" s="8" t="s">
        <v>2134</v>
      </c>
      <c r="F1589" s="8" t="s">
        <v>842</v>
      </c>
      <c r="G1589" s="8" t="s">
        <v>164</v>
      </c>
      <c r="H1589" s="8"/>
      <c r="I1589" s="14" t="s">
        <v>1642</v>
      </c>
      <c r="J1589" s="15"/>
      <c r="K1589" s="8" t="s">
        <v>1976</v>
      </c>
      <c r="L1589" s="8"/>
      <c r="M1589" s="6" t="s">
        <v>1643</v>
      </c>
      <c r="N1589" s="6" t="s">
        <v>1624</v>
      </c>
      <c r="O1589" s="7">
        <f>SUMIFS('05_상품별배치367'!$K$7:$K$373,'05_상품별배치367'!$E$7:$E$373,A1589,'05_상품별배치367'!$H$7:$H$373,"본진")</f>
        <v>0</v>
      </c>
      <c r="P1589" s="7">
        <f>SUMIFS('05_상품별배치367'!$K$7:$K$373,'05_상품별배치367'!$E$7:$E$373,A1589,'05_상품별배치367'!$H$7:$H$373,"추가 진열")</f>
        <v>0</v>
      </c>
      <c r="Q1589" s="7">
        <f>O1589+P1589</f>
        <v>0</v>
      </c>
      <c r="R1589" s="7">
        <v>1</v>
      </c>
      <c r="S1589" s="6" t="s">
        <v>3009</v>
      </c>
      <c r="T1589" s="6" t="s">
        <v>1637</v>
      </c>
      <c r="U1589" s="6"/>
      <c r="V1589" s="16"/>
      <c r="W1589" s="16"/>
      <c r="X1589" s="16"/>
      <c r="Y1589" s="6" t="s">
        <v>1655</v>
      </c>
      <c r="Z1589" s="15"/>
      <c r="AA1589" s="15" t="s">
        <v>1628</v>
      </c>
    </row>
    <row r="1590" spans="1:27" ht="33" customHeight="1">
      <c r="A1590" s="8" t="s">
        <v>3798</v>
      </c>
      <c r="B1590" s="9">
        <v>914</v>
      </c>
      <c r="C1590" s="8" t="s">
        <v>3799</v>
      </c>
      <c r="D1590" s="8" t="s">
        <v>3716</v>
      </c>
      <c r="E1590" s="8" t="s">
        <v>2134</v>
      </c>
      <c r="F1590" s="8" t="s">
        <v>156</v>
      </c>
      <c r="G1590" s="8" t="s">
        <v>3239</v>
      </c>
      <c r="H1590" s="8"/>
      <c r="I1590" s="14" t="s">
        <v>1642</v>
      </c>
      <c r="J1590" s="15"/>
      <c r="K1590" s="8" t="s">
        <v>1976</v>
      </c>
      <c r="L1590" s="8"/>
      <c r="M1590" s="6" t="s">
        <v>1643</v>
      </c>
      <c r="N1590" s="6" t="s">
        <v>1644</v>
      </c>
      <c r="O1590" s="7">
        <f>SUMIFS('05_상품별배치367'!$K$7:$K$373,'05_상품별배치367'!$E$7:$E$373,A1590,'05_상품별배치367'!$H$7:$H$373,"본진")</f>
        <v>0</v>
      </c>
      <c r="P1590" s="7">
        <f>SUMIFS('05_상품별배치367'!$K$7:$K$373,'05_상품별배치367'!$E$7:$E$373,A1590,'05_상품별배치367'!$H$7:$H$373,"추가 진열")</f>
        <v>0</v>
      </c>
      <c r="Q1590" s="7">
        <f>O1590+P1590</f>
        <v>0</v>
      </c>
      <c r="R1590" s="7">
        <v>1</v>
      </c>
      <c r="S1590" s="6" t="s">
        <v>3240</v>
      </c>
      <c r="T1590" s="6" t="s">
        <v>1637</v>
      </c>
      <c r="U1590" s="6"/>
      <c r="V1590" s="16"/>
      <c r="W1590" s="16"/>
      <c r="X1590" s="16"/>
      <c r="Y1590" s="6" t="s">
        <v>1655</v>
      </c>
      <c r="Z1590" s="15"/>
      <c r="AA1590" s="15" t="s">
        <v>1628</v>
      </c>
    </row>
    <row r="1591" spans="1:27" ht="33" customHeight="1">
      <c r="A1591" s="6" t="s">
        <v>3792</v>
      </c>
      <c r="B1591" s="7">
        <v>911</v>
      </c>
      <c r="C1591" s="6" t="s">
        <v>3793</v>
      </c>
      <c r="D1591" s="6" t="s">
        <v>3791</v>
      </c>
      <c r="E1591" s="6" t="s">
        <v>2134</v>
      </c>
      <c r="F1591" s="6" t="s">
        <v>156</v>
      </c>
      <c r="G1591" s="6" t="s">
        <v>3239</v>
      </c>
      <c r="H1591" s="6"/>
      <c r="I1591" s="14" t="s">
        <v>1642</v>
      </c>
      <c r="J1591" s="15"/>
      <c r="K1591" s="6" t="s">
        <v>1976</v>
      </c>
      <c r="L1591" s="6"/>
      <c r="M1591" s="6" t="s">
        <v>1643</v>
      </c>
      <c r="N1591" s="6" t="s">
        <v>1644</v>
      </c>
      <c r="O1591" s="7">
        <f>SUMIFS('05_상품별배치367'!$K$7:$K$373,'05_상품별배치367'!$E$7:$E$373,A1591,'05_상품별배치367'!$H$7:$H$373,"본진")</f>
        <v>0</v>
      </c>
      <c r="P1591" s="7">
        <f>SUMIFS('05_상품별배치367'!$K$7:$K$373,'05_상품별배치367'!$E$7:$E$373,A1591,'05_상품별배치367'!$H$7:$H$373,"추가 진열")</f>
        <v>0</v>
      </c>
      <c r="Q1591" s="7">
        <f>O1591+P1591</f>
        <v>0</v>
      </c>
      <c r="R1591" s="7">
        <v>1</v>
      </c>
      <c r="S1591" s="6" t="s">
        <v>3240</v>
      </c>
      <c r="T1591" s="6" t="s">
        <v>1637</v>
      </c>
      <c r="U1591" s="6"/>
      <c r="V1591" s="16"/>
      <c r="W1591" s="16"/>
      <c r="X1591" s="16"/>
      <c r="Y1591" s="6" t="s">
        <v>1655</v>
      </c>
      <c r="Z1591" s="15"/>
      <c r="AA1591" s="15" t="s">
        <v>1628</v>
      </c>
    </row>
    <row r="1592" spans="1:27" ht="33" customHeight="1">
      <c r="A1592" s="8" t="s">
        <v>7231</v>
      </c>
      <c r="B1592" s="9">
        <v>2516</v>
      </c>
      <c r="C1592" s="8" t="s">
        <v>7232</v>
      </c>
      <c r="D1592" s="8" t="s">
        <v>1876</v>
      </c>
      <c r="E1592" s="8" t="s">
        <v>2134</v>
      </c>
      <c r="F1592" s="8" t="s">
        <v>842</v>
      </c>
      <c r="G1592" s="8" t="s">
        <v>164</v>
      </c>
      <c r="H1592" s="8"/>
      <c r="I1592" s="14" t="s">
        <v>1642</v>
      </c>
      <c r="J1592" s="15"/>
      <c r="K1592" s="8" t="s">
        <v>1976</v>
      </c>
      <c r="L1592" s="8" t="s">
        <v>3828</v>
      </c>
      <c r="M1592" s="6" t="s">
        <v>1643</v>
      </c>
      <c r="N1592" s="6" t="s">
        <v>1644</v>
      </c>
      <c r="O1592" s="7">
        <f>SUMIFS('05_상품별배치367'!$K$7:$K$373,'05_상품별배치367'!$E$7:$E$373,A1592,'05_상품별배치367'!$H$7:$H$373,"본진")</f>
        <v>0</v>
      </c>
      <c r="P1592" s="7">
        <f>SUMIFS('05_상품별배치367'!$K$7:$K$373,'05_상품별배치367'!$E$7:$E$373,A1592,'05_상품별배치367'!$H$7:$H$373,"추가 진열")</f>
        <v>0</v>
      </c>
      <c r="Q1592" s="7">
        <f>O1592+P1592</f>
        <v>0</v>
      </c>
      <c r="R1592" s="7">
        <v>1</v>
      </c>
      <c r="S1592" s="6" t="s">
        <v>3009</v>
      </c>
      <c r="T1592" s="6" t="s">
        <v>1637</v>
      </c>
      <c r="U1592" s="6"/>
      <c r="V1592" s="16"/>
      <c r="W1592" s="16"/>
      <c r="X1592" s="16"/>
      <c r="Y1592" s="6" t="s">
        <v>1627</v>
      </c>
      <c r="Z1592" s="15"/>
      <c r="AA1592" s="15" t="s">
        <v>1628</v>
      </c>
    </row>
    <row r="1593" spans="1:27" ht="33" customHeight="1">
      <c r="A1593" s="8" t="s">
        <v>7235</v>
      </c>
      <c r="B1593" s="9">
        <v>2518</v>
      </c>
      <c r="C1593" s="8" t="s">
        <v>7236</v>
      </c>
      <c r="D1593" s="8" t="s">
        <v>2856</v>
      </c>
      <c r="E1593" s="8" t="s">
        <v>1814</v>
      </c>
      <c r="F1593" s="8" t="s">
        <v>1376</v>
      </c>
      <c r="G1593" s="8" t="s">
        <v>431</v>
      </c>
      <c r="H1593" s="8"/>
      <c r="I1593" s="14" t="s">
        <v>1642</v>
      </c>
      <c r="J1593" s="15"/>
      <c r="K1593" s="8" t="s">
        <v>1976</v>
      </c>
      <c r="L1593" s="8" t="s">
        <v>3828</v>
      </c>
      <c r="M1593" s="6" t="s">
        <v>1643</v>
      </c>
      <c r="N1593" s="6" t="s">
        <v>1644</v>
      </c>
      <c r="O1593" s="7">
        <f>SUMIFS('05_상품별배치367'!$K$7:$K$373,'05_상품별배치367'!$E$7:$E$373,A1593,'05_상품별배치367'!$H$7:$H$373,"본진")</f>
        <v>0</v>
      </c>
      <c r="P1593" s="7">
        <f>SUMIFS('05_상품별배치367'!$K$7:$K$373,'05_상품별배치367'!$E$7:$E$373,A1593,'05_상품별배치367'!$H$7:$H$373,"추가 진열")</f>
        <v>0</v>
      </c>
      <c r="Q1593" s="7">
        <f>O1593+P1593</f>
        <v>0</v>
      </c>
      <c r="R1593" s="7">
        <v>1</v>
      </c>
      <c r="S1593" s="6" t="s">
        <v>1978</v>
      </c>
      <c r="T1593" s="6" t="s">
        <v>1637</v>
      </c>
      <c r="U1593" s="6"/>
      <c r="V1593" s="16"/>
      <c r="W1593" s="16"/>
      <c r="X1593" s="16"/>
      <c r="Y1593" s="6" t="s">
        <v>1627</v>
      </c>
      <c r="Z1593" s="15"/>
      <c r="AA1593" s="15" t="s">
        <v>1628</v>
      </c>
    </row>
    <row r="1594" spans="1:27" ht="33" customHeight="1">
      <c r="A1594" s="6" t="s">
        <v>7229</v>
      </c>
      <c r="B1594" s="7">
        <v>2515</v>
      </c>
      <c r="C1594" s="6" t="s">
        <v>7230</v>
      </c>
      <c r="D1594" s="6" t="s">
        <v>2133</v>
      </c>
      <c r="E1594" s="6" t="s">
        <v>2134</v>
      </c>
      <c r="F1594" s="6" t="s">
        <v>842</v>
      </c>
      <c r="G1594" s="6" t="s">
        <v>164</v>
      </c>
      <c r="H1594" s="6"/>
      <c r="I1594" s="14" t="s">
        <v>1642</v>
      </c>
      <c r="J1594" s="15"/>
      <c r="K1594" s="6" t="s">
        <v>1976</v>
      </c>
      <c r="L1594" s="6" t="s">
        <v>3828</v>
      </c>
      <c r="M1594" s="6" t="s">
        <v>1643</v>
      </c>
      <c r="N1594" s="6" t="s">
        <v>1644</v>
      </c>
      <c r="O1594" s="7">
        <f>SUMIFS('05_상품별배치367'!$K$7:$K$373,'05_상품별배치367'!$E$7:$E$373,A1594,'05_상품별배치367'!$H$7:$H$373,"본진")</f>
        <v>0</v>
      </c>
      <c r="P1594" s="7">
        <f>SUMIFS('05_상품별배치367'!$K$7:$K$373,'05_상품별배치367'!$E$7:$E$373,A1594,'05_상품별배치367'!$H$7:$H$373,"추가 진열")</f>
        <v>0</v>
      </c>
      <c r="Q1594" s="7">
        <f>O1594+P1594</f>
        <v>0</v>
      </c>
      <c r="R1594" s="7">
        <v>1</v>
      </c>
      <c r="S1594" s="6" t="s">
        <v>3009</v>
      </c>
      <c r="T1594" s="6" t="s">
        <v>1637</v>
      </c>
      <c r="U1594" s="6"/>
      <c r="V1594" s="16"/>
      <c r="W1594" s="16"/>
      <c r="X1594" s="16"/>
      <c r="Y1594" s="6" t="s">
        <v>1627</v>
      </c>
      <c r="Z1594" s="15"/>
      <c r="AA1594" s="15" t="s">
        <v>1628</v>
      </c>
    </row>
    <row r="1595" spans="1:27" ht="33" customHeight="1">
      <c r="A1595" s="6" t="s">
        <v>7233</v>
      </c>
      <c r="B1595" s="7">
        <v>2517</v>
      </c>
      <c r="C1595" s="6" t="s">
        <v>7234</v>
      </c>
      <c r="D1595" s="6" t="s">
        <v>1876</v>
      </c>
      <c r="E1595" s="6" t="s">
        <v>2134</v>
      </c>
      <c r="F1595" s="6" t="s">
        <v>842</v>
      </c>
      <c r="G1595" s="6" t="s">
        <v>164</v>
      </c>
      <c r="H1595" s="6"/>
      <c r="I1595" s="14" t="s">
        <v>1642</v>
      </c>
      <c r="J1595" s="15"/>
      <c r="K1595" s="6" t="s">
        <v>1976</v>
      </c>
      <c r="L1595" s="6" t="s">
        <v>3828</v>
      </c>
      <c r="M1595" s="6" t="s">
        <v>1643</v>
      </c>
      <c r="N1595" s="6" t="s">
        <v>1644</v>
      </c>
      <c r="O1595" s="7">
        <f>SUMIFS('05_상품별배치367'!$K$7:$K$373,'05_상품별배치367'!$E$7:$E$373,A1595,'05_상품별배치367'!$H$7:$H$373,"본진")</f>
        <v>0</v>
      </c>
      <c r="P1595" s="7">
        <f>SUMIFS('05_상품별배치367'!$K$7:$K$373,'05_상품별배치367'!$E$7:$E$373,A1595,'05_상품별배치367'!$H$7:$H$373,"추가 진열")</f>
        <v>0</v>
      </c>
      <c r="Q1595" s="7">
        <f>O1595+P1595</f>
        <v>0</v>
      </c>
      <c r="R1595" s="7">
        <v>1</v>
      </c>
      <c r="S1595" s="6" t="s">
        <v>3009</v>
      </c>
      <c r="T1595" s="6" t="s">
        <v>1637</v>
      </c>
      <c r="U1595" s="6"/>
      <c r="V1595" s="16"/>
      <c r="W1595" s="16"/>
      <c r="X1595" s="16"/>
      <c r="Y1595" s="6" t="s">
        <v>1627</v>
      </c>
      <c r="Z1595" s="15"/>
      <c r="AA1595" s="15" t="s">
        <v>1628</v>
      </c>
    </row>
    <row r="1596" spans="1:27" ht="33" customHeight="1">
      <c r="A1596" s="6" t="s">
        <v>5763</v>
      </c>
      <c r="B1596" s="7">
        <v>1837</v>
      </c>
      <c r="C1596" s="6" t="s">
        <v>5764</v>
      </c>
      <c r="D1596" s="6" t="s">
        <v>5765</v>
      </c>
      <c r="E1596" s="6" t="s">
        <v>1641</v>
      </c>
      <c r="F1596" s="6" t="s">
        <v>1381</v>
      </c>
      <c r="G1596" s="6" t="s">
        <v>439</v>
      </c>
      <c r="H1596" s="6"/>
      <c r="I1596" s="14" t="s">
        <v>1642</v>
      </c>
      <c r="J1596" s="15"/>
      <c r="K1596" s="6" t="s">
        <v>1634</v>
      </c>
      <c r="L1596" s="6" t="s">
        <v>3828</v>
      </c>
      <c r="M1596" s="6" t="s">
        <v>1643</v>
      </c>
      <c r="N1596" s="6" t="s">
        <v>1624</v>
      </c>
      <c r="O1596" s="7">
        <f>SUMIFS('05_상품별배치367'!$K$7:$K$373,'05_상품별배치367'!$E$7:$E$373,A1596,'05_상품별배치367'!$H$7:$H$373,"본진")</f>
        <v>0</v>
      </c>
      <c r="P1596" s="7">
        <f>SUMIFS('05_상품별배치367'!$K$7:$K$373,'05_상품별배치367'!$E$7:$E$373,A1596,'05_상품별배치367'!$H$7:$H$373,"추가 진열")</f>
        <v>0</v>
      </c>
      <c r="Q1596" s="7">
        <f>O1596+P1596</f>
        <v>0</v>
      </c>
      <c r="R1596" s="7">
        <v>1</v>
      </c>
      <c r="S1596" s="6" t="s">
        <v>5766</v>
      </c>
      <c r="T1596" s="6" t="s">
        <v>1637</v>
      </c>
      <c r="U1596" s="6"/>
      <c r="V1596" s="16"/>
      <c r="W1596" s="16"/>
      <c r="X1596" s="16"/>
      <c r="Y1596" s="6" t="s">
        <v>1655</v>
      </c>
      <c r="Z1596" s="15"/>
      <c r="AA1596" s="15" t="s">
        <v>1628</v>
      </c>
    </row>
    <row r="1597" spans="1:27" ht="33" customHeight="1">
      <c r="A1597" s="8" t="s">
        <v>6882</v>
      </c>
      <c r="B1597" s="9">
        <v>2352</v>
      </c>
      <c r="C1597" s="8" t="s">
        <v>6883</v>
      </c>
      <c r="D1597" s="8" t="s">
        <v>1649</v>
      </c>
      <c r="E1597" s="8" t="s">
        <v>1632</v>
      </c>
      <c r="F1597" s="8" t="s">
        <v>563</v>
      </c>
      <c r="G1597" s="8" t="s">
        <v>25</v>
      </c>
      <c r="H1597" s="8"/>
      <c r="I1597" s="14" t="s">
        <v>1642</v>
      </c>
      <c r="J1597" s="15"/>
      <c r="K1597" s="8" t="s">
        <v>1634</v>
      </c>
      <c r="L1597" s="8" t="s">
        <v>3828</v>
      </c>
      <c r="M1597" s="6" t="s">
        <v>1643</v>
      </c>
      <c r="N1597" s="6" t="s">
        <v>1624</v>
      </c>
      <c r="O1597" s="7">
        <f>SUMIFS('05_상품별배치367'!$K$7:$K$373,'05_상품별배치367'!$E$7:$E$373,A1597,'05_상품별배치367'!$H$7:$H$373,"본진")</f>
        <v>0</v>
      </c>
      <c r="P1597" s="7">
        <f>SUMIFS('05_상품별배치367'!$K$7:$K$373,'05_상품별배치367'!$E$7:$E$373,A1597,'05_상품별배치367'!$H$7:$H$373,"추가 진열")</f>
        <v>0</v>
      </c>
      <c r="Q1597" s="7">
        <f>O1597+P1597</f>
        <v>0</v>
      </c>
      <c r="R1597" s="7">
        <v>1</v>
      </c>
      <c r="S1597" s="6" t="s">
        <v>1728</v>
      </c>
      <c r="T1597" s="6" t="s">
        <v>1637</v>
      </c>
      <c r="U1597" s="6"/>
      <c r="V1597" s="16"/>
      <c r="W1597" s="16"/>
      <c r="X1597" s="16"/>
      <c r="Y1597" s="6" t="s">
        <v>1627</v>
      </c>
      <c r="Z1597" s="15"/>
      <c r="AA1597" s="15" t="s">
        <v>1628</v>
      </c>
    </row>
    <row r="1598" spans="1:27" ht="33" customHeight="1">
      <c r="A1598" s="6" t="s">
        <v>4500</v>
      </c>
      <c r="B1598" s="7">
        <v>1239</v>
      </c>
      <c r="C1598" s="6" t="s">
        <v>4501</v>
      </c>
      <c r="D1598" s="6" t="s">
        <v>1851</v>
      </c>
      <c r="E1598" s="6" t="s">
        <v>2134</v>
      </c>
      <c r="F1598" s="6" t="s">
        <v>1081</v>
      </c>
      <c r="G1598" s="6" t="s">
        <v>290</v>
      </c>
      <c r="H1598" s="6"/>
      <c r="I1598" s="14" t="s">
        <v>1642</v>
      </c>
      <c r="J1598" s="15"/>
      <c r="K1598" s="6" t="s">
        <v>1976</v>
      </c>
      <c r="L1598" s="6"/>
      <c r="M1598" s="6" t="s">
        <v>1643</v>
      </c>
      <c r="N1598" s="6" t="s">
        <v>1644</v>
      </c>
      <c r="O1598" s="7">
        <f>SUMIFS('05_상품별배치367'!$K$7:$K$373,'05_상품별배치367'!$E$7:$E$373,A1598,'05_상품별배치367'!$H$7:$H$373,"본진")</f>
        <v>0</v>
      </c>
      <c r="P1598" s="7">
        <f>SUMIFS('05_상품별배치367'!$K$7:$K$373,'05_상품별배치367'!$E$7:$E$373,A1598,'05_상품별배치367'!$H$7:$H$373,"추가 진열")</f>
        <v>0</v>
      </c>
      <c r="Q1598" s="7">
        <f>O1598+P1598</f>
        <v>0</v>
      </c>
      <c r="R1598" s="7">
        <v>1</v>
      </c>
      <c r="S1598" s="6" t="s">
        <v>2135</v>
      </c>
      <c r="T1598" s="6" t="s">
        <v>1637</v>
      </c>
      <c r="U1598" s="6"/>
      <c r="V1598" s="16"/>
      <c r="W1598" s="16"/>
      <c r="X1598" s="16"/>
      <c r="Y1598" s="6" t="s">
        <v>1627</v>
      </c>
      <c r="Z1598" s="15"/>
      <c r="AA1598" s="15" t="s">
        <v>1628</v>
      </c>
    </row>
    <row r="1599" spans="1:27" ht="33" customHeight="1">
      <c r="A1599" s="8" t="s">
        <v>4498</v>
      </c>
      <c r="B1599" s="9">
        <v>1238</v>
      </c>
      <c r="C1599" s="8" t="s">
        <v>4499</v>
      </c>
      <c r="D1599" s="8" t="s">
        <v>2845</v>
      </c>
      <c r="E1599" s="8" t="s">
        <v>2134</v>
      </c>
      <c r="F1599" s="8" t="s">
        <v>1081</v>
      </c>
      <c r="G1599" s="8" t="s">
        <v>290</v>
      </c>
      <c r="H1599" s="8"/>
      <c r="I1599" s="14" t="s">
        <v>1642</v>
      </c>
      <c r="J1599" s="15"/>
      <c r="K1599" s="8" t="s">
        <v>1976</v>
      </c>
      <c r="L1599" s="8"/>
      <c r="M1599" s="6" t="s">
        <v>1643</v>
      </c>
      <c r="N1599" s="6" t="s">
        <v>1644</v>
      </c>
      <c r="O1599" s="7">
        <f>SUMIFS('05_상품별배치367'!$K$7:$K$373,'05_상품별배치367'!$E$7:$E$373,A1599,'05_상품별배치367'!$H$7:$H$373,"본진")</f>
        <v>0</v>
      </c>
      <c r="P1599" s="7">
        <f>SUMIFS('05_상품별배치367'!$K$7:$K$373,'05_상품별배치367'!$E$7:$E$373,A1599,'05_상품별배치367'!$H$7:$H$373,"추가 진열")</f>
        <v>0</v>
      </c>
      <c r="Q1599" s="7">
        <f>O1599+P1599</f>
        <v>0</v>
      </c>
      <c r="R1599" s="7">
        <v>1</v>
      </c>
      <c r="S1599" s="6" t="s">
        <v>2135</v>
      </c>
      <c r="T1599" s="6" t="s">
        <v>1637</v>
      </c>
      <c r="U1599" s="6"/>
      <c r="V1599" s="16"/>
      <c r="W1599" s="16"/>
      <c r="X1599" s="16"/>
      <c r="Y1599" s="6" t="s">
        <v>1627</v>
      </c>
      <c r="Z1599" s="15"/>
      <c r="AA1599" s="15" t="s">
        <v>1628</v>
      </c>
    </row>
    <row r="1600" spans="1:27" ht="33" customHeight="1">
      <c r="A1600" s="6" t="s">
        <v>4496</v>
      </c>
      <c r="B1600" s="7">
        <v>1237</v>
      </c>
      <c r="C1600" s="6" t="s">
        <v>4497</v>
      </c>
      <c r="D1600" s="6" t="s">
        <v>2133</v>
      </c>
      <c r="E1600" s="6" t="s">
        <v>2134</v>
      </c>
      <c r="F1600" s="6" t="s">
        <v>1081</v>
      </c>
      <c r="G1600" s="6" t="s">
        <v>290</v>
      </c>
      <c r="H1600" s="6"/>
      <c r="I1600" s="14" t="s">
        <v>1642</v>
      </c>
      <c r="J1600" s="15"/>
      <c r="K1600" s="6" t="s">
        <v>1976</v>
      </c>
      <c r="L1600" s="6"/>
      <c r="M1600" s="6" t="s">
        <v>1643</v>
      </c>
      <c r="N1600" s="6" t="s">
        <v>1644</v>
      </c>
      <c r="O1600" s="7">
        <f>SUMIFS('05_상품별배치367'!$K$7:$K$373,'05_상품별배치367'!$E$7:$E$373,A1600,'05_상품별배치367'!$H$7:$H$373,"본진")</f>
        <v>0</v>
      </c>
      <c r="P1600" s="7">
        <f>SUMIFS('05_상품별배치367'!$K$7:$K$373,'05_상품별배치367'!$E$7:$E$373,A1600,'05_상품별배치367'!$H$7:$H$373,"추가 진열")</f>
        <v>0</v>
      </c>
      <c r="Q1600" s="7">
        <f>O1600+P1600</f>
        <v>0</v>
      </c>
      <c r="R1600" s="7">
        <v>1</v>
      </c>
      <c r="S1600" s="6" t="s">
        <v>2135</v>
      </c>
      <c r="T1600" s="6" t="s">
        <v>1637</v>
      </c>
      <c r="U1600" s="6"/>
      <c r="V1600" s="16"/>
      <c r="W1600" s="16"/>
      <c r="X1600" s="16"/>
      <c r="Y1600" s="6" t="s">
        <v>1627</v>
      </c>
      <c r="Z1600" s="15"/>
      <c r="AA1600" s="15" t="s">
        <v>1628</v>
      </c>
    </row>
    <row r="1601" spans="1:27" ht="33" customHeight="1">
      <c r="A1601" s="8" t="s">
        <v>4506</v>
      </c>
      <c r="B1601" s="9">
        <v>1242</v>
      </c>
      <c r="C1601" s="8" t="s">
        <v>4507</v>
      </c>
      <c r="D1601" s="8" t="s">
        <v>2964</v>
      </c>
      <c r="E1601" s="8" t="s">
        <v>1695</v>
      </c>
      <c r="F1601" s="8" t="s">
        <v>1129</v>
      </c>
      <c r="G1601" s="8" t="s">
        <v>307</v>
      </c>
      <c r="H1601" s="8"/>
      <c r="I1601" s="14" t="s">
        <v>1642</v>
      </c>
      <c r="J1601" s="15"/>
      <c r="K1601" s="8" t="s">
        <v>1696</v>
      </c>
      <c r="L1601" s="8"/>
      <c r="M1601" s="6" t="s">
        <v>1643</v>
      </c>
      <c r="N1601" s="6" t="s">
        <v>1644</v>
      </c>
      <c r="O1601" s="7">
        <f>SUMIFS('05_상품별배치367'!$K$7:$K$373,'05_상품별배치367'!$E$7:$E$373,A1601,'05_상품별배치367'!$H$7:$H$373,"본진")</f>
        <v>0</v>
      </c>
      <c r="P1601" s="7">
        <f>SUMIFS('05_상품별배치367'!$K$7:$K$373,'05_상품별배치367'!$E$7:$E$373,A1601,'05_상품별배치367'!$H$7:$H$373,"추가 진열")</f>
        <v>0</v>
      </c>
      <c r="Q1601" s="7">
        <f>O1601+P1601</f>
        <v>0</v>
      </c>
      <c r="R1601" s="7">
        <v>1</v>
      </c>
      <c r="S1601" s="6" t="s">
        <v>2850</v>
      </c>
      <c r="T1601" s="6" t="s">
        <v>1637</v>
      </c>
      <c r="U1601" s="6"/>
      <c r="V1601" s="16"/>
      <c r="W1601" s="16"/>
      <c r="X1601" s="16"/>
      <c r="Y1601" s="6" t="s">
        <v>1627</v>
      </c>
      <c r="Z1601" s="15"/>
      <c r="AA1601" s="15" t="s">
        <v>1628</v>
      </c>
    </row>
    <row r="1602" spans="1:27" ht="33" customHeight="1">
      <c r="A1602" s="6" t="s">
        <v>4488</v>
      </c>
      <c r="B1602" s="7">
        <v>1233</v>
      </c>
      <c r="C1602" s="6" t="s">
        <v>4489</v>
      </c>
      <c r="D1602" s="6" t="s">
        <v>1851</v>
      </c>
      <c r="E1602" s="6" t="s">
        <v>2134</v>
      </c>
      <c r="F1602" s="6" t="s">
        <v>163</v>
      </c>
      <c r="G1602" s="6" t="s">
        <v>414</v>
      </c>
      <c r="H1602" s="6"/>
      <c r="I1602" s="14" t="s">
        <v>1642</v>
      </c>
      <c r="J1602" s="15"/>
      <c r="K1602" s="6" t="s">
        <v>1976</v>
      </c>
      <c r="L1602" s="6"/>
      <c r="M1602" s="6" t="s">
        <v>1643</v>
      </c>
      <c r="N1602" s="6" t="s">
        <v>1644</v>
      </c>
      <c r="O1602" s="7">
        <f>SUMIFS('05_상품별배치367'!$K$7:$K$373,'05_상품별배치367'!$E$7:$E$373,A1602,'05_상품별배치367'!$H$7:$H$373,"본진")</f>
        <v>0</v>
      </c>
      <c r="P1602" s="7">
        <f>SUMIFS('05_상품별배치367'!$K$7:$K$373,'05_상품별배치367'!$E$7:$E$373,A1602,'05_상품별배치367'!$H$7:$H$373,"추가 진열")</f>
        <v>0</v>
      </c>
      <c r="Q1602" s="7">
        <f>O1602+P1602</f>
        <v>0</v>
      </c>
      <c r="R1602" s="7">
        <v>1</v>
      </c>
      <c r="S1602" s="6" t="s">
        <v>3048</v>
      </c>
      <c r="T1602" s="6" t="s">
        <v>1637</v>
      </c>
      <c r="U1602" s="6"/>
      <c r="V1602" s="16"/>
      <c r="W1602" s="16"/>
      <c r="X1602" s="16"/>
      <c r="Y1602" s="6" t="s">
        <v>1627</v>
      </c>
      <c r="Z1602" s="15"/>
      <c r="AA1602" s="15" t="s">
        <v>1628</v>
      </c>
    </row>
    <row r="1603" spans="1:27" ht="33" customHeight="1">
      <c r="A1603" s="6" t="s">
        <v>4508</v>
      </c>
      <c r="B1603" s="7">
        <v>1243</v>
      </c>
      <c r="C1603" s="6" t="s">
        <v>4509</v>
      </c>
      <c r="D1603" s="6" t="s">
        <v>1851</v>
      </c>
      <c r="E1603" s="6" t="s">
        <v>1695</v>
      </c>
      <c r="F1603" s="6" t="s">
        <v>497</v>
      </c>
      <c r="G1603" s="6" t="s">
        <v>307</v>
      </c>
      <c r="H1603" s="6"/>
      <c r="I1603" s="14" t="s">
        <v>1642</v>
      </c>
      <c r="J1603" s="15"/>
      <c r="K1603" s="6" t="s">
        <v>1696</v>
      </c>
      <c r="L1603" s="6"/>
      <c r="M1603" s="6" t="s">
        <v>1643</v>
      </c>
      <c r="N1603" s="6" t="s">
        <v>1644</v>
      </c>
      <c r="O1603" s="7">
        <f>SUMIFS('05_상품별배치367'!$K$7:$K$373,'05_상품별배치367'!$E$7:$E$373,A1603,'05_상품별배치367'!$H$7:$H$373,"본진")</f>
        <v>0</v>
      </c>
      <c r="P1603" s="7">
        <f>SUMIFS('05_상품별배치367'!$K$7:$K$373,'05_상품별배치367'!$E$7:$E$373,A1603,'05_상품별배치367'!$H$7:$H$373,"추가 진열")</f>
        <v>0</v>
      </c>
      <c r="Q1603" s="7">
        <f>O1603+P1603</f>
        <v>0</v>
      </c>
      <c r="R1603" s="7">
        <v>1</v>
      </c>
      <c r="S1603" s="6" t="s">
        <v>2857</v>
      </c>
      <c r="T1603" s="6" t="s">
        <v>1637</v>
      </c>
      <c r="U1603" s="6"/>
      <c r="V1603" s="16"/>
      <c r="W1603" s="16"/>
      <c r="X1603" s="16"/>
      <c r="Y1603" s="6" t="s">
        <v>1627</v>
      </c>
      <c r="Z1603" s="15"/>
      <c r="AA1603" s="15" t="s">
        <v>1628</v>
      </c>
    </row>
    <row r="1604" spans="1:27" ht="33" customHeight="1">
      <c r="A1604" s="6" t="s">
        <v>4504</v>
      </c>
      <c r="B1604" s="7">
        <v>1241</v>
      </c>
      <c r="C1604" s="6" t="s">
        <v>4505</v>
      </c>
      <c r="D1604" s="6" t="s">
        <v>3164</v>
      </c>
      <c r="E1604" s="6" t="s">
        <v>1695</v>
      </c>
      <c r="F1604" s="6" t="s">
        <v>1049</v>
      </c>
      <c r="G1604" s="6" t="s">
        <v>272</v>
      </c>
      <c r="H1604" s="6"/>
      <c r="I1604" s="14" t="s">
        <v>1642</v>
      </c>
      <c r="J1604" s="15"/>
      <c r="K1604" s="6" t="s">
        <v>1696</v>
      </c>
      <c r="L1604" s="6"/>
      <c r="M1604" s="6" t="s">
        <v>1643</v>
      </c>
      <c r="N1604" s="6" t="s">
        <v>1644</v>
      </c>
      <c r="O1604" s="7">
        <f>SUMIFS('05_상품별배치367'!$K$7:$K$373,'05_상품별배치367'!$E$7:$E$373,A1604,'05_상품별배치367'!$H$7:$H$373,"본진")</f>
        <v>0</v>
      </c>
      <c r="P1604" s="7">
        <f>SUMIFS('05_상품별배치367'!$K$7:$K$373,'05_상품별배치367'!$E$7:$E$373,A1604,'05_상품별배치367'!$H$7:$H$373,"추가 진열")</f>
        <v>0</v>
      </c>
      <c r="Q1604" s="7">
        <f>O1604+P1604</f>
        <v>0</v>
      </c>
      <c r="R1604" s="7">
        <v>1</v>
      </c>
      <c r="S1604" s="6" t="s">
        <v>2902</v>
      </c>
      <c r="T1604" s="6" t="s">
        <v>1637</v>
      </c>
      <c r="U1604" s="6"/>
      <c r="V1604" s="16"/>
      <c r="W1604" s="16"/>
      <c r="X1604" s="16"/>
      <c r="Y1604" s="6" t="s">
        <v>1627</v>
      </c>
      <c r="Z1604" s="15"/>
      <c r="AA1604" s="15" t="s">
        <v>1628</v>
      </c>
    </row>
    <row r="1605" spans="1:27" ht="33" customHeight="1">
      <c r="A1605" s="8" t="s">
        <v>4494</v>
      </c>
      <c r="B1605" s="9">
        <v>1236</v>
      </c>
      <c r="C1605" s="8" t="s">
        <v>4495</v>
      </c>
      <c r="D1605" s="8" t="s">
        <v>2133</v>
      </c>
      <c r="E1605" s="8" t="s">
        <v>1986</v>
      </c>
      <c r="F1605" s="8" t="s">
        <v>493</v>
      </c>
      <c r="G1605" s="8" t="s">
        <v>299</v>
      </c>
      <c r="H1605" s="8"/>
      <c r="I1605" s="14" t="s">
        <v>1642</v>
      </c>
      <c r="J1605" s="15"/>
      <c r="K1605" s="8" t="s">
        <v>1976</v>
      </c>
      <c r="L1605" s="8"/>
      <c r="M1605" s="6" t="s">
        <v>1643</v>
      </c>
      <c r="N1605" s="6" t="s">
        <v>1644</v>
      </c>
      <c r="O1605" s="7">
        <f>SUMIFS('05_상품별배치367'!$K$7:$K$373,'05_상품별배치367'!$E$7:$E$373,A1605,'05_상품별배치367'!$H$7:$H$373,"본진")</f>
        <v>0</v>
      </c>
      <c r="P1605" s="7">
        <f>SUMIFS('05_상품별배치367'!$K$7:$K$373,'05_상품별배치367'!$E$7:$E$373,A1605,'05_상품별배치367'!$H$7:$H$373,"추가 진열")</f>
        <v>0</v>
      </c>
      <c r="Q1605" s="7">
        <f>O1605+P1605</f>
        <v>0</v>
      </c>
      <c r="R1605" s="7">
        <v>1</v>
      </c>
      <c r="S1605" s="6" t="s">
        <v>3084</v>
      </c>
      <c r="T1605" s="6" t="s">
        <v>1637</v>
      </c>
      <c r="U1605" s="6"/>
      <c r="V1605" s="16"/>
      <c r="W1605" s="16"/>
      <c r="X1605" s="16"/>
      <c r="Y1605" s="6" t="s">
        <v>1627</v>
      </c>
      <c r="Z1605" s="15"/>
      <c r="AA1605" s="15" t="s">
        <v>1628</v>
      </c>
    </row>
    <row r="1606" spans="1:27" ht="33" customHeight="1">
      <c r="A1606" s="8" t="s">
        <v>4490</v>
      </c>
      <c r="B1606" s="9">
        <v>1234</v>
      </c>
      <c r="C1606" s="8" t="s">
        <v>4491</v>
      </c>
      <c r="D1606" s="8" t="s">
        <v>2913</v>
      </c>
      <c r="E1606" s="8" t="s">
        <v>2134</v>
      </c>
      <c r="F1606" s="8" t="s">
        <v>162</v>
      </c>
      <c r="G1606" s="8" t="s">
        <v>404</v>
      </c>
      <c r="H1606" s="8"/>
      <c r="I1606" s="14" t="s">
        <v>1642</v>
      </c>
      <c r="J1606" s="15"/>
      <c r="K1606" s="8" t="s">
        <v>1976</v>
      </c>
      <c r="L1606" s="8"/>
      <c r="M1606" s="6" t="s">
        <v>1643</v>
      </c>
      <c r="N1606" s="6" t="s">
        <v>1644</v>
      </c>
      <c r="O1606" s="7">
        <f>SUMIFS('05_상품별배치367'!$K$7:$K$373,'05_상품별배치367'!$E$7:$E$373,A1606,'05_상품별배치367'!$H$7:$H$373,"본진")</f>
        <v>0</v>
      </c>
      <c r="P1606" s="7">
        <f>SUMIFS('05_상품별배치367'!$K$7:$K$373,'05_상품별배치367'!$E$7:$E$373,A1606,'05_상품별배치367'!$H$7:$H$373,"추가 진열")</f>
        <v>0</v>
      </c>
      <c r="Q1606" s="7">
        <f>O1606+P1606</f>
        <v>0</v>
      </c>
      <c r="R1606" s="7">
        <v>1</v>
      </c>
      <c r="S1606" s="6" t="s">
        <v>2996</v>
      </c>
      <c r="T1606" s="6" t="s">
        <v>1637</v>
      </c>
      <c r="U1606" s="6"/>
      <c r="V1606" s="16"/>
      <c r="W1606" s="16"/>
      <c r="X1606" s="16"/>
      <c r="Y1606" s="6" t="s">
        <v>1627</v>
      </c>
      <c r="Z1606" s="15"/>
      <c r="AA1606" s="15" t="s">
        <v>1628</v>
      </c>
    </row>
    <row r="1607" spans="1:27" ht="33" customHeight="1">
      <c r="A1607" s="6" t="s">
        <v>4492</v>
      </c>
      <c r="B1607" s="7">
        <v>1235</v>
      </c>
      <c r="C1607" s="6" t="s">
        <v>4493</v>
      </c>
      <c r="D1607" s="6" t="s">
        <v>2856</v>
      </c>
      <c r="E1607" s="6" t="s">
        <v>2134</v>
      </c>
      <c r="F1607" s="6" t="s">
        <v>2933</v>
      </c>
      <c r="G1607" s="6" t="s">
        <v>1668</v>
      </c>
      <c r="H1607" s="6"/>
      <c r="I1607" s="14" t="s">
        <v>1807</v>
      </c>
      <c r="J1607" s="15"/>
      <c r="K1607" s="6" t="s">
        <v>1976</v>
      </c>
      <c r="L1607" s="6" t="s">
        <v>2032</v>
      </c>
      <c r="M1607" s="6" t="s">
        <v>1809</v>
      </c>
      <c r="N1607" s="6" t="s">
        <v>1644</v>
      </c>
      <c r="O1607" s="7">
        <f>SUMIFS('05_상품별배치367'!$K$7:$K$373,'05_상품별배치367'!$E$7:$E$373,A1607,'05_상품별배치367'!$H$7:$H$373,"본진")</f>
        <v>0</v>
      </c>
      <c r="P1607" s="7">
        <f>SUMIFS('05_상품별배치367'!$K$7:$K$373,'05_상품별배치367'!$E$7:$E$373,A1607,'05_상품별배치367'!$H$7:$H$373,"추가 진열")</f>
        <v>0</v>
      </c>
      <c r="Q1607" s="7">
        <f>O1607+P1607</f>
        <v>0</v>
      </c>
      <c r="R1607" s="7">
        <v>0</v>
      </c>
      <c r="S1607" s="6" t="s">
        <v>1810</v>
      </c>
      <c r="T1607" s="6" t="s">
        <v>1637</v>
      </c>
      <c r="U1607" s="6"/>
      <c r="V1607" s="16"/>
      <c r="W1607" s="16"/>
      <c r="X1607" s="16"/>
      <c r="Y1607" s="6" t="s">
        <v>1627</v>
      </c>
      <c r="Z1607" s="15"/>
      <c r="AA1607" s="15" t="s">
        <v>1628</v>
      </c>
    </row>
    <row r="1608" spans="1:27" ht="33" customHeight="1">
      <c r="A1608" s="6" t="s">
        <v>6631</v>
      </c>
      <c r="B1608" s="7">
        <v>2227</v>
      </c>
      <c r="C1608" s="6" t="s">
        <v>6632</v>
      </c>
      <c r="D1608" s="6" t="s">
        <v>6633</v>
      </c>
      <c r="E1608" s="6" t="s">
        <v>2134</v>
      </c>
      <c r="F1608" s="6" t="s">
        <v>1081</v>
      </c>
      <c r="G1608" s="6" t="s">
        <v>290</v>
      </c>
      <c r="H1608" s="6"/>
      <c r="I1608" s="14" t="s">
        <v>1642</v>
      </c>
      <c r="J1608" s="15"/>
      <c r="K1608" s="6" t="s">
        <v>1976</v>
      </c>
      <c r="L1608" s="6"/>
      <c r="M1608" s="6" t="s">
        <v>1643</v>
      </c>
      <c r="N1608" s="6" t="s">
        <v>1644</v>
      </c>
      <c r="O1608" s="7">
        <f>SUMIFS('05_상품별배치367'!$K$7:$K$373,'05_상품별배치367'!$E$7:$E$373,A1608,'05_상품별배치367'!$H$7:$H$373,"본진")</f>
        <v>0</v>
      </c>
      <c r="P1608" s="7">
        <f>SUMIFS('05_상품별배치367'!$K$7:$K$373,'05_상품별배치367'!$E$7:$E$373,A1608,'05_상품별배치367'!$H$7:$H$373,"추가 진열")</f>
        <v>0</v>
      </c>
      <c r="Q1608" s="7">
        <f>O1608+P1608</f>
        <v>0</v>
      </c>
      <c r="R1608" s="7">
        <v>1</v>
      </c>
      <c r="S1608" s="6" t="s">
        <v>2135</v>
      </c>
      <c r="T1608" s="6" t="s">
        <v>1637</v>
      </c>
      <c r="U1608" s="6"/>
      <c r="V1608" s="16"/>
      <c r="W1608" s="16"/>
      <c r="X1608" s="16"/>
      <c r="Y1608" s="6" t="s">
        <v>1627</v>
      </c>
      <c r="Z1608" s="15"/>
      <c r="AA1608" s="15" t="s">
        <v>1628</v>
      </c>
    </row>
    <row r="1609" spans="1:27" ht="33" customHeight="1">
      <c r="A1609" s="8" t="s">
        <v>4486</v>
      </c>
      <c r="B1609" s="9">
        <v>1232</v>
      </c>
      <c r="C1609" s="8" t="s">
        <v>4487</v>
      </c>
      <c r="D1609" s="8" t="s">
        <v>1851</v>
      </c>
      <c r="E1609" s="8" t="s">
        <v>1986</v>
      </c>
      <c r="F1609" s="8" t="s">
        <v>913</v>
      </c>
      <c r="G1609" s="8" t="s">
        <v>201</v>
      </c>
      <c r="H1609" s="8"/>
      <c r="I1609" s="14" t="s">
        <v>1642</v>
      </c>
      <c r="J1609" s="15"/>
      <c r="K1609" s="8" t="s">
        <v>1976</v>
      </c>
      <c r="L1609" s="8"/>
      <c r="M1609" s="6" t="s">
        <v>1643</v>
      </c>
      <c r="N1609" s="6" t="s">
        <v>1644</v>
      </c>
      <c r="O1609" s="7">
        <f>SUMIFS('05_상품별배치367'!$K$7:$K$373,'05_상품별배치367'!$E$7:$E$373,A1609,'05_상품별배치367'!$H$7:$H$373,"본진")</f>
        <v>0</v>
      </c>
      <c r="P1609" s="7">
        <f>SUMIFS('05_상품별배치367'!$K$7:$K$373,'05_상품별배치367'!$E$7:$E$373,A1609,'05_상품별배치367'!$H$7:$H$373,"추가 진열")</f>
        <v>0</v>
      </c>
      <c r="Q1609" s="7">
        <f>O1609+P1609</f>
        <v>0</v>
      </c>
      <c r="R1609" s="7">
        <v>1</v>
      </c>
      <c r="S1609" s="6" t="s">
        <v>2907</v>
      </c>
      <c r="T1609" s="6" t="s">
        <v>1637</v>
      </c>
      <c r="U1609" s="6"/>
      <c r="V1609" s="16"/>
      <c r="W1609" s="16"/>
      <c r="X1609" s="16"/>
      <c r="Y1609" s="6" t="s">
        <v>1627</v>
      </c>
      <c r="Z1609" s="15"/>
      <c r="AA1609" s="15" t="s">
        <v>1628</v>
      </c>
    </row>
    <row r="1610" spans="1:27" ht="33" customHeight="1">
      <c r="A1610" s="8" t="s">
        <v>4502</v>
      </c>
      <c r="B1610" s="9">
        <v>1240</v>
      </c>
      <c r="C1610" s="8" t="s">
        <v>4503</v>
      </c>
      <c r="D1610" s="8" t="s">
        <v>2133</v>
      </c>
      <c r="E1610" s="8" t="s">
        <v>2134</v>
      </c>
      <c r="F1610" s="8" t="s">
        <v>2933</v>
      </c>
      <c r="G1610" s="8" t="s">
        <v>1668</v>
      </c>
      <c r="H1610" s="8"/>
      <c r="I1610" s="14" t="s">
        <v>1807</v>
      </c>
      <c r="J1610" s="15"/>
      <c r="K1610" s="8" t="s">
        <v>1976</v>
      </c>
      <c r="L1610" s="8" t="s">
        <v>2032</v>
      </c>
      <c r="M1610" s="6" t="s">
        <v>1809</v>
      </c>
      <c r="N1610" s="6" t="s">
        <v>1644</v>
      </c>
      <c r="O1610" s="7">
        <f>SUMIFS('05_상품별배치367'!$K$7:$K$373,'05_상품별배치367'!$E$7:$E$373,A1610,'05_상품별배치367'!$H$7:$H$373,"본진")</f>
        <v>0</v>
      </c>
      <c r="P1610" s="7">
        <f>SUMIFS('05_상품별배치367'!$K$7:$K$373,'05_상품별배치367'!$E$7:$E$373,A1610,'05_상품별배치367'!$H$7:$H$373,"추가 진열")</f>
        <v>0</v>
      </c>
      <c r="Q1610" s="7">
        <f>O1610+P1610</f>
        <v>0</v>
      </c>
      <c r="R1610" s="7">
        <v>0</v>
      </c>
      <c r="S1610" s="6" t="s">
        <v>1810</v>
      </c>
      <c r="T1610" s="6" t="s">
        <v>1637</v>
      </c>
      <c r="U1610" s="6"/>
      <c r="V1610" s="16"/>
      <c r="W1610" s="16"/>
      <c r="X1610" s="16"/>
      <c r="Y1610" s="6" t="s">
        <v>1627</v>
      </c>
      <c r="Z1610" s="15"/>
      <c r="AA1610" s="15" t="s">
        <v>1628</v>
      </c>
    </row>
    <row r="1611" spans="1:27" ht="33" customHeight="1">
      <c r="A1611" s="8" t="s">
        <v>4119</v>
      </c>
      <c r="B1611" s="9">
        <v>1060</v>
      </c>
      <c r="C1611" s="8" t="s">
        <v>4120</v>
      </c>
      <c r="D1611" s="8" t="s">
        <v>2133</v>
      </c>
      <c r="E1611" s="8" t="s">
        <v>2134</v>
      </c>
      <c r="F1611" s="8" t="s">
        <v>156</v>
      </c>
      <c r="G1611" s="8" t="s">
        <v>3239</v>
      </c>
      <c r="H1611" s="8"/>
      <c r="I1611" s="14" t="s">
        <v>1642</v>
      </c>
      <c r="J1611" s="15"/>
      <c r="K1611" s="8" t="s">
        <v>1976</v>
      </c>
      <c r="L1611" s="8"/>
      <c r="M1611" s="6" t="s">
        <v>1643</v>
      </c>
      <c r="N1611" s="6" t="s">
        <v>1644</v>
      </c>
      <c r="O1611" s="7">
        <f>SUMIFS('05_상품별배치367'!$K$7:$K$373,'05_상품별배치367'!$E$7:$E$373,A1611,'05_상품별배치367'!$H$7:$H$373,"본진")</f>
        <v>0</v>
      </c>
      <c r="P1611" s="7">
        <f>SUMIFS('05_상품별배치367'!$K$7:$K$373,'05_상품별배치367'!$E$7:$E$373,A1611,'05_상품별배치367'!$H$7:$H$373,"추가 진열")</f>
        <v>0</v>
      </c>
      <c r="Q1611" s="7">
        <f>O1611+P1611</f>
        <v>0</v>
      </c>
      <c r="R1611" s="7">
        <v>1</v>
      </c>
      <c r="S1611" s="6" t="s">
        <v>3240</v>
      </c>
      <c r="T1611" s="6" t="s">
        <v>4086</v>
      </c>
      <c r="U1611" s="6"/>
      <c r="V1611" s="16"/>
      <c r="W1611" s="16"/>
      <c r="X1611" s="16"/>
      <c r="Y1611" s="6" t="s">
        <v>1627</v>
      </c>
      <c r="Z1611" s="15"/>
      <c r="AA1611" s="15" t="s">
        <v>1628</v>
      </c>
    </row>
    <row r="1612" spans="1:27" ht="33" customHeight="1">
      <c r="A1612" s="6" t="s">
        <v>4129</v>
      </c>
      <c r="B1612" s="7">
        <v>1065</v>
      </c>
      <c r="C1612" s="6" t="s">
        <v>4130</v>
      </c>
      <c r="D1612" s="6" t="s">
        <v>4131</v>
      </c>
      <c r="E1612" s="6" t="s">
        <v>2134</v>
      </c>
      <c r="F1612" s="6" t="s">
        <v>156</v>
      </c>
      <c r="G1612" s="6" t="s">
        <v>3239</v>
      </c>
      <c r="H1612" s="6"/>
      <c r="I1612" s="14" t="s">
        <v>1642</v>
      </c>
      <c r="J1612" s="15"/>
      <c r="K1612" s="6" t="s">
        <v>1976</v>
      </c>
      <c r="L1612" s="6"/>
      <c r="M1612" s="6" t="s">
        <v>1643</v>
      </c>
      <c r="N1612" s="6" t="s">
        <v>1644</v>
      </c>
      <c r="O1612" s="7">
        <f>SUMIFS('05_상품별배치367'!$K$7:$K$373,'05_상품별배치367'!$E$7:$E$373,A1612,'05_상품별배치367'!$H$7:$H$373,"본진")</f>
        <v>0</v>
      </c>
      <c r="P1612" s="7">
        <f>SUMIFS('05_상품별배치367'!$K$7:$K$373,'05_상품별배치367'!$E$7:$E$373,A1612,'05_상품별배치367'!$H$7:$H$373,"추가 진열")</f>
        <v>0</v>
      </c>
      <c r="Q1612" s="7">
        <f>O1612+P1612</f>
        <v>0</v>
      </c>
      <c r="R1612" s="7">
        <v>1</v>
      </c>
      <c r="S1612" s="6" t="s">
        <v>3240</v>
      </c>
      <c r="T1612" s="6" t="s">
        <v>4086</v>
      </c>
      <c r="U1612" s="6"/>
      <c r="V1612" s="16"/>
      <c r="W1612" s="16"/>
      <c r="X1612" s="16"/>
      <c r="Y1612" s="6" t="s">
        <v>1655</v>
      </c>
      <c r="Z1612" s="15"/>
      <c r="AA1612" s="15" t="s">
        <v>1628</v>
      </c>
    </row>
    <row r="1613" spans="1:27" ht="33" customHeight="1">
      <c r="A1613" s="6" t="s">
        <v>4121</v>
      </c>
      <c r="B1613" s="7">
        <v>1061</v>
      </c>
      <c r="C1613" s="6" t="s">
        <v>4122</v>
      </c>
      <c r="D1613" s="6" t="s">
        <v>2133</v>
      </c>
      <c r="E1613" s="6" t="s">
        <v>2134</v>
      </c>
      <c r="F1613" s="6" t="s">
        <v>156</v>
      </c>
      <c r="G1613" s="6" t="s">
        <v>3239</v>
      </c>
      <c r="H1613" s="6"/>
      <c r="I1613" s="14" t="s">
        <v>1642</v>
      </c>
      <c r="J1613" s="15"/>
      <c r="K1613" s="6" t="s">
        <v>1976</v>
      </c>
      <c r="L1613" s="6"/>
      <c r="M1613" s="6" t="s">
        <v>1643</v>
      </c>
      <c r="N1613" s="6" t="s">
        <v>1644</v>
      </c>
      <c r="O1613" s="7">
        <f>SUMIFS('05_상품별배치367'!$K$7:$K$373,'05_상품별배치367'!$E$7:$E$373,A1613,'05_상품별배치367'!$H$7:$H$373,"본진")</f>
        <v>0</v>
      </c>
      <c r="P1613" s="7">
        <f>SUMIFS('05_상품별배치367'!$K$7:$K$373,'05_상품별배치367'!$E$7:$E$373,A1613,'05_상품별배치367'!$H$7:$H$373,"추가 진열")</f>
        <v>0</v>
      </c>
      <c r="Q1613" s="7">
        <f>O1613+P1613</f>
        <v>0</v>
      </c>
      <c r="R1613" s="7">
        <v>1</v>
      </c>
      <c r="S1613" s="6" t="s">
        <v>3240</v>
      </c>
      <c r="T1613" s="6" t="s">
        <v>4086</v>
      </c>
      <c r="U1613" s="6"/>
      <c r="V1613" s="16"/>
      <c r="W1613" s="16"/>
      <c r="X1613" s="16"/>
      <c r="Y1613" s="6" t="s">
        <v>1627</v>
      </c>
      <c r="Z1613" s="15"/>
      <c r="AA1613" s="15" t="s">
        <v>1628</v>
      </c>
    </row>
    <row r="1614" spans="1:27" ht="33" customHeight="1">
      <c r="A1614" s="8" t="s">
        <v>4123</v>
      </c>
      <c r="B1614" s="9">
        <v>1062</v>
      </c>
      <c r="C1614" s="8" t="s">
        <v>4124</v>
      </c>
      <c r="D1614" s="8" t="s">
        <v>2133</v>
      </c>
      <c r="E1614" s="8" t="s">
        <v>2134</v>
      </c>
      <c r="F1614" s="8" t="s">
        <v>156</v>
      </c>
      <c r="G1614" s="8" t="s">
        <v>3239</v>
      </c>
      <c r="H1614" s="8"/>
      <c r="I1614" s="14" t="s">
        <v>1642</v>
      </c>
      <c r="J1614" s="15"/>
      <c r="K1614" s="8" t="s">
        <v>1976</v>
      </c>
      <c r="L1614" s="8"/>
      <c r="M1614" s="6" t="s">
        <v>1643</v>
      </c>
      <c r="N1614" s="6" t="s">
        <v>1644</v>
      </c>
      <c r="O1614" s="7">
        <f>SUMIFS('05_상품별배치367'!$K$7:$K$373,'05_상품별배치367'!$E$7:$E$373,A1614,'05_상품별배치367'!$H$7:$H$373,"본진")</f>
        <v>0</v>
      </c>
      <c r="P1614" s="7">
        <f>SUMIFS('05_상품별배치367'!$K$7:$K$373,'05_상품별배치367'!$E$7:$E$373,A1614,'05_상품별배치367'!$H$7:$H$373,"추가 진열")</f>
        <v>0</v>
      </c>
      <c r="Q1614" s="7">
        <f>O1614+P1614</f>
        <v>0</v>
      </c>
      <c r="R1614" s="7">
        <v>1</v>
      </c>
      <c r="S1614" s="6" t="s">
        <v>3240</v>
      </c>
      <c r="T1614" s="6" t="s">
        <v>4086</v>
      </c>
      <c r="U1614" s="6"/>
      <c r="V1614" s="16"/>
      <c r="W1614" s="16"/>
      <c r="X1614" s="16"/>
      <c r="Y1614" s="6" t="s">
        <v>1627</v>
      </c>
      <c r="Z1614" s="15"/>
      <c r="AA1614" s="15" t="s">
        <v>1628</v>
      </c>
    </row>
    <row r="1615" spans="1:27" ht="33" customHeight="1">
      <c r="A1615" s="6" t="s">
        <v>4125</v>
      </c>
      <c r="B1615" s="7">
        <v>1063</v>
      </c>
      <c r="C1615" s="6" t="s">
        <v>4126</v>
      </c>
      <c r="D1615" s="6" t="s">
        <v>1686</v>
      </c>
      <c r="E1615" s="6" t="s">
        <v>1814</v>
      </c>
      <c r="F1615" s="6" t="s">
        <v>1376</v>
      </c>
      <c r="G1615" s="6" t="s">
        <v>431</v>
      </c>
      <c r="H1615" s="6"/>
      <c r="I1615" s="14" t="s">
        <v>1642</v>
      </c>
      <c r="J1615" s="15"/>
      <c r="K1615" s="6" t="s">
        <v>1976</v>
      </c>
      <c r="L1615" s="6"/>
      <c r="M1615" s="6" t="s">
        <v>1643</v>
      </c>
      <c r="N1615" s="6" t="s">
        <v>1644</v>
      </c>
      <c r="O1615" s="7">
        <f>SUMIFS('05_상품별배치367'!$K$7:$K$373,'05_상품별배치367'!$E$7:$E$373,A1615,'05_상품별배치367'!$H$7:$H$373,"본진")</f>
        <v>0</v>
      </c>
      <c r="P1615" s="7">
        <f>SUMIFS('05_상품별배치367'!$K$7:$K$373,'05_상품별배치367'!$E$7:$E$373,A1615,'05_상품별배치367'!$H$7:$H$373,"추가 진열")</f>
        <v>0</v>
      </c>
      <c r="Q1615" s="7">
        <f>O1615+P1615</f>
        <v>0</v>
      </c>
      <c r="R1615" s="7">
        <v>1</v>
      </c>
      <c r="S1615" s="6" t="s">
        <v>1978</v>
      </c>
      <c r="T1615" s="6" t="s">
        <v>4086</v>
      </c>
      <c r="U1615" s="6"/>
      <c r="V1615" s="16"/>
      <c r="W1615" s="16"/>
      <c r="X1615" s="16"/>
      <c r="Y1615" s="6" t="s">
        <v>1627</v>
      </c>
      <c r="Z1615" s="15"/>
      <c r="AA1615" s="15" t="s">
        <v>1628</v>
      </c>
    </row>
    <row r="1616" spans="1:27" ht="33" customHeight="1">
      <c r="A1616" s="8" t="s">
        <v>4127</v>
      </c>
      <c r="B1616" s="9">
        <v>1064</v>
      </c>
      <c r="C1616" s="8" t="s">
        <v>4128</v>
      </c>
      <c r="D1616" s="8" t="s">
        <v>2572</v>
      </c>
      <c r="E1616" s="8" t="s">
        <v>2134</v>
      </c>
      <c r="F1616" s="8" t="s">
        <v>156</v>
      </c>
      <c r="G1616" s="8" t="s">
        <v>3239</v>
      </c>
      <c r="H1616" s="8"/>
      <c r="I1616" s="14" t="s">
        <v>1642</v>
      </c>
      <c r="J1616" s="15"/>
      <c r="K1616" s="8" t="s">
        <v>1976</v>
      </c>
      <c r="L1616" s="8"/>
      <c r="M1616" s="6" t="s">
        <v>1643</v>
      </c>
      <c r="N1616" s="6" t="s">
        <v>1644</v>
      </c>
      <c r="O1616" s="7">
        <f>SUMIFS('05_상품별배치367'!$K$7:$K$373,'05_상품별배치367'!$E$7:$E$373,A1616,'05_상품별배치367'!$H$7:$H$373,"본진")</f>
        <v>0</v>
      </c>
      <c r="P1616" s="7">
        <f>SUMIFS('05_상품별배치367'!$K$7:$K$373,'05_상품별배치367'!$E$7:$E$373,A1616,'05_상품별배치367'!$H$7:$H$373,"추가 진열")</f>
        <v>0</v>
      </c>
      <c r="Q1616" s="7">
        <f>O1616+P1616</f>
        <v>0</v>
      </c>
      <c r="R1616" s="7">
        <v>1</v>
      </c>
      <c r="S1616" s="6" t="s">
        <v>3240</v>
      </c>
      <c r="T1616" s="6" t="s">
        <v>4086</v>
      </c>
      <c r="U1616" s="6"/>
      <c r="V1616" s="16"/>
      <c r="W1616" s="16"/>
      <c r="X1616" s="16"/>
      <c r="Y1616" s="6" t="s">
        <v>1627</v>
      </c>
      <c r="Z1616" s="15"/>
      <c r="AA1616" s="15" t="s">
        <v>1628</v>
      </c>
    </row>
    <row r="1617" spans="1:27" ht="33" customHeight="1">
      <c r="A1617" s="8" t="s">
        <v>4115</v>
      </c>
      <c r="B1617" s="9">
        <v>1058</v>
      </c>
      <c r="C1617" s="8" t="s">
        <v>4116</v>
      </c>
      <c r="D1617" s="8" t="s">
        <v>2007</v>
      </c>
      <c r="E1617" s="8" t="s">
        <v>2134</v>
      </c>
      <c r="F1617" s="8" t="s">
        <v>162</v>
      </c>
      <c r="G1617" s="8" t="s">
        <v>404</v>
      </c>
      <c r="H1617" s="8"/>
      <c r="I1617" s="14" t="s">
        <v>1642</v>
      </c>
      <c r="J1617" s="15"/>
      <c r="K1617" s="8" t="s">
        <v>1976</v>
      </c>
      <c r="L1617" s="8"/>
      <c r="M1617" s="6" t="s">
        <v>1643</v>
      </c>
      <c r="N1617" s="6" t="s">
        <v>1644</v>
      </c>
      <c r="O1617" s="7">
        <f>SUMIFS('05_상품별배치367'!$K$7:$K$373,'05_상품별배치367'!$E$7:$E$373,A1617,'05_상품별배치367'!$H$7:$H$373,"본진")</f>
        <v>0</v>
      </c>
      <c r="P1617" s="7">
        <f>SUMIFS('05_상품별배치367'!$K$7:$K$373,'05_상품별배치367'!$E$7:$E$373,A1617,'05_상품별배치367'!$H$7:$H$373,"추가 진열")</f>
        <v>0</v>
      </c>
      <c r="Q1617" s="7">
        <f>O1617+P1617</f>
        <v>0</v>
      </c>
      <c r="R1617" s="7">
        <v>1</v>
      </c>
      <c r="S1617" s="6" t="s">
        <v>2996</v>
      </c>
      <c r="T1617" s="6" t="s">
        <v>4086</v>
      </c>
      <c r="U1617" s="6"/>
      <c r="V1617" s="16"/>
      <c r="W1617" s="16"/>
      <c r="X1617" s="16"/>
      <c r="Y1617" s="6" t="s">
        <v>1627</v>
      </c>
      <c r="Z1617" s="15"/>
      <c r="AA1617" s="15" t="s">
        <v>1628</v>
      </c>
    </row>
    <row r="1618" spans="1:27" ht="33" customHeight="1">
      <c r="A1618" s="6" t="s">
        <v>4117</v>
      </c>
      <c r="B1618" s="7">
        <v>1059</v>
      </c>
      <c r="C1618" s="6" t="s">
        <v>4118</v>
      </c>
      <c r="D1618" s="6" t="s">
        <v>2856</v>
      </c>
      <c r="E1618" s="6" t="s">
        <v>2134</v>
      </c>
      <c r="F1618" s="6" t="s">
        <v>1081</v>
      </c>
      <c r="G1618" s="6" t="s">
        <v>290</v>
      </c>
      <c r="H1618" s="6"/>
      <c r="I1618" s="14" t="s">
        <v>1642</v>
      </c>
      <c r="J1618" s="15"/>
      <c r="K1618" s="6" t="s">
        <v>1976</v>
      </c>
      <c r="L1618" s="6"/>
      <c r="M1618" s="6" t="s">
        <v>1643</v>
      </c>
      <c r="N1618" s="6" t="s">
        <v>1644</v>
      </c>
      <c r="O1618" s="7">
        <f>SUMIFS('05_상품별배치367'!$K$7:$K$373,'05_상품별배치367'!$E$7:$E$373,A1618,'05_상품별배치367'!$H$7:$H$373,"본진")</f>
        <v>0</v>
      </c>
      <c r="P1618" s="7">
        <f>SUMIFS('05_상품별배치367'!$K$7:$K$373,'05_상품별배치367'!$E$7:$E$373,A1618,'05_상품별배치367'!$H$7:$H$373,"추가 진열")</f>
        <v>0</v>
      </c>
      <c r="Q1618" s="7">
        <f>O1618+P1618</f>
        <v>0</v>
      </c>
      <c r="R1618" s="7">
        <v>1</v>
      </c>
      <c r="S1618" s="6" t="s">
        <v>2135</v>
      </c>
      <c r="T1618" s="6" t="s">
        <v>4086</v>
      </c>
      <c r="U1618" s="6"/>
      <c r="V1618" s="16"/>
      <c r="W1618" s="16"/>
      <c r="X1618" s="16"/>
      <c r="Y1618" s="6" t="s">
        <v>1627</v>
      </c>
      <c r="Z1618" s="15"/>
      <c r="AA1618" s="15" t="s">
        <v>1628</v>
      </c>
    </row>
    <row r="1619" spans="1:27" ht="33" customHeight="1">
      <c r="A1619" s="8" t="s">
        <v>4132</v>
      </c>
      <c r="B1619" s="9">
        <v>1066</v>
      </c>
      <c r="C1619" s="8" t="s">
        <v>4133</v>
      </c>
      <c r="D1619" s="8" t="s">
        <v>2913</v>
      </c>
      <c r="E1619" s="8" t="s">
        <v>1986</v>
      </c>
      <c r="F1619" s="8" t="s">
        <v>493</v>
      </c>
      <c r="G1619" s="8" t="s">
        <v>299</v>
      </c>
      <c r="H1619" s="8"/>
      <c r="I1619" s="14" t="s">
        <v>1642</v>
      </c>
      <c r="J1619" s="15"/>
      <c r="K1619" s="8" t="s">
        <v>1976</v>
      </c>
      <c r="L1619" s="8"/>
      <c r="M1619" s="6" t="s">
        <v>1643</v>
      </c>
      <c r="N1619" s="6" t="s">
        <v>1644</v>
      </c>
      <c r="O1619" s="7">
        <f>SUMIFS('05_상품별배치367'!$K$7:$K$373,'05_상품별배치367'!$E$7:$E$373,A1619,'05_상품별배치367'!$H$7:$H$373,"본진")</f>
        <v>0</v>
      </c>
      <c r="P1619" s="7">
        <f>SUMIFS('05_상품별배치367'!$K$7:$K$373,'05_상품별배치367'!$E$7:$E$373,A1619,'05_상품별배치367'!$H$7:$H$373,"추가 진열")</f>
        <v>0</v>
      </c>
      <c r="Q1619" s="7">
        <f>O1619+P1619</f>
        <v>0</v>
      </c>
      <c r="R1619" s="7">
        <v>1</v>
      </c>
      <c r="S1619" s="6" t="s">
        <v>3084</v>
      </c>
      <c r="T1619" s="6" t="s">
        <v>4086</v>
      </c>
      <c r="U1619" s="6"/>
      <c r="V1619" s="16"/>
      <c r="W1619" s="16"/>
      <c r="X1619" s="16"/>
      <c r="Y1619" s="6" t="s">
        <v>1627</v>
      </c>
      <c r="Z1619" s="15"/>
      <c r="AA1619" s="15" t="s">
        <v>1628</v>
      </c>
    </row>
    <row r="1620" spans="1:27" ht="33" customHeight="1">
      <c r="A1620" s="6" t="s">
        <v>4109</v>
      </c>
      <c r="B1620" s="7">
        <v>1055</v>
      </c>
      <c r="C1620" s="6" t="s">
        <v>4110</v>
      </c>
      <c r="D1620" s="6" t="s">
        <v>2856</v>
      </c>
      <c r="E1620" s="6" t="s">
        <v>2134</v>
      </c>
      <c r="F1620" s="6" t="s">
        <v>161</v>
      </c>
      <c r="G1620" s="6" t="s">
        <v>395</v>
      </c>
      <c r="H1620" s="6" t="s">
        <v>1302</v>
      </c>
      <c r="I1620" s="14" t="s">
        <v>1621</v>
      </c>
      <c r="J1620" s="15"/>
      <c r="K1620" s="6" t="s">
        <v>1976</v>
      </c>
      <c r="L1620" s="6"/>
      <c r="M1620" s="6" t="s">
        <v>1623</v>
      </c>
      <c r="N1620" s="6" t="s">
        <v>1624</v>
      </c>
      <c r="O1620" s="7">
        <f>SUMIFS('05_상품별배치367'!$K$7:$K$373,'05_상품별배치367'!$E$7:$E$373,A1620,'05_상품별배치367'!$H$7:$H$373,"본진")</f>
        <v>1</v>
      </c>
      <c r="P1620" s="7">
        <f>SUMIFS('05_상품별배치367'!$K$7:$K$373,'05_상품별배치367'!$E$7:$E$373,A1620,'05_상품별배치367'!$H$7:$H$373,"추가 진열")</f>
        <v>0</v>
      </c>
      <c r="Q1620" s="7">
        <f>O1620+P1620</f>
        <v>1</v>
      </c>
      <c r="R1620" s="7">
        <v>1</v>
      </c>
      <c r="S1620" s="6" t="s">
        <v>1625</v>
      </c>
      <c r="T1620" s="6" t="s">
        <v>4086</v>
      </c>
      <c r="U1620" s="6"/>
      <c r="V1620" s="16"/>
      <c r="W1620" s="16"/>
      <c r="X1620" s="16"/>
      <c r="Y1620" s="6" t="s">
        <v>1627</v>
      </c>
      <c r="Z1620" s="15"/>
      <c r="AA1620" s="15" t="s">
        <v>1628</v>
      </c>
    </row>
    <row r="1621" spans="1:27" ht="33" customHeight="1">
      <c r="A1621" s="6" t="s">
        <v>4113</v>
      </c>
      <c r="B1621" s="7">
        <v>1057</v>
      </c>
      <c r="C1621" s="6" t="s">
        <v>4114</v>
      </c>
      <c r="D1621" s="6" t="s">
        <v>2856</v>
      </c>
      <c r="E1621" s="6" t="s">
        <v>2134</v>
      </c>
      <c r="F1621" s="6" t="s">
        <v>156</v>
      </c>
      <c r="G1621" s="6" t="s">
        <v>3239</v>
      </c>
      <c r="H1621" s="6"/>
      <c r="I1621" s="14" t="s">
        <v>1642</v>
      </c>
      <c r="J1621" s="15"/>
      <c r="K1621" s="6" t="s">
        <v>1976</v>
      </c>
      <c r="L1621" s="6"/>
      <c r="M1621" s="6" t="s">
        <v>1643</v>
      </c>
      <c r="N1621" s="6" t="s">
        <v>1644</v>
      </c>
      <c r="O1621" s="7">
        <f>SUMIFS('05_상품별배치367'!$K$7:$K$373,'05_상품별배치367'!$E$7:$E$373,A1621,'05_상품별배치367'!$H$7:$H$373,"본진")</f>
        <v>0</v>
      </c>
      <c r="P1621" s="7">
        <f>SUMIFS('05_상품별배치367'!$K$7:$K$373,'05_상품별배치367'!$E$7:$E$373,A1621,'05_상품별배치367'!$H$7:$H$373,"추가 진열")</f>
        <v>0</v>
      </c>
      <c r="Q1621" s="7">
        <f>O1621+P1621</f>
        <v>0</v>
      </c>
      <c r="R1621" s="7">
        <v>1</v>
      </c>
      <c r="S1621" s="6" t="s">
        <v>3240</v>
      </c>
      <c r="T1621" s="6" t="s">
        <v>4086</v>
      </c>
      <c r="U1621" s="6"/>
      <c r="V1621" s="16"/>
      <c r="W1621" s="16"/>
      <c r="X1621" s="16"/>
      <c r="Y1621" s="6" t="s">
        <v>1627</v>
      </c>
      <c r="Z1621" s="15"/>
      <c r="AA1621" s="15" t="s">
        <v>1628</v>
      </c>
    </row>
    <row r="1622" spans="1:27" ht="33" customHeight="1">
      <c r="A1622" s="8" t="s">
        <v>4111</v>
      </c>
      <c r="B1622" s="9">
        <v>1056</v>
      </c>
      <c r="C1622" s="8" t="s">
        <v>4112</v>
      </c>
      <c r="D1622" s="8" t="s">
        <v>2856</v>
      </c>
      <c r="E1622" s="8" t="s">
        <v>2134</v>
      </c>
      <c r="F1622" s="8" t="s">
        <v>481</v>
      </c>
      <c r="G1622" s="8" t="s">
        <v>193</v>
      </c>
      <c r="H1622" s="8" t="s">
        <v>896</v>
      </c>
      <c r="I1622" s="14" t="s">
        <v>1621</v>
      </c>
      <c r="J1622" s="15"/>
      <c r="K1622" s="8" t="s">
        <v>1976</v>
      </c>
      <c r="L1622" s="8"/>
      <c r="M1622" s="6" t="s">
        <v>1623</v>
      </c>
      <c r="N1622" s="6" t="s">
        <v>1624</v>
      </c>
      <c r="O1622" s="7">
        <f>SUMIFS('05_상품별배치367'!$K$7:$K$373,'05_상품별배치367'!$E$7:$E$373,A1622,'05_상품별배치367'!$H$7:$H$373,"본진")</f>
        <v>1</v>
      </c>
      <c r="P1622" s="7">
        <f>SUMIFS('05_상품별배치367'!$K$7:$K$373,'05_상품별배치367'!$E$7:$E$373,A1622,'05_상품별배치367'!$H$7:$H$373,"추가 진열")</f>
        <v>0</v>
      </c>
      <c r="Q1622" s="7">
        <f>O1622+P1622</f>
        <v>1</v>
      </c>
      <c r="R1622" s="7">
        <v>1</v>
      </c>
      <c r="S1622" s="6" t="s">
        <v>1625</v>
      </c>
      <c r="T1622" s="6" t="s">
        <v>4086</v>
      </c>
      <c r="U1622" s="6"/>
      <c r="V1622" s="16"/>
      <c r="W1622" s="16"/>
      <c r="X1622" s="16"/>
      <c r="Y1622" s="6" t="s">
        <v>1627</v>
      </c>
      <c r="Z1622" s="15"/>
      <c r="AA1622" s="15" t="s">
        <v>1628</v>
      </c>
    </row>
    <row r="1623" spans="1:27" ht="33" customHeight="1">
      <c r="A1623" s="6" t="s">
        <v>4096</v>
      </c>
      <c r="B1623" s="7">
        <v>1049</v>
      </c>
      <c r="C1623" s="6" t="s">
        <v>4097</v>
      </c>
      <c r="D1623" s="6" t="s">
        <v>2856</v>
      </c>
      <c r="E1623" s="6" t="s">
        <v>2134</v>
      </c>
      <c r="F1623" s="6" t="s">
        <v>162</v>
      </c>
      <c r="G1623" s="6" t="s">
        <v>404</v>
      </c>
      <c r="H1623" s="6"/>
      <c r="I1623" s="14" t="s">
        <v>1642</v>
      </c>
      <c r="J1623" s="15"/>
      <c r="K1623" s="6" t="s">
        <v>1976</v>
      </c>
      <c r="L1623" s="6"/>
      <c r="M1623" s="6" t="s">
        <v>1643</v>
      </c>
      <c r="N1623" s="6" t="s">
        <v>1644</v>
      </c>
      <c r="O1623" s="7">
        <f>SUMIFS('05_상품별배치367'!$K$7:$K$373,'05_상품별배치367'!$E$7:$E$373,A1623,'05_상품별배치367'!$H$7:$H$373,"본진")</f>
        <v>0</v>
      </c>
      <c r="P1623" s="7">
        <f>SUMIFS('05_상품별배치367'!$K$7:$K$373,'05_상품별배치367'!$E$7:$E$373,A1623,'05_상품별배치367'!$H$7:$H$373,"추가 진열")</f>
        <v>0</v>
      </c>
      <c r="Q1623" s="7">
        <f>O1623+P1623</f>
        <v>0</v>
      </c>
      <c r="R1623" s="7">
        <v>1</v>
      </c>
      <c r="S1623" s="6" t="s">
        <v>2996</v>
      </c>
      <c r="T1623" s="6" t="s">
        <v>4086</v>
      </c>
      <c r="U1623" s="6"/>
      <c r="V1623" s="16"/>
      <c r="W1623" s="16"/>
      <c r="X1623" s="16"/>
      <c r="Y1623" s="6" t="s">
        <v>1627</v>
      </c>
      <c r="Z1623" s="15"/>
      <c r="AA1623" s="15" t="s">
        <v>1628</v>
      </c>
    </row>
    <row r="1624" spans="1:27" ht="33" customHeight="1">
      <c r="A1624" s="6" t="s">
        <v>4100</v>
      </c>
      <c r="B1624" s="7">
        <v>1051</v>
      </c>
      <c r="C1624" s="6" t="s">
        <v>4101</v>
      </c>
      <c r="D1624" s="6" t="s">
        <v>2680</v>
      </c>
      <c r="E1624" s="6" t="s">
        <v>2134</v>
      </c>
      <c r="F1624" s="6" t="s">
        <v>162</v>
      </c>
      <c r="G1624" s="6" t="s">
        <v>404</v>
      </c>
      <c r="H1624" s="6"/>
      <c r="I1624" s="14" t="s">
        <v>1642</v>
      </c>
      <c r="J1624" s="15"/>
      <c r="K1624" s="6" t="s">
        <v>1976</v>
      </c>
      <c r="L1624" s="6"/>
      <c r="M1624" s="6" t="s">
        <v>1643</v>
      </c>
      <c r="N1624" s="6" t="s">
        <v>1644</v>
      </c>
      <c r="O1624" s="7">
        <f>SUMIFS('05_상품별배치367'!$K$7:$K$373,'05_상품별배치367'!$E$7:$E$373,A1624,'05_상품별배치367'!$H$7:$H$373,"본진")</f>
        <v>0</v>
      </c>
      <c r="P1624" s="7">
        <f>SUMIFS('05_상품별배치367'!$K$7:$K$373,'05_상품별배치367'!$E$7:$E$373,A1624,'05_상품별배치367'!$H$7:$H$373,"추가 진열")</f>
        <v>0</v>
      </c>
      <c r="Q1624" s="7">
        <f>O1624+P1624</f>
        <v>0</v>
      </c>
      <c r="R1624" s="7">
        <v>1</v>
      </c>
      <c r="S1624" s="6" t="s">
        <v>2996</v>
      </c>
      <c r="T1624" s="6" t="s">
        <v>4086</v>
      </c>
      <c r="U1624" s="6"/>
      <c r="V1624" s="16"/>
      <c r="W1624" s="16"/>
      <c r="X1624" s="16"/>
      <c r="Y1624" s="6" t="s">
        <v>1627</v>
      </c>
      <c r="Z1624" s="15"/>
      <c r="AA1624" s="15" t="s">
        <v>1628</v>
      </c>
    </row>
    <row r="1625" spans="1:27" ht="33" customHeight="1">
      <c r="A1625" s="8" t="s">
        <v>4094</v>
      </c>
      <c r="B1625" s="9">
        <v>1048</v>
      </c>
      <c r="C1625" s="8" t="s">
        <v>4095</v>
      </c>
      <c r="D1625" s="8" t="s">
        <v>2856</v>
      </c>
      <c r="E1625" s="8" t="s">
        <v>2134</v>
      </c>
      <c r="F1625" s="8" t="s">
        <v>162</v>
      </c>
      <c r="G1625" s="8" t="s">
        <v>404</v>
      </c>
      <c r="H1625" s="8" t="s">
        <v>1317</v>
      </c>
      <c r="I1625" s="14" t="s">
        <v>1633</v>
      </c>
      <c r="J1625" s="15"/>
      <c r="K1625" s="8" t="s">
        <v>1976</v>
      </c>
      <c r="L1625" s="8"/>
      <c r="M1625" s="6" t="s">
        <v>1635</v>
      </c>
      <c r="N1625" s="6" t="s">
        <v>1624</v>
      </c>
      <c r="O1625" s="7">
        <f>SUMIFS('05_상품별배치367'!$K$7:$K$373,'05_상품별배치367'!$E$7:$E$373,A1625,'05_상품별배치367'!$H$7:$H$373,"본진")</f>
        <v>1</v>
      </c>
      <c r="P1625" s="7">
        <f>SUMIFS('05_상품별배치367'!$K$7:$K$373,'05_상품별배치367'!$E$7:$E$373,A1625,'05_상품별배치367'!$H$7:$H$373,"추가 진열")</f>
        <v>0</v>
      </c>
      <c r="Q1625" s="7">
        <f>O1625+P1625</f>
        <v>1</v>
      </c>
      <c r="R1625" s="7">
        <v>1</v>
      </c>
      <c r="S1625" s="6" t="s">
        <v>1636</v>
      </c>
      <c r="T1625" s="6" t="s">
        <v>4086</v>
      </c>
      <c r="U1625" s="6"/>
      <c r="V1625" s="16"/>
      <c r="W1625" s="16"/>
      <c r="X1625" s="16"/>
      <c r="Y1625" s="6" t="s">
        <v>1627</v>
      </c>
      <c r="Z1625" s="15"/>
      <c r="AA1625" s="15" t="s">
        <v>1628</v>
      </c>
    </row>
    <row r="1626" spans="1:27" ht="33" customHeight="1">
      <c r="A1626" s="6" t="s">
        <v>4104</v>
      </c>
      <c r="B1626" s="7">
        <v>1053</v>
      </c>
      <c r="C1626" s="6" t="s">
        <v>4105</v>
      </c>
      <c r="D1626" s="6" t="s">
        <v>4106</v>
      </c>
      <c r="E1626" s="6" t="s">
        <v>2134</v>
      </c>
      <c r="F1626" s="6" t="s">
        <v>162</v>
      </c>
      <c r="G1626" s="6" t="s">
        <v>404</v>
      </c>
      <c r="H1626" s="6" t="s">
        <v>1321</v>
      </c>
      <c r="I1626" s="14" t="s">
        <v>1633</v>
      </c>
      <c r="J1626" s="15"/>
      <c r="K1626" s="6" t="s">
        <v>1976</v>
      </c>
      <c r="L1626" s="6"/>
      <c r="M1626" s="6" t="s">
        <v>1635</v>
      </c>
      <c r="N1626" s="6" t="s">
        <v>1624</v>
      </c>
      <c r="O1626" s="7">
        <f>SUMIFS('05_상품별배치367'!$K$7:$K$373,'05_상품별배치367'!$E$7:$E$373,A1626,'05_상품별배치367'!$H$7:$H$373,"본진")</f>
        <v>1</v>
      </c>
      <c r="P1626" s="7">
        <f>SUMIFS('05_상품별배치367'!$K$7:$K$373,'05_상품별배치367'!$E$7:$E$373,A1626,'05_상품별배치367'!$H$7:$H$373,"추가 진열")</f>
        <v>0</v>
      </c>
      <c r="Q1626" s="7">
        <f>O1626+P1626</f>
        <v>1</v>
      </c>
      <c r="R1626" s="7">
        <v>1</v>
      </c>
      <c r="S1626" s="6" t="s">
        <v>1636</v>
      </c>
      <c r="T1626" s="6" t="s">
        <v>4086</v>
      </c>
      <c r="U1626" s="6"/>
      <c r="V1626" s="16"/>
      <c r="W1626" s="16"/>
      <c r="X1626" s="16"/>
      <c r="Y1626" s="6" t="s">
        <v>1655</v>
      </c>
      <c r="Z1626" s="15"/>
      <c r="AA1626" s="15" t="s">
        <v>1628</v>
      </c>
    </row>
    <row r="1627" spans="1:27" ht="33" customHeight="1">
      <c r="A1627" s="8" t="s">
        <v>4107</v>
      </c>
      <c r="B1627" s="9">
        <v>1054</v>
      </c>
      <c r="C1627" s="8" t="s">
        <v>4108</v>
      </c>
      <c r="D1627" s="8" t="s">
        <v>2845</v>
      </c>
      <c r="E1627" s="8" t="s">
        <v>1695</v>
      </c>
      <c r="F1627" s="8" t="s">
        <v>482</v>
      </c>
      <c r="G1627" s="8" t="s">
        <v>219</v>
      </c>
      <c r="H1627" s="8" t="s">
        <v>949</v>
      </c>
      <c r="I1627" s="14" t="s">
        <v>1633</v>
      </c>
      <c r="J1627" s="15"/>
      <c r="K1627" s="8" t="s">
        <v>1696</v>
      </c>
      <c r="L1627" s="8"/>
      <c r="M1627" s="6" t="s">
        <v>1635</v>
      </c>
      <c r="N1627" s="6" t="s">
        <v>1624</v>
      </c>
      <c r="O1627" s="7">
        <f>SUMIFS('05_상품별배치367'!$K$7:$K$373,'05_상품별배치367'!$E$7:$E$373,A1627,'05_상품별배치367'!$H$7:$H$373,"본진")</f>
        <v>1</v>
      </c>
      <c r="P1627" s="7">
        <f>SUMIFS('05_상품별배치367'!$K$7:$K$373,'05_상품별배치367'!$E$7:$E$373,A1627,'05_상품별배치367'!$H$7:$H$373,"추가 진열")</f>
        <v>0</v>
      </c>
      <c r="Q1627" s="7">
        <f>O1627+P1627</f>
        <v>1</v>
      </c>
      <c r="R1627" s="7">
        <v>1</v>
      </c>
      <c r="S1627" s="6" t="s">
        <v>1636</v>
      </c>
      <c r="T1627" s="6" t="s">
        <v>4086</v>
      </c>
      <c r="U1627" s="6"/>
      <c r="V1627" s="16"/>
      <c r="W1627" s="16"/>
      <c r="X1627" s="16"/>
      <c r="Y1627" s="6" t="s">
        <v>1627</v>
      </c>
      <c r="Z1627" s="15"/>
      <c r="AA1627" s="15" t="s">
        <v>1628</v>
      </c>
    </row>
    <row r="1628" spans="1:27" ht="33" customHeight="1">
      <c r="A1628" s="8" t="s">
        <v>4102</v>
      </c>
      <c r="B1628" s="9">
        <v>1052</v>
      </c>
      <c r="C1628" s="8" t="s">
        <v>4103</v>
      </c>
      <c r="D1628" s="8" t="s">
        <v>2133</v>
      </c>
      <c r="E1628" s="8" t="s">
        <v>1986</v>
      </c>
      <c r="F1628" s="8" t="s">
        <v>493</v>
      </c>
      <c r="G1628" s="8" t="s">
        <v>299</v>
      </c>
      <c r="H1628" s="8"/>
      <c r="I1628" s="14" t="s">
        <v>1642</v>
      </c>
      <c r="J1628" s="15"/>
      <c r="K1628" s="8" t="s">
        <v>1976</v>
      </c>
      <c r="L1628" s="8"/>
      <c r="M1628" s="6" t="s">
        <v>1643</v>
      </c>
      <c r="N1628" s="6" t="s">
        <v>1644</v>
      </c>
      <c r="O1628" s="7">
        <f>SUMIFS('05_상품별배치367'!$K$7:$K$373,'05_상품별배치367'!$E$7:$E$373,A1628,'05_상품별배치367'!$H$7:$H$373,"본진")</f>
        <v>0</v>
      </c>
      <c r="P1628" s="7">
        <f>SUMIFS('05_상품별배치367'!$K$7:$K$373,'05_상품별배치367'!$E$7:$E$373,A1628,'05_상품별배치367'!$H$7:$H$373,"추가 진열")</f>
        <v>0</v>
      </c>
      <c r="Q1628" s="7">
        <f>O1628+P1628</f>
        <v>0</v>
      </c>
      <c r="R1628" s="7">
        <v>1</v>
      </c>
      <c r="S1628" s="6" t="s">
        <v>3084</v>
      </c>
      <c r="T1628" s="6" t="s">
        <v>4086</v>
      </c>
      <c r="U1628" s="6"/>
      <c r="V1628" s="16"/>
      <c r="W1628" s="16"/>
      <c r="X1628" s="16"/>
      <c r="Y1628" s="6" t="s">
        <v>1627</v>
      </c>
      <c r="Z1628" s="15"/>
      <c r="AA1628" s="15" t="s">
        <v>1628</v>
      </c>
    </row>
    <row r="1629" spans="1:27" ht="33" customHeight="1">
      <c r="A1629" s="6" t="s">
        <v>4092</v>
      </c>
      <c r="B1629" s="7">
        <v>1047</v>
      </c>
      <c r="C1629" s="6" t="s">
        <v>4093</v>
      </c>
      <c r="D1629" s="6" t="s">
        <v>2007</v>
      </c>
      <c r="E1629" s="6" t="s">
        <v>2134</v>
      </c>
      <c r="F1629" s="6" t="s">
        <v>162</v>
      </c>
      <c r="G1629" s="6" t="s">
        <v>404</v>
      </c>
      <c r="H1629" s="6"/>
      <c r="I1629" s="14" t="s">
        <v>1642</v>
      </c>
      <c r="J1629" s="15"/>
      <c r="K1629" s="6" t="s">
        <v>1976</v>
      </c>
      <c r="L1629" s="6"/>
      <c r="M1629" s="6" t="s">
        <v>1643</v>
      </c>
      <c r="N1629" s="6" t="s">
        <v>1644</v>
      </c>
      <c r="O1629" s="7">
        <f>SUMIFS('05_상품별배치367'!$K$7:$K$373,'05_상품별배치367'!$E$7:$E$373,A1629,'05_상품별배치367'!$H$7:$H$373,"본진")</f>
        <v>0</v>
      </c>
      <c r="P1629" s="7">
        <f>SUMIFS('05_상품별배치367'!$K$7:$K$373,'05_상품별배치367'!$E$7:$E$373,A1629,'05_상품별배치367'!$H$7:$H$373,"추가 진열")</f>
        <v>0</v>
      </c>
      <c r="Q1629" s="7">
        <f>O1629+P1629</f>
        <v>0</v>
      </c>
      <c r="R1629" s="7">
        <v>1</v>
      </c>
      <c r="S1629" s="6" t="s">
        <v>2996</v>
      </c>
      <c r="T1629" s="6" t="s">
        <v>4086</v>
      </c>
      <c r="U1629" s="6"/>
      <c r="V1629" s="16"/>
      <c r="W1629" s="16"/>
      <c r="X1629" s="16"/>
      <c r="Y1629" s="6" t="s">
        <v>1627</v>
      </c>
      <c r="Z1629" s="15"/>
      <c r="AA1629" s="15" t="s">
        <v>1628</v>
      </c>
    </row>
    <row r="1630" spans="1:27" ht="33" customHeight="1">
      <c r="A1630" s="8" t="s">
        <v>4084</v>
      </c>
      <c r="B1630" s="9">
        <v>1044</v>
      </c>
      <c r="C1630" s="8" t="s">
        <v>4085</v>
      </c>
      <c r="D1630" s="8" t="s">
        <v>2845</v>
      </c>
      <c r="E1630" s="8" t="s">
        <v>1986</v>
      </c>
      <c r="F1630" s="8" t="s">
        <v>913</v>
      </c>
      <c r="G1630" s="8" t="s">
        <v>201</v>
      </c>
      <c r="H1630" s="8" t="s">
        <v>914</v>
      </c>
      <c r="I1630" s="14" t="s">
        <v>1621</v>
      </c>
      <c r="J1630" s="15"/>
      <c r="K1630" s="8" t="s">
        <v>1976</v>
      </c>
      <c r="L1630" s="8"/>
      <c r="M1630" s="6" t="s">
        <v>1623</v>
      </c>
      <c r="N1630" s="6" t="s">
        <v>1624</v>
      </c>
      <c r="O1630" s="7">
        <f>SUMIFS('05_상품별배치367'!$K$7:$K$373,'05_상품별배치367'!$E$7:$E$373,A1630,'05_상품별배치367'!$H$7:$H$373,"본진")</f>
        <v>1</v>
      </c>
      <c r="P1630" s="7">
        <f>SUMIFS('05_상품별배치367'!$K$7:$K$373,'05_상품별배치367'!$E$7:$E$373,A1630,'05_상품별배치367'!$H$7:$H$373,"추가 진열")</f>
        <v>0</v>
      </c>
      <c r="Q1630" s="7">
        <f>O1630+P1630</f>
        <v>1</v>
      </c>
      <c r="R1630" s="7">
        <v>1</v>
      </c>
      <c r="S1630" s="6" t="s">
        <v>1625</v>
      </c>
      <c r="T1630" s="6" t="s">
        <v>4086</v>
      </c>
      <c r="U1630" s="6"/>
      <c r="V1630" s="16"/>
      <c r="W1630" s="16"/>
      <c r="X1630" s="16"/>
      <c r="Y1630" s="6" t="s">
        <v>1627</v>
      </c>
      <c r="Z1630" s="15"/>
      <c r="AA1630" s="15" t="s">
        <v>1628</v>
      </c>
    </row>
    <row r="1631" spans="1:27" ht="33" customHeight="1">
      <c r="A1631" s="8" t="s">
        <v>4098</v>
      </c>
      <c r="B1631" s="9">
        <v>1050</v>
      </c>
      <c r="C1631" s="8" t="s">
        <v>4099</v>
      </c>
      <c r="D1631" s="8" t="s">
        <v>2133</v>
      </c>
      <c r="E1631" s="8" t="s">
        <v>2134</v>
      </c>
      <c r="F1631" s="8" t="s">
        <v>162</v>
      </c>
      <c r="G1631" s="8" t="s">
        <v>404</v>
      </c>
      <c r="H1631" s="8" t="s">
        <v>1317</v>
      </c>
      <c r="I1631" s="14" t="s">
        <v>1633</v>
      </c>
      <c r="J1631" s="15"/>
      <c r="K1631" s="8" t="s">
        <v>1976</v>
      </c>
      <c r="L1631" s="8"/>
      <c r="M1631" s="6" t="s">
        <v>1635</v>
      </c>
      <c r="N1631" s="6" t="s">
        <v>1624</v>
      </c>
      <c r="O1631" s="7">
        <f>SUMIFS('05_상품별배치367'!$K$7:$K$373,'05_상품별배치367'!$E$7:$E$373,A1631,'05_상품별배치367'!$H$7:$H$373,"본진")</f>
        <v>1</v>
      </c>
      <c r="P1631" s="7">
        <f>SUMIFS('05_상품별배치367'!$K$7:$K$373,'05_상품별배치367'!$E$7:$E$373,A1631,'05_상품별배치367'!$H$7:$H$373,"추가 진열")</f>
        <v>0</v>
      </c>
      <c r="Q1631" s="7">
        <f>O1631+P1631</f>
        <v>1</v>
      </c>
      <c r="R1631" s="7">
        <v>1</v>
      </c>
      <c r="S1631" s="6" t="s">
        <v>1636</v>
      </c>
      <c r="T1631" s="6" t="s">
        <v>4086</v>
      </c>
      <c r="U1631" s="6"/>
      <c r="V1631" s="16"/>
      <c r="W1631" s="16"/>
      <c r="X1631" s="16"/>
      <c r="Y1631" s="6" t="s">
        <v>1627</v>
      </c>
      <c r="Z1631" s="15"/>
      <c r="AA1631" s="15" t="s">
        <v>1628</v>
      </c>
    </row>
    <row r="1632" spans="1:27" ht="33" customHeight="1">
      <c r="A1632" s="8" t="s">
        <v>4089</v>
      </c>
      <c r="B1632" s="9">
        <v>1046</v>
      </c>
      <c r="C1632" s="8" t="s">
        <v>4090</v>
      </c>
      <c r="D1632" s="8" t="s">
        <v>4091</v>
      </c>
      <c r="E1632" s="8" t="s">
        <v>2134</v>
      </c>
      <c r="F1632" s="8" t="s">
        <v>162</v>
      </c>
      <c r="G1632" s="8" t="s">
        <v>404</v>
      </c>
      <c r="H1632" s="8" t="s">
        <v>1325</v>
      </c>
      <c r="I1632" s="14" t="s">
        <v>1633</v>
      </c>
      <c r="J1632" s="15"/>
      <c r="K1632" s="8" t="s">
        <v>1976</v>
      </c>
      <c r="L1632" s="8"/>
      <c r="M1632" s="6" t="s">
        <v>1635</v>
      </c>
      <c r="N1632" s="6" t="s">
        <v>1624</v>
      </c>
      <c r="O1632" s="7">
        <f>SUMIFS('05_상품별배치367'!$K$7:$K$373,'05_상품별배치367'!$E$7:$E$373,A1632,'05_상품별배치367'!$H$7:$H$373,"본진")</f>
        <v>1</v>
      </c>
      <c r="P1632" s="7">
        <f>SUMIFS('05_상품별배치367'!$K$7:$K$373,'05_상품별배치367'!$E$7:$E$373,A1632,'05_상품별배치367'!$H$7:$H$373,"추가 진열")</f>
        <v>0</v>
      </c>
      <c r="Q1632" s="7">
        <f>O1632+P1632</f>
        <v>1</v>
      </c>
      <c r="R1632" s="7">
        <v>1</v>
      </c>
      <c r="S1632" s="6" t="s">
        <v>1636</v>
      </c>
      <c r="T1632" s="6" t="s">
        <v>4086</v>
      </c>
      <c r="U1632" s="6"/>
      <c r="V1632" s="16"/>
      <c r="W1632" s="16"/>
      <c r="X1632" s="16"/>
      <c r="Y1632" s="6" t="s">
        <v>1655</v>
      </c>
      <c r="Z1632" s="15"/>
      <c r="AA1632" s="15" t="s">
        <v>1628</v>
      </c>
    </row>
    <row r="1633" spans="1:27" ht="33" customHeight="1">
      <c r="A1633" s="6" t="s">
        <v>4087</v>
      </c>
      <c r="B1633" s="7">
        <v>1045</v>
      </c>
      <c r="C1633" s="6" t="s">
        <v>4088</v>
      </c>
      <c r="D1633" s="6" t="s">
        <v>2007</v>
      </c>
      <c r="E1633" s="6" t="s">
        <v>1986</v>
      </c>
      <c r="F1633" s="6" t="s">
        <v>913</v>
      </c>
      <c r="G1633" s="6" t="s">
        <v>201</v>
      </c>
      <c r="H1633" s="6" t="s">
        <v>918</v>
      </c>
      <c r="I1633" s="14" t="s">
        <v>1633</v>
      </c>
      <c r="J1633" s="15"/>
      <c r="K1633" s="6" t="s">
        <v>1976</v>
      </c>
      <c r="L1633" s="6"/>
      <c r="M1633" s="6" t="s">
        <v>1635</v>
      </c>
      <c r="N1633" s="6" t="s">
        <v>1624</v>
      </c>
      <c r="O1633" s="7">
        <f>SUMIFS('05_상품별배치367'!$K$7:$K$373,'05_상품별배치367'!$E$7:$E$373,A1633,'05_상품별배치367'!$H$7:$H$373,"본진")</f>
        <v>1</v>
      </c>
      <c r="P1633" s="7">
        <f>SUMIFS('05_상품별배치367'!$K$7:$K$373,'05_상품별배치367'!$E$7:$E$373,A1633,'05_상품별배치367'!$H$7:$H$373,"추가 진열")</f>
        <v>0</v>
      </c>
      <c r="Q1633" s="7">
        <f>O1633+P1633</f>
        <v>1</v>
      </c>
      <c r="R1633" s="7">
        <v>1</v>
      </c>
      <c r="S1633" s="6" t="s">
        <v>1636</v>
      </c>
      <c r="T1633" s="6" t="s">
        <v>4086</v>
      </c>
      <c r="U1633" s="6"/>
      <c r="V1633" s="16"/>
      <c r="W1633" s="16"/>
      <c r="X1633" s="16"/>
      <c r="Y1633" s="6" t="s">
        <v>1627</v>
      </c>
      <c r="Z1633" s="15"/>
      <c r="AA1633" s="15" t="s">
        <v>1628</v>
      </c>
    </row>
    <row r="1634" spans="1:27" ht="33" customHeight="1">
      <c r="A1634" s="8" t="s">
        <v>1663</v>
      </c>
      <c r="B1634" s="9">
        <v>10</v>
      </c>
      <c r="C1634" s="8" t="s">
        <v>1664</v>
      </c>
      <c r="D1634" s="8" t="s">
        <v>1665</v>
      </c>
      <c r="E1634" s="8" t="s">
        <v>1666</v>
      </c>
      <c r="F1634" s="8" t="s">
        <v>1667</v>
      </c>
      <c r="G1634" s="8" t="s">
        <v>1668</v>
      </c>
      <c r="H1634" s="8"/>
      <c r="I1634" s="14" t="s">
        <v>1669</v>
      </c>
      <c r="J1634" s="15"/>
      <c r="K1634" s="8" t="s">
        <v>1670</v>
      </c>
      <c r="L1634" s="8"/>
      <c r="M1634" s="6" t="s">
        <v>1671</v>
      </c>
      <c r="N1634" s="6" t="s">
        <v>1644</v>
      </c>
      <c r="O1634" s="7">
        <f>SUMIFS('05_상품별배치367'!$K$7:$K$373,'05_상품별배치367'!$E$7:$E$373,A1634,'05_상품별배치367'!$H$7:$H$373,"본진")</f>
        <v>0</v>
      </c>
      <c r="P1634" s="7">
        <f>SUMIFS('05_상품별배치367'!$K$7:$K$373,'05_상품별배치367'!$E$7:$E$373,A1634,'05_상품별배치367'!$H$7:$H$373,"추가 진열")</f>
        <v>0</v>
      </c>
      <c r="Q1634" s="7">
        <f>O1634+P1634</f>
        <v>0</v>
      </c>
      <c r="R1634" s="7">
        <v>0</v>
      </c>
      <c r="S1634" s="6" t="s">
        <v>1672</v>
      </c>
      <c r="T1634" s="6" t="s">
        <v>1637</v>
      </c>
      <c r="U1634" s="6"/>
      <c r="V1634" s="16"/>
      <c r="W1634" s="16"/>
      <c r="X1634" s="16"/>
      <c r="Y1634" s="6" t="s">
        <v>1627</v>
      </c>
      <c r="Z1634" s="15"/>
      <c r="AA1634" s="15" t="s">
        <v>1628</v>
      </c>
    </row>
    <row r="1635" spans="1:27" ht="33" customHeight="1">
      <c r="A1635" s="8" t="s">
        <v>1714</v>
      </c>
      <c r="B1635" s="9">
        <v>24</v>
      </c>
      <c r="C1635" s="8" t="s">
        <v>1715</v>
      </c>
      <c r="D1635" s="8" t="s">
        <v>1665</v>
      </c>
      <c r="E1635" s="8" t="s">
        <v>1666</v>
      </c>
      <c r="F1635" s="8" t="s">
        <v>1667</v>
      </c>
      <c r="G1635" s="8" t="s">
        <v>1668</v>
      </c>
      <c r="H1635" s="8"/>
      <c r="I1635" s="14" t="s">
        <v>1669</v>
      </c>
      <c r="J1635" s="15"/>
      <c r="K1635" s="8" t="s">
        <v>1670</v>
      </c>
      <c r="L1635" s="8"/>
      <c r="M1635" s="6" t="s">
        <v>1671</v>
      </c>
      <c r="N1635" s="6" t="s">
        <v>1644</v>
      </c>
      <c r="O1635" s="7">
        <f>SUMIFS('05_상품별배치367'!$K$7:$K$373,'05_상품별배치367'!$E$7:$E$373,A1635,'05_상품별배치367'!$H$7:$H$373,"본진")</f>
        <v>0</v>
      </c>
      <c r="P1635" s="7">
        <f>SUMIFS('05_상품별배치367'!$K$7:$K$373,'05_상품별배치367'!$E$7:$E$373,A1635,'05_상품별배치367'!$H$7:$H$373,"추가 진열")</f>
        <v>0</v>
      </c>
      <c r="Q1635" s="7">
        <f>O1635+P1635</f>
        <v>0</v>
      </c>
      <c r="R1635" s="7">
        <v>0</v>
      </c>
      <c r="S1635" s="6" t="s">
        <v>1672</v>
      </c>
      <c r="T1635" s="6" t="s">
        <v>1637</v>
      </c>
      <c r="U1635" s="6"/>
      <c r="V1635" s="16"/>
      <c r="W1635" s="16"/>
      <c r="X1635" s="16"/>
      <c r="Y1635" s="6" t="s">
        <v>1627</v>
      </c>
      <c r="Z1635" s="15"/>
      <c r="AA1635" s="15" t="s">
        <v>1628</v>
      </c>
    </row>
    <row r="1636" spans="1:27" ht="33" customHeight="1">
      <c r="A1636" s="6" t="s">
        <v>1712</v>
      </c>
      <c r="B1636" s="7">
        <v>23</v>
      </c>
      <c r="C1636" s="6" t="s">
        <v>1713</v>
      </c>
      <c r="D1636" s="6" t="s">
        <v>1711</v>
      </c>
      <c r="E1636" s="6" t="s">
        <v>1666</v>
      </c>
      <c r="F1636" s="6" t="s">
        <v>1667</v>
      </c>
      <c r="G1636" s="6" t="s">
        <v>1668</v>
      </c>
      <c r="H1636" s="6"/>
      <c r="I1636" s="14" t="s">
        <v>1669</v>
      </c>
      <c r="J1636" s="15"/>
      <c r="K1636" s="6" t="s">
        <v>1670</v>
      </c>
      <c r="L1636" s="6"/>
      <c r="M1636" s="6" t="s">
        <v>1671</v>
      </c>
      <c r="N1636" s="6" t="s">
        <v>1644</v>
      </c>
      <c r="O1636" s="7">
        <f>SUMIFS('05_상품별배치367'!$K$7:$K$373,'05_상품별배치367'!$E$7:$E$373,A1636,'05_상품별배치367'!$H$7:$H$373,"본진")</f>
        <v>0</v>
      </c>
      <c r="P1636" s="7">
        <f>SUMIFS('05_상품별배치367'!$K$7:$K$373,'05_상품별배치367'!$E$7:$E$373,A1636,'05_상품별배치367'!$H$7:$H$373,"추가 진열")</f>
        <v>0</v>
      </c>
      <c r="Q1636" s="7">
        <f>O1636+P1636</f>
        <v>0</v>
      </c>
      <c r="R1636" s="7">
        <v>0</v>
      </c>
      <c r="S1636" s="6" t="s">
        <v>1672</v>
      </c>
      <c r="T1636" s="6" t="s">
        <v>1637</v>
      </c>
      <c r="U1636" s="6"/>
      <c r="V1636" s="16"/>
      <c r="W1636" s="16"/>
      <c r="X1636" s="16"/>
      <c r="Y1636" s="6" t="s">
        <v>1627</v>
      </c>
      <c r="Z1636" s="15"/>
      <c r="AA1636" s="15" t="s">
        <v>1628</v>
      </c>
    </row>
    <row r="1637" spans="1:27" ht="33" customHeight="1">
      <c r="A1637" s="8" t="s">
        <v>1730</v>
      </c>
      <c r="B1637" s="9">
        <v>30</v>
      </c>
      <c r="C1637" s="8" t="s">
        <v>1713</v>
      </c>
      <c r="D1637" s="8" t="s">
        <v>1665</v>
      </c>
      <c r="E1637" s="8" t="s">
        <v>1666</v>
      </c>
      <c r="F1637" s="8" t="s">
        <v>1667</v>
      </c>
      <c r="G1637" s="8" t="s">
        <v>1668</v>
      </c>
      <c r="H1637" s="8"/>
      <c r="I1637" s="14" t="s">
        <v>1669</v>
      </c>
      <c r="J1637" s="15"/>
      <c r="K1637" s="8" t="s">
        <v>1670</v>
      </c>
      <c r="L1637" s="8"/>
      <c r="M1637" s="6" t="s">
        <v>1671</v>
      </c>
      <c r="N1637" s="6" t="s">
        <v>1644</v>
      </c>
      <c r="O1637" s="7">
        <f>SUMIFS('05_상품별배치367'!$K$7:$K$373,'05_상품별배치367'!$E$7:$E$373,A1637,'05_상품별배치367'!$H$7:$H$373,"본진")</f>
        <v>0</v>
      </c>
      <c r="P1637" s="7">
        <f>SUMIFS('05_상품별배치367'!$K$7:$K$373,'05_상품별배치367'!$E$7:$E$373,A1637,'05_상품별배치367'!$H$7:$H$373,"추가 진열")</f>
        <v>0</v>
      </c>
      <c r="Q1637" s="7">
        <f>O1637+P1637</f>
        <v>0</v>
      </c>
      <c r="R1637" s="7">
        <v>0</v>
      </c>
      <c r="S1637" s="6" t="s">
        <v>1672</v>
      </c>
      <c r="T1637" s="6" t="s">
        <v>1637</v>
      </c>
      <c r="U1637" s="6"/>
      <c r="V1637" s="16"/>
      <c r="W1637" s="16"/>
      <c r="X1637" s="16"/>
      <c r="Y1637" s="6" t="s">
        <v>1627</v>
      </c>
      <c r="Z1637" s="15"/>
      <c r="AA1637" s="15" t="s">
        <v>1628</v>
      </c>
    </row>
    <row r="1638" spans="1:27" ht="33" customHeight="1">
      <c r="A1638" s="6" t="s">
        <v>1794</v>
      </c>
      <c r="B1638" s="7">
        <v>59</v>
      </c>
      <c r="C1638" s="6" t="s">
        <v>1795</v>
      </c>
      <c r="D1638" s="6" t="s">
        <v>1665</v>
      </c>
      <c r="E1638" s="6" t="s">
        <v>1666</v>
      </c>
      <c r="F1638" s="6" t="s">
        <v>1667</v>
      </c>
      <c r="G1638" s="6" t="s">
        <v>1668</v>
      </c>
      <c r="H1638" s="6"/>
      <c r="I1638" s="14" t="s">
        <v>1669</v>
      </c>
      <c r="J1638" s="15"/>
      <c r="K1638" s="6" t="s">
        <v>1670</v>
      </c>
      <c r="L1638" s="6"/>
      <c r="M1638" s="6" t="s">
        <v>1671</v>
      </c>
      <c r="N1638" s="6" t="s">
        <v>1644</v>
      </c>
      <c r="O1638" s="7">
        <f>SUMIFS('05_상품별배치367'!$K$7:$K$373,'05_상품별배치367'!$E$7:$E$373,A1638,'05_상품별배치367'!$H$7:$H$373,"본진")</f>
        <v>0</v>
      </c>
      <c r="P1638" s="7">
        <f>SUMIFS('05_상품별배치367'!$K$7:$K$373,'05_상품별배치367'!$E$7:$E$373,A1638,'05_상품별배치367'!$H$7:$H$373,"추가 진열")</f>
        <v>0</v>
      </c>
      <c r="Q1638" s="7">
        <f>O1638+P1638</f>
        <v>0</v>
      </c>
      <c r="R1638" s="7">
        <v>0</v>
      </c>
      <c r="S1638" s="6" t="s">
        <v>1672</v>
      </c>
      <c r="T1638" s="6" t="s">
        <v>1637</v>
      </c>
      <c r="U1638" s="6"/>
      <c r="V1638" s="16"/>
      <c r="W1638" s="16"/>
      <c r="X1638" s="16"/>
      <c r="Y1638" s="6" t="s">
        <v>1627</v>
      </c>
      <c r="Z1638" s="15"/>
      <c r="AA1638" s="15" t="s">
        <v>1628</v>
      </c>
    </row>
    <row r="1639" spans="1:27" ht="33" customHeight="1">
      <c r="A1639" s="8" t="s">
        <v>1828</v>
      </c>
      <c r="B1639" s="9">
        <v>70</v>
      </c>
      <c r="C1639" s="8" t="s">
        <v>1829</v>
      </c>
      <c r="D1639" s="8" t="s">
        <v>1665</v>
      </c>
      <c r="E1639" s="8" t="s">
        <v>1666</v>
      </c>
      <c r="F1639" s="8" t="s">
        <v>1667</v>
      </c>
      <c r="G1639" s="8" t="s">
        <v>1668</v>
      </c>
      <c r="H1639" s="8"/>
      <c r="I1639" s="14" t="s">
        <v>1669</v>
      </c>
      <c r="J1639" s="15"/>
      <c r="K1639" s="8" t="s">
        <v>1670</v>
      </c>
      <c r="L1639" s="8"/>
      <c r="M1639" s="6" t="s">
        <v>1671</v>
      </c>
      <c r="N1639" s="6" t="s">
        <v>1644</v>
      </c>
      <c r="O1639" s="7">
        <f>SUMIFS('05_상품별배치367'!$K$7:$K$373,'05_상품별배치367'!$E$7:$E$373,A1639,'05_상품별배치367'!$H$7:$H$373,"본진")</f>
        <v>0</v>
      </c>
      <c r="P1639" s="7">
        <f>SUMIFS('05_상품별배치367'!$K$7:$K$373,'05_상품별배치367'!$E$7:$E$373,A1639,'05_상품별배치367'!$H$7:$H$373,"추가 진열")</f>
        <v>0</v>
      </c>
      <c r="Q1639" s="7">
        <f>O1639+P1639</f>
        <v>0</v>
      </c>
      <c r="R1639" s="7">
        <v>0</v>
      </c>
      <c r="S1639" s="6" t="s">
        <v>1672</v>
      </c>
      <c r="T1639" s="6" t="s">
        <v>1637</v>
      </c>
      <c r="U1639" s="6"/>
      <c r="V1639" s="16"/>
      <c r="W1639" s="16"/>
      <c r="X1639" s="16"/>
      <c r="Y1639" s="6" t="s">
        <v>1627</v>
      </c>
      <c r="Z1639" s="15"/>
      <c r="AA1639" s="15" t="s">
        <v>1628</v>
      </c>
    </row>
    <row r="1640" spans="1:27" ht="33" customHeight="1">
      <c r="A1640" s="6" t="s">
        <v>1731</v>
      </c>
      <c r="B1640" s="7">
        <v>31</v>
      </c>
      <c r="C1640" s="6" t="s">
        <v>1732</v>
      </c>
      <c r="D1640" s="6" t="s">
        <v>1665</v>
      </c>
      <c r="E1640" s="6" t="s">
        <v>1666</v>
      </c>
      <c r="F1640" s="6" t="s">
        <v>1667</v>
      </c>
      <c r="G1640" s="6" t="s">
        <v>1668</v>
      </c>
      <c r="H1640" s="6"/>
      <c r="I1640" s="14" t="s">
        <v>1669</v>
      </c>
      <c r="J1640" s="15"/>
      <c r="K1640" s="6" t="s">
        <v>1670</v>
      </c>
      <c r="L1640" s="6"/>
      <c r="M1640" s="6" t="s">
        <v>1671</v>
      </c>
      <c r="N1640" s="6" t="s">
        <v>1644</v>
      </c>
      <c r="O1640" s="7">
        <f>SUMIFS('05_상품별배치367'!$K$7:$K$373,'05_상품별배치367'!$E$7:$E$373,A1640,'05_상품별배치367'!$H$7:$H$373,"본진")</f>
        <v>0</v>
      </c>
      <c r="P1640" s="7">
        <f>SUMIFS('05_상품별배치367'!$K$7:$K$373,'05_상품별배치367'!$E$7:$E$373,A1640,'05_상품별배치367'!$H$7:$H$373,"추가 진열")</f>
        <v>0</v>
      </c>
      <c r="Q1640" s="7">
        <f>O1640+P1640</f>
        <v>0</v>
      </c>
      <c r="R1640" s="7">
        <v>0</v>
      </c>
      <c r="S1640" s="6" t="s">
        <v>1672</v>
      </c>
      <c r="T1640" s="6" t="s">
        <v>1637</v>
      </c>
      <c r="U1640" s="6"/>
      <c r="V1640" s="16"/>
      <c r="W1640" s="16"/>
      <c r="X1640" s="16"/>
      <c r="Y1640" s="6" t="s">
        <v>1627</v>
      </c>
      <c r="Z1640" s="15"/>
      <c r="AA1640" s="15" t="s">
        <v>1628</v>
      </c>
    </row>
    <row r="1641" spans="1:27" ht="33" customHeight="1">
      <c r="A1641" s="8" t="s">
        <v>1709</v>
      </c>
      <c r="B1641" s="9">
        <v>22</v>
      </c>
      <c r="C1641" s="8" t="s">
        <v>1710</v>
      </c>
      <c r="D1641" s="8" t="s">
        <v>1711</v>
      </c>
      <c r="E1641" s="8" t="s">
        <v>1666</v>
      </c>
      <c r="F1641" s="8" t="s">
        <v>1667</v>
      </c>
      <c r="G1641" s="8" t="s">
        <v>1668</v>
      </c>
      <c r="H1641" s="8"/>
      <c r="I1641" s="14" t="s">
        <v>1669</v>
      </c>
      <c r="J1641" s="15"/>
      <c r="K1641" s="8" t="s">
        <v>1670</v>
      </c>
      <c r="L1641" s="8"/>
      <c r="M1641" s="6" t="s">
        <v>1671</v>
      </c>
      <c r="N1641" s="6" t="s">
        <v>1644</v>
      </c>
      <c r="O1641" s="7">
        <f>SUMIFS('05_상품별배치367'!$K$7:$K$373,'05_상품별배치367'!$E$7:$E$373,A1641,'05_상품별배치367'!$H$7:$H$373,"본진")</f>
        <v>0</v>
      </c>
      <c r="P1641" s="7">
        <f>SUMIFS('05_상품별배치367'!$K$7:$K$373,'05_상품별배치367'!$E$7:$E$373,A1641,'05_상품별배치367'!$H$7:$H$373,"추가 진열")</f>
        <v>0</v>
      </c>
      <c r="Q1641" s="7">
        <f>O1641+P1641</f>
        <v>0</v>
      </c>
      <c r="R1641" s="7">
        <v>0</v>
      </c>
      <c r="S1641" s="6" t="s">
        <v>1672</v>
      </c>
      <c r="T1641" s="6" t="s">
        <v>1637</v>
      </c>
      <c r="U1641" s="6"/>
      <c r="V1641" s="16"/>
      <c r="W1641" s="16"/>
      <c r="X1641" s="16"/>
      <c r="Y1641" s="6" t="s">
        <v>1627</v>
      </c>
      <c r="Z1641" s="15"/>
      <c r="AA1641" s="15" t="s">
        <v>1628</v>
      </c>
    </row>
    <row r="1642" spans="1:27" ht="33" customHeight="1">
      <c r="A1642" s="6" t="s">
        <v>1729</v>
      </c>
      <c r="B1642" s="7">
        <v>29</v>
      </c>
      <c r="C1642" s="6" t="s">
        <v>1710</v>
      </c>
      <c r="D1642" s="6" t="s">
        <v>1665</v>
      </c>
      <c r="E1642" s="6" t="s">
        <v>1666</v>
      </c>
      <c r="F1642" s="6" t="s">
        <v>1667</v>
      </c>
      <c r="G1642" s="6" t="s">
        <v>1668</v>
      </c>
      <c r="H1642" s="6"/>
      <c r="I1642" s="14" t="s">
        <v>1669</v>
      </c>
      <c r="J1642" s="15"/>
      <c r="K1642" s="6" t="s">
        <v>1670</v>
      </c>
      <c r="L1642" s="6"/>
      <c r="M1642" s="6" t="s">
        <v>1671</v>
      </c>
      <c r="N1642" s="6" t="s">
        <v>1644</v>
      </c>
      <c r="O1642" s="7">
        <f>SUMIFS('05_상품별배치367'!$K$7:$K$373,'05_상품별배치367'!$E$7:$E$373,A1642,'05_상품별배치367'!$H$7:$H$373,"본진")</f>
        <v>0</v>
      </c>
      <c r="P1642" s="7">
        <f>SUMIFS('05_상품별배치367'!$K$7:$K$373,'05_상품별배치367'!$E$7:$E$373,A1642,'05_상품별배치367'!$H$7:$H$373,"추가 진열")</f>
        <v>0</v>
      </c>
      <c r="Q1642" s="7">
        <f>O1642+P1642</f>
        <v>0</v>
      </c>
      <c r="R1642" s="7">
        <v>0</v>
      </c>
      <c r="S1642" s="6" t="s">
        <v>1672</v>
      </c>
      <c r="T1642" s="6" t="s">
        <v>1637</v>
      </c>
      <c r="U1642" s="6"/>
      <c r="V1642" s="16"/>
      <c r="W1642" s="16"/>
      <c r="X1642" s="16"/>
      <c r="Y1642" s="6" t="s">
        <v>1627</v>
      </c>
      <c r="Z1642" s="15"/>
      <c r="AA1642" s="15" t="s">
        <v>1628</v>
      </c>
    </row>
    <row r="1643" spans="1:27" ht="33" customHeight="1">
      <c r="A1643" s="8" t="s">
        <v>2127</v>
      </c>
      <c r="B1643" s="9">
        <v>180</v>
      </c>
      <c r="C1643" s="8" t="s">
        <v>2128</v>
      </c>
      <c r="D1643" s="8" t="s">
        <v>2078</v>
      </c>
      <c r="E1643" s="8" t="s">
        <v>1743</v>
      </c>
      <c r="F1643" s="8" t="s">
        <v>2129</v>
      </c>
      <c r="G1643" s="8" t="s">
        <v>1668</v>
      </c>
      <c r="H1643" s="8"/>
      <c r="I1643" s="14" t="s">
        <v>1642</v>
      </c>
      <c r="J1643" s="6"/>
      <c r="K1643" s="8" t="s">
        <v>1696</v>
      </c>
      <c r="L1643" s="8" t="s">
        <v>2079</v>
      </c>
      <c r="M1643" s="6" t="s">
        <v>1643</v>
      </c>
      <c r="N1643" s="6" t="s">
        <v>1644</v>
      </c>
      <c r="O1643" s="7">
        <f>SUMIFS('05_상품별배치367'!$K$7:$K$373,'05_상품별배치367'!$E$7:$E$373,A1643,'05_상품별배치367'!$H$7:$H$373,"본진")</f>
        <v>0</v>
      </c>
      <c r="P1643" s="7">
        <f>SUMIFS('05_상품별배치367'!$K$7:$K$373,'05_상품별배치367'!$E$7:$E$373,A1643,'05_상품별배치367'!$H$7:$H$373,"추가 진열")</f>
        <v>0</v>
      </c>
      <c r="Q1643" s="7">
        <f>O1643+P1643</f>
        <v>0</v>
      </c>
      <c r="R1643" s="7">
        <v>1</v>
      </c>
      <c r="S1643" s="6" t="s">
        <v>2130</v>
      </c>
      <c r="T1643" s="6" t="s">
        <v>1637</v>
      </c>
      <c r="U1643" s="6"/>
      <c r="V1643" s="16"/>
      <c r="W1643" s="16"/>
      <c r="X1643" s="16"/>
      <c r="Y1643" s="6" t="s">
        <v>1655</v>
      </c>
      <c r="Z1643" s="15"/>
      <c r="AA1643" s="15" t="s">
        <v>1628</v>
      </c>
    </row>
    <row r="1644" spans="1:27" ht="33" customHeight="1">
      <c r="A1644" s="6" t="s">
        <v>4781</v>
      </c>
      <c r="B1644" s="7">
        <v>1375</v>
      </c>
      <c r="C1644" s="6" t="s">
        <v>2128</v>
      </c>
      <c r="D1644" s="6" t="s">
        <v>4782</v>
      </c>
      <c r="E1644" s="6" t="s">
        <v>1743</v>
      </c>
      <c r="F1644" s="6" t="s">
        <v>2129</v>
      </c>
      <c r="G1644" s="6" t="s">
        <v>1668</v>
      </c>
      <c r="H1644" s="6"/>
      <c r="I1644" s="14" t="s">
        <v>1642</v>
      </c>
      <c r="J1644" s="15"/>
      <c r="K1644" s="6" t="s">
        <v>1696</v>
      </c>
      <c r="L1644" s="6"/>
      <c r="M1644" s="6" t="s">
        <v>1643</v>
      </c>
      <c r="N1644" s="6" t="s">
        <v>1644</v>
      </c>
      <c r="O1644" s="7">
        <f>SUMIFS('05_상품별배치367'!$K$7:$K$373,'05_상품별배치367'!$E$7:$E$373,A1644,'05_상품별배치367'!$H$7:$H$373,"본진")</f>
        <v>0</v>
      </c>
      <c r="P1644" s="7">
        <f>SUMIFS('05_상품별배치367'!$K$7:$K$373,'05_상품별배치367'!$E$7:$E$373,A1644,'05_상품별배치367'!$H$7:$H$373,"추가 진열")</f>
        <v>0</v>
      </c>
      <c r="Q1644" s="7">
        <f>O1644+P1644</f>
        <v>0</v>
      </c>
      <c r="R1644" s="7">
        <v>1</v>
      </c>
      <c r="S1644" s="6" t="s">
        <v>2130</v>
      </c>
      <c r="T1644" s="6" t="s">
        <v>1637</v>
      </c>
      <c r="U1644" s="6"/>
      <c r="V1644" s="16"/>
      <c r="W1644" s="16"/>
      <c r="X1644" s="16"/>
      <c r="Y1644" s="6" t="s">
        <v>1627</v>
      </c>
      <c r="Z1644" s="15"/>
      <c r="AA1644" s="15" t="s">
        <v>1628</v>
      </c>
    </row>
    <row r="1645" spans="1:27" ht="33" customHeight="1">
      <c r="A1645" s="6" t="s">
        <v>2131</v>
      </c>
      <c r="B1645" s="7">
        <v>181</v>
      </c>
      <c r="C1645" s="6" t="s">
        <v>2132</v>
      </c>
      <c r="D1645" s="6" t="s">
        <v>2133</v>
      </c>
      <c r="E1645" s="6" t="s">
        <v>2134</v>
      </c>
      <c r="F1645" s="6" t="s">
        <v>1081</v>
      </c>
      <c r="G1645" s="6" t="s">
        <v>290</v>
      </c>
      <c r="H1645" s="6"/>
      <c r="I1645" s="14" t="s">
        <v>1642</v>
      </c>
      <c r="J1645" s="15"/>
      <c r="K1645" s="6" t="s">
        <v>1976</v>
      </c>
      <c r="L1645" s="6" t="s">
        <v>1977</v>
      </c>
      <c r="M1645" s="6" t="s">
        <v>1643</v>
      </c>
      <c r="N1645" s="6" t="s">
        <v>1644</v>
      </c>
      <c r="O1645" s="7">
        <f>SUMIFS('05_상품별배치367'!$K$7:$K$373,'05_상품별배치367'!$E$7:$E$373,A1645,'05_상품별배치367'!$H$7:$H$373,"본진")</f>
        <v>0</v>
      </c>
      <c r="P1645" s="7">
        <f>SUMIFS('05_상품별배치367'!$K$7:$K$373,'05_상품별배치367'!$E$7:$E$373,A1645,'05_상품별배치367'!$H$7:$H$373,"추가 진열")</f>
        <v>0</v>
      </c>
      <c r="Q1645" s="7">
        <f>O1645+P1645</f>
        <v>0</v>
      </c>
      <c r="R1645" s="7">
        <v>1</v>
      </c>
      <c r="S1645" s="6" t="s">
        <v>2135</v>
      </c>
      <c r="T1645" s="6" t="s">
        <v>1637</v>
      </c>
      <c r="U1645" s="6"/>
      <c r="V1645" s="16"/>
      <c r="W1645" s="16"/>
      <c r="X1645" s="16"/>
      <c r="Y1645" s="6" t="s">
        <v>1627</v>
      </c>
      <c r="Z1645" s="15"/>
      <c r="AA1645" s="15" t="s">
        <v>1628</v>
      </c>
    </row>
    <row r="1646" spans="1:27" ht="33" customHeight="1">
      <c r="A1646" s="8" t="s">
        <v>4783</v>
      </c>
      <c r="B1646" s="9">
        <v>1376</v>
      </c>
      <c r="C1646" s="8" t="s">
        <v>2132</v>
      </c>
      <c r="D1646" s="8" t="s">
        <v>2133</v>
      </c>
      <c r="E1646" s="8" t="s">
        <v>2134</v>
      </c>
      <c r="F1646" s="8" t="s">
        <v>1081</v>
      </c>
      <c r="G1646" s="8" t="s">
        <v>290</v>
      </c>
      <c r="H1646" s="8"/>
      <c r="I1646" s="14" t="s">
        <v>1642</v>
      </c>
      <c r="J1646" s="15"/>
      <c r="K1646" s="8" t="s">
        <v>1976</v>
      </c>
      <c r="L1646" s="8" t="s">
        <v>1977</v>
      </c>
      <c r="M1646" s="6" t="s">
        <v>1643</v>
      </c>
      <c r="N1646" s="6" t="s">
        <v>1644</v>
      </c>
      <c r="O1646" s="7">
        <f>SUMIFS('05_상품별배치367'!$K$7:$K$373,'05_상품별배치367'!$E$7:$E$373,A1646,'05_상품별배치367'!$H$7:$H$373,"본진")</f>
        <v>0</v>
      </c>
      <c r="P1646" s="7">
        <f>SUMIFS('05_상품별배치367'!$K$7:$K$373,'05_상품별배치367'!$E$7:$E$373,A1646,'05_상품별배치367'!$H$7:$H$373,"추가 진열")</f>
        <v>0</v>
      </c>
      <c r="Q1646" s="7">
        <f>O1646+P1646</f>
        <v>0</v>
      </c>
      <c r="R1646" s="7">
        <v>1</v>
      </c>
      <c r="S1646" s="6" t="s">
        <v>4784</v>
      </c>
      <c r="T1646" s="6" t="s">
        <v>1637</v>
      </c>
      <c r="U1646" s="6" t="s">
        <v>2131</v>
      </c>
      <c r="V1646" s="16"/>
      <c r="W1646" s="16"/>
      <c r="X1646" s="16"/>
      <c r="Y1646" s="6" t="s">
        <v>1627</v>
      </c>
      <c r="Z1646" s="15"/>
      <c r="AA1646" s="15" t="s">
        <v>1628</v>
      </c>
    </row>
    <row r="1647" spans="1:27" ht="33" customHeight="1">
      <c r="A1647" s="6" t="s">
        <v>7044</v>
      </c>
      <c r="B1647" s="7">
        <v>2427</v>
      </c>
      <c r="C1647" s="6" t="s">
        <v>7045</v>
      </c>
      <c r="D1647" s="6" t="s">
        <v>4179</v>
      </c>
      <c r="E1647" s="6" t="s">
        <v>2134</v>
      </c>
      <c r="F1647" s="6" t="s">
        <v>1081</v>
      </c>
      <c r="G1647" s="6" t="s">
        <v>290</v>
      </c>
      <c r="H1647" s="6"/>
      <c r="I1647" s="14" t="s">
        <v>1642</v>
      </c>
      <c r="J1647" s="15"/>
      <c r="K1647" s="6" t="s">
        <v>1976</v>
      </c>
      <c r="L1647" s="6" t="s">
        <v>3828</v>
      </c>
      <c r="M1647" s="6" t="s">
        <v>1643</v>
      </c>
      <c r="N1647" s="6" t="s">
        <v>1624</v>
      </c>
      <c r="O1647" s="7">
        <f>SUMIFS('05_상품별배치367'!$K$7:$K$373,'05_상품별배치367'!$E$7:$E$373,A1647,'05_상품별배치367'!$H$7:$H$373,"본진")</f>
        <v>0</v>
      </c>
      <c r="P1647" s="7">
        <f>SUMIFS('05_상품별배치367'!$K$7:$K$373,'05_상품별배치367'!$E$7:$E$373,A1647,'05_상품별배치367'!$H$7:$H$373,"추가 진열")</f>
        <v>0</v>
      </c>
      <c r="Q1647" s="7">
        <f>O1647+P1647</f>
        <v>0</v>
      </c>
      <c r="R1647" s="7">
        <v>1</v>
      </c>
      <c r="S1647" s="6" t="s">
        <v>2135</v>
      </c>
      <c r="T1647" s="6" t="s">
        <v>1637</v>
      </c>
      <c r="U1647" s="6"/>
      <c r="V1647" s="16"/>
      <c r="W1647" s="16"/>
      <c r="X1647" s="16"/>
      <c r="Y1647" s="6" t="s">
        <v>1627</v>
      </c>
      <c r="Z1647" s="15"/>
      <c r="AA1647" s="15" t="s">
        <v>1628</v>
      </c>
    </row>
    <row r="1648" spans="1:27" ht="33" customHeight="1">
      <c r="A1648" s="6" t="s">
        <v>7040</v>
      </c>
      <c r="B1648" s="7">
        <v>2425</v>
      </c>
      <c r="C1648" s="6" t="s">
        <v>7041</v>
      </c>
      <c r="D1648" s="6" t="s">
        <v>4179</v>
      </c>
      <c r="E1648" s="6" t="s">
        <v>1986</v>
      </c>
      <c r="F1648" s="6" t="s">
        <v>493</v>
      </c>
      <c r="G1648" s="6" t="s">
        <v>299</v>
      </c>
      <c r="H1648" s="6"/>
      <c r="I1648" s="14" t="s">
        <v>1642</v>
      </c>
      <c r="J1648" s="15"/>
      <c r="K1648" s="6" t="s">
        <v>1976</v>
      </c>
      <c r="L1648" s="6" t="s">
        <v>3828</v>
      </c>
      <c r="M1648" s="6" t="s">
        <v>1643</v>
      </c>
      <c r="N1648" s="6" t="s">
        <v>1624</v>
      </c>
      <c r="O1648" s="7">
        <f>SUMIFS('05_상품별배치367'!$K$7:$K$373,'05_상품별배치367'!$E$7:$E$373,A1648,'05_상품별배치367'!$H$7:$H$373,"본진")</f>
        <v>0</v>
      </c>
      <c r="P1648" s="7">
        <f>SUMIFS('05_상품별배치367'!$K$7:$K$373,'05_상품별배치367'!$E$7:$E$373,A1648,'05_상품별배치367'!$H$7:$H$373,"추가 진열")</f>
        <v>0</v>
      </c>
      <c r="Q1648" s="7">
        <f>O1648+P1648</f>
        <v>0</v>
      </c>
      <c r="R1648" s="7">
        <v>1</v>
      </c>
      <c r="S1648" s="6" t="s">
        <v>3084</v>
      </c>
      <c r="T1648" s="6" t="s">
        <v>1637</v>
      </c>
      <c r="U1648" s="6"/>
      <c r="V1648" s="16"/>
      <c r="W1648" s="16"/>
      <c r="X1648" s="16"/>
      <c r="Y1648" s="6" t="s">
        <v>1627</v>
      </c>
      <c r="Z1648" s="15"/>
      <c r="AA1648" s="15" t="s">
        <v>1628</v>
      </c>
    </row>
    <row r="1649" spans="1:27" ht="33" customHeight="1">
      <c r="A1649" s="6" t="s">
        <v>5424</v>
      </c>
      <c r="B1649" s="7">
        <v>1677</v>
      </c>
      <c r="C1649" s="6" t="s">
        <v>5425</v>
      </c>
      <c r="D1649" s="6" t="s">
        <v>2133</v>
      </c>
      <c r="E1649" s="6" t="s">
        <v>1986</v>
      </c>
      <c r="F1649" s="6" t="s">
        <v>913</v>
      </c>
      <c r="G1649" s="6" t="s">
        <v>201</v>
      </c>
      <c r="H1649" s="6"/>
      <c r="I1649" s="14" t="s">
        <v>1642</v>
      </c>
      <c r="J1649" s="15"/>
      <c r="K1649" s="6" t="s">
        <v>1976</v>
      </c>
      <c r="L1649" s="6"/>
      <c r="M1649" s="6" t="s">
        <v>1643</v>
      </c>
      <c r="N1649" s="6" t="s">
        <v>1624</v>
      </c>
      <c r="O1649" s="7">
        <f>SUMIFS('05_상품별배치367'!$K$7:$K$373,'05_상품별배치367'!$E$7:$E$373,A1649,'05_상품별배치367'!$H$7:$H$373,"본진")</f>
        <v>0</v>
      </c>
      <c r="P1649" s="7">
        <f>SUMIFS('05_상품별배치367'!$K$7:$K$373,'05_상품별배치367'!$E$7:$E$373,A1649,'05_상품별배치367'!$H$7:$H$373,"추가 진열")</f>
        <v>0</v>
      </c>
      <c r="Q1649" s="7">
        <f>O1649+P1649</f>
        <v>0</v>
      </c>
      <c r="R1649" s="7">
        <v>1</v>
      </c>
      <c r="S1649" s="6" t="s">
        <v>2907</v>
      </c>
      <c r="T1649" s="6" t="s">
        <v>1637</v>
      </c>
      <c r="U1649" s="6"/>
      <c r="V1649" s="16"/>
      <c r="W1649" s="16"/>
      <c r="X1649" s="16"/>
      <c r="Y1649" s="6" t="s">
        <v>1627</v>
      </c>
      <c r="Z1649" s="15"/>
      <c r="AA1649" s="15" t="s">
        <v>1628</v>
      </c>
    </row>
    <row r="1650" spans="1:27" ht="33" customHeight="1">
      <c r="A1650" s="8" t="s">
        <v>5426</v>
      </c>
      <c r="B1650" s="9">
        <v>1678</v>
      </c>
      <c r="C1650" s="8" t="s">
        <v>5427</v>
      </c>
      <c r="D1650" s="8" t="s">
        <v>2133</v>
      </c>
      <c r="E1650" s="8" t="s">
        <v>1986</v>
      </c>
      <c r="F1650" s="8" t="s">
        <v>493</v>
      </c>
      <c r="G1650" s="8" t="s">
        <v>299</v>
      </c>
      <c r="H1650" s="8"/>
      <c r="I1650" s="14" t="s">
        <v>1642</v>
      </c>
      <c r="J1650" s="15"/>
      <c r="K1650" s="8" t="s">
        <v>1976</v>
      </c>
      <c r="L1650" s="8"/>
      <c r="M1650" s="6" t="s">
        <v>1643</v>
      </c>
      <c r="N1650" s="6" t="s">
        <v>1624</v>
      </c>
      <c r="O1650" s="7">
        <f>SUMIFS('05_상품별배치367'!$K$7:$K$373,'05_상품별배치367'!$E$7:$E$373,A1650,'05_상품별배치367'!$H$7:$H$373,"본진")</f>
        <v>0</v>
      </c>
      <c r="P1650" s="7">
        <f>SUMIFS('05_상품별배치367'!$K$7:$K$373,'05_상품별배치367'!$E$7:$E$373,A1650,'05_상품별배치367'!$H$7:$H$373,"추가 진열")</f>
        <v>0</v>
      </c>
      <c r="Q1650" s="7">
        <f>O1650+P1650</f>
        <v>0</v>
      </c>
      <c r="R1650" s="7">
        <v>1</v>
      </c>
      <c r="S1650" s="6" t="s">
        <v>3084</v>
      </c>
      <c r="T1650" s="6" t="s">
        <v>1637</v>
      </c>
      <c r="U1650" s="6"/>
      <c r="V1650" s="16"/>
      <c r="W1650" s="16"/>
      <c r="X1650" s="16"/>
      <c r="Y1650" s="6" t="s">
        <v>1627</v>
      </c>
      <c r="Z1650" s="15"/>
      <c r="AA1650" s="15" t="s">
        <v>1628</v>
      </c>
    </row>
    <row r="1651" spans="1:27" ht="33" customHeight="1">
      <c r="A1651" s="8" t="s">
        <v>5422</v>
      </c>
      <c r="B1651" s="9">
        <v>1676</v>
      </c>
      <c r="C1651" s="8" t="s">
        <v>5423</v>
      </c>
      <c r="D1651" s="8" t="s">
        <v>2845</v>
      </c>
      <c r="E1651" s="8" t="s">
        <v>1986</v>
      </c>
      <c r="F1651" s="8" t="s">
        <v>913</v>
      </c>
      <c r="G1651" s="8" t="s">
        <v>201</v>
      </c>
      <c r="H1651" s="8"/>
      <c r="I1651" s="14" t="s">
        <v>1642</v>
      </c>
      <c r="J1651" s="15"/>
      <c r="K1651" s="8" t="s">
        <v>1976</v>
      </c>
      <c r="L1651" s="8"/>
      <c r="M1651" s="6" t="s">
        <v>1643</v>
      </c>
      <c r="N1651" s="6" t="s">
        <v>1624</v>
      </c>
      <c r="O1651" s="7">
        <f>SUMIFS('05_상품별배치367'!$K$7:$K$373,'05_상품별배치367'!$E$7:$E$373,A1651,'05_상품별배치367'!$H$7:$H$373,"본진")</f>
        <v>0</v>
      </c>
      <c r="P1651" s="7">
        <f>SUMIFS('05_상품별배치367'!$K$7:$K$373,'05_상품별배치367'!$E$7:$E$373,A1651,'05_상품별배치367'!$H$7:$H$373,"추가 진열")</f>
        <v>0</v>
      </c>
      <c r="Q1651" s="7">
        <f>O1651+P1651</f>
        <v>0</v>
      </c>
      <c r="R1651" s="7">
        <v>1</v>
      </c>
      <c r="S1651" s="6" t="s">
        <v>2907</v>
      </c>
      <c r="T1651" s="6" t="s">
        <v>1637</v>
      </c>
      <c r="U1651" s="6"/>
      <c r="V1651" s="16"/>
      <c r="W1651" s="16"/>
      <c r="X1651" s="16"/>
      <c r="Y1651" s="6" t="s">
        <v>1627</v>
      </c>
      <c r="Z1651" s="15"/>
      <c r="AA1651" s="15" t="s">
        <v>1628</v>
      </c>
    </row>
    <row r="1652" spans="1:27" ht="33" customHeight="1">
      <c r="A1652" s="8" t="s">
        <v>5418</v>
      </c>
      <c r="B1652" s="9">
        <v>1674</v>
      </c>
      <c r="C1652" s="8" t="s">
        <v>5419</v>
      </c>
      <c r="D1652" s="8" t="s">
        <v>2856</v>
      </c>
      <c r="E1652" s="8" t="s">
        <v>2134</v>
      </c>
      <c r="F1652" s="8" t="s">
        <v>842</v>
      </c>
      <c r="G1652" s="8" t="s">
        <v>164</v>
      </c>
      <c r="H1652" s="8"/>
      <c r="I1652" s="14" t="s">
        <v>1642</v>
      </c>
      <c r="J1652" s="15"/>
      <c r="K1652" s="8" t="s">
        <v>1976</v>
      </c>
      <c r="L1652" s="8"/>
      <c r="M1652" s="6" t="s">
        <v>1643</v>
      </c>
      <c r="N1652" s="6" t="s">
        <v>1624</v>
      </c>
      <c r="O1652" s="7">
        <f>SUMIFS('05_상품별배치367'!$K$7:$K$373,'05_상품별배치367'!$E$7:$E$373,A1652,'05_상품별배치367'!$H$7:$H$373,"본진")</f>
        <v>0</v>
      </c>
      <c r="P1652" s="7">
        <f>SUMIFS('05_상품별배치367'!$K$7:$K$373,'05_상품별배치367'!$E$7:$E$373,A1652,'05_상품별배치367'!$H$7:$H$373,"추가 진열")</f>
        <v>0</v>
      </c>
      <c r="Q1652" s="7">
        <f>O1652+P1652</f>
        <v>0</v>
      </c>
      <c r="R1652" s="7">
        <v>1</v>
      </c>
      <c r="S1652" s="6" t="s">
        <v>3009</v>
      </c>
      <c r="T1652" s="6" t="s">
        <v>1637</v>
      </c>
      <c r="U1652" s="6"/>
      <c r="V1652" s="16"/>
      <c r="W1652" s="16"/>
      <c r="X1652" s="16"/>
      <c r="Y1652" s="6" t="s">
        <v>1627</v>
      </c>
      <c r="Z1652" s="15"/>
      <c r="AA1652" s="15" t="s">
        <v>1628</v>
      </c>
    </row>
    <row r="1653" spans="1:27" ht="33" customHeight="1">
      <c r="A1653" s="6" t="s">
        <v>5420</v>
      </c>
      <c r="B1653" s="7">
        <v>1675</v>
      </c>
      <c r="C1653" s="6" t="s">
        <v>5421</v>
      </c>
      <c r="D1653" s="6" t="s">
        <v>2133</v>
      </c>
      <c r="E1653" s="6" t="s">
        <v>2134</v>
      </c>
      <c r="F1653" s="6" t="s">
        <v>842</v>
      </c>
      <c r="G1653" s="6" t="s">
        <v>164</v>
      </c>
      <c r="H1653" s="6"/>
      <c r="I1653" s="14" t="s">
        <v>1642</v>
      </c>
      <c r="J1653" s="15"/>
      <c r="K1653" s="6" t="s">
        <v>1976</v>
      </c>
      <c r="L1653" s="6"/>
      <c r="M1653" s="6" t="s">
        <v>1643</v>
      </c>
      <c r="N1653" s="6" t="s">
        <v>1624</v>
      </c>
      <c r="O1653" s="7">
        <f>SUMIFS('05_상품별배치367'!$K$7:$K$373,'05_상품별배치367'!$E$7:$E$373,A1653,'05_상품별배치367'!$H$7:$H$373,"본진")</f>
        <v>0</v>
      </c>
      <c r="P1653" s="7">
        <f>SUMIFS('05_상품별배치367'!$K$7:$K$373,'05_상품별배치367'!$E$7:$E$373,A1653,'05_상품별배치367'!$H$7:$H$373,"추가 진열")</f>
        <v>0</v>
      </c>
      <c r="Q1653" s="7">
        <f>O1653+P1653</f>
        <v>0</v>
      </c>
      <c r="R1653" s="7">
        <v>1</v>
      </c>
      <c r="S1653" s="6" t="s">
        <v>3009</v>
      </c>
      <c r="T1653" s="6" t="s">
        <v>1637</v>
      </c>
      <c r="U1653" s="6"/>
      <c r="V1653" s="16"/>
      <c r="W1653" s="16"/>
      <c r="X1653" s="16"/>
      <c r="Y1653" s="6" t="s">
        <v>1627</v>
      </c>
      <c r="Z1653" s="15"/>
      <c r="AA1653" s="15" t="s">
        <v>1628</v>
      </c>
    </row>
    <row r="1654" spans="1:27" ht="33" customHeight="1">
      <c r="A1654" s="6" t="s">
        <v>5416</v>
      </c>
      <c r="B1654" s="7">
        <v>1673</v>
      </c>
      <c r="C1654" s="6" t="s">
        <v>5417</v>
      </c>
      <c r="D1654" s="6" t="s">
        <v>2845</v>
      </c>
      <c r="E1654" s="6" t="s">
        <v>2134</v>
      </c>
      <c r="F1654" s="6" t="s">
        <v>842</v>
      </c>
      <c r="G1654" s="6" t="s">
        <v>164</v>
      </c>
      <c r="H1654" s="6"/>
      <c r="I1654" s="14" t="s">
        <v>1642</v>
      </c>
      <c r="J1654" s="15"/>
      <c r="K1654" s="6" t="s">
        <v>1976</v>
      </c>
      <c r="L1654" s="6"/>
      <c r="M1654" s="6" t="s">
        <v>1643</v>
      </c>
      <c r="N1654" s="6" t="s">
        <v>1624</v>
      </c>
      <c r="O1654" s="7">
        <f>SUMIFS('05_상품별배치367'!$K$7:$K$373,'05_상품별배치367'!$E$7:$E$373,A1654,'05_상품별배치367'!$H$7:$H$373,"본진")</f>
        <v>0</v>
      </c>
      <c r="P1654" s="7">
        <f>SUMIFS('05_상품별배치367'!$K$7:$K$373,'05_상품별배치367'!$E$7:$E$373,A1654,'05_상품별배치367'!$H$7:$H$373,"추가 진열")</f>
        <v>0</v>
      </c>
      <c r="Q1654" s="7">
        <f>O1654+P1654</f>
        <v>0</v>
      </c>
      <c r="R1654" s="7">
        <v>1</v>
      </c>
      <c r="S1654" s="6" t="s">
        <v>3009</v>
      </c>
      <c r="T1654" s="6" t="s">
        <v>1637</v>
      </c>
      <c r="U1654" s="6"/>
      <c r="V1654" s="16"/>
      <c r="W1654" s="16"/>
      <c r="X1654" s="16"/>
      <c r="Y1654" s="6" t="s">
        <v>1627</v>
      </c>
      <c r="Z1654" s="15"/>
      <c r="AA1654" s="15" t="s">
        <v>1628</v>
      </c>
    </row>
    <row r="1655" spans="1:27" ht="33" customHeight="1">
      <c r="A1655" s="8" t="s">
        <v>6661</v>
      </c>
      <c r="B1655" s="9">
        <v>2242</v>
      </c>
      <c r="C1655" s="8" t="s">
        <v>6662</v>
      </c>
      <c r="D1655" s="8" t="s">
        <v>2853</v>
      </c>
      <c r="E1655" s="8" t="s">
        <v>1695</v>
      </c>
      <c r="F1655" s="8" t="s">
        <v>1129</v>
      </c>
      <c r="G1655" s="8" t="s">
        <v>307</v>
      </c>
      <c r="H1655" s="8"/>
      <c r="I1655" s="14" t="s">
        <v>1642</v>
      </c>
      <c r="J1655" s="15"/>
      <c r="K1655" s="8" t="s">
        <v>1696</v>
      </c>
      <c r="L1655" s="8"/>
      <c r="M1655" s="6" t="s">
        <v>1643</v>
      </c>
      <c r="N1655" s="6" t="s">
        <v>1644</v>
      </c>
      <c r="O1655" s="7">
        <f>SUMIFS('05_상품별배치367'!$K$7:$K$373,'05_상품별배치367'!$E$7:$E$373,A1655,'05_상품별배치367'!$H$7:$H$373,"본진")</f>
        <v>0</v>
      </c>
      <c r="P1655" s="7">
        <f>SUMIFS('05_상품별배치367'!$K$7:$K$373,'05_상품별배치367'!$E$7:$E$373,A1655,'05_상품별배치367'!$H$7:$H$373,"추가 진열")</f>
        <v>0</v>
      </c>
      <c r="Q1655" s="7">
        <f>O1655+P1655</f>
        <v>0</v>
      </c>
      <c r="R1655" s="7">
        <v>1</v>
      </c>
      <c r="S1655" s="6" t="s">
        <v>2850</v>
      </c>
      <c r="T1655" s="6" t="s">
        <v>1637</v>
      </c>
      <c r="U1655" s="6"/>
      <c r="V1655" s="16"/>
      <c r="W1655" s="16"/>
      <c r="X1655" s="16"/>
      <c r="Y1655" s="6" t="s">
        <v>1627</v>
      </c>
      <c r="Z1655" s="15"/>
      <c r="AA1655" s="15" t="s">
        <v>1628</v>
      </c>
    </row>
    <row r="1656" spans="1:27" ht="33" customHeight="1">
      <c r="A1656" s="6" t="s">
        <v>6663</v>
      </c>
      <c r="B1656" s="7">
        <v>2243</v>
      </c>
      <c r="C1656" s="6" t="s">
        <v>6664</v>
      </c>
      <c r="D1656" s="6" t="s">
        <v>2853</v>
      </c>
      <c r="E1656" s="6" t="s">
        <v>1695</v>
      </c>
      <c r="F1656" s="6" t="s">
        <v>2846</v>
      </c>
      <c r="G1656" s="6" t="s">
        <v>1668</v>
      </c>
      <c r="H1656" s="6"/>
      <c r="I1656" s="14" t="s">
        <v>1669</v>
      </c>
      <c r="J1656" s="15"/>
      <c r="K1656" s="6" t="s">
        <v>1696</v>
      </c>
      <c r="L1656" s="6"/>
      <c r="M1656" s="6" t="s">
        <v>1671</v>
      </c>
      <c r="N1656" s="6" t="s">
        <v>1644</v>
      </c>
      <c r="O1656" s="7">
        <f>SUMIFS('05_상품별배치367'!$K$7:$K$373,'05_상품별배치367'!$E$7:$E$373,A1656,'05_상품별배치367'!$H$7:$H$373,"본진")</f>
        <v>0</v>
      </c>
      <c r="P1656" s="7">
        <f>SUMIFS('05_상품별배치367'!$K$7:$K$373,'05_상품별배치367'!$E$7:$E$373,A1656,'05_상품별배치367'!$H$7:$H$373,"추가 진열")</f>
        <v>0</v>
      </c>
      <c r="Q1656" s="7">
        <f>O1656+P1656</f>
        <v>0</v>
      </c>
      <c r="R1656" s="7">
        <v>0</v>
      </c>
      <c r="S1656" s="6" t="s">
        <v>1672</v>
      </c>
      <c r="T1656" s="6" t="s">
        <v>1637</v>
      </c>
      <c r="U1656" s="6"/>
      <c r="V1656" s="16"/>
      <c r="W1656" s="16"/>
      <c r="X1656" s="16"/>
      <c r="Y1656" s="6" t="s">
        <v>1627</v>
      </c>
      <c r="Z1656" s="15"/>
      <c r="AA1656" s="15" t="s">
        <v>1628</v>
      </c>
    </row>
    <row r="1657" spans="1:27" ht="33" customHeight="1">
      <c r="A1657" s="8" t="s">
        <v>4560</v>
      </c>
      <c r="B1657" s="9">
        <v>1268</v>
      </c>
      <c r="C1657" s="8" t="s">
        <v>4561</v>
      </c>
      <c r="D1657" s="8" t="s">
        <v>4562</v>
      </c>
      <c r="E1657" s="8" t="s">
        <v>2134</v>
      </c>
      <c r="F1657" s="8" t="s">
        <v>2933</v>
      </c>
      <c r="G1657" s="8" t="s">
        <v>1668</v>
      </c>
      <c r="H1657" s="8"/>
      <c r="I1657" s="14" t="s">
        <v>1807</v>
      </c>
      <c r="J1657" s="15"/>
      <c r="K1657" s="8" t="s">
        <v>1976</v>
      </c>
      <c r="L1657" s="8" t="s">
        <v>2032</v>
      </c>
      <c r="M1657" s="6" t="s">
        <v>1809</v>
      </c>
      <c r="N1657" s="6" t="s">
        <v>1644</v>
      </c>
      <c r="O1657" s="7">
        <f>SUMIFS('05_상품별배치367'!$K$7:$K$373,'05_상품별배치367'!$E$7:$E$373,A1657,'05_상품별배치367'!$H$7:$H$373,"본진")</f>
        <v>0</v>
      </c>
      <c r="P1657" s="7">
        <f>SUMIFS('05_상품별배치367'!$K$7:$K$373,'05_상품별배치367'!$E$7:$E$373,A1657,'05_상품별배치367'!$H$7:$H$373,"추가 진열")</f>
        <v>0</v>
      </c>
      <c r="Q1657" s="7">
        <f>O1657+P1657</f>
        <v>0</v>
      </c>
      <c r="R1657" s="7">
        <v>0</v>
      </c>
      <c r="S1657" s="6" t="s">
        <v>1810</v>
      </c>
      <c r="T1657" s="6" t="s">
        <v>1637</v>
      </c>
      <c r="U1657" s="6"/>
      <c r="V1657" s="16"/>
      <c r="W1657" s="16"/>
      <c r="X1657" s="16"/>
      <c r="Y1657" s="6" t="s">
        <v>1627</v>
      </c>
      <c r="Z1657" s="15"/>
      <c r="AA1657" s="15" t="s">
        <v>1628</v>
      </c>
    </row>
    <row r="1658" spans="1:27" ht="33" customHeight="1">
      <c r="A1658" s="6" t="s">
        <v>4563</v>
      </c>
      <c r="B1658" s="7">
        <v>1269</v>
      </c>
      <c r="C1658" s="6" t="s">
        <v>4564</v>
      </c>
      <c r="D1658" s="6" t="s">
        <v>4562</v>
      </c>
      <c r="E1658" s="6" t="s">
        <v>2134</v>
      </c>
      <c r="F1658" s="6" t="s">
        <v>1081</v>
      </c>
      <c r="G1658" s="6" t="s">
        <v>290</v>
      </c>
      <c r="H1658" s="6"/>
      <c r="I1658" s="14" t="s">
        <v>1642</v>
      </c>
      <c r="J1658" s="15"/>
      <c r="K1658" s="6" t="s">
        <v>1976</v>
      </c>
      <c r="L1658" s="6"/>
      <c r="M1658" s="6" t="s">
        <v>1643</v>
      </c>
      <c r="N1658" s="6" t="s">
        <v>1644</v>
      </c>
      <c r="O1658" s="7">
        <f>SUMIFS('05_상품별배치367'!$K$7:$K$373,'05_상품별배치367'!$E$7:$E$373,A1658,'05_상품별배치367'!$H$7:$H$373,"본진")</f>
        <v>0</v>
      </c>
      <c r="P1658" s="7">
        <f>SUMIFS('05_상품별배치367'!$K$7:$K$373,'05_상품별배치367'!$E$7:$E$373,A1658,'05_상품별배치367'!$H$7:$H$373,"추가 진열")</f>
        <v>0</v>
      </c>
      <c r="Q1658" s="7">
        <f>O1658+P1658</f>
        <v>0</v>
      </c>
      <c r="R1658" s="7">
        <v>1</v>
      </c>
      <c r="S1658" s="6" t="s">
        <v>2135</v>
      </c>
      <c r="T1658" s="6" t="s">
        <v>1637</v>
      </c>
      <c r="U1658" s="6"/>
      <c r="V1658" s="16"/>
      <c r="W1658" s="16"/>
      <c r="X1658" s="16"/>
      <c r="Y1658" s="6" t="s">
        <v>1627</v>
      </c>
      <c r="Z1658" s="15"/>
      <c r="AA1658" s="15" t="s">
        <v>1628</v>
      </c>
    </row>
    <row r="1659" spans="1:27" ht="33" customHeight="1">
      <c r="A1659" s="8" t="s">
        <v>6799</v>
      </c>
      <c r="B1659" s="9">
        <v>2306</v>
      </c>
      <c r="C1659" s="8" t="s">
        <v>6800</v>
      </c>
      <c r="D1659" s="8" t="s">
        <v>3393</v>
      </c>
      <c r="E1659" s="8" t="s">
        <v>1814</v>
      </c>
      <c r="F1659" s="8" t="s">
        <v>721</v>
      </c>
      <c r="G1659" s="8" t="s">
        <v>107</v>
      </c>
      <c r="H1659" s="8" t="s">
        <v>720</v>
      </c>
      <c r="I1659" s="14" t="s">
        <v>1621</v>
      </c>
      <c r="J1659" s="15"/>
      <c r="K1659" s="8" t="s">
        <v>6293</v>
      </c>
      <c r="L1659" s="8" t="s">
        <v>3828</v>
      </c>
      <c r="M1659" s="6" t="s">
        <v>1623</v>
      </c>
      <c r="N1659" s="6" t="s">
        <v>1624</v>
      </c>
      <c r="O1659" s="7">
        <f>SUMIFS('05_상품별배치367'!$K$7:$K$373,'05_상품별배치367'!$E$7:$E$373,A1659,'05_상품별배치367'!$H$7:$H$373,"본진")</f>
        <v>1</v>
      </c>
      <c r="P1659" s="7">
        <f>SUMIFS('05_상품별배치367'!$K$7:$K$373,'05_상품별배치367'!$E$7:$E$373,A1659,'05_상품별배치367'!$H$7:$H$373,"추가 진열")</f>
        <v>0</v>
      </c>
      <c r="Q1659" s="7">
        <f>O1659+P1659</f>
        <v>1</v>
      </c>
      <c r="R1659" s="7">
        <v>1</v>
      </c>
      <c r="S1659" s="6" t="s">
        <v>1625</v>
      </c>
      <c r="T1659" s="6" t="s">
        <v>1637</v>
      </c>
      <c r="U1659" s="6"/>
      <c r="V1659" s="16"/>
      <c r="W1659" s="16"/>
      <c r="X1659" s="16"/>
      <c r="Y1659" s="6" t="s">
        <v>1627</v>
      </c>
      <c r="Z1659" s="15"/>
      <c r="AA1659" s="15" t="s">
        <v>1628</v>
      </c>
    </row>
    <row r="1660" spans="1:27" ht="33" customHeight="1">
      <c r="A1660" s="8" t="s">
        <v>6142</v>
      </c>
      <c r="B1660" s="9">
        <v>2010</v>
      </c>
      <c r="C1660" s="8" t="s">
        <v>6143</v>
      </c>
      <c r="D1660" s="8" t="s">
        <v>6144</v>
      </c>
      <c r="E1660" s="8" t="s">
        <v>1814</v>
      </c>
      <c r="F1660" s="8" t="s">
        <v>515</v>
      </c>
      <c r="G1660" s="8" t="s">
        <v>431</v>
      </c>
      <c r="H1660" s="8"/>
      <c r="I1660" s="14" t="s">
        <v>1642</v>
      </c>
      <c r="J1660" s="15"/>
      <c r="K1660" s="8" t="s">
        <v>1840</v>
      </c>
      <c r="L1660" s="8" t="s">
        <v>3828</v>
      </c>
      <c r="M1660" s="6" t="s">
        <v>1643</v>
      </c>
      <c r="N1660" s="6" t="s">
        <v>1644</v>
      </c>
      <c r="O1660" s="7">
        <f>SUMIFS('05_상품별배치367'!$K$7:$K$373,'05_상품별배치367'!$E$7:$E$373,A1660,'05_상품별배치367'!$H$7:$H$373,"본진")</f>
        <v>0</v>
      </c>
      <c r="P1660" s="7">
        <f>SUMIFS('05_상품별배치367'!$K$7:$K$373,'05_상품별배치367'!$E$7:$E$373,A1660,'05_상품별배치367'!$H$7:$H$373,"추가 진열")</f>
        <v>0</v>
      </c>
      <c r="Q1660" s="7">
        <f>O1660+P1660</f>
        <v>0</v>
      </c>
      <c r="R1660" s="7">
        <v>1</v>
      </c>
      <c r="S1660" s="6" t="s">
        <v>1841</v>
      </c>
      <c r="T1660" s="6" t="s">
        <v>1637</v>
      </c>
      <c r="U1660" s="6"/>
      <c r="V1660" s="16"/>
      <c r="W1660" s="16"/>
      <c r="X1660" s="16"/>
      <c r="Y1660" s="6" t="s">
        <v>1655</v>
      </c>
      <c r="Z1660" s="15"/>
      <c r="AA1660" s="15" t="s">
        <v>1628</v>
      </c>
    </row>
    <row r="1661" spans="1:27" ht="33" customHeight="1">
      <c r="A1661" s="8" t="s">
        <v>6148</v>
      </c>
      <c r="B1661" s="9">
        <v>2012</v>
      </c>
      <c r="C1661" s="8" t="s">
        <v>6149</v>
      </c>
      <c r="D1661" s="8" t="s">
        <v>6150</v>
      </c>
      <c r="E1661" s="8" t="s">
        <v>1814</v>
      </c>
      <c r="F1661" s="8" t="s">
        <v>1359</v>
      </c>
      <c r="G1661" s="8" t="s">
        <v>431</v>
      </c>
      <c r="H1661" s="8"/>
      <c r="I1661" s="14" t="s">
        <v>1642</v>
      </c>
      <c r="J1661" s="15"/>
      <c r="K1661" s="8" t="s">
        <v>1634</v>
      </c>
      <c r="L1661" s="8" t="s">
        <v>3828</v>
      </c>
      <c r="M1661" s="6" t="s">
        <v>1643</v>
      </c>
      <c r="N1661" s="6" t="s">
        <v>1644</v>
      </c>
      <c r="O1661" s="7">
        <f>SUMIFS('05_상품별배치367'!$K$7:$K$373,'05_상품별배치367'!$E$7:$E$373,A1661,'05_상품별배치367'!$H$7:$H$373,"본진")</f>
        <v>0</v>
      </c>
      <c r="P1661" s="7">
        <f>SUMIFS('05_상품별배치367'!$K$7:$K$373,'05_상품별배치367'!$E$7:$E$373,A1661,'05_상품별배치367'!$H$7:$H$373,"추가 진열")</f>
        <v>0</v>
      </c>
      <c r="Q1661" s="7">
        <f>O1661+P1661</f>
        <v>0</v>
      </c>
      <c r="R1661" s="7">
        <v>1</v>
      </c>
      <c r="S1661" s="6" t="s">
        <v>1815</v>
      </c>
      <c r="T1661" s="6" t="s">
        <v>1637</v>
      </c>
      <c r="U1661" s="6"/>
      <c r="V1661" s="16"/>
      <c r="W1661" s="16"/>
      <c r="X1661" s="16"/>
      <c r="Y1661" s="6" t="s">
        <v>1627</v>
      </c>
      <c r="Z1661" s="15"/>
      <c r="AA1661" s="15" t="s">
        <v>1628</v>
      </c>
    </row>
    <row r="1662" spans="1:27" ht="33" customHeight="1">
      <c r="A1662" s="6" t="s">
        <v>6145</v>
      </c>
      <c r="B1662" s="7">
        <v>2011</v>
      </c>
      <c r="C1662" s="6" t="s">
        <v>6146</v>
      </c>
      <c r="D1662" s="6" t="s">
        <v>6147</v>
      </c>
      <c r="E1662" s="6" t="s">
        <v>1814</v>
      </c>
      <c r="F1662" s="6" t="s">
        <v>1359</v>
      </c>
      <c r="G1662" s="6" t="s">
        <v>431</v>
      </c>
      <c r="H1662" s="6"/>
      <c r="I1662" s="14" t="s">
        <v>1642</v>
      </c>
      <c r="J1662" s="15"/>
      <c r="K1662" s="6" t="s">
        <v>1634</v>
      </c>
      <c r="L1662" s="6" t="s">
        <v>3828</v>
      </c>
      <c r="M1662" s="6" t="s">
        <v>1643</v>
      </c>
      <c r="N1662" s="6" t="s">
        <v>1624</v>
      </c>
      <c r="O1662" s="7">
        <f>SUMIFS('05_상품별배치367'!$K$7:$K$373,'05_상품별배치367'!$E$7:$E$373,A1662,'05_상품별배치367'!$H$7:$H$373,"본진")</f>
        <v>0</v>
      </c>
      <c r="P1662" s="7">
        <f>SUMIFS('05_상품별배치367'!$K$7:$K$373,'05_상품별배치367'!$E$7:$E$373,A1662,'05_상품별배치367'!$H$7:$H$373,"추가 진열")</f>
        <v>0</v>
      </c>
      <c r="Q1662" s="7">
        <f>O1662+P1662</f>
        <v>0</v>
      </c>
      <c r="R1662" s="7">
        <v>1</v>
      </c>
      <c r="S1662" s="6" t="s">
        <v>1815</v>
      </c>
      <c r="T1662" s="6" t="s">
        <v>1637</v>
      </c>
      <c r="U1662" s="6"/>
      <c r="V1662" s="16"/>
      <c r="W1662" s="16"/>
      <c r="X1662" s="16"/>
      <c r="Y1662" s="6" t="s">
        <v>1655</v>
      </c>
      <c r="Z1662" s="15"/>
      <c r="AA1662" s="15" t="s">
        <v>1628</v>
      </c>
    </row>
    <row r="1663" spans="1:27" ht="33" customHeight="1">
      <c r="A1663" s="8" t="s">
        <v>6803</v>
      </c>
      <c r="B1663" s="9">
        <v>2308</v>
      </c>
      <c r="C1663" s="8" t="s">
        <v>6804</v>
      </c>
      <c r="D1663" s="8" t="s">
        <v>6805</v>
      </c>
      <c r="E1663" s="8" t="s">
        <v>1814</v>
      </c>
      <c r="F1663" s="8" t="s">
        <v>721</v>
      </c>
      <c r="G1663" s="8" t="s">
        <v>107</v>
      </c>
      <c r="H1663" s="8"/>
      <c r="I1663" s="14" t="s">
        <v>1642</v>
      </c>
      <c r="J1663" s="15"/>
      <c r="K1663" s="8" t="s">
        <v>6293</v>
      </c>
      <c r="L1663" s="8" t="s">
        <v>3828</v>
      </c>
      <c r="M1663" s="6" t="s">
        <v>1643</v>
      </c>
      <c r="N1663" s="6" t="s">
        <v>1644</v>
      </c>
      <c r="O1663" s="7">
        <f>SUMIFS('05_상품별배치367'!$K$7:$K$373,'05_상품별배치367'!$E$7:$E$373,A1663,'05_상품별배치367'!$H$7:$H$373,"본진")</f>
        <v>0</v>
      </c>
      <c r="P1663" s="7">
        <f>SUMIFS('05_상품별배치367'!$K$7:$K$373,'05_상품별배치367'!$E$7:$E$373,A1663,'05_상품별배치367'!$H$7:$H$373,"추가 진열")</f>
        <v>0</v>
      </c>
      <c r="Q1663" s="7">
        <f>O1663+P1663</f>
        <v>0</v>
      </c>
      <c r="R1663" s="7">
        <v>1</v>
      </c>
      <c r="S1663" s="6" t="s">
        <v>6806</v>
      </c>
      <c r="T1663" s="6" t="s">
        <v>1637</v>
      </c>
      <c r="U1663" s="6"/>
      <c r="V1663" s="16"/>
      <c r="W1663" s="16"/>
      <c r="X1663" s="16"/>
      <c r="Y1663" s="6" t="s">
        <v>1627</v>
      </c>
      <c r="Z1663" s="15"/>
      <c r="AA1663" s="15" t="s">
        <v>1628</v>
      </c>
    </row>
    <row r="1664" spans="1:27" ht="33" customHeight="1">
      <c r="A1664" s="6" t="s">
        <v>6801</v>
      </c>
      <c r="B1664" s="7">
        <v>2307</v>
      </c>
      <c r="C1664" s="6" t="s">
        <v>6802</v>
      </c>
      <c r="D1664" s="6" t="s">
        <v>3393</v>
      </c>
      <c r="E1664" s="6" t="s">
        <v>1814</v>
      </c>
      <c r="F1664" s="6" t="s">
        <v>721</v>
      </c>
      <c r="G1664" s="6" t="s">
        <v>107</v>
      </c>
      <c r="H1664" s="6" t="s">
        <v>720</v>
      </c>
      <c r="I1664" s="14" t="s">
        <v>1633</v>
      </c>
      <c r="J1664" s="15"/>
      <c r="K1664" s="6" t="s">
        <v>6293</v>
      </c>
      <c r="L1664" s="6" t="s">
        <v>3828</v>
      </c>
      <c r="M1664" s="6" t="s">
        <v>1635</v>
      </c>
      <c r="N1664" s="6" t="s">
        <v>1624</v>
      </c>
      <c r="O1664" s="7">
        <f>SUMIFS('05_상품별배치367'!$K$7:$K$373,'05_상품별배치367'!$E$7:$E$373,A1664,'05_상품별배치367'!$H$7:$H$373,"본진")</f>
        <v>1</v>
      </c>
      <c r="P1664" s="7">
        <f>SUMIFS('05_상품별배치367'!$K$7:$K$373,'05_상품별배치367'!$E$7:$E$373,A1664,'05_상품별배치367'!$H$7:$H$373,"추가 진열")</f>
        <v>0</v>
      </c>
      <c r="Q1664" s="7">
        <f>O1664+P1664</f>
        <v>1</v>
      </c>
      <c r="R1664" s="7">
        <v>1</v>
      </c>
      <c r="S1664" s="6" t="s">
        <v>1636</v>
      </c>
      <c r="T1664" s="6" t="s">
        <v>1637</v>
      </c>
      <c r="U1664" s="6"/>
      <c r="V1664" s="16"/>
      <c r="W1664" s="16"/>
      <c r="X1664" s="16"/>
      <c r="Y1664" s="6" t="s">
        <v>1627</v>
      </c>
      <c r="Z1664" s="15"/>
      <c r="AA1664" s="15" t="s">
        <v>1628</v>
      </c>
    </row>
    <row r="1665" spans="1:27" ht="33" customHeight="1">
      <c r="A1665" s="8" t="s">
        <v>1832</v>
      </c>
      <c r="B1665" s="9">
        <v>72</v>
      </c>
      <c r="C1665" s="8" t="s">
        <v>1833</v>
      </c>
      <c r="D1665" s="8" t="s">
        <v>1662</v>
      </c>
      <c r="E1665" s="8" t="s">
        <v>1743</v>
      </c>
      <c r="F1665" s="8" t="s">
        <v>1439</v>
      </c>
      <c r="G1665" s="8" t="s">
        <v>463</v>
      </c>
      <c r="H1665" s="8"/>
      <c r="I1665" s="14" t="s">
        <v>1642</v>
      </c>
      <c r="J1665" s="6"/>
      <c r="K1665" s="8" t="s">
        <v>1696</v>
      </c>
      <c r="L1665" s="8"/>
      <c r="M1665" s="6" t="s">
        <v>1643</v>
      </c>
      <c r="N1665" s="6" t="s">
        <v>1644</v>
      </c>
      <c r="O1665" s="7">
        <f>SUMIFS('05_상품별배치367'!$K$7:$K$373,'05_상품별배치367'!$E$7:$E$373,A1665,'05_상품별배치367'!$H$7:$H$373,"본진")</f>
        <v>0</v>
      </c>
      <c r="P1665" s="7">
        <f>SUMIFS('05_상품별배치367'!$K$7:$K$373,'05_상품별배치367'!$E$7:$E$373,A1665,'05_상품별배치367'!$H$7:$H$373,"추가 진열")</f>
        <v>0</v>
      </c>
      <c r="Q1665" s="7">
        <f>O1665+P1665</f>
        <v>0</v>
      </c>
      <c r="R1665" s="7">
        <v>1</v>
      </c>
      <c r="S1665" s="6" t="s">
        <v>1744</v>
      </c>
      <c r="T1665" s="6" t="s">
        <v>1637</v>
      </c>
      <c r="U1665" s="6"/>
      <c r="V1665" s="16"/>
      <c r="W1665" s="16"/>
      <c r="X1665" s="16"/>
      <c r="Y1665" s="6" t="s">
        <v>1627</v>
      </c>
      <c r="Z1665" s="15"/>
      <c r="AA1665" s="15" t="s">
        <v>1628</v>
      </c>
    </row>
    <row r="1666" spans="1:27" ht="33" customHeight="1">
      <c r="A1666" s="6" t="s">
        <v>4476</v>
      </c>
      <c r="B1666" s="7">
        <v>1227</v>
      </c>
      <c r="C1666" s="6" t="s">
        <v>4477</v>
      </c>
      <c r="D1666" s="6" t="s">
        <v>3005</v>
      </c>
      <c r="E1666" s="6" t="s">
        <v>2134</v>
      </c>
      <c r="F1666" s="6" t="s">
        <v>156</v>
      </c>
      <c r="G1666" s="6" t="s">
        <v>3239</v>
      </c>
      <c r="H1666" s="6"/>
      <c r="I1666" s="14" t="s">
        <v>1642</v>
      </c>
      <c r="J1666" s="15"/>
      <c r="K1666" s="6" t="s">
        <v>1976</v>
      </c>
      <c r="L1666" s="6"/>
      <c r="M1666" s="6" t="s">
        <v>1643</v>
      </c>
      <c r="N1666" s="6" t="s">
        <v>1644</v>
      </c>
      <c r="O1666" s="7">
        <f>SUMIFS('05_상품별배치367'!$K$7:$K$373,'05_상품별배치367'!$E$7:$E$373,A1666,'05_상품별배치367'!$H$7:$H$373,"본진")</f>
        <v>0</v>
      </c>
      <c r="P1666" s="7">
        <f>SUMIFS('05_상품별배치367'!$K$7:$K$373,'05_상품별배치367'!$E$7:$E$373,A1666,'05_상품별배치367'!$H$7:$H$373,"추가 진열")</f>
        <v>0</v>
      </c>
      <c r="Q1666" s="7">
        <f>O1666+P1666</f>
        <v>0</v>
      </c>
      <c r="R1666" s="7">
        <v>1</v>
      </c>
      <c r="S1666" s="6" t="s">
        <v>3240</v>
      </c>
      <c r="T1666" s="6" t="s">
        <v>1637</v>
      </c>
      <c r="U1666" s="6"/>
      <c r="V1666" s="16"/>
      <c r="W1666" s="16"/>
      <c r="X1666" s="16"/>
      <c r="Y1666" s="6" t="s">
        <v>1627</v>
      </c>
      <c r="Z1666" s="15"/>
      <c r="AA1666" s="15" t="s">
        <v>1628</v>
      </c>
    </row>
    <row r="1667" spans="1:27" ht="33" customHeight="1">
      <c r="A1667" s="6" t="s">
        <v>4480</v>
      </c>
      <c r="B1667" s="7">
        <v>1229</v>
      </c>
      <c r="C1667" s="6" t="s">
        <v>4481</v>
      </c>
      <c r="D1667" s="6" t="s">
        <v>3924</v>
      </c>
      <c r="E1667" s="6" t="s">
        <v>2134</v>
      </c>
      <c r="F1667" s="6" t="s">
        <v>1081</v>
      </c>
      <c r="G1667" s="6" t="s">
        <v>290</v>
      </c>
      <c r="H1667" s="6"/>
      <c r="I1667" s="14" t="s">
        <v>1642</v>
      </c>
      <c r="J1667" s="15"/>
      <c r="K1667" s="6" t="s">
        <v>1976</v>
      </c>
      <c r="L1667" s="6"/>
      <c r="M1667" s="6" t="s">
        <v>1643</v>
      </c>
      <c r="N1667" s="6" t="s">
        <v>1644</v>
      </c>
      <c r="O1667" s="7">
        <f>SUMIFS('05_상품별배치367'!$K$7:$K$373,'05_상품별배치367'!$E$7:$E$373,A1667,'05_상품별배치367'!$H$7:$H$373,"본진")</f>
        <v>0</v>
      </c>
      <c r="P1667" s="7">
        <f>SUMIFS('05_상품별배치367'!$K$7:$K$373,'05_상품별배치367'!$E$7:$E$373,A1667,'05_상품별배치367'!$H$7:$H$373,"추가 진열")</f>
        <v>0</v>
      </c>
      <c r="Q1667" s="7">
        <f>O1667+P1667</f>
        <v>0</v>
      </c>
      <c r="R1667" s="7">
        <v>1</v>
      </c>
      <c r="S1667" s="6" t="s">
        <v>2135</v>
      </c>
      <c r="T1667" s="6" t="s">
        <v>1637</v>
      </c>
      <c r="U1667" s="6"/>
      <c r="V1667" s="16"/>
      <c r="W1667" s="16"/>
      <c r="X1667" s="16"/>
      <c r="Y1667" s="6" t="s">
        <v>1627</v>
      </c>
      <c r="Z1667" s="15"/>
      <c r="AA1667" s="15" t="s">
        <v>1628</v>
      </c>
    </row>
    <row r="1668" spans="1:27" ht="33" customHeight="1">
      <c r="A1668" s="6" t="s">
        <v>4470</v>
      </c>
      <c r="B1668" s="7">
        <v>1225</v>
      </c>
      <c r="C1668" s="6" t="s">
        <v>4471</v>
      </c>
      <c r="D1668" s="6" t="s">
        <v>4472</v>
      </c>
      <c r="E1668" s="6" t="s">
        <v>2134</v>
      </c>
      <c r="F1668" s="6" t="s">
        <v>1263</v>
      </c>
      <c r="G1668" s="6" t="s">
        <v>376</v>
      </c>
      <c r="H1668" s="6"/>
      <c r="I1668" s="14" t="s">
        <v>1642</v>
      </c>
      <c r="J1668" s="15"/>
      <c r="K1668" s="6" t="s">
        <v>1976</v>
      </c>
      <c r="L1668" s="6"/>
      <c r="M1668" s="6" t="s">
        <v>1643</v>
      </c>
      <c r="N1668" s="6" t="s">
        <v>1644</v>
      </c>
      <c r="O1668" s="7">
        <f>SUMIFS('05_상품별배치367'!$K$7:$K$373,'05_상품별배치367'!$E$7:$E$373,A1668,'05_상품별배치367'!$H$7:$H$373,"본진")</f>
        <v>0</v>
      </c>
      <c r="P1668" s="7">
        <f>SUMIFS('05_상품별배치367'!$K$7:$K$373,'05_상품별배치367'!$E$7:$E$373,A1668,'05_상품별배치367'!$H$7:$H$373,"추가 진열")</f>
        <v>0</v>
      </c>
      <c r="Q1668" s="7">
        <f>O1668+P1668</f>
        <v>0</v>
      </c>
      <c r="R1668" s="7">
        <v>1</v>
      </c>
      <c r="S1668" s="6" t="s">
        <v>3016</v>
      </c>
      <c r="T1668" s="6" t="s">
        <v>1637</v>
      </c>
      <c r="U1668" s="6"/>
      <c r="V1668" s="16"/>
      <c r="W1668" s="16"/>
      <c r="X1668" s="16"/>
      <c r="Y1668" s="6" t="s">
        <v>1627</v>
      </c>
      <c r="Z1668" s="15"/>
      <c r="AA1668" s="15" t="s">
        <v>1628</v>
      </c>
    </row>
    <row r="1669" spans="1:27" ht="33" customHeight="1">
      <c r="A1669" s="8" t="s">
        <v>4468</v>
      </c>
      <c r="B1669" s="9">
        <v>1224</v>
      </c>
      <c r="C1669" s="8" t="s">
        <v>4469</v>
      </c>
      <c r="D1669" s="8" t="s">
        <v>3027</v>
      </c>
      <c r="E1669" s="8" t="s">
        <v>2134</v>
      </c>
      <c r="F1669" s="8" t="s">
        <v>1263</v>
      </c>
      <c r="G1669" s="8" t="s">
        <v>376</v>
      </c>
      <c r="H1669" s="8"/>
      <c r="I1669" s="14" t="s">
        <v>1642</v>
      </c>
      <c r="J1669" s="15"/>
      <c r="K1669" s="8" t="s">
        <v>1976</v>
      </c>
      <c r="L1669" s="8"/>
      <c r="M1669" s="6" t="s">
        <v>1643</v>
      </c>
      <c r="N1669" s="6" t="s">
        <v>1644</v>
      </c>
      <c r="O1669" s="7">
        <f>SUMIFS('05_상품별배치367'!$K$7:$K$373,'05_상품별배치367'!$E$7:$E$373,A1669,'05_상품별배치367'!$H$7:$H$373,"본진")</f>
        <v>0</v>
      </c>
      <c r="P1669" s="7">
        <f>SUMIFS('05_상품별배치367'!$K$7:$K$373,'05_상품별배치367'!$E$7:$E$373,A1669,'05_상품별배치367'!$H$7:$H$373,"추가 진열")</f>
        <v>0</v>
      </c>
      <c r="Q1669" s="7">
        <f>O1669+P1669</f>
        <v>0</v>
      </c>
      <c r="R1669" s="7">
        <v>1</v>
      </c>
      <c r="S1669" s="6" t="s">
        <v>3016</v>
      </c>
      <c r="T1669" s="6" t="s">
        <v>1637</v>
      </c>
      <c r="U1669" s="6"/>
      <c r="V1669" s="16"/>
      <c r="W1669" s="16"/>
      <c r="X1669" s="16"/>
      <c r="Y1669" s="6" t="s">
        <v>1627</v>
      </c>
      <c r="Z1669" s="15"/>
      <c r="AA1669" s="15" t="s">
        <v>1628</v>
      </c>
    </row>
    <row r="1670" spans="1:27" ht="33" customHeight="1">
      <c r="A1670" s="8" t="s">
        <v>4478</v>
      </c>
      <c r="B1670" s="9">
        <v>1228</v>
      </c>
      <c r="C1670" s="8" t="s">
        <v>4479</v>
      </c>
      <c r="D1670" s="8" t="s">
        <v>3924</v>
      </c>
      <c r="E1670" s="8" t="s">
        <v>2134</v>
      </c>
      <c r="F1670" s="8" t="s">
        <v>1263</v>
      </c>
      <c r="G1670" s="8" t="s">
        <v>376</v>
      </c>
      <c r="H1670" s="8"/>
      <c r="I1670" s="14" t="s">
        <v>1642</v>
      </c>
      <c r="J1670" s="15"/>
      <c r="K1670" s="8" t="s">
        <v>1976</v>
      </c>
      <c r="L1670" s="8"/>
      <c r="M1670" s="6" t="s">
        <v>1643</v>
      </c>
      <c r="N1670" s="6" t="s">
        <v>1644</v>
      </c>
      <c r="O1670" s="7">
        <f>SUMIFS('05_상품별배치367'!$K$7:$K$373,'05_상품별배치367'!$E$7:$E$373,A1670,'05_상품별배치367'!$H$7:$H$373,"본진")</f>
        <v>0</v>
      </c>
      <c r="P1670" s="7">
        <f>SUMIFS('05_상품별배치367'!$K$7:$K$373,'05_상품별배치367'!$E$7:$E$373,A1670,'05_상품별배치367'!$H$7:$H$373,"추가 진열")</f>
        <v>0</v>
      </c>
      <c r="Q1670" s="7">
        <f>O1670+P1670</f>
        <v>0</v>
      </c>
      <c r="R1670" s="7">
        <v>1</v>
      </c>
      <c r="S1670" s="6" t="s">
        <v>3016</v>
      </c>
      <c r="T1670" s="6" t="s">
        <v>1637</v>
      </c>
      <c r="U1670" s="6"/>
      <c r="V1670" s="16"/>
      <c r="W1670" s="16"/>
      <c r="X1670" s="16"/>
      <c r="Y1670" s="6" t="s">
        <v>1627</v>
      </c>
      <c r="Z1670" s="15"/>
      <c r="AA1670" s="15" t="s">
        <v>1628</v>
      </c>
    </row>
    <row r="1671" spans="1:27" ht="33" customHeight="1">
      <c r="A1671" s="6" t="s">
        <v>4484</v>
      </c>
      <c r="B1671" s="7">
        <v>1231</v>
      </c>
      <c r="C1671" s="6" t="s">
        <v>4485</v>
      </c>
      <c r="D1671" s="6" t="s">
        <v>3924</v>
      </c>
      <c r="E1671" s="6" t="s">
        <v>2134</v>
      </c>
      <c r="F1671" s="6" t="s">
        <v>162</v>
      </c>
      <c r="G1671" s="6" t="s">
        <v>404</v>
      </c>
      <c r="H1671" s="6"/>
      <c r="I1671" s="14" t="s">
        <v>1642</v>
      </c>
      <c r="J1671" s="15"/>
      <c r="K1671" s="6" t="s">
        <v>1976</v>
      </c>
      <c r="L1671" s="6"/>
      <c r="M1671" s="6" t="s">
        <v>1643</v>
      </c>
      <c r="N1671" s="6" t="s">
        <v>1644</v>
      </c>
      <c r="O1671" s="7">
        <f>SUMIFS('05_상품별배치367'!$K$7:$K$373,'05_상품별배치367'!$E$7:$E$373,A1671,'05_상품별배치367'!$H$7:$H$373,"본진")</f>
        <v>0</v>
      </c>
      <c r="P1671" s="7">
        <f>SUMIFS('05_상품별배치367'!$K$7:$K$373,'05_상품별배치367'!$E$7:$E$373,A1671,'05_상품별배치367'!$H$7:$H$373,"추가 진열")</f>
        <v>0</v>
      </c>
      <c r="Q1671" s="7">
        <f>O1671+P1671</f>
        <v>0</v>
      </c>
      <c r="R1671" s="7">
        <v>1</v>
      </c>
      <c r="S1671" s="6" t="s">
        <v>2996</v>
      </c>
      <c r="T1671" s="6" t="s">
        <v>1637</v>
      </c>
      <c r="U1671" s="6"/>
      <c r="V1671" s="16"/>
      <c r="W1671" s="16"/>
      <c r="X1671" s="16"/>
      <c r="Y1671" s="6" t="s">
        <v>1627</v>
      </c>
      <c r="Z1671" s="15"/>
      <c r="AA1671" s="15" t="s">
        <v>1628</v>
      </c>
    </row>
    <row r="1672" spans="1:27" ht="33" customHeight="1">
      <c r="A1672" s="8" t="s">
        <v>4473</v>
      </c>
      <c r="B1672" s="9">
        <v>1226</v>
      </c>
      <c r="C1672" s="8" t="s">
        <v>4474</v>
      </c>
      <c r="D1672" s="8" t="s">
        <v>4475</v>
      </c>
      <c r="E1672" s="8" t="s">
        <v>1986</v>
      </c>
      <c r="F1672" s="8" t="s">
        <v>1276</v>
      </c>
      <c r="G1672" s="8" t="s">
        <v>1987</v>
      </c>
      <c r="H1672" s="8"/>
      <c r="I1672" s="14" t="s">
        <v>1642</v>
      </c>
      <c r="J1672" s="15"/>
      <c r="K1672" s="8" t="s">
        <v>1976</v>
      </c>
      <c r="L1672" s="8"/>
      <c r="M1672" s="6" t="s">
        <v>1643</v>
      </c>
      <c r="N1672" s="6" t="s">
        <v>1644</v>
      </c>
      <c r="O1672" s="7">
        <f>SUMIFS('05_상품별배치367'!$K$7:$K$373,'05_상품별배치367'!$E$7:$E$373,A1672,'05_상품별배치367'!$H$7:$H$373,"본진")</f>
        <v>0</v>
      </c>
      <c r="P1672" s="7">
        <f>SUMIFS('05_상품별배치367'!$K$7:$K$373,'05_상품별배치367'!$E$7:$E$373,A1672,'05_상품별배치367'!$H$7:$H$373,"추가 진열")</f>
        <v>0</v>
      </c>
      <c r="Q1672" s="7">
        <f>O1672+P1672</f>
        <v>0</v>
      </c>
      <c r="R1672" s="7">
        <v>1</v>
      </c>
      <c r="S1672" s="6" t="s">
        <v>1988</v>
      </c>
      <c r="T1672" s="6" t="s">
        <v>1637</v>
      </c>
      <c r="U1672" s="6"/>
      <c r="V1672" s="16"/>
      <c r="W1672" s="16"/>
      <c r="X1672" s="16"/>
      <c r="Y1672" s="6" t="s">
        <v>1655</v>
      </c>
      <c r="Z1672" s="15"/>
      <c r="AA1672" s="15" t="s">
        <v>1628</v>
      </c>
    </row>
    <row r="1673" spans="1:27" ht="33" customHeight="1">
      <c r="A1673" s="8" t="s">
        <v>4482</v>
      </c>
      <c r="B1673" s="9">
        <v>1230</v>
      </c>
      <c r="C1673" s="8" t="s">
        <v>4483</v>
      </c>
      <c r="D1673" s="8" t="s">
        <v>3924</v>
      </c>
      <c r="E1673" s="8" t="s">
        <v>2134</v>
      </c>
      <c r="F1673" s="8" t="s">
        <v>163</v>
      </c>
      <c r="G1673" s="8" t="s">
        <v>414</v>
      </c>
      <c r="H1673" s="8"/>
      <c r="I1673" s="14" t="s">
        <v>1642</v>
      </c>
      <c r="J1673" s="15"/>
      <c r="K1673" s="8" t="s">
        <v>1976</v>
      </c>
      <c r="L1673" s="8"/>
      <c r="M1673" s="6" t="s">
        <v>1643</v>
      </c>
      <c r="N1673" s="6" t="s">
        <v>1644</v>
      </c>
      <c r="O1673" s="7">
        <f>SUMIFS('05_상품별배치367'!$K$7:$K$373,'05_상품별배치367'!$E$7:$E$373,A1673,'05_상품별배치367'!$H$7:$H$373,"본진")</f>
        <v>0</v>
      </c>
      <c r="P1673" s="7">
        <f>SUMIFS('05_상품별배치367'!$K$7:$K$373,'05_상품별배치367'!$E$7:$E$373,A1673,'05_상품별배치367'!$H$7:$H$373,"추가 진열")</f>
        <v>0</v>
      </c>
      <c r="Q1673" s="7">
        <f>O1673+P1673</f>
        <v>0</v>
      </c>
      <c r="R1673" s="7">
        <v>1</v>
      </c>
      <c r="S1673" s="6" t="s">
        <v>3048</v>
      </c>
      <c r="T1673" s="6" t="s">
        <v>1637</v>
      </c>
      <c r="U1673" s="6"/>
      <c r="V1673" s="16"/>
      <c r="W1673" s="16"/>
      <c r="X1673" s="16"/>
      <c r="Y1673" s="6" t="s">
        <v>1627</v>
      </c>
      <c r="Z1673" s="15"/>
      <c r="AA1673" s="15" t="s">
        <v>1628</v>
      </c>
    </row>
    <row r="1674" spans="1:27" ht="33" customHeight="1">
      <c r="A1674" s="6" t="s">
        <v>2117</v>
      </c>
      <c r="B1674" s="7">
        <v>177</v>
      </c>
      <c r="C1674" s="6" t="s">
        <v>2118</v>
      </c>
      <c r="D1674" s="6" t="s">
        <v>1649</v>
      </c>
      <c r="E1674" s="6" t="s">
        <v>1620</v>
      </c>
      <c r="F1674" s="6" t="s">
        <v>2031</v>
      </c>
      <c r="G1674" s="6" t="s">
        <v>1668</v>
      </c>
      <c r="H1674" s="6"/>
      <c r="I1674" s="14" t="s">
        <v>1642</v>
      </c>
      <c r="J1674" s="15"/>
      <c r="K1674" s="6" t="s">
        <v>1622</v>
      </c>
      <c r="L1674" s="6" t="s">
        <v>2032</v>
      </c>
      <c r="M1674" s="6" t="s">
        <v>1643</v>
      </c>
      <c r="N1674" s="6" t="s">
        <v>1644</v>
      </c>
      <c r="O1674" s="7">
        <f>SUMIFS('05_상품별배치367'!$K$7:$K$373,'05_상품별배치367'!$E$7:$E$373,A1674,'05_상품별배치367'!$H$7:$H$373,"본진")</f>
        <v>0</v>
      </c>
      <c r="P1674" s="7">
        <f>SUMIFS('05_상품별배치367'!$K$7:$K$373,'05_상품별배치367'!$E$7:$E$373,A1674,'05_상품별배치367'!$H$7:$H$373,"추가 진열")</f>
        <v>0</v>
      </c>
      <c r="Q1674" s="7">
        <f>O1674+P1674</f>
        <v>0</v>
      </c>
      <c r="R1674" s="7">
        <v>1</v>
      </c>
      <c r="S1674" s="6" t="s">
        <v>2033</v>
      </c>
      <c r="T1674" s="6" t="s">
        <v>1637</v>
      </c>
      <c r="U1674" s="6"/>
      <c r="V1674" s="16"/>
      <c r="W1674" s="16"/>
      <c r="X1674" s="16"/>
      <c r="Y1674" s="6" t="s">
        <v>1627</v>
      </c>
      <c r="Z1674" s="15"/>
      <c r="AA1674" s="15" t="s">
        <v>1628</v>
      </c>
    </row>
    <row r="1675" spans="1:27" ht="33" customHeight="1">
      <c r="A1675" s="6" t="s">
        <v>6423</v>
      </c>
      <c r="B1675" s="7">
        <v>2129</v>
      </c>
      <c r="C1675" s="6" t="s">
        <v>6424</v>
      </c>
      <c r="D1675" s="6" t="s">
        <v>1649</v>
      </c>
      <c r="E1675" s="6" t="s">
        <v>1620</v>
      </c>
      <c r="F1675" s="6" t="s">
        <v>2031</v>
      </c>
      <c r="G1675" s="6" t="s">
        <v>1668</v>
      </c>
      <c r="H1675" s="6"/>
      <c r="I1675" s="14" t="s">
        <v>1642</v>
      </c>
      <c r="J1675" s="15"/>
      <c r="K1675" s="6" t="s">
        <v>1622</v>
      </c>
      <c r="L1675" s="6" t="s">
        <v>2032</v>
      </c>
      <c r="M1675" s="6" t="s">
        <v>1643</v>
      </c>
      <c r="N1675" s="6" t="s">
        <v>1644</v>
      </c>
      <c r="O1675" s="7">
        <f>SUMIFS('05_상품별배치367'!$K$7:$K$373,'05_상품별배치367'!$E$7:$E$373,A1675,'05_상품별배치367'!$H$7:$H$373,"본진")</f>
        <v>0</v>
      </c>
      <c r="P1675" s="7">
        <f>SUMIFS('05_상품별배치367'!$K$7:$K$373,'05_상품별배치367'!$E$7:$E$373,A1675,'05_상품별배치367'!$H$7:$H$373,"추가 진열")</f>
        <v>0</v>
      </c>
      <c r="Q1675" s="7">
        <f>O1675+P1675</f>
        <v>0</v>
      </c>
      <c r="R1675" s="7">
        <v>1</v>
      </c>
      <c r="S1675" s="6" t="s">
        <v>2033</v>
      </c>
      <c r="T1675" s="6" t="s">
        <v>1637</v>
      </c>
      <c r="U1675" s="6"/>
      <c r="V1675" s="16"/>
      <c r="W1675" s="16"/>
      <c r="X1675" s="16"/>
      <c r="Y1675" s="6" t="s">
        <v>1627</v>
      </c>
      <c r="Z1675" s="15"/>
      <c r="AA1675" s="15" t="s">
        <v>1628</v>
      </c>
    </row>
    <row r="1676" spans="1:27" ht="33" customHeight="1">
      <c r="A1676" s="6" t="s">
        <v>2123</v>
      </c>
      <c r="B1676" s="7">
        <v>179</v>
      </c>
      <c r="C1676" s="6" t="s">
        <v>2124</v>
      </c>
      <c r="D1676" s="6" t="s">
        <v>1649</v>
      </c>
      <c r="E1676" s="6" t="s">
        <v>1620</v>
      </c>
      <c r="F1676" s="6" t="s">
        <v>2125</v>
      </c>
      <c r="G1676" s="6" t="s">
        <v>307</v>
      </c>
      <c r="H1676" s="6"/>
      <c r="I1676" s="14" t="s">
        <v>1642</v>
      </c>
      <c r="J1676" s="15"/>
      <c r="K1676" s="6" t="s">
        <v>1622</v>
      </c>
      <c r="L1676" s="6"/>
      <c r="M1676" s="6" t="s">
        <v>1643</v>
      </c>
      <c r="N1676" s="6" t="s">
        <v>1644</v>
      </c>
      <c r="O1676" s="7">
        <f>SUMIFS('05_상품별배치367'!$K$7:$K$373,'05_상품별배치367'!$E$7:$E$373,A1676,'05_상품별배치367'!$H$7:$H$373,"본진")</f>
        <v>0</v>
      </c>
      <c r="P1676" s="7">
        <f>SUMIFS('05_상품별배치367'!$K$7:$K$373,'05_상품별배치367'!$E$7:$E$373,A1676,'05_상품별배치367'!$H$7:$H$373,"추가 진열")</f>
        <v>0</v>
      </c>
      <c r="Q1676" s="7">
        <f>O1676+P1676</f>
        <v>0</v>
      </c>
      <c r="R1676" s="7">
        <v>1</v>
      </c>
      <c r="S1676" s="6" t="s">
        <v>2126</v>
      </c>
      <c r="T1676" s="6" t="s">
        <v>1637</v>
      </c>
      <c r="U1676" s="6"/>
      <c r="V1676" s="16"/>
      <c r="W1676" s="16"/>
      <c r="X1676" s="16"/>
      <c r="Y1676" s="6" t="s">
        <v>1627</v>
      </c>
      <c r="Z1676" s="15"/>
      <c r="AA1676" s="15" t="s">
        <v>1628</v>
      </c>
    </row>
    <row r="1677" spans="1:27" ht="33" customHeight="1">
      <c r="A1677" s="8" t="s">
        <v>6425</v>
      </c>
      <c r="B1677" s="9">
        <v>2130</v>
      </c>
      <c r="C1677" s="8" t="s">
        <v>6426</v>
      </c>
      <c r="D1677" s="8" t="s">
        <v>1649</v>
      </c>
      <c r="E1677" s="8" t="s">
        <v>1620</v>
      </c>
      <c r="F1677" s="8" t="s">
        <v>2125</v>
      </c>
      <c r="G1677" s="8" t="s">
        <v>307</v>
      </c>
      <c r="H1677" s="8"/>
      <c r="I1677" s="14" t="s">
        <v>1642</v>
      </c>
      <c r="J1677" s="15"/>
      <c r="K1677" s="8" t="s">
        <v>1622</v>
      </c>
      <c r="L1677" s="8"/>
      <c r="M1677" s="6" t="s">
        <v>1643</v>
      </c>
      <c r="N1677" s="6" t="s">
        <v>1644</v>
      </c>
      <c r="O1677" s="7">
        <f>SUMIFS('05_상품별배치367'!$K$7:$K$373,'05_상품별배치367'!$E$7:$E$373,A1677,'05_상품별배치367'!$H$7:$H$373,"본진")</f>
        <v>0</v>
      </c>
      <c r="P1677" s="7">
        <f>SUMIFS('05_상품별배치367'!$K$7:$K$373,'05_상품별배치367'!$E$7:$E$373,A1677,'05_상품별배치367'!$H$7:$H$373,"추가 진열")</f>
        <v>0</v>
      </c>
      <c r="Q1677" s="7">
        <f>O1677+P1677</f>
        <v>0</v>
      </c>
      <c r="R1677" s="7">
        <v>1</v>
      </c>
      <c r="S1677" s="6" t="s">
        <v>2126</v>
      </c>
      <c r="T1677" s="6" t="s">
        <v>1637</v>
      </c>
      <c r="U1677" s="6"/>
      <c r="V1677" s="16"/>
      <c r="W1677" s="16"/>
      <c r="X1677" s="16"/>
      <c r="Y1677" s="6" t="s">
        <v>1627</v>
      </c>
      <c r="Z1677" s="15"/>
      <c r="AA1677" s="15" t="s">
        <v>1628</v>
      </c>
    </row>
    <row r="1678" spans="1:27" ht="33" customHeight="1">
      <c r="A1678" s="8" t="s">
        <v>2119</v>
      </c>
      <c r="B1678" s="9">
        <v>178</v>
      </c>
      <c r="C1678" s="8" t="s">
        <v>2120</v>
      </c>
      <c r="D1678" s="8" t="s">
        <v>1649</v>
      </c>
      <c r="E1678" s="8" t="s">
        <v>1620</v>
      </c>
      <c r="F1678" s="8" t="s">
        <v>2121</v>
      </c>
      <c r="G1678" s="8" t="s">
        <v>1668</v>
      </c>
      <c r="H1678" s="8"/>
      <c r="I1678" s="14" t="s">
        <v>1642</v>
      </c>
      <c r="J1678" s="15"/>
      <c r="K1678" s="8" t="s">
        <v>1622</v>
      </c>
      <c r="L1678" s="8"/>
      <c r="M1678" s="6" t="s">
        <v>1643</v>
      </c>
      <c r="N1678" s="6" t="s">
        <v>1644</v>
      </c>
      <c r="O1678" s="7">
        <f>SUMIFS('05_상품별배치367'!$K$7:$K$373,'05_상품별배치367'!$E$7:$E$373,A1678,'05_상품별배치367'!$H$7:$H$373,"본진")</f>
        <v>0</v>
      </c>
      <c r="P1678" s="7">
        <f>SUMIFS('05_상품별배치367'!$K$7:$K$373,'05_상품별배치367'!$E$7:$E$373,A1678,'05_상품별배치367'!$H$7:$H$373,"추가 진열")</f>
        <v>0</v>
      </c>
      <c r="Q1678" s="7">
        <f>O1678+P1678</f>
        <v>0</v>
      </c>
      <c r="R1678" s="7">
        <v>1</v>
      </c>
      <c r="S1678" s="6" t="s">
        <v>2122</v>
      </c>
      <c r="T1678" s="6" t="s">
        <v>1637</v>
      </c>
      <c r="U1678" s="6"/>
      <c r="V1678" s="16"/>
      <c r="W1678" s="16"/>
      <c r="X1678" s="16"/>
      <c r="Y1678" s="6" t="s">
        <v>1627</v>
      </c>
      <c r="Z1678" s="15"/>
      <c r="AA1678" s="15" t="s">
        <v>1628</v>
      </c>
    </row>
    <row r="1679" spans="1:27" ht="33" customHeight="1">
      <c r="A1679" s="6" t="s">
        <v>6427</v>
      </c>
      <c r="B1679" s="7">
        <v>2131</v>
      </c>
      <c r="C1679" s="6" t="s">
        <v>6428</v>
      </c>
      <c r="D1679" s="6" t="s">
        <v>1649</v>
      </c>
      <c r="E1679" s="6" t="s">
        <v>1620</v>
      </c>
      <c r="F1679" s="6" t="s">
        <v>2121</v>
      </c>
      <c r="G1679" s="6" t="s">
        <v>1668</v>
      </c>
      <c r="H1679" s="6"/>
      <c r="I1679" s="14" t="s">
        <v>1642</v>
      </c>
      <c r="J1679" s="15"/>
      <c r="K1679" s="6" t="s">
        <v>1622</v>
      </c>
      <c r="L1679" s="6"/>
      <c r="M1679" s="6" t="s">
        <v>1643</v>
      </c>
      <c r="N1679" s="6" t="s">
        <v>1644</v>
      </c>
      <c r="O1679" s="7">
        <f>SUMIFS('05_상품별배치367'!$K$7:$K$373,'05_상품별배치367'!$E$7:$E$373,A1679,'05_상품별배치367'!$H$7:$H$373,"본진")</f>
        <v>0</v>
      </c>
      <c r="P1679" s="7">
        <f>SUMIFS('05_상품별배치367'!$K$7:$K$373,'05_상품별배치367'!$E$7:$E$373,A1679,'05_상품별배치367'!$H$7:$H$373,"추가 진열")</f>
        <v>0</v>
      </c>
      <c r="Q1679" s="7">
        <f>O1679+P1679</f>
        <v>0</v>
      </c>
      <c r="R1679" s="7">
        <v>1</v>
      </c>
      <c r="S1679" s="6" t="s">
        <v>2122</v>
      </c>
      <c r="T1679" s="6" t="s">
        <v>1637</v>
      </c>
      <c r="U1679" s="6"/>
      <c r="V1679" s="16"/>
      <c r="W1679" s="16"/>
      <c r="X1679" s="16"/>
      <c r="Y1679" s="6" t="s">
        <v>1627</v>
      </c>
      <c r="Z1679" s="15"/>
      <c r="AA1679" s="15" t="s">
        <v>1628</v>
      </c>
    </row>
    <row r="1680" spans="1:27" ht="33" customHeight="1">
      <c r="A1680" s="8" t="s">
        <v>2352</v>
      </c>
      <c r="B1680" s="9">
        <v>262</v>
      </c>
      <c r="C1680" s="8" t="s">
        <v>2353</v>
      </c>
      <c r="D1680" s="8" t="s">
        <v>2354</v>
      </c>
      <c r="E1680" s="8" t="s">
        <v>1620</v>
      </c>
      <c r="F1680" s="8" t="s">
        <v>151</v>
      </c>
      <c r="G1680" s="8" t="s">
        <v>349</v>
      </c>
      <c r="H1680" s="8"/>
      <c r="I1680" s="14" t="s">
        <v>1642</v>
      </c>
      <c r="J1680" s="15"/>
      <c r="K1680" s="8" t="s">
        <v>1622</v>
      </c>
      <c r="L1680" s="8"/>
      <c r="M1680" s="6" t="s">
        <v>1643</v>
      </c>
      <c r="N1680" s="6" t="s">
        <v>1644</v>
      </c>
      <c r="O1680" s="7">
        <f>SUMIFS('05_상품별배치367'!$K$7:$K$373,'05_상품별배치367'!$E$7:$E$373,A1680,'05_상품별배치367'!$H$7:$H$373,"본진")</f>
        <v>0</v>
      </c>
      <c r="P1680" s="7">
        <f>SUMIFS('05_상품별배치367'!$K$7:$K$373,'05_상품별배치367'!$E$7:$E$373,A1680,'05_상품별배치367'!$H$7:$H$373,"추가 진열")</f>
        <v>0</v>
      </c>
      <c r="Q1680" s="7">
        <f>O1680+P1680</f>
        <v>0</v>
      </c>
      <c r="R1680" s="7">
        <v>1</v>
      </c>
      <c r="S1680" s="6" t="s">
        <v>1676</v>
      </c>
      <c r="T1680" s="6" t="s">
        <v>1637</v>
      </c>
      <c r="U1680" s="6"/>
      <c r="V1680" s="16"/>
      <c r="W1680" s="16"/>
      <c r="X1680" s="16"/>
      <c r="Y1680" s="6" t="s">
        <v>1655</v>
      </c>
      <c r="Z1680" s="15"/>
      <c r="AA1680" s="15" t="s">
        <v>1628</v>
      </c>
    </row>
    <row r="1681" spans="1:27" ht="33" customHeight="1">
      <c r="A1681" s="6" t="s">
        <v>2355</v>
      </c>
      <c r="B1681" s="7">
        <v>263</v>
      </c>
      <c r="C1681" s="6" t="s">
        <v>2356</v>
      </c>
      <c r="D1681" s="6" t="s">
        <v>2354</v>
      </c>
      <c r="E1681" s="6" t="s">
        <v>1620</v>
      </c>
      <c r="F1681" s="6" t="s">
        <v>151</v>
      </c>
      <c r="G1681" s="6" t="s">
        <v>349</v>
      </c>
      <c r="H1681" s="6"/>
      <c r="I1681" s="14" t="s">
        <v>1642</v>
      </c>
      <c r="J1681" s="15"/>
      <c r="K1681" s="6" t="s">
        <v>1622</v>
      </c>
      <c r="L1681" s="6"/>
      <c r="M1681" s="6" t="s">
        <v>1643</v>
      </c>
      <c r="N1681" s="6" t="s">
        <v>1644</v>
      </c>
      <c r="O1681" s="7">
        <f>SUMIFS('05_상품별배치367'!$K$7:$K$373,'05_상품별배치367'!$E$7:$E$373,A1681,'05_상품별배치367'!$H$7:$H$373,"본진")</f>
        <v>0</v>
      </c>
      <c r="P1681" s="7">
        <f>SUMIFS('05_상품별배치367'!$K$7:$K$373,'05_상품별배치367'!$E$7:$E$373,A1681,'05_상품별배치367'!$H$7:$H$373,"추가 진열")</f>
        <v>0</v>
      </c>
      <c r="Q1681" s="7">
        <f>O1681+P1681</f>
        <v>0</v>
      </c>
      <c r="R1681" s="7">
        <v>1</v>
      </c>
      <c r="S1681" s="6" t="s">
        <v>1676</v>
      </c>
      <c r="T1681" s="6" t="s">
        <v>1637</v>
      </c>
      <c r="U1681" s="6"/>
      <c r="V1681" s="16"/>
      <c r="W1681" s="16"/>
      <c r="X1681" s="16"/>
      <c r="Y1681" s="6" t="s">
        <v>1655</v>
      </c>
      <c r="Z1681" s="15"/>
      <c r="AA1681" s="15" t="s">
        <v>1628</v>
      </c>
    </row>
    <row r="1682" spans="1:27" ht="33" customHeight="1">
      <c r="A1682" s="8" t="s">
        <v>2361</v>
      </c>
      <c r="B1682" s="9">
        <v>266</v>
      </c>
      <c r="C1682" s="8" t="s">
        <v>2362</v>
      </c>
      <c r="D1682" s="8" t="s">
        <v>2354</v>
      </c>
      <c r="E1682" s="8" t="s">
        <v>1620</v>
      </c>
      <c r="F1682" s="8" t="s">
        <v>151</v>
      </c>
      <c r="G1682" s="8" t="s">
        <v>349</v>
      </c>
      <c r="H1682" s="8"/>
      <c r="I1682" s="14" t="s">
        <v>1642</v>
      </c>
      <c r="J1682" s="15"/>
      <c r="K1682" s="8" t="s">
        <v>1622</v>
      </c>
      <c r="L1682" s="8"/>
      <c r="M1682" s="6" t="s">
        <v>1643</v>
      </c>
      <c r="N1682" s="6" t="s">
        <v>1644</v>
      </c>
      <c r="O1682" s="7">
        <f>SUMIFS('05_상품별배치367'!$K$7:$K$373,'05_상품별배치367'!$E$7:$E$373,A1682,'05_상품별배치367'!$H$7:$H$373,"본진")</f>
        <v>0</v>
      </c>
      <c r="P1682" s="7">
        <f>SUMIFS('05_상품별배치367'!$K$7:$K$373,'05_상품별배치367'!$E$7:$E$373,A1682,'05_상품별배치367'!$H$7:$H$373,"추가 진열")</f>
        <v>0</v>
      </c>
      <c r="Q1682" s="7">
        <f>O1682+P1682</f>
        <v>0</v>
      </c>
      <c r="R1682" s="7">
        <v>1</v>
      </c>
      <c r="S1682" s="6" t="s">
        <v>1676</v>
      </c>
      <c r="T1682" s="6" t="s">
        <v>1637</v>
      </c>
      <c r="U1682" s="6"/>
      <c r="V1682" s="16"/>
      <c r="W1682" s="16"/>
      <c r="X1682" s="16"/>
      <c r="Y1682" s="6" t="s">
        <v>1655</v>
      </c>
      <c r="Z1682" s="15"/>
      <c r="AA1682" s="15" t="s">
        <v>1628</v>
      </c>
    </row>
    <row r="1683" spans="1:27" ht="33" customHeight="1">
      <c r="A1683" s="8" t="s">
        <v>2357</v>
      </c>
      <c r="B1683" s="9">
        <v>264</v>
      </c>
      <c r="C1683" s="8" t="s">
        <v>2358</v>
      </c>
      <c r="D1683" s="8" t="s">
        <v>2354</v>
      </c>
      <c r="E1683" s="8" t="s">
        <v>1620</v>
      </c>
      <c r="F1683" s="8" t="s">
        <v>151</v>
      </c>
      <c r="G1683" s="8" t="s">
        <v>349</v>
      </c>
      <c r="H1683" s="8"/>
      <c r="I1683" s="14" t="s">
        <v>1642</v>
      </c>
      <c r="J1683" s="15"/>
      <c r="K1683" s="8" t="s">
        <v>1622</v>
      </c>
      <c r="L1683" s="8"/>
      <c r="M1683" s="6" t="s">
        <v>1643</v>
      </c>
      <c r="N1683" s="6" t="s">
        <v>1644</v>
      </c>
      <c r="O1683" s="7">
        <f>SUMIFS('05_상품별배치367'!$K$7:$K$373,'05_상품별배치367'!$E$7:$E$373,A1683,'05_상품별배치367'!$H$7:$H$373,"본진")</f>
        <v>0</v>
      </c>
      <c r="P1683" s="7">
        <f>SUMIFS('05_상품별배치367'!$K$7:$K$373,'05_상품별배치367'!$E$7:$E$373,A1683,'05_상품별배치367'!$H$7:$H$373,"추가 진열")</f>
        <v>0</v>
      </c>
      <c r="Q1683" s="7">
        <f>O1683+P1683</f>
        <v>0</v>
      </c>
      <c r="R1683" s="7">
        <v>1</v>
      </c>
      <c r="S1683" s="6" t="s">
        <v>1676</v>
      </c>
      <c r="T1683" s="6" t="s">
        <v>1637</v>
      </c>
      <c r="U1683" s="6"/>
      <c r="V1683" s="16"/>
      <c r="W1683" s="16"/>
      <c r="X1683" s="16"/>
      <c r="Y1683" s="6" t="s">
        <v>1655</v>
      </c>
      <c r="Z1683" s="15"/>
      <c r="AA1683" s="15" t="s">
        <v>1628</v>
      </c>
    </row>
    <row r="1684" spans="1:27" ht="33" customHeight="1">
      <c r="A1684" s="6" t="s">
        <v>2363</v>
      </c>
      <c r="B1684" s="7">
        <v>267</v>
      </c>
      <c r="C1684" s="6" t="s">
        <v>2364</v>
      </c>
      <c r="D1684" s="6" t="s">
        <v>2354</v>
      </c>
      <c r="E1684" s="6" t="s">
        <v>1620</v>
      </c>
      <c r="F1684" s="6" t="s">
        <v>2121</v>
      </c>
      <c r="G1684" s="6" t="s">
        <v>1668</v>
      </c>
      <c r="H1684" s="6"/>
      <c r="I1684" s="14" t="s">
        <v>1642</v>
      </c>
      <c r="J1684" s="15"/>
      <c r="K1684" s="6" t="s">
        <v>1622</v>
      </c>
      <c r="L1684" s="6"/>
      <c r="M1684" s="6" t="s">
        <v>1643</v>
      </c>
      <c r="N1684" s="6" t="s">
        <v>1644</v>
      </c>
      <c r="O1684" s="7">
        <f>SUMIFS('05_상품별배치367'!$K$7:$K$373,'05_상품별배치367'!$E$7:$E$373,A1684,'05_상품별배치367'!$H$7:$H$373,"본진")</f>
        <v>0</v>
      </c>
      <c r="P1684" s="7">
        <f>SUMIFS('05_상품별배치367'!$K$7:$K$373,'05_상품별배치367'!$E$7:$E$373,A1684,'05_상품별배치367'!$H$7:$H$373,"추가 진열")</f>
        <v>0</v>
      </c>
      <c r="Q1684" s="7">
        <f>O1684+P1684</f>
        <v>0</v>
      </c>
      <c r="R1684" s="7">
        <v>1</v>
      </c>
      <c r="S1684" s="6" t="s">
        <v>2122</v>
      </c>
      <c r="T1684" s="6" t="s">
        <v>1637</v>
      </c>
      <c r="U1684" s="6"/>
      <c r="V1684" s="16"/>
      <c r="W1684" s="16"/>
      <c r="X1684" s="16"/>
      <c r="Y1684" s="6" t="s">
        <v>1655</v>
      </c>
      <c r="Z1684" s="15"/>
      <c r="AA1684" s="15" t="s">
        <v>1628</v>
      </c>
    </row>
    <row r="1685" spans="1:27" ht="33" customHeight="1">
      <c r="A1685" s="6" t="s">
        <v>2359</v>
      </c>
      <c r="B1685" s="7">
        <v>265</v>
      </c>
      <c r="C1685" s="6" t="s">
        <v>2360</v>
      </c>
      <c r="D1685" s="6" t="s">
        <v>2354</v>
      </c>
      <c r="E1685" s="6" t="s">
        <v>1620</v>
      </c>
      <c r="F1685" s="6" t="s">
        <v>151</v>
      </c>
      <c r="G1685" s="6" t="s">
        <v>349</v>
      </c>
      <c r="H1685" s="6"/>
      <c r="I1685" s="14" t="s">
        <v>1642</v>
      </c>
      <c r="J1685" s="15"/>
      <c r="K1685" s="6" t="s">
        <v>1622</v>
      </c>
      <c r="L1685" s="6"/>
      <c r="M1685" s="6" t="s">
        <v>1643</v>
      </c>
      <c r="N1685" s="6" t="s">
        <v>1644</v>
      </c>
      <c r="O1685" s="7">
        <f>SUMIFS('05_상품별배치367'!$K$7:$K$373,'05_상품별배치367'!$E$7:$E$373,A1685,'05_상품별배치367'!$H$7:$H$373,"본진")</f>
        <v>0</v>
      </c>
      <c r="P1685" s="7">
        <f>SUMIFS('05_상품별배치367'!$K$7:$K$373,'05_상품별배치367'!$E$7:$E$373,A1685,'05_상품별배치367'!$H$7:$H$373,"추가 진열")</f>
        <v>0</v>
      </c>
      <c r="Q1685" s="7">
        <f>O1685+P1685</f>
        <v>0</v>
      </c>
      <c r="R1685" s="7">
        <v>1</v>
      </c>
      <c r="S1685" s="6" t="s">
        <v>1676</v>
      </c>
      <c r="T1685" s="6" t="s">
        <v>1637</v>
      </c>
      <c r="U1685" s="6"/>
      <c r="V1685" s="16"/>
      <c r="W1685" s="16"/>
      <c r="X1685" s="16"/>
      <c r="Y1685" s="6" t="s">
        <v>1655</v>
      </c>
      <c r="Z1685" s="15"/>
      <c r="AA1685" s="15" t="s">
        <v>1628</v>
      </c>
    </row>
    <row r="1686" spans="1:27" ht="33" customHeight="1">
      <c r="A1686" s="8" t="s">
        <v>6090</v>
      </c>
      <c r="B1686" s="9">
        <v>1990</v>
      </c>
      <c r="C1686" s="8" t="s">
        <v>6091</v>
      </c>
      <c r="D1686" s="8" t="s">
        <v>6092</v>
      </c>
      <c r="E1686" s="8" t="s">
        <v>1620</v>
      </c>
      <c r="F1686" s="8" t="s">
        <v>1234</v>
      </c>
      <c r="G1686" s="8" t="s">
        <v>358</v>
      </c>
      <c r="H1686" s="8" t="s">
        <v>1233</v>
      </c>
      <c r="I1686" s="14" t="s">
        <v>1633</v>
      </c>
      <c r="J1686" s="15"/>
      <c r="K1686" s="8" t="s">
        <v>1622</v>
      </c>
      <c r="L1686" s="8" t="s">
        <v>3828</v>
      </c>
      <c r="M1686" s="6" t="s">
        <v>1635</v>
      </c>
      <c r="N1686" s="6" t="s">
        <v>1624</v>
      </c>
      <c r="O1686" s="7">
        <f>SUMIFS('05_상품별배치367'!$K$7:$K$373,'05_상품별배치367'!$E$7:$E$373,A1686,'05_상품별배치367'!$H$7:$H$373,"본진")</f>
        <v>1</v>
      </c>
      <c r="P1686" s="7">
        <f>SUMIFS('05_상품별배치367'!$K$7:$K$373,'05_상품별배치367'!$E$7:$E$373,A1686,'05_상품별배치367'!$H$7:$H$373,"추가 진열")</f>
        <v>0</v>
      </c>
      <c r="Q1686" s="7">
        <f>O1686+P1686</f>
        <v>1</v>
      </c>
      <c r="R1686" s="7">
        <v>1</v>
      </c>
      <c r="S1686" s="6" t="s">
        <v>1636</v>
      </c>
      <c r="T1686" s="6" t="s">
        <v>1637</v>
      </c>
      <c r="U1686" s="6"/>
      <c r="V1686" s="16"/>
      <c r="W1686" s="16"/>
      <c r="X1686" s="16"/>
      <c r="Y1686" s="6" t="s">
        <v>1627</v>
      </c>
      <c r="Z1686" s="15"/>
      <c r="AA1686" s="15" t="s">
        <v>1628</v>
      </c>
    </row>
    <row r="1687" spans="1:27" ht="33" customHeight="1">
      <c r="A1687" s="6" t="s">
        <v>6312</v>
      </c>
      <c r="B1687" s="7">
        <v>2081</v>
      </c>
      <c r="C1687" s="6" t="s">
        <v>6313</v>
      </c>
      <c r="D1687" s="6" t="s">
        <v>2078</v>
      </c>
      <c r="E1687" s="6" t="s">
        <v>1620</v>
      </c>
      <c r="F1687" s="6" t="s">
        <v>2031</v>
      </c>
      <c r="G1687" s="6" t="s">
        <v>1668</v>
      </c>
      <c r="H1687" s="6"/>
      <c r="I1687" s="14" t="s">
        <v>1642</v>
      </c>
      <c r="J1687" s="15"/>
      <c r="K1687" s="6" t="s">
        <v>1622</v>
      </c>
      <c r="L1687" s="6" t="s">
        <v>4525</v>
      </c>
      <c r="M1687" s="6" t="s">
        <v>1643</v>
      </c>
      <c r="N1687" s="6" t="s">
        <v>1644</v>
      </c>
      <c r="O1687" s="7">
        <f>SUMIFS('05_상품별배치367'!$K$7:$K$373,'05_상품별배치367'!$E$7:$E$373,A1687,'05_상품별배치367'!$H$7:$H$373,"본진")</f>
        <v>0</v>
      </c>
      <c r="P1687" s="7">
        <f>SUMIFS('05_상품별배치367'!$K$7:$K$373,'05_상품별배치367'!$E$7:$E$373,A1687,'05_상품별배치367'!$H$7:$H$373,"추가 진열")</f>
        <v>0</v>
      </c>
      <c r="Q1687" s="7">
        <f>O1687+P1687</f>
        <v>0</v>
      </c>
      <c r="R1687" s="7">
        <v>1</v>
      </c>
      <c r="S1687" s="6" t="s">
        <v>2033</v>
      </c>
      <c r="T1687" s="6" t="s">
        <v>1637</v>
      </c>
      <c r="U1687" s="6"/>
      <c r="V1687" s="16"/>
      <c r="W1687" s="16"/>
      <c r="X1687" s="16"/>
      <c r="Y1687" s="6" t="s">
        <v>1655</v>
      </c>
      <c r="Z1687" s="15"/>
      <c r="AA1687" s="15" t="s">
        <v>1628</v>
      </c>
    </row>
    <row r="1688" spans="1:27" ht="33" customHeight="1">
      <c r="A1688" s="6" t="s">
        <v>2749</v>
      </c>
      <c r="B1688" s="7">
        <v>437</v>
      </c>
      <c r="C1688" s="6" t="s">
        <v>2750</v>
      </c>
      <c r="D1688" s="6" t="s">
        <v>2078</v>
      </c>
      <c r="E1688" s="6" t="s">
        <v>2746</v>
      </c>
      <c r="F1688" s="6" t="s">
        <v>2747</v>
      </c>
      <c r="G1688" s="6" t="s">
        <v>1668</v>
      </c>
      <c r="H1688" s="6"/>
      <c r="I1688" s="14" t="s">
        <v>1669</v>
      </c>
      <c r="J1688" s="15"/>
      <c r="K1688" s="6" t="s">
        <v>2748</v>
      </c>
      <c r="L1688" s="6" t="s">
        <v>2079</v>
      </c>
      <c r="M1688" s="6" t="s">
        <v>1671</v>
      </c>
      <c r="N1688" s="6" t="s">
        <v>1644</v>
      </c>
      <c r="O1688" s="7">
        <f>SUMIFS('05_상품별배치367'!$K$7:$K$373,'05_상품별배치367'!$E$7:$E$373,A1688,'05_상품별배치367'!$H$7:$H$373,"본진")</f>
        <v>0</v>
      </c>
      <c r="P1688" s="7">
        <f>SUMIFS('05_상품별배치367'!$K$7:$K$373,'05_상품별배치367'!$E$7:$E$373,A1688,'05_상품별배치367'!$H$7:$H$373,"추가 진열")</f>
        <v>0</v>
      </c>
      <c r="Q1688" s="7">
        <f>O1688+P1688</f>
        <v>0</v>
      </c>
      <c r="R1688" s="7">
        <v>0</v>
      </c>
      <c r="S1688" s="6" t="s">
        <v>1672</v>
      </c>
      <c r="T1688" s="6" t="s">
        <v>1637</v>
      </c>
      <c r="U1688" s="6"/>
      <c r="V1688" s="16"/>
      <c r="W1688" s="16"/>
      <c r="X1688" s="16"/>
      <c r="Y1688" s="6" t="s">
        <v>1655</v>
      </c>
      <c r="Z1688" s="15"/>
      <c r="AA1688" s="15" t="s">
        <v>1628</v>
      </c>
    </row>
    <row r="1689" spans="1:27" ht="33" customHeight="1">
      <c r="A1689" s="8" t="s">
        <v>2744</v>
      </c>
      <c r="B1689" s="9">
        <v>436</v>
      </c>
      <c r="C1689" s="8" t="s">
        <v>2745</v>
      </c>
      <c r="D1689" s="8" t="s">
        <v>2078</v>
      </c>
      <c r="E1689" s="8" t="s">
        <v>2746</v>
      </c>
      <c r="F1689" s="8" t="s">
        <v>2747</v>
      </c>
      <c r="G1689" s="8" t="s">
        <v>1668</v>
      </c>
      <c r="H1689" s="8"/>
      <c r="I1689" s="14" t="s">
        <v>1669</v>
      </c>
      <c r="J1689" s="15"/>
      <c r="K1689" s="8" t="s">
        <v>2748</v>
      </c>
      <c r="L1689" s="8" t="s">
        <v>2079</v>
      </c>
      <c r="M1689" s="6" t="s">
        <v>1671</v>
      </c>
      <c r="N1689" s="6" t="s">
        <v>1644</v>
      </c>
      <c r="O1689" s="7">
        <f>SUMIFS('05_상품별배치367'!$K$7:$K$373,'05_상품별배치367'!$E$7:$E$373,A1689,'05_상품별배치367'!$H$7:$H$373,"본진")</f>
        <v>0</v>
      </c>
      <c r="P1689" s="7">
        <f>SUMIFS('05_상품별배치367'!$K$7:$K$373,'05_상품별배치367'!$E$7:$E$373,A1689,'05_상품별배치367'!$H$7:$H$373,"추가 진열")</f>
        <v>0</v>
      </c>
      <c r="Q1689" s="7">
        <f>O1689+P1689</f>
        <v>0</v>
      </c>
      <c r="R1689" s="7">
        <v>0</v>
      </c>
      <c r="S1689" s="6" t="s">
        <v>1672</v>
      </c>
      <c r="T1689" s="6" t="s">
        <v>1637</v>
      </c>
      <c r="U1689" s="6"/>
      <c r="V1689" s="16"/>
      <c r="W1689" s="16"/>
      <c r="X1689" s="16"/>
      <c r="Y1689" s="6" t="s">
        <v>1655</v>
      </c>
      <c r="Z1689" s="15"/>
      <c r="AA1689" s="15" t="s">
        <v>1628</v>
      </c>
    </row>
    <row r="1690" spans="1:27" ht="33" customHeight="1">
      <c r="A1690" s="8" t="s">
        <v>6288</v>
      </c>
      <c r="B1690" s="9">
        <v>2072</v>
      </c>
      <c r="C1690" s="8" t="s">
        <v>6289</v>
      </c>
      <c r="D1690" s="8" t="s">
        <v>1865</v>
      </c>
      <c r="E1690" s="8" t="s">
        <v>1641</v>
      </c>
      <c r="F1690" s="8" t="s">
        <v>656</v>
      </c>
      <c r="G1690" s="8" t="s">
        <v>79</v>
      </c>
      <c r="H1690" s="8"/>
      <c r="I1690" s="14" t="s">
        <v>1642</v>
      </c>
      <c r="J1690" s="15"/>
      <c r="K1690" s="8" t="s">
        <v>1634</v>
      </c>
      <c r="L1690" s="8" t="s">
        <v>3828</v>
      </c>
      <c r="M1690" s="6" t="s">
        <v>1643</v>
      </c>
      <c r="N1690" s="6" t="s">
        <v>1624</v>
      </c>
      <c r="O1690" s="7">
        <f>SUMIFS('05_상품별배치367'!$K$7:$K$373,'05_상품별배치367'!$E$7:$E$373,A1690,'05_상품별배치367'!$H$7:$H$373,"본진")</f>
        <v>0</v>
      </c>
      <c r="P1690" s="7">
        <f>SUMIFS('05_상품별배치367'!$K$7:$K$373,'05_상품별배치367'!$E$7:$E$373,A1690,'05_상품별배치367'!$H$7:$H$373,"추가 진열")</f>
        <v>0</v>
      </c>
      <c r="Q1690" s="7">
        <f>O1690+P1690</f>
        <v>0</v>
      </c>
      <c r="R1690" s="7">
        <v>1</v>
      </c>
      <c r="S1690" s="6" t="s">
        <v>6285</v>
      </c>
      <c r="T1690" s="6" t="s">
        <v>1637</v>
      </c>
      <c r="U1690" s="6"/>
      <c r="V1690" s="16"/>
      <c r="W1690" s="16"/>
      <c r="X1690" s="16"/>
      <c r="Y1690" s="6" t="s">
        <v>1627</v>
      </c>
      <c r="Z1690" s="15"/>
      <c r="AA1690" s="15" t="s">
        <v>1628</v>
      </c>
    </row>
    <row r="1691" spans="1:27" ht="33" customHeight="1">
      <c r="A1691" s="6" t="s">
        <v>6281</v>
      </c>
      <c r="B1691" s="7">
        <v>2069</v>
      </c>
      <c r="C1691" s="6" t="s">
        <v>6282</v>
      </c>
      <c r="D1691" s="6" t="s">
        <v>1865</v>
      </c>
      <c r="E1691" s="6" t="s">
        <v>1641</v>
      </c>
      <c r="F1691" s="6" t="s">
        <v>656</v>
      </c>
      <c r="G1691" s="6" t="s">
        <v>79</v>
      </c>
      <c r="H1691" s="6" t="s">
        <v>655</v>
      </c>
      <c r="I1691" s="14" t="s">
        <v>1621</v>
      </c>
      <c r="J1691" s="15"/>
      <c r="K1691" s="6" t="s">
        <v>1634</v>
      </c>
      <c r="L1691" s="6" t="s">
        <v>3828</v>
      </c>
      <c r="M1691" s="6" t="s">
        <v>1623</v>
      </c>
      <c r="N1691" s="6" t="s">
        <v>1624</v>
      </c>
      <c r="O1691" s="7">
        <f>SUMIFS('05_상품별배치367'!$K$7:$K$373,'05_상품별배치367'!$E$7:$E$373,A1691,'05_상품별배치367'!$H$7:$H$373,"본진")</f>
        <v>1</v>
      </c>
      <c r="P1691" s="7">
        <f>SUMIFS('05_상품별배치367'!$K$7:$K$373,'05_상품별배치367'!$E$7:$E$373,A1691,'05_상품별배치367'!$H$7:$H$373,"추가 진열")</f>
        <v>0</v>
      </c>
      <c r="Q1691" s="7">
        <f>O1691+P1691</f>
        <v>1</v>
      </c>
      <c r="R1691" s="7">
        <v>1</v>
      </c>
      <c r="S1691" s="6" t="s">
        <v>1625</v>
      </c>
      <c r="T1691" s="6" t="s">
        <v>1637</v>
      </c>
      <c r="U1691" s="6"/>
      <c r="V1691" s="16"/>
      <c r="W1691" s="16"/>
      <c r="X1691" s="16"/>
      <c r="Y1691" s="6" t="s">
        <v>1627</v>
      </c>
      <c r="Z1691" s="15"/>
      <c r="AA1691" s="15" t="s">
        <v>1628</v>
      </c>
    </row>
    <row r="1692" spans="1:27" ht="33" customHeight="1">
      <c r="A1692" s="8" t="s">
        <v>6283</v>
      </c>
      <c r="B1692" s="9">
        <v>2070</v>
      </c>
      <c r="C1692" s="8" t="s">
        <v>6284</v>
      </c>
      <c r="D1692" s="8" t="s">
        <v>1865</v>
      </c>
      <c r="E1692" s="8" t="s">
        <v>1641</v>
      </c>
      <c r="F1692" s="8" t="s">
        <v>656</v>
      </c>
      <c r="G1692" s="8" t="s">
        <v>79</v>
      </c>
      <c r="H1692" s="8"/>
      <c r="I1692" s="14" t="s">
        <v>1642</v>
      </c>
      <c r="J1692" s="15"/>
      <c r="K1692" s="8" t="s">
        <v>1634</v>
      </c>
      <c r="L1692" s="8" t="s">
        <v>3828</v>
      </c>
      <c r="M1692" s="6" t="s">
        <v>1643</v>
      </c>
      <c r="N1692" s="6" t="s">
        <v>1624</v>
      </c>
      <c r="O1692" s="7">
        <f>SUMIFS('05_상품별배치367'!$K$7:$K$373,'05_상품별배치367'!$E$7:$E$373,A1692,'05_상품별배치367'!$H$7:$H$373,"본진")</f>
        <v>0</v>
      </c>
      <c r="P1692" s="7">
        <f>SUMIFS('05_상품별배치367'!$K$7:$K$373,'05_상품별배치367'!$E$7:$E$373,A1692,'05_상품별배치367'!$H$7:$H$373,"추가 진열")</f>
        <v>0</v>
      </c>
      <c r="Q1692" s="7">
        <f>O1692+P1692</f>
        <v>0</v>
      </c>
      <c r="R1692" s="7">
        <v>1</v>
      </c>
      <c r="S1692" s="6" t="s">
        <v>6285</v>
      </c>
      <c r="T1692" s="6" t="s">
        <v>1637</v>
      </c>
      <c r="U1692" s="6"/>
      <c r="V1692" s="16"/>
      <c r="W1692" s="16"/>
      <c r="X1692" s="16"/>
      <c r="Y1692" s="6" t="s">
        <v>1627</v>
      </c>
      <c r="Z1692" s="15"/>
      <c r="AA1692" s="15" t="s">
        <v>1628</v>
      </c>
    </row>
    <row r="1693" spans="1:27" ht="33" customHeight="1">
      <c r="A1693" s="8" t="s">
        <v>2965</v>
      </c>
      <c r="B1693" s="9">
        <v>532</v>
      </c>
      <c r="C1693" s="8" t="s">
        <v>2966</v>
      </c>
      <c r="D1693" s="8" t="s">
        <v>1851</v>
      </c>
      <c r="E1693" s="8" t="s">
        <v>1695</v>
      </c>
      <c r="F1693" s="8" t="s">
        <v>497</v>
      </c>
      <c r="G1693" s="8" t="s">
        <v>307</v>
      </c>
      <c r="H1693" s="8"/>
      <c r="I1693" s="14" t="s">
        <v>1642</v>
      </c>
      <c r="J1693" s="15"/>
      <c r="K1693" s="8" t="s">
        <v>1696</v>
      </c>
      <c r="L1693" s="8"/>
      <c r="M1693" s="6" t="s">
        <v>1643</v>
      </c>
      <c r="N1693" s="6" t="s">
        <v>1644</v>
      </c>
      <c r="O1693" s="7">
        <f>SUMIFS('05_상품별배치367'!$K$7:$K$373,'05_상품별배치367'!$E$7:$E$373,A1693,'05_상품별배치367'!$H$7:$H$373,"본진")</f>
        <v>0</v>
      </c>
      <c r="P1693" s="7">
        <f>SUMIFS('05_상품별배치367'!$K$7:$K$373,'05_상품별배치367'!$E$7:$E$373,A1693,'05_상품별배치367'!$H$7:$H$373,"추가 진열")</f>
        <v>0</v>
      </c>
      <c r="Q1693" s="7">
        <f>O1693+P1693</f>
        <v>0</v>
      </c>
      <c r="R1693" s="7">
        <v>1</v>
      </c>
      <c r="S1693" s="6" t="s">
        <v>2857</v>
      </c>
      <c r="T1693" s="6" t="s">
        <v>1637</v>
      </c>
      <c r="U1693" s="6"/>
      <c r="V1693" s="16"/>
      <c r="W1693" s="16"/>
      <c r="X1693" s="16"/>
      <c r="Y1693" s="6" t="s">
        <v>1627</v>
      </c>
      <c r="Z1693" s="15"/>
      <c r="AA1693" s="15" t="s">
        <v>1628</v>
      </c>
    </row>
    <row r="1694" spans="1:27" ht="33" customHeight="1">
      <c r="A1694" s="6" t="s">
        <v>2962</v>
      </c>
      <c r="B1694" s="7">
        <v>531</v>
      </c>
      <c r="C1694" s="6" t="s">
        <v>2963</v>
      </c>
      <c r="D1694" s="6" t="s">
        <v>2964</v>
      </c>
      <c r="E1694" s="6" t="s">
        <v>1695</v>
      </c>
      <c r="F1694" s="6" t="s">
        <v>1129</v>
      </c>
      <c r="G1694" s="6" t="s">
        <v>307</v>
      </c>
      <c r="H1694" s="6"/>
      <c r="I1694" s="14" t="s">
        <v>1642</v>
      </c>
      <c r="J1694" s="15"/>
      <c r="K1694" s="6" t="s">
        <v>1696</v>
      </c>
      <c r="L1694" s="6"/>
      <c r="M1694" s="6" t="s">
        <v>1643</v>
      </c>
      <c r="N1694" s="6" t="s">
        <v>1644</v>
      </c>
      <c r="O1694" s="7">
        <f>SUMIFS('05_상품별배치367'!$K$7:$K$373,'05_상품별배치367'!$E$7:$E$373,A1694,'05_상품별배치367'!$H$7:$H$373,"본진")</f>
        <v>0</v>
      </c>
      <c r="P1694" s="7">
        <f>SUMIFS('05_상품별배치367'!$K$7:$K$373,'05_상품별배치367'!$E$7:$E$373,A1694,'05_상품별배치367'!$H$7:$H$373,"추가 진열")</f>
        <v>0</v>
      </c>
      <c r="Q1694" s="7">
        <f>O1694+P1694</f>
        <v>0</v>
      </c>
      <c r="R1694" s="7">
        <v>1</v>
      </c>
      <c r="S1694" s="6" t="s">
        <v>2850</v>
      </c>
      <c r="T1694" s="6" t="s">
        <v>1637</v>
      </c>
      <c r="U1694" s="6"/>
      <c r="V1694" s="16"/>
      <c r="W1694" s="16"/>
      <c r="X1694" s="16"/>
      <c r="Y1694" s="6" t="s">
        <v>1627</v>
      </c>
      <c r="Z1694" s="15"/>
      <c r="AA1694" s="15" t="s">
        <v>1628</v>
      </c>
    </row>
    <row r="1695" spans="1:27" ht="33" customHeight="1">
      <c r="A1695" s="8" t="s">
        <v>7118</v>
      </c>
      <c r="B1695" s="9">
        <v>2464</v>
      </c>
      <c r="C1695" s="8" t="s">
        <v>7119</v>
      </c>
      <c r="D1695" s="8" t="s">
        <v>1640</v>
      </c>
      <c r="E1695" s="8" t="s">
        <v>1641</v>
      </c>
      <c r="F1695" s="8" t="s">
        <v>1769</v>
      </c>
      <c r="G1695" s="8" t="s">
        <v>59</v>
      </c>
      <c r="H1695" s="8" t="s">
        <v>620</v>
      </c>
      <c r="I1695" s="14" t="s">
        <v>1633</v>
      </c>
      <c r="J1695" s="15"/>
      <c r="K1695" s="8" t="s">
        <v>1634</v>
      </c>
      <c r="L1695" s="8" t="s">
        <v>3828</v>
      </c>
      <c r="M1695" s="6" t="s">
        <v>1635</v>
      </c>
      <c r="N1695" s="6" t="s">
        <v>1624</v>
      </c>
      <c r="O1695" s="7">
        <f>SUMIFS('05_상품별배치367'!$K$7:$K$373,'05_상품별배치367'!$E$7:$E$373,A1695,'05_상품별배치367'!$H$7:$H$373,"본진")</f>
        <v>1</v>
      </c>
      <c r="P1695" s="7">
        <f>SUMIFS('05_상품별배치367'!$K$7:$K$373,'05_상품별배치367'!$E$7:$E$373,A1695,'05_상품별배치367'!$H$7:$H$373,"추가 진열")</f>
        <v>0</v>
      </c>
      <c r="Q1695" s="7">
        <f>O1695+P1695</f>
        <v>1</v>
      </c>
      <c r="R1695" s="7">
        <v>1</v>
      </c>
      <c r="S1695" s="6" t="s">
        <v>1636</v>
      </c>
      <c r="T1695" s="6" t="s">
        <v>1637</v>
      </c>
      <c r="U1695" s="6"/>
      <c r="V1695" s="16"/>
      <c r="W1695" s="16"/>
      <c r="X1695" s="16"/>
      <c r="Y1695" s="6" t="s">
        <v>1627</v>
      </c>
      <c r="Z1695" s="15"/>
      <c r="AA1695" s="15" t="s">
        <v>1628</v>
      </c>
    </row>
    <row r="1696" spans="1:27" ht="33" customHeight="1">
      <c r="A1696" s="6" t="s">
        <v>4546</v>
      </c>
      <c r="B1696" s="7">
        <v>1261</v>
      </c>
      <c r="C1696" s="6" t="s">
        <v>4547</v>
      </c>
      <c r="D1696" s="6" t="s">
        <v>2133</v>
      </c>
      <c r="E1696" s="6" t="s">
        <v>1986</v>
      </c>
      <c r="F1696" s="6" t="s">
        <v>493</v>
      </c>
      <c r="G1696" s="6" t="s">
        <v>299</v>
      </c>
      <c r="H1696" s="6"/>
      <c r="I1696" s="14" t="s">
        <v>1642</v>
      </c>
      <c r="J1696" s="15"/>
      <c r="K1696" s="6" t="s">
        <v>1976</v>
      </c>
      <c r="L1696" s="6"/>
      <c r="M1696" s="6" t="s">
        <v>1643</v>
      </c>
      <c r="N1696" s="6" t="s">
        <v>1644</v>
      </c>
      <c r="O1696" s="7">
        <f>SUMIFS('05_상품별배치367'!$K$7:$K$373,'05_상품별배치367'!$E$7:$E$373,A1696,'05_상품별배치367'!$H$7:$H$373,"본진")</f>
        <v>0</v>
      </c>
      <c r="P1696" s="7">
        <f>SUMIFS('05_상품별배치367'!$K$7:$K$373,'05_상품별배치367'!$E$7:$E$373,A1696,'05_상품별배치367'!$H$7:$H$373,"추가 진열")</f>
        <v>0</v>
      </c>
      <c r="Q1696" s="7">
        <f>O1696+P1696</f>
        <v>0</v>
      </c>
      <c r="R1696" s="7">
        <v>1</v>
      </c>
      <c r="S1696" s="6" t="s">
        <v>3084</v>
      </c>
      <c r="T1696" s="6" t="s">
        <v>1637</v>
      </c>
      <c r="U1696" s="6"/>
      <c r="V1696" s="16"/>
      <c r="W1696" s="16"/>
      <c r="X1696" s="16"/>
      <c r="Y1696" s="6" t="s">
        <v>1627</v>
      </c>
      <c r="Z1696" s="15"/>
      <c r="AA1696" s="15" t="s">
        <v>1628</v>
      </c>
    </row>
    <row r="1697" spans="1:27" ht="33" customHeight="1">
      <c r="A1697" s="8" t="s">
        <v>4544</v>
      </c>
      <c r="B1697" s="9">
        <v>1260</v>
      </c>
      <c r="C1697" s="8" t="s">
        <v>4545</v>
      </c>
      <c r="D1697" s="8" t="s">
        <v>1851</v>
      </c>
      <c r="E1697" s="8" t="s">
        <v>2134</v>
      </c>
      <c r="F1697" s="8" t="s">
        <v>2933</v>
      </c>
      <c r="G1697" s="8" t="s">
        <v>1668</v>
      </c>
      <c r="H1697" s="8"/>
      <c r="I1697" s="14" t="s">
        <v>1807</v>
      </c>
      <c r="J1697" s="15"/>
      <c r="K1697" s="8" t="s">
        <v>1976</v>
      </c>
      <c r="L1697" s="8" t="s">
        <v>2032</v>
      </c>
      <c r="M1697" s="6" t="s">
        <v>1809</v>
      </c>
      <c r="N1697" s="6" t="s">
        <v>1644</v>
      </c>
      <c r="O1697" s="7">
        <f>SUMIFS('05_상품별배치367'!$K$7:$K$373,'05_상품별배치367'!$E$7:$E$373,A1697,'05_상품별배치367'!$H$7:$H$373,"본진")</f>
        <v>0</v>
      </c>
      <c r="P1697" s="7">
        <f>SUMIFS('05_상품별배치367'!$K$7:$K$373,'05_상품별배치367'!$E$7:$E$373,A1697,'05_상품별배치367'!$H$7:$H$373,"추가 진열")</f>
        <v>0</v>
      </c>
      <c r="Q1697" s="7">
        <f>O1697+P1697</f>
        <v>0</v>
      </c>
      <c r="R1697" s="7">
        <v>0</v>
      </c>
      <c r="S1697" s="6" t="s">
        <v>1810</v>
      </c>
      <c r="T1697" s="6" t="s">
        <v>1637</v>
      </c>
      <c r="U1697" s="6"/>
      <c r="V1697" s="16"/>
      <c r="W1697" s="16"/>
      <c r="X1697" s="16"/>
      <c r="Y1697" s="6" t="s">
        <v>1627</v>
      </c>
      <c r="Z1697" s="15"/>
      <c r="AA1697" s="15" t="s">
        <v>1628</v>
      </c>
    </row>
    <row r="1698" spans="1:27" ht="33" customHeight="1">
      <c r="A1698" s="8" t="s">
        <v>6634</v>
      </c>
      <c r="B1698" s="9">
        <v>2228</v>
      </c>
      <c r="C1698" s="8" t="s">
        <v>6635</v>
      </c>
      <c r="D1698" s="8" t="s">
        <v>1631</v>
      </c>
      <c r="E1698" s="8" t="s">
        <v>1620</v>
      </c>
      <c r="F1698" s="8" t="s">
        <v>1239</v>
      </c>
      <c r="G1698" s="8" t="s">
        <v>358</v>
      </c>
      <c r="H1698" s="8"/>
      <c r="I1698" s="14" t="s">
        <v>1642</v>
      </c>
      <c r="J1698" s="15"/>
      <c r="K1698" s="8" t="s">
        <v>1622</v>
      </c>
      <c r="L1698" s="8"/>
      <c r="M1698" s="6" t="s">
        <v>1643</v>
      </c>
      <c r="N1698" s="6" t="s">
        <v>1644</v>
      </c>
      <c r="O1698" s="7">
        <f>SUMIFS('05_상품별배치367'!$K$7:$K$373,'05_상품별배치367'!$E$7:$E$373,A1698,'05_상품별배치367'!$H$7:$H$373,"본진")</f>
        <v>0</v>
      </c>
      <c r="P1698" s="7">
        <f>SUMIFS('05_상품별배치367'!$K$7:$K$373,'05_상품별배치367'!$E$7:$E$373,A1698,'05_상품별배치367'!$H$7:$H$373,"추가 진열")</f>
        <v>0</v>
      </c>
      <c r="Q1698" s="7">
        <f>O1698+P1698</f>
        <v>0</v>
      </c>
      <c r="R1698" s="7">
        <v>1</v>
      </c>
      <c r="S1698" s="6" t="s">
        <v>2187</v>
      </c>
      <c r="T1698" s="6" t="s">
        <v>1637</v>
      </c>
      <c r="U1698" s="6"/>
      <c r="V1698" s="16"/>
      <c r="W1698" s="16"/>
      <c r="X1698" s="16"/>
      <c r="Y1698" s="6" t="s">
        <v>1627</v>
      </c>
      <c r="Z1698" s="15"/>
      <c r="AA1698" s="15" t="s">
        <v>1628</v>
      </c>
    </row>
    <row r="1699" spans="1:27" ht="33" customHeight="1">
      <c r="A1699" s="8" t="s">
        <v>4552</v>
      </c>
      <c r="B1699" s="9">
        <v>1264</v>
      </c>
      <c r="C1699" s="8" t="s">
        <v>4553</v>
      </c>
      <c r="D1699" s="8" t="s">
        <v>1649</v>
      </c>
      <c r="E1699" s="8" t="s">
        <v>2134</v>
      </c>
      <c r="F1699" s="8" t="s">
        <v>1263</v>
      </c>
      <c r="G1699" s="8" t="s">
        <v>376</v>
      </c>
      <c r="H1699" s="8"/>
      <c r="I1699" s="14" t="s">
        <v>1642</v>
      </c>
      <c r="J1699" s="15"/>
      <c r="K1699" s="8" t="s">
        <v>1976</v>
      </c>
      <c r="L1699" s="8"/>
      <c r="M1699" s="6" t="s">
        <v>1643</v>
      </c>
      <c r="N1699" s="6" t="s">
        <v>1644</v>
      </c>
      <c r="O1699" s="7">
        <f>SUMIFS('05_상품별배치367'!$K$7:$K$373,'05_상품별배치367'!$E$7:$E$373,A1699,'05_상품별배치367'!$H$7:$H$373,"본진")</f>
        <v>0</v>
      </c>
      <c r="P1699" s="7">
        <f>SUMIFS('05_상품별배치367'!$K$7:$K$373,'05_상품별배치367'!$E$7:$E$373,A1699,'05_상품별배치367'!$H$7:$H$373,"추가 진열")</f>
        <v>0</v>
      </c>
      <c r="Q1699" s="7">
        <f>O1699+P1699</f>
        <v>0</v>
      </c>
      <c r="R1699" s="7">
        <v>1</v>
      </c>
      <c r="S1699" s="6" t="s">
        <v>3016</v>
      </c>
      <c r="T1699" s="6" t="s">
        <v>1637</v>
      </c>
      <c r="U1699" s="6"/>
      <c r="V1699" s="16"/>
      <c r="W1699" s="16"/>
      <c r="X1699" s="16"/>
      <c r="Y1699" s="6" t="s">
        <v>1627</v>
      </c>
      <c r="Z1699" s="15"/>
      <c r="AA1699" s="15" t="s">
        <v>1628</v>
      </c>
    </row>
    <row r="1700" spans="1:27" ht="33" customHeight="1">
      <c r="A1700" s="8" t="s">
        <v>4548</v>
      </c>
      <c r="B1700" s="9">
        <v>1262</v>
      </c>
      <c r="C1700" s="8" t="s">
        <v>4549</v>
      </c>
      <c r="D1700" s="8" t="s">
        <v>1649</v>
      </c>
      <c r="E1700" s="8" t="s">
        <v>1986</v>
      </c>
      <c r="F1700" s="8" t="s">
        <v>1276</v>
      </c>
      <c r="G1700" s="8" t="s">
        <v>1987</v>
      </c>
      <c r="H1700" s="8"/>
      <c r="I1700" s="14" t="s">
        <v>1642</v>
      </c>
      <c r="J1700" s="15"/>
      <c r="K1700" s="8" t="s">
        <v>1976</v>
      </c>
      <c r="L1700" s="8"/>
      <c r="M1700" s="6" t="s">
        <v>1643</v>
      </c>
      <c r="N1700" s="6" t="s">
        <v>1644</v>
      </c>
      <c r="O1700" s="7">
        <f>SUMIFS('05_상품별배치367'!$K$7:$K$373,'05_상품별배치367'!$E$7:$E$373,A1700,'05_상품별배치367'!$H$7:$H$373,"본진")</f>
        <v>0</v>
      </c>
      <c r="P1700" s="7">
        <f>SUMIFS('05_상품별배치367'!$K$7:$K$373,'05_상품별배치367'!$E$7:$E$373,A1700,'05_상품별배치367'!$H$7:$H$373,"추가 진열")</f>
        <v>0</v>
      </c>
      <c r="Q1700" s="7">
        <f>O1700+P1700</f>
        <v>0</v>
      </c>
      <c r="R1700" s="7">
        <v>1</v>
      </c>
      <c r="S1700" s="6" t="s">
        <v>1988</v>
      </c>
      <c r="T1700" s="6" t="s">
        <v>1637</v>
      </c>
      <c r="U1700" s="6"/>
      <c r="V1700" s="16"/>
      <c r="W1700" s="16"/>
      <c r="X1700" s="16"/>
      <c r="Y1700" s="6" t="s">
        <v>1627</v>
      </c>
      <c r="Z1700" s="15"/>
      <c r="AA1700" s="15" t="s">
        <v>1628</v>
      </c>
    </row>
    <row r="1701" spans="1:27" ht="33" customHeight="1">
      <c r="A1701" s="6" t="s">
        <v>4550</v>
      </c>
      <c r="B1701" s="7">
        <v>1263</v>
      </c>
      <c r="C1701" s="6" t="s">
        <v>4551</v>
      </c>
      <c r="D1701" s="6" t="s">
        <v>2856</v>
      </c>
      <c r="E1701" s="6" t="s">
        <v>2134</v>
      </c>
      <c r="F1701" s="6" t="s">
        <v>2933</v>
      </c>
      <c r="G1701" s="6" t="s">
        <v>1668</v>
      </c>
      <c r="H1701" s="6"/>
      <c r="I1701" s="14" t="s">
        <v>1807</v>
      </c>
      <c r="J1701" s="15"/>
      <c r="K1701" s="6" t="s">
        <v>1976</v>
      </c>
      <c r="L1701" s="6" t="s">
        <v>2032</v>
      </c>
      <c r="M1701" s="6" t="s">
        <v>1809</v>
      </c>
      <c r="N1701" s="6" t="s">
        <v>1644</v>
      </c>
      <c r="O1701" s="7">
        <f>SUMIFS('05_상품별배치367'!$K$7:$K$373,'05_상품별배치367'!$E$7:$E$373,A1701,'05_상품별배치367'!$H$7:$H$373,"본진")</f>
        <v>0</v>
      </c>
      <c r="P1701" s="7">
        <f>SUMIFS('05_상품별배치367'!$K$7:$K$373,'05_상품별배치367'!$E$7:$E$373,A1701,'05_상품별배치367'!$H$7:$H$373,"추가 진열")</f>
        <v>0</v>
      </c>
      <c r="Q1701" s="7">
        <f>O1701+P1701</f>
        <v>0</v>
      </c>
      <c r="R1701" s="7">
        <v>0</v>
      </c>
      <c r="S1701" s="6" t="s">
        <v>1810</v>
      </c>
      <c r="T1701" s="6" t="s">
        <v>1637</v>
      </c>
      <c r="U1701" s="6"/>
      <c r="V1701" s="16"/>
      <c r="W1701" s="16"/>
      <c r="X1701" s="16"/>
      <c r="Y1701" s="6" t="s">
        <v>1627</v>
      </c>
      <c r="Z1701" s="15"/>
      <c r="AA1701" s="15" t="s">
        <v>1628</v>
      </c>
    </row>
    <row r="1702" spans="1:27" ht="33" customHeight="1">
      <c r="A1702" s="6" t="s">
        <v>4055</v>
      </c>
      <c r="B1702" s="7">
        <v>1031</v>
      </c>
      <c r="C1702" s="6" t="s">
        <v>4056</v>
      </c>
      <c r="D1702" s="6" t="s">
        <v>1662</v>
      </c>
      <c r="E1702" s="6" t="s">
        <v>2134</v>
      </c>
      <c r="F1702" s="6" t="s">
        <v>1081</v>
      </c>
      <c r="G1702" s="6" t="s">
        <v>290</v>
      </c>
      <c r="H1702" s="6"/>
      <c r="I1702" s="14" t="s">
        <v>1642</v>
      </c>
      <c r="J1702" s="15"/>
      <c r="K1702" s="6" t="s">
        <v>1976</v>
      </c>
      <c r="L1702" s="6"/>
      <c r="M1702" s="6" t="s">
        <v>1643</v>
      </c>
      <c r="N1702" s="6" t="s">
        <v>1644</v>
      </c>
      <c r="O1702" s="7">
        <f>SUMIFS('05_상품별배치367'!$K$7:$K$373,'05_상품별배치367'!$E$7:$E$373,A1702,'05_상품별배치367'!$H$7:$H$373,"본진")</f>
        <v>0</v>
      </c>
      <c r="P1702" s="7">
        <f>SUMIFS('05_상품별배치367'!$K$7:$K$373,'05_상품별배치367'!$E$7:$E$373,A1702,'05_상품별배치367'!$H$7:$H$373,"추가 진열")</f>
        <v>0</v>
      </c>
      <c r="Q1702" s="7">
        <f>O1702+P1702</f>
        <v>0</v>
      </c>
      <c r="R1702" s="7">
        <v>1</v>
      </c>
      <c r="S1702" s="6" t="s">
        <v>2135</v>
      </c>
      <c r="T1702" s="6" t="s">
        <v>1637</v>
      </c>
      <c r="U1702" s="6"/>
      <c r="V1702" s="16"/>
      <c r="W1702" s="16"/>
      <c r="X1702" s="16"/>
      <c r="Y1702" s="6" t="s">
        <v>1627</v>
      </c>
      <c r="Z1702" s="15"/>
      <c r="AA1702" s="15" t="s">
        <v>1628</v>
      </c>
    </row>
    <row r="1703" spans="1:27" ht="33" customHeight="1">
      <c r="A1703" s="8" t="s">
        <v>4057</v>
      </c>
      <c r="B1703" s="9">
        <v>1032</v>
      </c>
      <c r="C1703" s="8" t="s">
        <v>4058</v>
      </c>
      <c r="D1703" s="8" t="s">
        <v>1662</v>
      </c>
      <c r="E1703" s="8" t="s">
        <v>2134</v>
      </c>
      <c r="F1703" s="8" t="s">
        <v>162</v>
      </c>
      <c r="G1703" s="8" t="s">
        <v>404</v>
      </c>
      <c r="H1703" s="8"/>
      <c r="I1703" s="14" t="s">
        <v>1642</v>
      </c>
      <c r="J1703" s="15"/>
      <c r="K1703" s="8" t="s">
        <v>1976</v>
      </c>
      <c r="L1703" s="8"/>
      <c r="M1703" s="6" t="s">
        <v>1643</v>
      </c>
      <c r="N1703" s="6" t="s">
        <v>1644</v>
      </c>
      <c r="O1703" s="7">
        <f>SUMIFS('05_상품별배치367'!$K$7:$K$373,'05_상품별배치367'!$E$7:$E$373,A1703,'05_상품별배치367'!$H$7:$H$373,"본진")</f>
        <v>0</v>
      </c>
      <c r="P1703" s="7">
        <f>SUMIFS('05_상품별배치367'!$K$7:$K$373,'05_상품별배치367'!$E$7:$E$373,A1703,'05_상품별배치367'!$H$7:$H$373,"추가 진열")</f>
        <v>0</v>
      </c>
      <c r="Q1703" s="7">
        <f>O1703+P1703</f>
        <v>0</v>
      </c>
      <c r="R1703" s="7">
        <v>1</v>
      </c>
      <c r="S1703" s="6" t="s">
        <v>2996</v>
      </c>
      <c r="T1703" s="6" t="s">
        <v>1637</v>
      </c>
      <c r="U1703" s="6"/>
      <c r="V1703" s="16"/>
      <c r="W1703" s="16"/>
      <c r="X1703" s="16"/>
      <c r="Y1703" s="6" t="s">
        <v>1627</v>
      </c>
      <c r="Z1703" s="15"/>
      <c r="AA1703" s="15" t="s">
        <v>1628</v>
      </c>
    </row>
    <row r="1704" spans="1:27" ht="33" customHeight="1">
      <c r="A1704" s="6" t="s">
        <v>4059</v>
      </c>
      <c r="B1704" s="7">
        <v>1033</v>
      </c>
      <c r="C1704" s="6" t="s">
        <v>4060</v>
      </c>
      <c r="D1704" s="6" t="s">
        <v>1662</v>
      </c>
      <c r="E1704" s="6" t="s">
        <v>2134</v>
      </c>
      <c r="F1704" s="6" t="s">
        <v>1263</v>
      </c>
      <c r="G1704" s="6" t="s">
        <v>376</v>
      </c>
      <c r="H1704" s="6"/>
      <c r="I1704" s="14" t="s">
        <v>1642</v>
      </c>
      <c r="J1704" s="15"/>
      <c r="K1704" s="6" t="s">
        <v>1976</v>
      </c>
      <c r="L1704" s="6"/>
      <c r="M1704" s="6" t="s">
        <v>1643</v>
      </c>
      <c r="N1704" s="6" t="s">
        <v>1644</v>
      </c>
      <c r="O1704" s="7">
        <f>SUMIFS('05_상품별배치367'!$K$7:$K$373,'05_상품별배치367'!$E$7:$E$373,A1704,'05_상품별배치367'!$H$7:$H$373,"본진")</f>
        <v>0</v>
      </c>
      <c r="P1704" s="7">
        <f>SUMIFS('05_상품별배치367'!$K$7:$K$373,'05_상품별배치367'!$E$7:$E$373,A1704,'05_상품별배치367'!$H$7:$H$373,"추가 진열")</f>
        <v>0</v>
      </c>
      <c r="Q1704" s="7">
        <f>O1704+P1704</f>
        <v>0</v>
      </c>
      <c r="R1704" s="7">
        <v>1</v>
      </c>
      <c r="S1704" s="6" t="s">
        <v>3016</v>
      </c>
      <c r="T1704" s="6" t="s">
        <v>1637</v>
      </c>
      <c r="U1704" s="6"/>
      <c r="V1704" s="16"/>
      <c r="W1704" s="16"/>
      <c r="X1704" s="16"/>
      <c r="Y1704" s="6" t="s">
        <v>1627</v>
      </c>
      <c r="Z1704" s="15"/>
      <c r="AA1704" s="15" t="s">
        <v>1628</v>
      </c>
    </row>
    <row r="1705" spans="1:27" ht="33" customHeight="1">
      <c r="A1705" s="8" t="s">
        <v>4061</v>
      </c>
      <c r="B1705" s="9">
        <v>1034</v>
      </c>
      <c r="C1705" s="8" t="s">
        <v>4062</v>
      </c>
      <c r="D1705" s="8" t="s">
        <v>4063</v>
      </c>
      <c r="E1705" s="8" t="s">
        <v>1986</v>
      </c>
      <c r="F1705" s="8" t="s">
        <v>1276</v>
      </c>
      <c r="G1705" s="8" t="s">
        <v>1987</v>
      </c>
      <c r="H1705" s="8"/>
      <c r="I1705" s="14" t="s">
        <v>1642</v>
      </c>
      <c r="J1705" s="15"/>
      <c r="K1705" s="8" t="s">
        <v>1976</v>
      </c>
      <c r="L1705" s="8"/>
      <c r="M1705" s="6" t="s">
        <v>1643</v>
      </c>
      <c r="N1705" s="6" t="s">
        <v>1644</v>
      </c>
      <c r="O1705" s="7">
        <f>SUMIFS('05_상품별배치367'!$K$7:$K$373,'05_상품별배치367'!$E$7:$E$373,A1705,'05_상품별배치367'!$H$7:$H$373,"본진")</f>
        <v>0</v>
      </c>
      <c r="P1705" s="7">
        <f>SUMIFS('05_상품별배치367'!$K$7:$K$373,'05_상품별배치367'!$E$7:$E$373,A1705,'05_상품별배치367'!$H$7:$H$373,"추가 진열")</f>
        <v>0</v>
      </c>
      <c r="Q1705" s="7">
        <f>O1705+P1705</f>
        <v>0</v>
      </c>
      <c r="R1705" s="7">
        <v>1</v>
      </c>
      <c r="S1705" s="6" t="s">
        <v>1988</v>
      </c>
      <c r="T1705" s="6" t="s">
        <v>1637</v>
      </c>
      <c r="U1705" s="6"/>
      <c r="V1705" s="16"/>
      <c r="W1705" s="16"/>
      <c r="X1705" s="16"/>
      <c r="Y1705" s="6" t="s">
        <v>1655</v>
      </c>
      <c r="Z1705" s="15"/>
      <c r="AA1705" s="15" t="s">
        <v>1628</v>
      </c>
    </row>
    <row r="1706" spans="1:27" ht="33" customHeight="1">
      <c r="A1706" s="8" t="s">
        <v>4024</v>
      </c>
      <c r="B1706" s="9">
        <v>1016</v>
      </c>
      <c r="C1706" s="8" t="s">
        <v>4025</v>
      </c>
      <c r="D1706" s="8" t="s">
        <v>1876</v>
      </c>
      <c r="E1706" s="8" t="s">
        <v>1986</v>
      </c>
      <c r="F1706" s="8" t="s">
        <v>913</v>
      </c>
      <c r="G1706" s="8" t="s">
        <v>201</v>
      </c>
      <c r="H1706" s="8"/>
      <c r="I1706" s="14" t="s">
        <v>1642</v>
      </c>
      <c r="J1706" s="15"/>
      <c r="K1706" s="8" t="s">
        <v>1976</v>
      </c>
      <c r="L1706" s="8"/>
      <c r="M1706" s="6" t="s">
        <v>1643</v>
      </c>
      <c r="N1706" s="6" t="s">
        <v>1644</v>
      </c>
      <c r="O1706" s="7">
        <f>SUMIFS('05_상품별배치367'!$K$7:$K$373,'05_상품별배치367'!$E$7:$E$373,A1706,'05_상품별배치367'!$H$7:$H$373,"본진")</f>
        <v>0</v>
      </c>
      <c r="P1706" s="7">
        <f>SUMIFS('05_상품별배치367'!$K$7:$K$373,'05_상품별배치367'!$E$7:$E$373,A1706,'05_상품별배치367'!$H$7:$H$373,"추가 진열")</f>
        <v>0</v>
      </c>
      <c r="Q1706" s="7">
        <f>O1706+P1706</f>
        <v>0</v>
      </c>
      <c r="R1706" s="7">
        <v>1</v>
      </c>
      <c r="S1706" s="6" t="s">
        <v>2907</v>
      </c>
      <c r="T1706" s="6" t="s">
        <v>1637</v>
      </c>
      <c r="U1706" s="6"/>
      <c r="V1706" s="16"/>
      <c r="W1706" s="16"/>
      <c r="X1706" s="16"/>
      <c r="Y1706" s="6" t="s">
        <v>1627</v>
      </c>
      <c r="Z1706" s="15"/>
      <c r="AA1706" s="15" t="s">
        <v>1628</v>
      </c>
    </row>
    <row r="1707" spans="1:27" ht="33" customHeight="1">
      <c r="A1707" s="6" t="s">
        <v>4035</v>
      </c>
      <c r="B1707" s="7">
        <v>1021</v>
      </c>
      <c r="C1707" s="6" t="s">
        <v>4036</v>
      </c>
      <c r="D1707" s="6" t="s">
        <v>2133</v>
      </c>
      <c r="E1707" s="6" t="s">
        <v>1986</v>
      </c>
      <c r="F1707" s="6" t="s">
        <v>493</v>
      </c>
      <c r="G1707" s="6" t="s">
        <v>299</v>
      </c>
      <c r="H1707" s="6"/>
      <c r="I1707" s="14" t="s">
        <v>1642</v>
      </c>
      <c r="J1707" s="15"/>
      <c r="K1707" s="6" t="s">
        <v>1976</v>
      </c>
      <c r="L1707" s="6"/>
      <c r="M1707" s="6" t="s">
        <v>1643</v>
      </c>
      <c r="N1707" s="6" t="s">
        <v>1644</v>
      </c>
      <c r="O1707" s="7">
        <f>SUMIFS('05_상품별배치367'!$K$7:$K$373,'05_상품별배치367'!$E$7:$E$373,A1707,'05_상품별배치367'!$H$7:$H$373,"본진")</f>
        <v>0</v>
      </c>
      <c r="P1707" s="7">
        <f>SUMIFS('05_상품별배치367'!$K$7:$K$373,'05_상품별배치367'!$E$7:$E$373,A1707,'05_상품별배치367'!$H$7:$H$373,"추가 진열")</f>
        <v>0</v>
      </c>
      <c r="Q1707" s="7">
        <f>O1707+P1707</f>
        <v>0</v>
      </c>
      <c r="R1707" s="7">
        <v>1</v>
      </c>
      <c r="S1707" s="6" t="s">
        <v>3084</v>
      </c>
      <c r="T1707" s="6" t="s">
        <v>1637</v>
      </c>
      <c r="U1707" s="6"/>
      <c r="V1707" s="16"/>
      <c r="W1707" s="16"/>
      <c r="X1707" s="16"/>
      <c r="Y1707" s="6" t="s">
        <v>1627</v>
      </c>
      <c r="Z1707" s="15"/>
      <c r="AA1707" s="15" t="s">
        <v>1628</v>
      </c>
    </row>
    <row r="1708" spans="1:27" ht="33" customHeight="1">
      <c r="A1708" s="8" t="s">
        <v>4033</v>
      </c>
      <c r="B1708" s="9">
        <v>1020</v>
      </c>
      <c r="C1708" s="8" t="s">
        <v>4034</v>
      </c>
      <c r="D1708" s="8" t="s">
        <v>2133</v>
      </c>
      <c r="E1708" s="8" t="s">
        <v>1986</v>
      </c>
      <c r="F1708" s="8" t="s">
        <v>493</v>
      </c>
      <c r="G1708" s="8" t="s">
        <v>299</v>
      </c>
      <c r="H1708" s="8"/>
      <c r="I1708" s="14" t="s">
        <v>1642</v>
      </c>
      <c r="J1708" s="15"/>
      <c r="K1708" s="8" t="s">
        <v>1976</v>
      </c>
      <c r="L1708" s="8"/>
      <c r="M1708" s="6" t="s">
        <v>1643</v>
      </c>
      <c r="N1708" s="6" t="s">
        <v>1644</v>
      </c>
      <c r="O1708" s="7">
        <f>SUMIFS('05_상품별배치367'!$K$7:$K$373,'05_상품별배치367'!$E$7:$E$373,A1708,'05_상품별배치367'!$H$7:$H$373,"본진")</f>
        <v>0</v>
      </c>
      <c r="P1708" s="7">
        <f>SUMIFS('05_상품별배치367'!$K$7:$K$373,'05_상품별배치367'!$E$7:$E$373,A1708,'05_상품별배치367'!$H$7:$H$373,"추가 진열")</f>
        <v>0</v>
      </c>
      <c r="Q1708" s="7">
        <f>O1708+P1708</f>
        <v>0</v>
      </c>
      <c r="R1708" s="7">
        <v>1</v>
      </c>
      <c r="S1708" s="6" t="s">
        <v>3084</v>
      </c>
      <c r="T1708" s="6" t="s">
        <v>1637</v>
      </c>
      <c r="U1708" s="6"/>
      <c r="V1708" s="16"/>
      <c r="W1708" s="16"/>
      <c r="X1708" s="16"/>
      <c r="Y1708" s="6" t="s">
        <v>1627</v>
      </c>
      <c r="Z1708" s="15"/>
      <c r="AA1708" s="15" t="s">
        <v>1628</v>
      </c>
    </row>
    <row r="1709" spans="1:27" ht="33" customHeight="1">
      <c r="A1709" s="8" t="s">
        <v>4028</v>
      </c>
      <c r="B1709" s="9">
        <v>1018</v>
      </c>
      <c r="C1709" s="8" t="s">
        <v>4029</v>
      </c>
      <c r="D1709" s="8" t="s">
        <v>4030</v>
      </c>
      <c r="E1709" s="8" t="s">
        <v>2134</v>
      </c>
      <c r="F1709" s="8" t="s">
        <v>162</v>
      </c>
      <c r="G1709" s="8" t="s">
        <v>404</v>
      </c>
      <c r="H1709" s="8"/>
      <c r="I1709" s="14" t="s">
        <v>1642</v>
      </c>
      <c r="J1709" s="15"/>
      <c r="K1709" s="8" t="s">
        <v>1976</v>
      </c>
      <c r="L1709" s="8"/>
      <c r="M1709" s="6" t="s">
        <v>1643</v>
      </c>
      <c r="N1709" s="6" t="s">
        <v>1644</v>
      </c>
      <c r="O1709" s="7">
        <f>SUMIFS('05_상품별배치367'!$K$7:$K$373,'05_상품별배치367'!$E$7:$E$373,A1709,'05_상품별배치367'!$H$7:$H$373,"본진")</f>
        <v>0</v>
      </c>
      <c r="P1709" s="7">
        <f>SUMIFS('05_상품별배치367'!$K$7:$K$373,'05_상품별배치367'!$E$7:$E$373,A1709,'05_상품별배치367'!$H$7:$H$373,"추가 진열")</f>
        <v>0</v>
      </c>
      <c r="Q1709" s="7">
        <f>O1709+P1709</f>
        <v>0</v>
      </c>
      <c r="R1709" s="7">
        <v>1</v>
      </c>
      <c r="S1709" s="6" t="s">
        <v>2996</v>
      </c>
      <c r="T1709" s="6" t="s">
        <v>1637</v>
      </c>
      <c r="U1709" s="6"/>
      <c r="V1709" s="16"/>
      <c r="W1709" s="16"/>
      <c r="X1709" s="16"/>
      <c r="Y1709" s="6" t="s">
        <v>1627</v>
      </c>
      <c r="Z1709" s="15"/>
      <c r="AA1709" s="15" t="s">
        <v>1628</v>
      </c>
    </row>
    <row r="1710" spans="1:27" ht="33" customHeight="1">
      <c r="A1710" s="6" t="s">
        <v>4026</v>
      </c>
      <c r="B1710" s="7">
        <v>1017</v>
      </c>
      <c r="C1710" s="6" t="s">
        <v>4027</v>
      </c>
      <c r="D1710" s="6" t="s">
        <v>2845</v>
      </c>
      <c r="E1710" s="6" t="s">
        <v>2134</v>
      </c>
      <c r="F1710" s="6" t="s">
        <v>162</v>
      </c>
      <c r="G1710" s="6" t="s">
        <v>404</v>
      </c>
      <c r="H1710" s="6"/>
      <c r="I1710" s="14" t="s">
        <v>1642</v>
      </c>
      <c r="J1710" s="15"/>
      <c r="K1710" s="6" t="s">
        <v>1976</v>
      </c>
      <c r="L1710" s="6"/>
      <c r="M1710" s="6" t="s">
        <v>1643</v>
      </c>
      <c r="N1710" s="6" t="s">
        <v>1644</v>
      </c>
      <c r="O1710" s="7">
        <f>SUMIFS('05_상품별배치367'!$K$7:$K$373,'05_상품별배치367'!$E$7:$E$373,A1710,'05_상품별배치367'!$H$7:$H$373,"본진")</f>
        <v>0</v>
      </c>
      <c r="P1710" s="7">
        <f>SUMIFS('05_상품별배치367'!$K$7:$K$373,'05_상품별배치367'!$E$7:$E$373,A1710,'05_상품별배치367'!$H$7:$H$373,"추가 진열")</f>
        <v>0</v>
      </c>
      <c r="Q1710" s="7">
        <f>O1710+P1710</f>
        <v>0</v>
      </c>
      <c r="R1710" s="7">
        <v>1</v>
      </c>
      <c r="S1710" s="6" t="s">
        <v>2996</v>
      </c>
      <c r="T1710" s="6" t="s">
        <v>1637</v>
      </c>
      <c r="U1710" s="6"/>
      <c r="V1710" s="16"/>
      <c r="W1710" s="16"/>
      <c r="X1710" s="16"/>
      <c r="Y1710" s="6" t="s">
        <v>1627</v>
      </c>
      <c r="Z1710" s="15"/>
      <c r="AA1710" s="15" t="s">
        <v>1628</v>
      </c>
    </row>
    <row r="1711" spans="1:27" ht="33" customHeight="1">
      <c r="A1711" s="6" t="s">
        <v>4031</v>
      </c>
      <c r="B1711" s="7">
        <v>1019</v>
      </c>
      <c r="C1711" s="6" t="s">
        <v>4032</v>
      </c>
      <c r="D1711" s="6" t="s">
        <v>1851</v>
      </c>
      <c r="E1711" s="6" t="s">
        <v>2134</v>
      </c>
      <c r="F1711" s="6" t="s">
        <v>161</v>
      </c>
      <c r="G1711" s="6" t="s">
        <v>395</v>
      </c>
      <c r="H1711" s="6"/>
      <c r="I1711" s="14" t="s">
        <v>1642</v>
      </c>
      <c r="J1711" s="15"/>
      <c r="K1711" s="6" t="s">
        <v>1976</v>
      </c>
      <c r="L1711" s="6"/>
      <c r="M1711" s="6" t="s">
        <v>1643</v>
      </c>
      <c r="N1711" s="6" t="s">
        <v>1644</v>
      </c>
      <c r="O1711" s="7">
        <f>SUMIFS('05_상품별배치367'!$K$7:$K$373,'05_상품별배치367'!$E$7:$E$373,A1711,'05_상품별배치367'!$H$7:$H$373,"본진")</f>
        <v>0</v>
      </c>
      <c r="P1711" s="7">
        <f>SUMIFS('05_상품별배치367'!$K$7:$K$373,'05_상품별배치367'!$E$7:$E$373,A1711,'05_상품별배치367'!$H$7:$H$373,"추가 진열")</f>
        <v>0</v>
      </c>
      <c r="Q1711" s="7">
        <f>O1711+P1711</f>
        <v>0</v>
      </c>
      <c r="R1711" s="7">
        <v>1</v>
      </c>
      <c r="S1711" s="6" t="s">
        <v>3070</v>
      </c>
      <c r="T1711" s="6" t="s">
        <v>1637</v>
      </c>
      <c r="U1711" s="6"/>
      <c r="V1711" s="16"/>
      <c r="W1711" s="16"/>
      <c r="X1711" s="16"/>
      <c r="Y1711" s="6" t="s">
        <v>1627</v>
      </c>
      <c r="Z1711" s="15"/>
      <c r="AA1711" s="15" t="s">
        <v>1628</v>
      </c>
    </row>
    <row r="1712" spans="1:27" ht="33" customHeight="1">
      <c r="A1712" s="8" t="s">
        <v>4037</v>
      </c>
      <c r="B1712" s="9">
        <v>1022</v>
      </c>
      <c r="C1712" s="8" t="s">
        <v>4038</v>
      </c>
      <c r="D1712" s="8" t="s">
        <v>1658</v>
      </c>
      <c r="E1712" s="8" t="s">
        <v>2134</v>
      </c>
      <c r="F1712" s="8" t="s">
        <v>163</v>
      </c>
      <c r="G1712" s="8" t="s">
        <v>414</v>
      </c>
      <c r="H1712" s="8"/>
      <c r="I1712" s="14" t="s">
        <v>1642</v>
      </c>
      <c r="J1712" s="15"/>
      <c r="K1712" s="8" t="s">
        <v>1976</v>
      </c>
      <c r="L1712" s="8"/>
      <c r="M1712" s="6" t="s">
        <v>1643</v>
      </c>
      <c r="N1712" s="6" t="s">
        <v>1644</v>
      </c>
      <c r="O1712" s="7">
        <f>SUMIFS('05_상품별배치367'!$K$7:$K$373,'05_상품별배치367'!$E$7:$E$373,A1712,'05_상품별배치367'!$H$7:$H$373,"본진")</f>
        <v>0</v>
      </c>
      <c r="P1712" s="7">
        <f>SUMIFS('05_상품별배치367'!$K$7:$K$373,'05_상품별배치367'!$E$7:$E$373,A1712,'05_상품별배치367'!$H$7:$H$373,"추가 진열")</f>
        <v>0</v>
      </c>
      <c r="Q1712" s="7">
        <f>O1712+P1712</f>
        <v>0</v>
      </c>
      <c r="R1712" s="7">
        <v>1</v>
      </c>
      <c r="S1712" s="6" t="s">
        <v>3048</v>
      </c>
      <c r="T1712" s="6" t="s">
        <v>1637</v>
      </c>
      <c r="U1712" s="6"/>
      <c r="V1712" s="16"/>
      <c r="W1712" s="16"/>
      <c r="X1712" s="16"/>
      <c r="Y1712" s="6" t="s">
        <v>1627</v>
      </c>
      <c r="Z1712" s="15"/>
      <c r="AA1712" s="15" t="s">
        <v>1628</v>
      </c>
    </row>
    <row r="1713" spans="1:27" ht="33" customHeight="1">
      <c r="A1713" s="8" t="s">
        <v>4049</v>
      </c>
      <c r="B1713" s="9">
        <v>1028</v>
      </c>
      <c r="C1713" s="8" t="s">
        <v>4050</v>
      </c>
      <c r="D1713" s="8" t="s">
        <v>3042</v>
      </c>
      <c r="E1713" s="8" t="s">
        <v>2134</v>
      </c>
      <c r="F1713" s="8" t="s">
        <v>481</v>
      </c>
      <c r="G1713" s="8" t="s">
        <v>193</v>
      </c>
      <c r="H1713" s="8"/>
      <c r="I1713" s="14" t="s">
        <v>1642</v>
      </c>
      <c r="J1713" s="15"/>
      <c r="K1713" s="8" t="s">
        <v>1976</v>
      </c>
      <c r="L1713" s="8"/>
      <c r="M1713" s="6" t="s">
        <v>1643</v>
      </c>
      <c r="N1713" s="6" t="s">
        <v>1644</v>
      </c>
      <c r="O1713" s="7">
        <f>SUMIFS('05_상품별배치367'!$K$7:$K$373,'05_상품별배치367'!$E$7:$E$373,A1713,'05_상품별배치367'!$H$7:$H$373,"본진")</f>
        <v>0</v>
      </c>
      <c r="P1713" s="7">
        <f>SUMIFS('05_상품별배치367'!$K$7:$K$373,'05_상품별배치367'!$E$7:$E$373,A1713,'05_상품별배치367'!$H$7:$H$373,"추가 진열")</f>
        <v>0</v>
      </c>
      <c r="Q1713" s="7">
        <f>O1713+P1713</f>
        <v>0</v>
      </c>
      <c r="R1713" s="7">
        <v>1</v>
      </c>
      <c r="S1713" s="6" t="s">
        <v>3000</v>
      </c>
      <c r="T1713" s="6" t="s">
        <v>1637</v>
      </c>
      <c r="U1713" s="6"/>
      <c r="V1713" s="16"/>
      <c r="W1713" s="16"/>
      <c r="X1713" s="16"/>
      <c r="Y1713" s="6" t="s">
        <v>1627</v>
      </c>
      <c r="Z1713" s="15"/>
      <c r="AA1713" s="15" t="s">
        <v>1628</v>
      </c>
    </row>
    <row r="1714" spans="1:27" ht="33" customHeight="1">
      <c r="A1714" s="6" t="s">
        <v>4047</v>
      </c>
      <c r="B1714" s="7">
        <v>1027</v>
      </c>
      <c r="C1714" s="6" t="s">
        <v>4048</v>
      </c>
      <c r="D1714" s="6" t="s">
        <v>2856</v>
      </c>
      <c r="E1714" s="6" t="s">
        <v>2134</v>
      </c>
      <c r="F1714" s="6" t="s">
        <v>481</v>
      </c>
      <c r="G1714" s="6" t="s">
        <v>193</v>
      </c>
      <c r="H1714" s="6"/>
      <c r="I1714" s="14" t="s">
        <v>1642</v>
      </c>
      <c r="J1714" s="15"/>
      <c r="K1714" s="6" t="s">
        <v>1976</v>
      </c>
      <c r="L1714" s="6"/>
      <c r="M1714" s="6" t="s">
        <v>1643</v>
      </c>
      <c r="N1714" s="6" t="s">
        <v>1644</v>
      </c>
      <c r="O1714" s="7">
        <f>SUMIFS('05_상품별배치367'!$K$7:$K$373,'05_상품별배치367'!$E$7:$E$373,A1714,'05_상품별배치367'!$H$7:$H$373,"본진")</f>
        <v>0</v>
      </c>
      <c r="P1714" s="7">
        <f>SUMIFS('05_상품별배치367'!$K$7:$K$373,'05_상품별배치367'!$E$7:$E$373,A1714,'05_상품별배치367'!$H$7:$H$373,"추가 진열")</f>
        <v>0</v>
      </c>
      <c r="Q1714" s="7">
        <f>O1714+P1714</f>
        <v>0</v>
      </c>
      <c r="R1714" s="7">
        <v>1</v>
      </c>
      <c r="S1714" s="6" t="s">
        <v>3000</v>
      </c>
      <c r="T1714" s="6" t="s">
        <v>1637</v>
      </c>
      <c r="U1714" s="6"/>
      <c r="V1714" s="16"/>
      <c r="W1714" s="16"/>
      <c r="X1714" s="16"/>
      <c r="Y1714" s="6" t="s">
        <v>1627</v>
      </c>
      <c r="Z1714" s="15"/>
      <c r="AA1714" s="15" t="s">
        <v>1628</v>
      </c>
    </row>
    <row r="1715" spans="1:27" ht="33" customHeight="1">
      <c r="A1715" s="6" t="s">
        <v>4051</v>
      </c>
      <c r="B1715" s="7">
        <v>1029</v>
      </c>
      <c r="C1715" s="6" t="s">
        <v>4052</v>
      </c>
      <c r="D1715" s="6" t="s">
        <v>2133</v>
      </c>
      <c r="E1715" s="6" t="s">
        <v>2134</v>
      </c>
      <c r="F1715" s="6" t="s">
        <v>1081</v>
      </c>
      <c r="G1715" s="6" t="s">
        <v>290</v>
      </c>
      <c r="H1715" s="6"/>
      <c r="I1715" s="14" t="s">
        <v>1642</v>
      </c>
      <c r="J1715" s="15"/>
      <c r="K1715" s="6" t="s">
        <v>1976</v>
      </c>
      <c r="L1715" s="6"/>
      <c r="M1715" s="6" t="s">
        <v>1643</v>
      </c>
      <c r="N1715" s="6" t="s">
        <v>1644</v>
      </c>
      <c r="O1715" s="7">
        <f>SUMIFS('05_상품별배치367'!$K$7:$K$373,'05_상품별배치367'!$E$7:$E$373,A1715,'05_상품별배치367'!$H$7:$H$373,"본진")</f>
        <v>0</v>
      </c>
      <c r="P1715" s="7">
        <f>SUMIFS('05_상품별배치367'!$K$7:$K$373,'05_상품별배치367'!$E$7:$E$373,A1715,'05_상품별배치367'!$H$7:$H$373,"추가 진열")</f>
        <v>0</v>
      </c>
      <c r="Q1715" s="7">
        <f>O1715+P1715</f>
        <v>0</v>
      </c>
      <c r="R1715" s="7">
        <v>1</v>
      </c>
      <c r="S1715" s="6" t="s">
        <v>2135</v>
      </c>
      <c r="T1715" s="6" t="s">
        <v>1637</v>
      </c>
      <c r="U1715" s="6"/>
      <c r="V1715" s="16"/>
      <c r="W1715" s="16"/>
      <c r="X1715" s="16"/>
      <c r="Y1715" s="6" t="s">
        <v>1627</v>
      </c>
      <c r="Z1715" s="15"/>
      <c r="AA1715" s="15" t="s">
        <v>1628</v>
      </c>
    </row>
    <row r="1716" spans="1:27" ht="33" customHeight="1">
      <c r="A1716" s="8" t="s">
        <v>4053</v>
      </c>
      <c r="B1716" s="9">
        <v>1030</v>
      </c>
      <c r="C1716" s="8" t="s">
        <v>4054</v>
      </c>
      <c r="D1716" s="8" t="s">
        <v>1851</v>
      </c>
      <c r="E1716" s="8" t="s">
        <v>2134</v>
      </c>
      <c r="F1716" s="8" t="s">
        <v>1081</v>
      </c>
      <c r="G1716" s="8" t="s">
        <v>290</v>
      </c>
      <c r="H1716" s="8"/>
      <c r="I1716" s="14" t="s">
        <v>1642</v>
      </c>
      <c r="J1716" s="15"/>
      <c r="K1716" s="8" t="s">
        <v>1976</v>
      </c>
      <c r="L1716" s="8"/>
      <c r="M1716" s="6" t="s">
        <v>1643</v>
      </c>
      <c r="N1716" s="6" t="s">
        <v>1644</v>
      </c>
      <c r="O1716" s="7">
        <f>SUMIFS('05_상품별배치367'!$K$7:$K$373,'05_상품별배치367'!$E$7:$E$373,A1716,'05_상품별배치367'!$H$7:$H$373,"본진")</f>
        <v>0</v>
      </c>
      <c r="P1716" s="7">
        <f>SUMIFS('05_상품별배치367'!$K$7:$K$373,'05_상품별배치367'!$E$7:$E$373,A1716,'05_상품별배치367'!$H$7:$H$373,"추가 진열")</f>
        <v>0</v>
      </c>
      <c r="Q1716" s="7">
        <f>O1716+P1716</f>
        <v>0</v>
      </c>
      <c r="R1716" s="7">
        <v>1</v>
      </c>
      <c r="S1716" s="6" t="s">
        <v>2135</v>
      </c>
      <c r="T1716" s="6" t="s">
        <v>1637</v>
      </c>
      <c r="U1716" s="6"/>
      <c r="V1716" s="16"/>
      <c r="W1716" s="16"/>
      <c r="X1716" s="16"/>
      <c r="Y1716" s="6" t="s">
        <v>1627</v>
      </c>
      <c r="Z1716" s="15"/>
      <c r="AA1716" s="15" t="s">
        <v>1628</v>
      </c>
    </row>
    <row r="1717" spans="1:27" ht="33" customHeight="1">
      <c r="A1717" s="8" t="s">
        <v>4045</v>
      </c>
      <c r="B1717" s="9">
        <v>1026</v>
      </c>
      <c r="C1717" s="8" t="s">
        <v>4046</v>
      </c>
      <c r="D1717" s="8" t="s">
        <v>1876</v>
      </c>
      <c r="E1717" s="8" t="s">
        <v>1986</v>
      </c>
      <c r="F1717" s="8" t="s">
        <v>913</v>
      </c>
      <c r="G1717" s="8" t="s">
        <v>201</v>
      </c>
      <c r="H1717" s="8"/>
      <c r="I1717" s="14" t="s">
        <v>1642</v>
      </c>
      <c r="J1717" s="15"/>
      <c r="K1717" s="8" t="s">
        <v>1976</v>
      </c>
      <c r="L1717" s="8"/>
      <c r="M1717" s="6" t="s">
        <v>1643</v>
      </c>
      <c r="N1717" s="6" t="s">
        <v>1644</v>
      </c>
      <c r="O1717" s="7">
        <f>SUMIFS('05_상품별배치367'!$K$7:$K$373,'05_상품별배치367'!$E$7:$E$373,A1717,'05_상품별배치367'!$H$7:$H$373,"본진")</f>
        <v>0</v>
      </c>
      <c r="P1717" s="7">
        <f>SUMIFS('05_상품별배치367'!$K$7:$K$373,'05_상품별배치367'!$E$7:$E$373,A1717,'05_상품별배치367'!$H$7:$H$373,"추가 진열")</f>
        <v>0</v>
      </c>
      <c r="Q1717" s="7">
        <f>O1717+P1717</f>
        <v>0</v>
      </c>
      <c r="R1717" s="7">
        <v>1</v>
      </c>
      <c r="S1717" s="6" t="s">
        <v>2907</v>
      </c>
      <c r="T1717" s="6" t="s">
        <v>1637</v>
      </c>
      <c r="U1717" s="6"/>
      <c r="V1717" s="16"/>
      <c r="W1717" s="16"/>
      <c r="X1717" s="16"/>
      <c r="Y1717" s="6" t="s">
        <v>1627</v>
      </c>
      <c r="Z1717" s="15"/>
      <c r="AA1717" s="15" t="s">
        <v>1628</v>
      </c>
    </row>
    <row r="1718" spans="1:27" ht="33" customHeight="1">
      <c r="A1718" s="6" t="s">
        <v>4039</v>
      </c>
      <c r="B1718" s="7">
        <v>1023</v>
      </c>
      <c r="C1718" s="6" t="s">
        <v>4040</v>
      </c>
      <c r="D1718" s="6" t="s">
        <v>2856</v>
      </c>
      <c r="E1718" s="6" t="s">
        <v>2134</v>
      </c>
      <c r="F1718" s="6" t="s">
        <v>575</v>
      </c>
      <c r="G1718" s="6" t="s">
        <v>38</v>
      </c>
      <c r="H1718" s="6"/>
      <c r="I1718" s="14" t="s">
        <v>1642</v>
      </c>
      <c r="J1718" s="15"/>
      <c r="K1718" s="6" t="s">
        <v>1976</v>
      </c>
      <c r="L1718" s="6"/>
      <c r="M1718" s="6" t="s">
        <v>1643</v>
      </c>
      <c r="N1718" s="6" t="s">
        <v>1644</v>
      </c>
      <c r="O1718" s="7">
        <f>SUMIFS('05_상품별배치367'!$K$7:$K$373,'05_상품별배치367'!$E$7:$E$373,A1718,'05_상품별배치367'!$H$7:$H$373,"본진")</f>
        <v>0</v>
      </c>
      <c r="P1718" s="7">
        <f>SUMIFS('05_상품별배치367'!$K$7:$K$373,'05_상품별배치367'!$E$7:$E$373,A1718,'05_상품별배치367'!$H$7:$H$373,"추가 진열")</f>
        <v>0</v>
      </c>
      <c r="Q1718" s="7">
        <f>O1718+P1718</f>
        <v>0</v>
      </c>
      <c r="R1718" s="7">
        <v>1</v>
      </c>
      <c r="S1718" s="6" t="s">
        <v>3615</v>
      </c>
      <c r="T1718" s="6" t="s">
        <v>1637</v>
      </c>
      <c r="U1718" s="6"/>
      <c r="V1718" s="16"/>
      <c r="W1718" s="16"/>
      <c r="X1718" s="16"/>
      <c r="Y1718" s="6" t="s">
        <v>1627</v>
      </c>
      <c r="Z1718" s="15"/>
      <c r="AA1718" s="15" t="s">
        <v>1628</v>
      </c>
    </row>
    <row r="1719" spans="1:27" ht="33" customHeight="1">
      <c r="A1719" s="8" t="s">
        <v>4041</v>
      </c>
      <c r="B1719" s="9">
        <v>1024</v>
      </c>
      <c r="C1719" s="8" t="s">
        <v>4042</v>
      </c>
      <c r="D1719" s="8" t="s">
        <v>2133</v>
      </c>
      <c r="E1719" s="8" t="s">
        <v>2134</v>
      </c>
      <c r="F1719" s="8" t="s">
        <v>575</v>
      </c>
      <c r="G1719" s="8" t="s">
        <v>38</v>
      </c>
      <c r="H1719" s="8"/>
      <c r="I1719" s="14" t="s">
        <v>1642</v>
      </c>
      <c r="J1719" s="15"/>
      <c r="K1719" s="8" t="s">
        <v>1976</v>
      </c>
      <c r="L1719" s="8"/>
      <c r="M1719" s="6" t="s">
        <v>1643</v>
      </c>
      <c r="N1719" s="6" t="s">
        <v>1644</v>
      </c>
      <c r="O1719" s="7">
        <f>SUMIFS('05_상품별배치367'!$K$7:$K$373,'05_상품별배치367'!$E$7:$E$373,A1719,'05_상품별배치367'!$H$7:$H$373,"본진")</f>
        <v>0</v>
      </c>
      <c r="P1719" s="7">
        <f>SUMIFS('05_상품별배치367'!$K$7:$K$373,'05_상품별배치367'!$E$7:$E$373,A1719,'05_상품별배치367'!$H$7:$H$373,"추가 진열")</f>
        <v>0</v>
      </c>
      <c r="Q1719" s="7">
        <f>O1719+P1719</f>
        <v>0</v>
      </c>
      <c r="R1719" s="7">
        <v>1</v>
      </c>
      <c r="S1719" s="6" t="s">
        <v>3615</v>
      </c>
      <c r="T1719" s="6" t="s">
        <v>1637</v>
      </c>
      <c r="U1719" s="6"/>
      <c r="V1719" s="16"/>
      <c r="W1719" s="16"/>
      <c r="X1719" s="16"/>
      <c r="Y1719" s="6" t="s">
        <v>1627</v>
      </c>
      <c r="Z1719" s="15"/>
      <c r="AA1719" s="15" t="s">
        <v>1628</v>
      </c>
    </row>
    <row r="1720" spans="1:27" ht="33" customHeight="1">
      <c r="A1720" s="6" t="s">
        <v>4043</v>
      </c>
      <c r="B1720" s="7">
        <v>1025</v>
      </c>
      <c r="C1720" s="6" t="s">
        <v>4044</v>
      </c>
      <c r="D1720" s="6" t="s">
        <v>1658</v>
      </c>
      <c r="E1720" s="6" t="s">
        <v>2134</v>
      </c>
      <c r="F1720" s="6" t="s">
        <v>575</v>
      </c>
      <c r="G1720" s="6" t="s">
        <v>38</v>
      </c>
      <c r="H1720" s="6"/>
      <c r="I1720" s="14" t="s">
        <v>1642</v>
      </c>
      <c r="J1720" s="15"/>
      <c r="K1720" s="6" t="s">
        <v>1976</v>
      </c>
      <c r="L1720" s="6"/>
      <c r="M1720" s="6" t="s">
        <v>1643</v>
      </c>
      <c r="N1720" s="6" t="s">
        <v>1644</v>
      </c>
      <c r="O1720" s="7">
        <f>SUMIFS('05_상품별배치367'!$K$7:$K$373,'05_상품별배치367'!$E$7:$E$373,A1720,'05_상품별배치367'!$H$7:$H$373,"본진")</f>
        <v>0</v>
      </c>
      <c r="P1720" s="7">
        <f>SUMIFS('05_상품별배치367'!$K$7:$K$373,'05_상품별배치367'!$E$7:$E$373,A1720,'05_상품별배치367'!$H$7:$H$373,"추가 진열")</f>
        <v>0</v>
      </c>
      <c r="Q1720" s="7">
        <f>O1720+P1720</f>
        <v>0</v>
      </c>
      <c r="R1720" s="7">
        <v>1</v>
      </c>
      <c r="S1720" s="6" t="s">
        <v>3615</v>
      </c>
      <c r="T1720" s="6" t="s">
        <v>1637</v>
      </c>
      <c r="U1720" s="6"/>
      <c r="V1720" s="16"/>
      <c r="W1720" s="16"/>
      <c r="X1720" s="16"/>
      <c r="Y1720" s="6" t="s">
        <v>1627</v>
      </c>
      <c r="Z1720" s="15"/>
      <c r="AA1720" s="15" t="s">
        <v>1628</v>
      </c>
    </row>
    <row r="1721" spans="1:27" ht="33" customHeight="1">
      <c r="A1721" s="6" t="s">
        <v>3162</v>
      </c>
      <c r="B1721" s="7">
        <v>621</v>
      </c>
      <c r="C1721" s="6" t="s">
        <v>3163</v>
      </c>
      <c r="D1721" s="6" t="s">
        <v>3164</v>
      </c>
      <c r="E1721" s="6" t="s">
        <v>2134</v>
      </c>
      <c r="F1721" s="6" t="s">
        <v>842</v>
      </c>
      <c r="G1721" s="6" t="s">
        <v>164</v>
      </c>
      <c r="H1721" s="6"/>
      <c r="I1721" s="14" t="s">
        <v>1642</v>
      </c>
      <c r="J1721" s="15"/>
      <c r="K1721" s="6" t="s">
        <v>1976</v>
      </c>
      <c r="L1721" s="6"/>
      <c r="M1721" s="6" t="s">
        <v>1643</v>
      </c>
      <c r="N1721" s="6" t="s">
        <v>1624</v>
      </c>
      <c r="O1721" s="7">
        <f>SUMIFS('05_상품별배치367'!$K$7:$K$373,'05_상품별배치367'!$E$7:$E$373,A1721,'05_상품별배치367'!$H$7:$H$373,"본진")</f>
        <v>0</v>
      </c>
      <c r="P1721" s="7">
        <f>SUMIFS('05_상품별배치367'!$K$7:$K$373,'05_상품별배치367'!$E$7:$E$373,A1721,'05_상품별배치367'!$H$7:$H$373,"추가 진열")</f>
        <v>0</v>
      </c>
      <c r="Q1721" s="7">
        <f>O1721+P1721</f>
        <v>0</v>
      </c>
      <c r="R1721" s="7">
        <v>1</v>
      </c>
      <c r="S1721" s="6" t="s">
        <v>3009</v>
      </c>
      <c r="T1721" s="6" t="s">
        <v>1637</v>
      </c>
      <c r="U1721" s="6"/>
      <c r="V1721" s="16"/>
      <c r="W1721" s="16"/>
      <c r="X1721" s="16"/>
      <c r="Y1721" s="6" t="s">
        <v>1627</v>
      </c>
      <c r="Z1721" s="15"/>
      <c r="AA1721" s="15" t="s">
        <v>1628</v>
      </c>
    </row>
    <row r="1722" spans="1:27" ht="33" customHeight="1">
      <c r="A1722" s="8" t="s">
        <v>3165</v>
      </c>
      <c r="B1722" s="9">
        <v>622</v>
      </c>
      <c r="C1722" s="8" t="s">
        <v>3166</v>
      </c>
      <c r="D1722" s="8" t="s">
        <v>2856</v>
      </c>
      <c r="E1722" s="8" t="s">
        <v>2134</v>
      </c>
      <c r="F1722" s="8" t="s">
        <v>842</v>
      </c>
      <c r="G1722" s="8" t="s">
        <v>164</v>
      </c>
      <c r="H1722" s="8"/>
      <c r="I1722" s="14" t="s">
        <v>1642</v>
      </c>
      <c r="J1722" s="15"/>
      <c r="K1722" s="8" t="s">
        <v>1976</v>
      </c>
      <c r="L1722" s="8"/>
      <c r="M1722" s="6" t="s">
        <v>1643</v>
      </c>
      <c r="N1722" s="6" t="s">
        <v>1644</v>
      </c>
      <c r="O1722" s="7">
        <f>SUMIFS('05_상품별배치367'!$K$7:$K$373,'05_상품별배치367'!$E$7:$E$373,A1722,'05_상품별배치367'!$H$7:$H$373,"본진")</f>
        <v>0</v>
      </c>
      <c r="P1722" s="7">
        <f>SUMIFS('05_상품별배치367'!$K$7:$K$373,'05_상품별배치367'!$E$7:$E$373,A1722,'05_상품별배치367'!$H$7:$H$373,"추가 진열")</f>
        <v>0</v>
      </c>
      <c r="Q1722" s="7">
        <f>O1722+P1722</f>
        <v>0</v>
      </c>
      <c r="R1722" s="7">
        <v>1</v>
      </c>
      <c r="S1722" s="6" t="s">
        <v>3009</v>
      </c>
      <c r="T1722" s="6" t="s">
        <v>1637</v>
      </c>
      <c r="U1722" s="6"/>
      <c r="V1722" s="16"/>
      <c r="W1722" s="16"/>
      <c r="X1722" s="16"/>
      <c r="Y1722" s="6" t="s">
        <v>1627</v>
      </c>
      <c r="Z1722" s="15"/>
      <c r="AA1722" s="15" t="s">
        <v>1628</v>
      </c>
    </row>
    <row r="1723" spans="1:27" ht="33" customHeight="1">
      <c r="A1723" s="6" t="s">
        <v>3167</v>
      </c>
      <c r="B1723" s="7">
        <v>623</v>
      </c>
      <c r="C1723" s="6" t="s">
        <v>3168</v>
      </c>
      <c r="D1723" s="6" t="s">
        <v>3169</v>
      </c>
      <c r="E1723" s="6" t="s">
        <v>1986</v>
      </c>
      <c r="F1723" s="6" t="s">
        <v>1276</v>
      </c>
      <c r="G1723" s="6" t="s">
        <v>1987</v>
      </c>
      <c r="H1723" s="6"/>
      <c r="I1723" s="14" t="s">
        <v>1642</v>
      </c>
      <c r="J1723" s="15"/>
      <c r="K1723" s="6" t="s">
        <v>1976</v>
      </c>
      <c r="L1723" s="6"/>
      <c r="M1723" s="6" t="s">
        <v>1643</v>
      </c>
      <c r="N1723" s="6" t="s">
        <v>1644</v>
      </c>
      <c r="O1723" s="7">
        <f>SUMIFS('05_상품별배치367'!$K$7:$K$373,'05_상품별배치367'!$E$7:$E$373,A1723,'05_상품별배치367'!$H$7:$H$373,"본진")</f>
        <v>0</v>
      </c>
      <c r="P1723" s="7">
        <f>SUMIFS('05_상품별배치367'!$K$7:$K$373,'05_상품별배치367'!$E$7:$E$373,A1723,'05_상품별배치367'!$H$7:$H$373,"추가 진열")</f>
        <v>0</v>
      </c>
      <c r="Q1723" s="7">
        <f>O1723+P1723</f>
        <v>0</v>
      </c>
      <c r="R1723" s="7">
        <v>1</v>
      </c>
      <c r="S1723" s="6" t="s">
        <v>1988</v>
      </c>
      <c r="T1723" s="6" t="s">
        <v>1637</v>
      </c>
      <c r="U1723" s="6"/>
      <c r="V1723" s="16"/>
      <c r="W1723" s="16"/>
      <c r="X1723" s="16"/>
      <c r="Y1723" s="6" t="s">
        <v>1627</v>
      </c>
      <c r="Z1723" s="15"/>
      <c r="AA1723" s="15" t="s">
        <v>1628</v>
      </c>
    </row>
    <row r="1724" spans="1:27" ht="33" customHeight="1">
      <c r="A1724" s="8" t="s">
        <v>3170</v>
      </c>
      <c r="B1724" s="9">
        <v>624</v>
      </c>
      <c r="C1724" s="8" t="s">
        <v>3171</v>
      </c>
      <c r="D1724" s="8" t="s">
        <v>3172</v>
      </c>
      <c r="E1724" s="8" t="s">
        <v>1986</v>
      </c>
      <c r="F1724" s="8" t="s">
        <v>1276</v>
      </c>
      <c r="G1724" s="8" t="s">
        <v>1987</v>
      </c>
      <c r="H1724" s="8"/>
      <c r="I1724" s="14" t="s">
        <v>1642</v>
      </c>
      <c r="J1724" s="15"/>
      <c r="K1724" s="8" t="s">
        <v>1976</v>
      </c>
      <c r="L1724" s="8"/>
      <c r="M1724" s="6" t="s">
        <v>1643</v>
      </c>
      <c r="N1724" s="6" t="s">
        <v>1644</v>
      </c>
      <c r="O1724" s="7">
        <f>SUMIFS('05_상품별배치367'!$K$7:$K$373,'05_상품별배치367'!$E$7:$E$373,A1724,'05_상품별배치367'!$H$7:$H$373,"본진")</f>
        <v>0</v>
      </c>
      <c r="P1724" s="7">
        <f>SUMIFS('05_상품별배치367'!$K$7:$K$373,'05_상품별배치367'!$E$7:$E$373,A1724,'05_상품별배치367'!$H$7:$H$373,"추가 진열")</f>
        <v>0</v>
      </c>
      <c r="Q1724" s="7">
        <f>O1724+P1724</f>
        <v>0</v>
      </c>
      <c r="R1724" s="7">
        <v>1</v>
      </c>
      <c r="S1724" s="6" t="s">
        <v>1988</v>
      </c>
      <c r="T1724" s="6" t="s">
        <v>1637</v>
      </c>
      <c r="U1724" s="6"/>
      <c r="V1724" s="16"/>
      <c r="W1724" s="16"/>
      <c r="X1724" s="16"/>
      <c r="Y1724" s="6" t="s">
        <v>1627</v>
      </c>
      <c r="Z1724" s="15"/>
      <c r="AA1724" s="15" t="s">
        <v>1628</v>
      </c>
    </row>
    <row r="1725" spans="1:27" ht="33" customHeight="1">
      <c r="A1725" s="6" t="s">
        <v>3173</v>
      </c>
      <c r="B1725" s="7">
        <v>625</v>
      </c>
      <c r="C1725" s="6" t="s">
        <v>3174</v>
      </c>
      <c r="D1725" s="6" t="s">
        <v>3172</v>
      </c>
      <c r="E1725" s="6" t="s">
        <v>2134</v>
      </c>
      <c r="F1725" s="6" t="s">
        <v>1081</v>
      </c>
      <c r="G1725" s="6" t="s">
        <v>290</v>
      </c>
      <c r="H1725" s="6"/>
      <c r="I1725" s="14" t="s">
        <v>1642</v>
      </c>
      <c r="J1725" s="15"/>
      <c r="K1725" s="6" t="s">
        <v>1976</v>
      </c>
      <c r="L1725" s="6"/>
      <c r="M1725" s="6" t="s">
        <v>1643</v>
      </c>
      <c r="N1725" s="6" t="s">
        <v>1644</v>
      </c>
      <c r="O1725" s="7">
        <f>SUMIFS('05_상품별배치367'!$K$7:$K$373,'05_상품별배치367'!$E$7:$E$373,A1725,'05_상품별배치367'!$H$7:$H$373,"본진")</f>
        <v>0</v>
      </c>
      <c r="P1725" s="7">
        <f>SUMIFS('05_상품별배치367'!$K$7:$K$373,'05_상품별배치367'!$E$7:$E$373,A1725,'05_상품별배치367'!$H$7:$H$373,"추가 진열")</f>
        <v>0</v>
      </c>
      <c r="Q1725" s="7">
        <f>O1725+P1725</f>
        <v>0</v>
      </c>
      <c r="R1725" s="7">
        <v>1</v>
      </c>
      <c r="S1725" s="6" t="s">
        <v>2135</v>
      </c>
      <c r="T1725" s="6" t="s">
        <v>1637</v>
      </c>
      <c r="U1725" s="6"/>
      <c r="V1725" s="16"/>
      <c r="W1725" s="16"/>
      <c r="X1725" s="16"/>
      <c r="Y1725" s="6" t="s">
        <v>1627</v>
      </c>
      <c r="Z1725" s="15"/>
      <c r="AA1725" s="15" t="s">
        <v>1628</v>
      </c>
    </row>
    <row r="1726" spans="1:27" ht="33" customHeight="1">
      <c r="A1726" s="8" t="s">
        <v>3175</v>
      </c>
      <c r="B1726" s="9">
        <v>626</v>
      </c>
      <c r="C1726" s="8" t="s">
        <v>3176</v>
      </c>
      <c r="D1726" s="8" t="s">
        <v>3172</v>
      </c>
      <c r="E1726" s="8" t="s">
        <v>2134</v>
      </c>
      <c r="F1726" s="8" t="s">
        <v>163</v>
      </c>
      <c r="G1726" s="8" t="s">
        <v>414</v>
      </c>
      <c r="H1726" s="8"/>
      <c r="I1726" s="14" t="s">
        <v>1642</v>
      </c>
      <c r="J1726" s="15"/>
      <c r="K1726" s="8" t="s">
        <v>1976</v>
      </c>
      <c r="L1726" s="8"/>
      <c r="M1726" s="6" t="s">
        <v>1643</v>
      </c>
      <c r="N1726" s="6" t="s">
        <v>1644</v>
      </c>
      <c r="O1726" s="7">
        <f>SUMIFS('05_상품별배치367'!$K$7:$K$373,'05_상품별배치367'!$E$7:$E$373,A1726,'05_상품별배치367'!$H$7:$H$373,"본진")</f>
        <v>0</v>
      </c>
      <c r="P1726" s="7">
        <f>SUMIFS('05_상품별배치367'!$K$7:$K$373,'05_상품별배치367'!$E$7:$E$373,A1726,'05_상품별배치367'!$H$7:$H$373,"추가 진열")</f>
        <v>0</v>
      </c>
      <c r="Q1726" s="7">
        <f>O1726+P1726</f>
        <v>0</v>
      </c>
      <c r="R1726" s="7">
        <v>1</v>
      </c>
      <c r="S1726" s="6" t="s">
        <v>3048</v>
      </c>
      <c r="T1726" s="6" t="s">
        <v>1637</v>
      </c>
      <c r="U1726" s="6"/>
      <c r="V1726" s="16"/>
      <c r="W1726" s="16"/>
      <c r="X1726" s="16"/>
      <c r="Y1726" s="6" t="s">
        <v>1627</v>
      </c>
      <c r="Z1726" s="15"/>
      <c r="AA1726" s="15" t="s">
        <v>1628</v>
      </c>
    </row>
    <row r="1727" spans="1:27" ht="33" customHeight="1">
      <c r="A1727" s="6" t="s">
        <v>6154</v>
      </c>
      <c r="B1727" s="7">
        <v>2015</v>
      </c>
      <c r="C1727" s="6" t="s">
        <v>6155</v>
      </c>
      <c r="D1727" s="6" t="s">
        <v>6156</v>
      </c>
      <c r="E1727" s="6" t="s">
        <v>1666</v>
      </c>
      <c r="F1727" s="6" t="s">
        <v>348</v>
      </c>
      <c r="G1727" s="6" t="s">
        <v>341</v>
      </c>
      <c r="H1727" s="6" t="s">
        <v>1206</v>
      </c>
      <c r="I1727" s="14" t="s">
        <v>1633</v>
      </c>
      <c r="J1727" s="15"/>
      <c r="K1727" s="6" t="s">
        <v>1670</v>
      </c>
      <c r="L1727" s="6" t="s">
        <v>3828</v>
      </c>
      <c r="M1727" s="6" t="s">
        <v>1635</v>
      </c>
      <c r="N1727" s="6" t="s">
        <v>1624</v>
      </c>
      <c r="O1727" s="7">
        <f>SUMIFS('05_상품별배치367'!$K$7:$K$373,'05_상품별배치367'!$E$7:$E$373,A1727,'05_상품별배치367'!$H$7:$H$373,"본진")</f>
        <v>1</v>
      </c>
      <c r="P1727" s="7">
        <f>SUMIFS('05_상품별배치367'!$K$7:$K$373,'05_상품별배치367'!$E$7:$E$373,A1727,'05_상품별배치367'!$H$7:$H$373,"추가 진열")</f>
        <v>0</v>
      </c>
      <c r="Q1727" s="7">
        <f>O1727+P1727</f>
        <v>1</v>
      </c>
      <c r="R1727" s="7">
        <v>1</v>
      </c>
      <c r="S1727" s="6" t="s">
        <v>1636</v>
      </c>
      <c r="T1727" s="6" t="s">
        <v>1637</v>
      </c>
      <c r="U1727" s="6"/>
      <c r="V1727" s="16"/>
      <c r="W1727" s="16"/>
      <c r="X1727" s="16"/>
      <c r="Y1727" s="6" t="s">
        <v>1627</v>
      </c>
      <c r="Z1727" s="15"/>
      <c r="AA1727" s="15" t="s">
        <v>1628</v>
      </c>
    </row>
    <row r="1728" spans="1:27" ht="33" customHeight="1">
      <c r="A1728" s="8" t="s">
        <v>5115</v>
      </c>
      <c r="B1728" s="9">
        <v>1532</v>
      </c>
      <c r="C1728" s="8" t="s">
        <v>5116</v>
      </c>
      <c r="D1728" s="8" t="s">
        <v>3150</v>
      </c>
      <c r="E1728" s="8" t="s">
        <v>2134</v>
      </c>
      <c r="F1728" s="8" t="s">
        <v>156</v>
      </c>
      <c r="G1728" s="8" t="s">
        <v>3239</v>
      </c>
      <c r="H1728" s="8"/>
      <c r="I1728" s="14" t="s">
        <v>1642</v>
      </c>
      <c r="J1728" s="15"/>
      <c r="K1728" s="8" t="s">
        <v>1976</v>
      </c>
      <c r="L1728" s="8"/>
      <c r="M1728" s="6" t="s">
        <v>1643</v>
      </c>
      <c r="N1728" s="6" t="s">
        <v>1644</v>
      </c>
      <c r="O1728" s="7">
        <f>SUMIFS('05_상품별배치367'!$K$7:$K$373,'05_상품별배치367'!$E$7:$E$373,A1728,'05_상품별배치367'!$H$7:$H$373,"본진")</f>
        <v>0</v>
      </c>
      <c r="P1728" s="7">
        <f>SUMIFS('05_상품별배치367'!$K$7:$K$373,'05_상품별배치367'!$E$7:$E$373,A1728,'05_상품별배치367'!$H$7:$H$373,"추가 진열")</f>
        <v>0</v>
      </c>
      <c r="Q1728" s="7">
        <f>O1728+P1728</f>
        <v>0</v>
      </c>
      <c r="R1728" s="7">
        <v>1</v>
      </c>
      <c r="S1728" s="6" t="s">
        <v>3240</v>
      </c>
      <c r="T1728" s="6" t="s">
        <v>1637</v>
      </c>
      <c r="U1728" s="6"/>
      <c r="V1728" s="16"/>
      <c r="W1728" s="16"/>
      <c r="X1728" s="16"/>
      <c r="Y1728" s="6" t="s">
        <v>1627</v>
      </c>
      <c r="Z1728" s="15"/>
      <c r="AA1728" s="15" t="s">
        <v>1628</v>
      </c>
    </row>
    <row r="1729" spans="1:27" ht="33" customHeight="1">
      <c r="A1729" s="6" t="s">
        <v>5113</v>
      </c>
      <c r="B1729" s="7">
        <v>1531</v>
      </c>
      <c r="C1729" s="6" t="s">
        <v>5114</v>
      </c>
      <c r="D1729" s="6" t="s">
        <v>3150</v>
      </c>
      <c r="E1729" s="6" t="s">
        <v>2134</v>
      </c>
      <c r="F1729" s="6" t="s">
        <v>1263</v>
      </c>
      <c r="G1729" s="6" t="s">
        <v>376</v>
      </c>
      <c r="H1729" s="6"/>
      <c r="I1729" s="14" t="s">
        <v>1642</v>
      </c>
      <c r="J1729" s="15"/>
      <c r="K1729" s="6" t="s">
        <v>1976</v>
      </c>
      <c r="L1729" s="6"/>
      <c r="M1729" s="6" t="s">
        <v>1643</v>
      </c>
      <c r="N1729" s="6" t="s">
        <v>1644</v>
      </c>
      <c r="O1729" s="7">
        <f>SUMIFS('05_상품별배치367'!$K$7:$K$373,'05_상품별배치367'!$E$7:$E$373,A1729,'05_상품별배치367'!$H$7:$H$373,"본진")</f>
        <v>0</v>
      </c>
      <c r="P1729" s="7">
        <f>SUMIFS('05_상품별배치367'!$K$7:$K$373,'05_상품별배치367'!$E$7:$E$373,A1729,'05_상품별배치367'!$H$7:$H$373,"추가 진열")</f>
        <v>0</v>
      </c>
      <c r="Q1729" s="7">
        <f>O1729+P1729</f>
        <v>0</v>
      </c>
      <c r="R1729" s="7">
        <v>1</v>
      </c>
      <c r="S1729" s="6" t="s">
        <v>3016</v>
      </c>
      <c r="T1729" s="6" t="s">
        <v>1637</v>
      </c>
      <c r="U1729" s="6"/>
      <c r="V1729" s="16"/>
      <c r="W1729" s="16"/>
      <c r="X1729" s="16"/>
      <c r="Y1729" s="6" t="s">
        <v>1627</v>
      </c>
      <c r="Z1729" s="15"/>
      <c r="AA1729" s="15" t="s">
        <v>1628</v>
      </c>
    </row>
    <row r="1730" spans="1:27" ht="33" customHeight="1">
      <c r="A1730" s="8" t="s">
        <v>5111</v>
      </c>
      <c r="B1730" s="9">
        <v>1530</v>
      </c>
      <c r="C1730" s="8" t="s">
        <v>5112</v>
      </c>
      <c r="D1730" s="8" t="s">
        <v>3150</v>
      </c>
      <c r="E1730" s="8" t="s">
        <v>2134</v>
      </c>
      <c r="F1730" s="8" t="s">
        <v>162</v>
      </c>
      <c r="G1730" s="8" t="s">
        <v>404</v>
      </c>
      <c r="H1730" s="8"/>
      <c r="I1730" s="14" t="s">
        <v>1642</v>
      </c>
      <c r="J1730" s="15"/>
      <c r="K1730" s="8" t="s">
        <v>1976</v>
      </c>
      <c r="L1730" s="8"/>
      <c r="M1730" s="6" t="s">
        <v>1643</v>
      </c>
      <c r="N1730" s="6" t="s">
        <v>1644</v>
      </c>
      <c r="O1730" s="7">
        <f>SUMIFS('05_상품별배치367'!$K$7:$K$373,'05_상품별배치367'!$E$7:$E$373,A1730,'05_상품별배치367'!$H$7:$H$373,"본진")</f>
        <v>0</v>
      </c>
      <c r="P1730" s="7">
        <f>SUMIFS('05_상품별배치367'!$K$7:$K$373,'05_상품별배치367'!$E$7:$E$373,A1730,'05_상품별배치367'!$H$7:$H$373,"추가 진열")</f>
        <v>0</v>
      </c>
      <c r="Q1730" s="7">
        <f>O1730+P1730</f>
        <v>0</v>
      </c>
      <c r="R1730" s="7">
        <v>1</v>
      </c>
      <c r="S1730" s="6" t="s">
        <v>2996</v>
      </c>
      <c r="T1730" s="6" t="s">
        <v>1637</v>
      </c>
      <c r="U1730" s="6"/>
      <c r="V1730" s="16"/>
      <c r="W1730" s="16"/>
      <c r="X1730" s="16"/>
      <c r="Y1730" s="6" t="s">
        <v>1627</v>
      </c>
      <c r="Z1730" s="15"/>
      <c r="AA1730" s="15" t="s">
        <v>1628</v>
      </c>
    </row>
    <row r="1731" spans="1:27" ht="33" customHeight="1">
      <c r="A1731" s="8" t="s">
        <v>5119</v>
      </c>
      <c r="B1731" s="9">
        <v>1534</v>
      </c>
      <c r="C1731" s="8" t="s">
        <v>5120</v>
      </c>
      <c r="D1731" s="8" t="s">
        <v>2845</v>
      </c>
      <c r="E1731" s="8" t="s">
        <v>1986</v>
      </c>
      <c r="F1731" s="8" t="s">
        <v>913</v>
      </c>
      <c r="G1731" s="8" t="s">
        <v>201</v>
      </c>
      <c r="H1731" s="8"/>
      <c r="I1731" s="14" t="s">
        <v>1642</v>
      </c>
      <c r="J1731" s="15"/>
      <c r="K1731" s="8" t="s">
        <v>1976</v>
      </c>
      <c r="L1731" s="8"/>
      <c r="M1731" s="6" t="s">
        <v>1643</v>
      </c>
      <c r="N1731" s="6" t="s">
        <v>1644</v>
      </c>
      <c r="O1731" s="7">
        <f>SUMIFS('05_상품별배치367'!$K$7:$K$373,'05_상품별배치367'!$E$7:$E$373,A1731,'05_상품별배치367'!$H$7:$H$373,"본진")</f>
        <v>0</v>
      </c>
      <c r="P1731" s="7">
        <f>SUMIFS('05_상품별배치367'!$K$7:$K$373,'05_상품별배치367'!$E$7:$E$373,A1731,'05_상품별배치367'!$H$7:$H$373,"추가 진열")</f>
        <v>0</v>
      </c>
      <c r="Q1731" s="7">
        <f>O1731+P1731</f>
        <v>0</v>
      </c>
      <c r="R1731" s="7">
        <v>1</v>
      </c>
      <c r="S1731" s="6" t="s">
        <v>2907</v>
      </c>
      <c r="T1731" s="6" t="s">
        <v>1637</v>
      </c>
      <c r="U1731" s="6"/>
      <c r="V1731" s="16"/>
      <c r="W1731" s="16"/>
      <c r="X1731" s="16"/>
      <c r="Y1731" s="6" t="s">
        <v>1627</v>
      </c>
      <c r="Z1731" s="15"/>
      <c r="AA1731" s="15" t="s">
        <v>1628</v>
      </c>
    </row>
    <row r="1732" spans="1:27" ht="33" customHeight="1">
      <c r="A1732" s="6" t="s">
        <v>946</v>
      </c>
      <c r="B1732" s="7">
        <v>1535</v>
      </c>
      <c r="C1732" s="6" t="s">
        <v>945</v>
      </c>
      <c r="D1732" s="6" t="s">
        <v>2845</v>
      </c>
      <c r="E1732" s="6" t="s">
        <v>1986</v>
      </c>
      <c r="F1732" s="6" t="s">
        <v>931</v>
      </c>
      <c r="G1732" s="6" t="s">
        <v>211</v>
      </c>
      <c r="H1732" s="6" t="s">
        <v>944</v>
      </c>
      <c r="I1732" s="14" t="s">
        <v>1992</v>
      </c>
      <c r="J1732" s="15"/>
      <c r="K1732" s="6" t="s">
        <v>1976</v>
      </c>
      <c r="L1732" s="6"/>
      <c r="M1732" s="6" t="s">
        <v>1993</v>
      </c>
      <c r="N1732" s="6" t="s">
        <v>1644</v>
      </c>
      <c r="O1732" s="7">
        <f>SUMIFS('05_상품별배치367'!$K$7:$K$373,'05_상품별배치367'!$E$7:$E$373,A1732,'05_상품별배치367'!$H$7:$H$373,"본진")</f>
        <v>1</v>
      </c>
      <c r="P1732" s="7">
        <f>SUMIFS('05_상품별배치367'!$K$7:$K$373,'05_상품별배치367'!$E$7:$E$373,A1732,'05_상품별배치367'!$H$7:$H$373,"추가 진열")</f>
        <v>0</v>
      </c>
      <c r="Q1732" s="7">
        <f>O1732+P1732</f>
        <v>1</v>
      </c>
      <c r="R1732" s="7">
        <v>1</v>
      </c>
      <c r="S1732" s="6" t="s">
        <v>1994</v>
      </c>
      <c r="T1732" s="6" t="s">
        <v>1637</v>
      </c>
      <c r="U1732" s="6"/>
      <c r="V1732" s="16"/>
      <c r="W1732" s="16"/>
      <c r="X1732" s="16"/>
      <c r="Y1732" s="6" t="s">
        <v>1627</v>
      </c>
      <c r="Z1732" s="15"/>
      <c r="AA1732" s="15" t="s">
        <v>1628</v>
      </c>
    </row>
    <row r="1733" spans="1:27" ht="33" customHeight="1">
      <c r="A1733" s="6" t="s">
        <v>5109</v>
      </c>
      <c r="B1733" s="7">
        <v>1529</v>
      </c>
      <c r="C1733" s="6" t="s">
        <v>5110</v>
      </c>
      <c r="D1733" s="6" t="s">
        <v>3150</v>
      </c>
      <c r="E1733" s="6" t="s">
        <v>2134</v>
      </c>
      <c r="F1733" s="6" t="s">
        <v>1263</v>
      </c>
      <c r="G1733" s="6" t="s">
        <v>376</v>
      </c>
      <c r="H1733" s="6"/>
      <c r="I1733" s="14" t="s">
        <v>1642</v>
      </c>
      <c r="J1733" s="15"/>
      <c r="K1733" s="6" t="s">
        <v>1976</v>
      </c>
      <c r="L1733" s="6"/>
      <c r="M1733" s="6" t="s">
        <v>1643</v>
      </c>
      <c r="N1733" s="6" t="s">
        <v>1644</v>
      </c>
      <c r="O1733" s="7">
        <f>SUMIFS('05_상품별배치367'!$K$7:$K$373,'05_상품별배치367'!$E$7:$E$373,A1733,'05_상품별배치367'!$H$7:$H$373,"본진")</f>
        <v>0</v>
      </c>
      <c r="P1733" s="7">
        <f>SUMIFS('05_상품별배치367'!$K$7:$K$373,'05_상품별배치367'!$E$7:$E$373,A1733,'05_상품별배치367'!$H$7:$H$373,"추가 진열")</f>
        <v>0</v>
      </c>
      <c r="Q1733" s="7">
        <f>O1733+P1733</f>
        <v>0</v>
      </c>
      <c r="R1733" s="7">
        <v>1</v>
      </c>
      <c r="S1733" s="6" t="s">
        <v>3016</v>
      </c>
      <c r="T1733" s="6" t="s">
        <v>1637</v>
      </c>
      <c r="U1733" s="6"/>
      <c r="V1733" s="16"/>
      <c r="W1733" s="16"/>
      <c r="X1733" s="16"/>
      <c r="Y1733" s="6" t="s">
        <v>1627</v>
      </c>
      <c r="Z1733" s="15"/>
      <c r="AA1733" s="15" t="s">
        <v>1628</v>
      </c>
    </row>
    <row r="1734" spans="1:27" ht="33" customHeight="1">
      <c r="A1734" s="6" t="s">
        <v>5117</v>
      </c>
      <c r="B1734" s="7">
        <v>1533</v>
      </c>
      <c r="C1734" s="6" t="s">
        <v>5118</v>
      </c>
      <c r="D1734" s="6" t="s">
        <v>2133</v>
      </c>
      <c r="E1734" s="6" t="s">
        <v>2134</v>
      </c>
      <c r="F1734" s="6" t="s">
        <v>2933</v>
      </c>
      <c r="G1734" s="6" t="s">
        <v>1668</v>
      </c>
      <c r="H1734" s="6"/>
      <c r="I1734" s="14" t="s">
        <v>1807</v>
      </c>
      <c r="J1734" s="15"/>
      <c r="K1734" s="6" t="s">
        <v>1976</v>
      </c>
      <c r="L1734" s="6" t="s">
        <v>2032</v>
      </c>
      <c r="M1734" s="6" t="s">
        <v>1809</v>
      </c>
      <c r="N1734" s="6" t="s">
        <v>1644</v>
      </c>
      <c r="O1734" s="7">
        <f>SUMIFS('05_상품별배치367'!$K$7:$K$373,'05_상품별배치367'!$E$7:$E$373,A1734,'05_상품별배치367'!$H$7:$H$373,"본진")</f>
        <v>0</v>
      </c>
      <c r="P1734" s="7">
        <f>SUMIFS('05_상품별배치367'!$K$7:$K$373,'05_상품별배치367'!$E$7:$E$373,A1734,'05_상품별배치367'!$H$7:$H$373,"추가 진열")</f>
        <v>0</v>
      </c>
      <c r="Q1734" s="7">
        <f>O1734+P1734</f>
        <v>0</v>
      </c>
      <c r="R1734" s="7">
        <v>0</v>
      </c>
      <c r="S1734" s="6" t="s">
        <v>1810</v>
      </c>
      <c r="T1734" s="6" t="s">
        <v>1637</v>
      </c>
      <c r="U1734" s="6"/>
      <c r="V1734" s="16"/>
      <c r="W1734" s="16"/>
      <c r="X1734" s="16"/>
      <c r="Y1734" s="6" t="s">
        <v>1627</v>
      </c>
      <c r="Z1734" s="15"/>
      <c r="AA1734" s="15" t="s">
        <v>1628</v>
      </c>
    </row>
    <row r="1735" spans="1:27" ht="33" customHeight="1">
      <c r="A1735" s="6" t="s">
        <v>2112</v>
      </c>
      <c r="B1735" s="7">
        <v>175</v>
      </c>
      <c r="C1735" s="6" t="s">
        <v>2113</v>
      </c>
      <c r="D1735" s="6" t="s">
        <v>2111</v>
      </c>
      <c r="E1735" s="6" t="s">
        <v>1620</v>
      </c>
      <c r="F1735" s="6" t="s">
        <v>151</v>
      </c>
      <c r="G1735" s="6" t="s">
        <v>349</v>
      </c>
      <c r="H1735" s="6"/>
      <c r="I1735" s="14" t="s">
        <v>1642</v>
      </c>
      <c r="J1735" s="15"/>
      <c r="K1735" s="6" t="s">
        <v>1622</v>
      </c>
      <c r="L1735" s="6"/>
      <c r="M1735" s="6" t="s">
        <v>1643</v>
      </c>
      <c r="N1735" s="6" t="s">
        <v>1644</v>
      </c>
      <c r="O1735" s="7">
        <f>SUMIFS('05_상품별배치367'!$K$7:$K$373,'05_상품별배치367'!$E$7:$E$373,A1735,'05_상품별배치367'!$H$7:$H$373,"본진")</f>
        <v>0</v>
      </c>
      <c r="P1735" s="7">
        <f>SUMIFS('05_상품별배치367'!$K$7:$K$373,'05_상품별배치367'!$E$7:$E$373,A1735,'05_상품별배치367'!$H$7:$H$373,"추가 진열")</f>
        <v>0</v>
      </c>
      <c r="Q1735" s="7">
        <f>O1735+P1735</f>
        <v>0</v>
      </c>
      <c r="R1735" s="7">
        <v>1</v>
      </c>
      <c r="S1735" s="6" t="s">
        <v>1676</v>
      </c>
      <c r="T1735" s="6" t="s">
        <v>1637</v>
      </c>
      <c r="U1735" s="6"/>
      <c r="V1735" s="16"/>
      <c r="W1735" s="16"/>
      <c r="X1735" s="16"/>
      <c r="Y1735" s="6" t="s">
        <v>1655</v>
      </c>
      <c r="Z1735" s="15"/>
      <c r="AA1735" s="15" t="s">
        <v>1628</v>
      </c>
    </row>
    <row r="1736" spans="1:27" ht="33" customHeight="1">
      <c r="A1736" s="8" t="s">
        <v>2109</v>
      </c>
      <c r="B1736" s="9">
        <v>174</v>
      </c>
      <c r="C1736" s="8" t="s">
        <v>2110</v>
      </c>
      <c r="D1736" s="8" t="s">
        <v>2111</v>
      </c>
      <c r="E1736" s="8" t="s">
        <v>1620</v>
      </c>
      <c r="F1736" s="8" t="s">
        <v>151</v>
      </c>
      <c r="G1736" s="8" t="s">
        <v>349</v>
      </c>
      <c r="H1736" s="8"/>
      <c r="I1736" s="14" t="s">
        <v>1642</v>
      </c>
      <c r="J1736" s="15"/>
      <c r="K1736" s="8" t="s">
        <v>1622</v>
      </c>
      <c r="L1736" s="8"/>
      <c r="M1736" s="6" t="s">
        <v>1643</v>
      </c>
      <c r="N1736" s="6" t="s">
        <v>1644</v>
      </c>
      <c r="O1736" s="7">
        <f>SUMIFS('05_상품별배치367'!$K$7:$K$373,'05_상품별배치367'!$E$7:$E$373,A1736,'05_상품별배치367'!$H$7:$H$373,"본진")</f>
        <v>0</v>
      </c>
      <c r="P1736" s="7">
        <f>SUMIFS('05_상품별배치367'!$K$7:$K$373,'05_상품별배치367'!$E$7:$E$373,A1736,'05_상품별배치367'!$H$7:$H$373,"추가 진열")</f>
        <v>0</v>
      </c>
      <c r="Q1736" s="7">
        <f>O1736+P1736</f>
        <v>0</v>
      </c>
      <c r="R1736" s="7">
        <v>1</v>
      </c>
      <c r="S1736" s="6" t="s">
        <v>1676</v>
      </c>
      <c r="T1736" s="6" t="s">
        <v>1637</v>
      </c>
      <c r="U1736" s="6"/>
      <c r="V1736" s="16"/>
      <c r="W1736" s="16"/>
      <c r="X1736" s="16"/>
      <c r="Y1736" s="6" t="s">
        <v>1655</v>
      </c>
      <c r="Z1736" s="15"/>
      <c r="AA1736" s="15" t="s">
        <v>1628</v>
      </c>
    </row>
    <row r="1737" spans="1:27" ht="33" customHeight="1">
      <c r="A1737" s="8" t="s">
        <v>2114</v>
      </c>
      <c r="B1737" s="9">
        <v>176</v>
      </c>
      <c r="C1737" s="8" t="s">
        <v>2115</v>
      </c>
      <c r="D1737" s="8" t="s">
        <v>2116</v>
      </c>
      <c r="E1737" s="8" t="s">
        <v>1666</v>
      </c>
      <c r="F1737" s="8" t="s">
        <v>1852</v>
      </c>
      <c r="G1737" s="8" t="s">
        <v>1853</v>
      </c>
      <c r="H1737" s="8"/>
      <c r="I1737" s="14" t="s">
        <v>1669</v>
      </c>
      <c r="J1737" s="15"/>
      <c r="K1737" s="8" t="s">
        <v>1670</v>
      </c>
      <c r="L1737" s="8"/>
      <c r="M1737" s="6" t="s">
        <v>1671</v>
      </c>
      <c r="N1737" s="6" t="s">
        <v>1644</v>
      </c>
      <c r="O1737" s="7">
        <f>SUMIFS('05_상품별배치367'!$K$7:$K$373,'05_상품별배치367'!$E$7:$E$373,A1737,'05_상품별배치367'!$H$7:$H$373,"본진")</f>
        <v>0</v>
      </c>
      <c r="P1737" s="7">
        <f>SUMIFS('05_상품별배치367'!$K$7:$K$373,'05_상품별배치367'!$E$7:$E$373,A1737,'05_상품별배치367'!$H$7:$H$373,"추가 진열")</f>
        <v>0</v>
      </c>
      <c r="Q1737" s="7">
        <f>O1737+P1737</f>
        <v>0</v>
      </c>
      <c r="R1737" s="7">
        <v>0</v>
      </c>
      <c r="S1737" s="6" t="s">
        <v>1672</v>
      </c>
      <c r="T1737" s="6" t="s">
        <v>1637</v>
      </c>
      <c r="U1737" s="6"/>
      <c r="V1737" s="16"/>
      <c r="W1737" s="16"/>
      <c r="X1737" s="16"/>
      <c r="Y1737" s="6" t="s">
        <v>1655</v>
      </c>
      <c r="Z1737" s="15"/>
      <c r="AA1737" s="15" t="s">
        <v>1628</v>
      </c>
    </row>
    <row r="1738" spans="1:27" ht="33" customHeight="1">
      <c r="A1738" s="8" t="s">
        <v>1935</v>
      </c>
      <c r="B1738" s="9">
        <v>112</v>
      </c>
      <c r="C1738" s="8" t="s">
        <v>1936</v>
      </c>
      <c r="D1738" s="8" t="s">
        <v>1937</v>
      </c>
      <c r="E1738" s="8" t="s">
        <v>1695</v>
      </c>
      <c r="F1738" s="8" t="s">
        <v>519</v>
      </c>
      <c r="G1738" s="8" t="s">
        <v>455</v>
      </c>
      <c r="H1738" s="8"/>
      <c r="I1738" s="14" t="s">
        <v>1642</v>
      </c>
      <c r="J1738" s="15"/>
      <c r="K1738" s="8" t="s">
        <v>1696</v>
      </c>
      <c r="L1738" s="8"/>
      <c r="M1738" s="6" t="s">
        <v>1643</v>
      </c>
      <c r="N1738" s="6" t="s">
        <v>1624</v>
      </c>
      <c r="O1738" s="7">
        <f>SUMIFS('05_상품별배치367'!$K$7:$K$373,'05_상품별배치367'!$E$7:$E$373,A1738,'05_상품별배치367'!$H$7:$H$373,"본진")</f>
        <v>0</v>
      </c>
      <c r="P1738" s="7">
        <f>SUMIFS('05_상품별배치367'!$K$7:$K$373,'05_상품별배치367'!$E$7:$E$373,A1738,'05_상품별배치367'!$H$7:$H$373,"추가 진열")</f>
        <v>0</v>
      </c>
      <c r="Q1738" s="7">
        <f>O1738+P1738</f>
        <v>0</v>
      </c>
      <c r="R1738" s="7">
        <v>1</v>
      </c>
      <c r="S1738" s="6" t="s">
        <v>1938</v>
      </c>
      <c r="T1738" s="6" t="s">
        <v>1637</v>
      </c>
      <c r="U1738" s="6"/>
      <c r="V1738" s="16"/>
      <c r="W1738" s="16"/>
      <c r="X1738" s="16"/>
      <c r="Y1738" s="6" t="s">
        <v>1627</v>
      </c>
      <c r="Z1738" s="15"/>
      <c r="AA1738" s="15" t="s">
        <v>1628</v>
      </c>
    </row>
    <row r="1739" spans="1:27" ht="33" customHeight="1">
      <c r="A1739" s="6" t="s">
        <v>1939</v>
      </c>
      <c r="B1739" s="7">
        <v>113</v>
      </c>
      <c r="C1739" s="6" t="s">
        <v>1940</v>
      </c>
      <c r="D1739" s="6" t="s">
        <v>1941</v>
      </c>
      <c r="E1739" s="6" t="s">
        <v>1695</v>
      </c>
      <c r="F1739" s="6" t="s">
        <v>482</v>
      </c>
      <c r="G1739" s="6" t="s">
        <v>272</v>
      </c>
      <c r="H1739" s="6"/>
      <c r="I1739" s="14" t="s">
        <v>1642</v>
      </c>
      <c r="J1739" s="15"/>
      <c r="K1739" s="6" t="s">
        <v>1696</v>
      </c>
      <c r="L1739" s="6"/>
      <c r="M1739" s="6" t="s">
        <v>1643</v>
      </c>
      <c r="N1739" s="6" t="s">
        <v>1624</v>
      </c>
      <c r="O1739" s="7">
        <f>SUMIFS('05_상품별배치367'!$K$7:$K$373,'05_상품별배치367'!$E$7:$E$373,A1739,'05_상품별배치367'!$H$7:$H$373,"본진")</f>
        <v>0</v>
      </c>
      <c r="P1739" s="7">
        <f>SUMIFS('05_상품별배치367'!$K$7:$K$373,'05_상품별배치367'!$E$7:$E$373,A1739,'05_상품별배치367'!$H$7:$H$373,"추가 진열")</f>
        <v>0</v>
      </c>
      <c r="Q1739" s="7">
        <f>O1739+P1739</f>
        <v>0</v>
      </c>
      <c r="R1739" s="7">
        <v>1</v>
      </c>
      <c r="S1739" s="6" t="s">
        <v>1942</v>
      </c>
      <c r="T1739" s="6" t="s">
        <v>1637</v>
      </c>
      <c r="U1739" s="6"/>
      <c r="V1739" s="16"/>
      <c r="W1739" s="16"/>
      <c r="X1739" s="16"/>
      <c r="Y1739" s="6" t="s">
        <v>1627</v>
      </c>
      <c r="Z1739" s="15"/>
      <c r="AA1739" s="15" t="s">
        <v>1628</v>
      </c>
    </row>
    <row r="1740" spans="1:27" ht="33" customHeight="1">
      <c r="A1740" s="8" t="s">
        <v>1943</v>
      </c>
      <c r="B1740" s="9">
        <v>114</v>
      </c>
      <c r="C1740" s="8" t="s">
        <v>1944</v>
      </c>
      <c r="D1740" s="8" t="s">
        <v>1945</v>
      </c>
      <c r="E1740" s="8" t="s">
        <v>1695</v>
      </c>
      <c r="F1740" s="8" t="s">
        <v>519</v>
      </c>
      <c r="G1740" s="8" t="s">
        <v>455</v>
      </c>
      <c r="H1740" s="8"/>
      <c r="I1740" s="14" t="s">
        <v>1642</v>
      </c>
      <c r="J1740" s="15"/>
      <c r="K1740" s="8" t="s">
        <v>1696</v>
      </c>
      <c r="L1740" s="8"/>
      <c r="M1740" s="6" t="s">
        <v>1643</v>
      </c>
      <c r="N1740" s="6" t="s">
        <v>1624</v>
      </c>
      <c r="O1740" s="7">
        <f>SUMIFS('05_상품별배치367'!$K$7:$K$373,'05_상품별배치367'!$E$7:$E$373,A1740,'05_상품별배치367'!$H$7:$H$373,"본진")</f>
        <v>0</v>
      </c>
      <c r="P1740" s="7">
        <f>SUMIFS('05_상품별배치367'!$K$7:$K$373,'05_상품별배치367'!$E$7:$E$373,A1740,'05_상품별배치367'!$H$7:$H$373,"추가 진열")</f>
        <v>0</v>
      </c>
      <c r="Q1740" s="7">
        <f>O1740+P1740</f>
        <v>0</v>
      </c>
      <c r="R1740" s="7">
        <v>1</v>
      </c>
      <c r="S1740" s="6" t="s">
        <v>1938</v>
      </c>
      <c r="T1740" s="6" t="s">
        <v>1637</v>
      </c>
      <c r="U1740" s="6"/>
      <c r="V1740" s="16"/>
      <c r="W1740" s="16"/>
      <c r="X1740" s="16"/>
      <c r="Y1740" s="6" t="s">
        <v>1627</v>
      </c>
      <c r="Z1740" s="15"/>
      <c r="AA1740" s="15" t="s">
        <v>1628</v>
      </c>
    </row>
    <row r="1741" spans="1:27" ht="33" customHeight="1">
      <c r="A1741" s="6" t="s">
        <v>7048</v>
      </c>
      <c r="B1741" s="7">
        <v>2429</v>
      </c>
      <c r="C1741" s="6" t="s">
        <v>7049</v>
      </c>
      <c r="D1741" s="6" t="s">
        <v>3116</v>
      </c>
      <c r="E1741" s="6" t="s">
        <v>2134</v>
      </c>
      <c r="F1741" s="6" t="s">
        <v>1263</v>
      </c>
      <c r="G1741" s="6" t="s">
        <v>376</v>
      </c>
      <c r="H1741" s="6"/>
      <c r="I1741" s="14" t="s">
        <v>1642</v>
      </c>
      <c r="J1741" s="15"/>
      <c r="K1741" s="6" t="s">
        <v>1976</v>
      </c>
      <c r="L1741" s="6" t="s">
        <v>3828</v>
      </c>
      <c r="M1741" s="6" t="s">
        <v>1643</v>
      </c>
      <c r="N1741" s="6" t="s">
        <v>1624</v>
      </c>
      <c r="O1741" s="7">
        <f>SUMIFS('05_상품별배치367'!$K$7:$K$373,'05_상품별배치367'!$E$7:$E$373,A1741,'05_상품별배치367'!$H$7:$H$373,"본진")</f>
        <v>0</v>
      </c>
      <c r="P1741" s="7">
        <f>SUMIFS('05_상품별배치367'!$K$7:$K$373,'05_상품별배치367'!$E$7:$E$373,A1741,'05_상품별배치367'!$H$7:$H$373,"추가 진열")</f>
        <v>0</v>
      </c>
      <c r="Q1741" s="7">
        <f>O1741+P1741</f>
        <v>0</v>
      </c>
      <c r="R1741" s="7">
        <v>1</v>
      </c>
      <c r="S1741" s="6" t="s">
        <v>3016</v>
      </c>
      <c r="T1741" s="6" t="s">
        <v>1637</v>
      </c>
      <c r="U1741" s="6"/>
      <c r="V1741" s="16"/>
      <c r="W1741" s="16"/>
      <c r="X1741" s="16"/>
      <c r="Y1741" s="6" t="s">
        <v>1627</v>
      </c>
      <c r="Z1741" s="15"/>
      <c r="AA1741" s="15" t="s">
        <v>1628</v>
      </c>
    </row>
    <row r="1742" spans="1:27" ht="33" customHeight="1">
      <c r="A1742" s="8" t="s">
        <v>5283</v>
      </c>
      <c r="B1742" s="9">
        <v>1612</v>
      </c>
      <c r="C1742" s="8" t="s">
        <v>5284</v>
      </c>
      <c r="D1742" s="8" t="s">
        <v>2133</v>
      </c>
      <c r="E1742" s="8" t="s">
        <v>1986</v>
      </c>
      <c r="F1742" s="8" t="s">
        <v>913</v>
      </c>
      <c r="G1742" s="8" t="s">
        <v>201</v>
      </c>
      <c r="H1742" s="8"/>
      <c r="I1742" s="14" t="s">
        <v>1642</v>
      </c>
      <c r="J1742" s="15"/>
      <c r="K1742" s="8" t="s">
        <v>1976</v>
      </c>
      <c r="L1742" s="8"/>
      <c r="M1742" s="6" t="s">
        <v>1643</v>
      </c>
      <c r="N1742" s="6" t="s">
        <v>1644</v>
      </c>
      <c r="O1742" s="7">
        <f>SUMIFS('05_상품별배치367'!$K$7:$K$373,'05_상품별배치367'!$E$7:$E$373,A1742,'05_상품별배치367'!$H$7:$H$373,"본진")</f>
        <v>0</v>
      </c>
      <c r="P1742" s="7">
        <f>SUMIFS('05_상품별배치367'!$K$7:$K$373,'05_상품별배치367'!$E$7:$E$373,A1742,'05_상품별배치367'!$H$7:$H$373,"추가 진열")</f>
        <v>0</v>
      </c>
      <c r="Q1742" s="7">
        <f>O1742+P1742</f>
        <v>0</v>
      </c>
      <c r="R1742" s="7">
        <v>1</v>
      </c>
      <c r="S1742" s="6" t="s">
        <v>2907</v>
      </c>
      <c r="T1742" s="6" t="s">
        <v>1637</v>
      </c>
      <c r="U1742" s="6"/>
      <c r="V1742" s="16"/>
      <c r="W1742" s="16"/>
      <c r="X1742" s="16"/>
      <c r="Y1742" s="6" t="s">
        <v>1627</v>
      </c>
      <c r="Z1742" s="15"/>
      <c r="AA1742" s="15" t="s">
        <v>1628</v>
      </c>
    </row>
    <row r="1743" spans="1:27" ht="33" customHeight="1">
      <c r="A1743" s="8" t="s">
        <v>5251</v>
      </c>
      <c r="B1743" s="9">
        <v>1596</v>
      </c>
      <c r="C1743" s="8" t="s">
        <v>5252</v>
      </c>
      <c r="D1743" s="8" t="s">
        <v>2856</v>
      </c>
      <c r="E1743" s="8" t="s">
        <v>2134</v>
      </c>
      <c r="F1743" s="8" t="s">
        <v>1081</v>
      </c>
      <c r="G1743" s="8" t="s">
        <v>290</v>
      </c>
      <c r="H1743" s="8"/>
      <c r="I1743" s="14" t="s">
        <v>1642</v>
      </c>
      <c r="J1743" s="15"/>
      <c r="K1743" s="8" t="s">
        <v>1976</v>
      </c>
      <c r="L1743" s="8"/>
      <c r="M1743" s="6" t="s">
        <v>1643</v>
      </c>
      <c r="N1743" s="6" t="s">
        <v>1644</v>
      </c>
      <c r="O1743" s="7">
        <f>SUMIFS('05_상품별배치367'!$K$7:$K$373,'05_상품별배치367'!$E$7:$E$373,A1743,'05_상품별배치367'!$H$7:$H$373,"본진")</f>
        <v>0</v>
      </c>
      <c r="P1743" s="7">
        <f>SUMIFS('05_상품별배치367'!$K$7:$K$373,'05_상품별배치367'!$E$7:$E$373,A1743,'05_상품별배치367'!$H$7:$H$373,"추가 진열")</f>
        <v>0</v>
      </c>
      <c r="Q1743" s="7">
        <f>O1743+P1743</f>
        <v>0</v>
      </c>
      <c r="R1743" s="7">
        <v>1</v>
      </c>
      <c r="S1743" s="6" t="s">
        <v>2135</v>
      </c>
      <c r="T1743" s="6" t="s">
        <v>1637</v>
      </c>
      <c r="U1743" s="6"/>
      <c r="V1743" s="16"/>
      <c r="W1743" s="16"/>
      <c r="X1743" s="16"/>
      <c r="Y1743" s="6" t="s">
        <v>1627</v>
      </c>
      <c r="Z1743" s="15"/>
      <c r="AA1743" s="15" t="s">
        <v>1628</v>
      </c>
    </row>
    <row r="1744" spans="1:27" ht="33" customHeight="1">
      <c r="A1744" s="6" t="s">
        <v>5253</v>
      </c>
      <c r="B1744" s="7">
        <v>1597</v>
      </c>
      <c r="C1744" s="6" t="s">
        <v>5254</v>
      </c>
      <c r="D1744" s="6" t="s">
        <v>2133</v>
      </c>
      <c r="E1744" s="6" t="s">
        <v>2134</v>
      </c>
      <c r="F1744" s="6" t="s">
        <v>1081</v>
      </c>
      <c r="G1744" s="6" t="s">
        <v>290</v>
      </c>
      <c r="H1744" s="6"/>
      <c r="I1744" s="14" t="s">
        <v>1642</v>
      </c>
      <c r="J1744" s="15"/>
      <c r="K1744" s="6" t="s">
        <v>1976</v>
      </c>
      <c r="L1744" s="6"/>
      <c r="M1744" s="6" t="s">
        <v>1643</v>
      </c>
      <c r="N1744" s="6" t="s">
        <v>1644</v>
      </c>
      <c r="O1744" s="7">
        <f>SUMIFS('05_상품별배치367'!$K$7:$K$373,'05_상품별배치367'!$E$7:$E$373,A1744,'05_상품별배치367'!$H$7:$H$373,"본진")</f>
        <v>0</v>
      </c>
      <c r="P1744" s="7">
        <f>SUMIFS('05_상품별배치367'!$K$7:$K$373,'05_상품별배치367'!$E$7:$E$373,A1744,'05_상품별배치367'!$H$7:$H$373,"추가 진열")</f>
        <v>0</v>
      </c>
      <c r="Q1744" s="7">
        <f>O1744+P1744</f>
        <v>0</v>
      </c>
      <c r="R1744" s="7">
        <v>1</v>
      </c>
      <c r="S1744" s="6" t="s">
        <v>2135</v>
      </c>
      <c r="T1744" s="6" t="s">
        <v>1637</v>
      </c>
      <c r="U1744" s="6"/>
      <c r="V1744" s="16"/>
      <c r="W1744" s="16"/>
      <c r="X1744" s="16"/>
      <c r="Y1744" s="6" t="s">
        <v>1627</v>
      </c>
      <c r="Z1744" s="15"/>
      <c r="AA1744" s="15" t="s">
        <v>1628</v>
      </c>
    </row>
    <row r="1745" spans="1:27" ht="33" customHeight="1">
      <c r="A1745" s="8" t="s">
        <v>5255</v>
      </c>
      <c r="B1745" s="9">
        <v>1598</v>
      </c>
      <c r="C1745" s="8" t="s">
        <v>5256</v>
      </c>
      <c r="D1745" s="8" t="s">
        <v>1851</v>
      </c>
      <c r="E1745" s="8" t="s">
        <v>2134</v>
      </c>
      <c r="F1745" s="8" t="s">
        <v>1081</v>
      </c>
      <c r="G1745" s="8" t="s">
        <v>290</v>
      </c>
      <c r="H1745" s="8"/>
      <c r="I1745" s="14" t="s">
        <v>1642</v>
      </c>
      <c r="J1745" s="15"/>
      <c r="K1745" s="8" t="s">
        <v>1976</v>
      </c>
      <c r="L1745" s="8"/>
      <c r="M1745" s="6" t="s">
        <v>1643</v>
      </c>
      <c r="N1745" s="6" t="s">
        <v>1644</v>
      </c>
      <c r="O1745" s="7">
        <f>SUMIFS('05_상품별배치367'!$K$7:$K$373,'05_상품별배치367'!$E$7:$E$373,A1745,'05_상품별배치367'!$H$7:$H$373,"본진")</f>
        <v>0</v>
      </c>
      <c r="P1745" s="7">
        <f>SUMIFS('05_상품별배치367'!$K$7:$K$373,'05_상품별배치367'!$E$7:$E$373,A1745,'05_상품별배치367'!$H$7:$H$373,"추가 진열")</f>
        <v>0</v>
      </c>
      <c r="Q1745" s="7">
        <f>O1745+P1745</f>
        <v>0</v>
      </c>
      <c r="R1745" s="7">
        <v>1</v>
      </c>
      <c r="S1745" s="6" t="s">
        <v>2135</v>
      </c>
      <c r="T1745" s="6" t="s">
        <v>1637</v>
      </c>
      <c r="U1745" s="6"/>
      <c r="V1745" s="16"/>
      <c r="W1745" s="16"/>
      <c r="X1745" s="16"/>
      <c r="Y1745" s="6" t="s">
        <v>1627</v>
      </c>
      <c r="Z1745" s="15"/>
      <c r="AA1745" s="15" t="s">
        <v>1628</v>
      </c>
    </row>
    <row r="1746" spans="1:27" ht="33" customHeight="1">
      <c r="A1746" s="6" t="s">
        <v>5257</v>
      </c>
      <c r="B1746" s="7">
        <v>1599</v>
      </c>
      <c r="C1746" s="6" t="s">
        <v>5258</v>
      </c>
      <c r="D1746" s="6" t="s">
        <v>2133</v>
      </c>
      <c r="E1746" s="6" t="s">
        <v>2134</v>
      </c>
      <c r="F1746" s="6" t="s">
        <v>1081</v>
      </c>
      <c r="G1746" s="6" t="s">
        <v>290</v>
      </c>
      <c r="H1746" s="6"/>
      <c r="I1746" s="14" t="s">
        <v>1642</v>
      </c>
      <c r="J1746" s="15"/>
      <c r="K1746" s="6" t="s">
        <v>1976</v>
      </c>
      <c r="L1746" s="6"/>
      <c r="M1746" s="6" t="s">
        <v>1643</v>
      </c>
      <c r="N1746" s="6" t="s">
        <v>1644</v>
      </c>
      <c r="O1746" s="7">
        <f>SUMIFS('05_상품별배치367'!$K$7:$K$373,'05_상품별배치367'!$E$7:$E$373,A1746,'05_상품별배치367'!$H$7:$H$373,"본진")</f>
        <v>0</v>
      </c>
      <c r="P1746" s="7">
        <f>SUMIFS('05_상품별배치367'!$K$7:$K$373,'05_상품별배치367'!$E$7:$E$373,A1746,'05_상품별배치367'!$H$7:$H$373,"추가 진열")</f>
        <v>0</v>
      </c>
      <c r="Q1746" s="7">
        <f>O1746+P1746</f>
        <v>0</v>
      </c>
      <c r="R1746" s="7">
        <v>1</v>
      </c>
      <c r="S1746" s="6" t="s">
        <v>2135</v>
      </c>
      <c r="T1746" s="6" t="s">
        <v>1637</v>
      </c>
      <c r="U1746" s="6"/>
      <c r="V1746" s="16"/>
      <c r="W1746" s="16"/>
      <c r="X1746" s="16"/>
      <c r="Y1746" s="6" t="s">
        <v>1627</v>
      </c>
      <c r="Z1746" s="15"/>
      <c r="AA1746" s="15" t="s">
        <v>1628</v>
      </c>
    </row>
    <row r="1747" spans="1:27" ht="33" customHeight="1">
      <c r="A1747" s="8" t="s">
        <v>5259</v>
      </c>
      <c r="B1747" s="9">
        <v>1600</v>
      </c>
      <c r="C1747" s="8" t="s">
        <v>5260</v>
      </c>
      <c r="D1747" s="8" t="s">
        <v>2133</v>
      </c>
      <c r="E1747" s="8" t="s">
        <v>2134</v>
      </c>
      <c r="F1747" s="8" t="s">
        <v>1263</v>
      </c>
      <c r="G1747" s="8" t="s">
        <v>376</v>
      </c>
      <c r="H1747" s="8"/>
      <c r="I1747" s="14" t="s">
        <v>1642</v>
      </c>
      <c r="J1747" s="15"/>
      <c r="K1747" s="8" t="s">
        <v>1976</v>
      </c>
      <c r="L1747" s="8"/>
      <c r="M1747" s="6" t="s">
        <v>1643</v>
      </c>
      <c r="N1747" s="6" t="s">
        <v>1644</v>
      </c>
      <c r="O1747" s="7">
        <f>SUMIFS('05_상품별배치367'!$K$7:$K$373,'05_상품별배치367'!$E$7:$E$373,A1747,'05_상품별배치367'!$H$7:$H$373,"본진")</f>
        <v>0</v>
      </c>
      <c r="P1747" s="7">
        <f>SUMIFS('05_상품별배치367'!$K$7:$K$373,'05_상품별배치367'!$E$7:$E$373,A1747,'05_상품별배치367'!$H$7:$H$373,"추가 진열")</f>
        <v>0</v>
      </c>
      <c r="Q1747" s="7">
        <f>O1747+P1747</f>
        <v>0</v>
      </c>
      <c r="R1747" s="7">
        <v>1</v>
      </c>
      <c r="S1747" s="6" t="s">
        <v>3016</v>
      </c>
      <c r="T1747" s="6" t="s">
        <v>1637</v>
      </c>
      <c r="U1747" s="6"/>
      <c r="V1747" s="16"/>
      <c r="W1747" s="16"/>
      <c r="X1747" s="16"/>
      <c r="Y1747" s="6" t="s">
        <v>1627</v>
      </c>
      <c r="Z1747" s="15"/>
      <c r="AA1747" s="15" t="s">
        <v>1628</v>
      </c>
    </row>
    <row r="1748" spans="1:27" ht="33" customHeight="1">
      <c r="A1748" s="6" t="s">
        <v>5261</v>
      </c>
      <c r="B1748" s="7">
        <v>1601</v>
      </c>
      <c r="C1748" s="6" t="s">
        <v>5262</v>
      </c>
      <c r="D1748" s="6" t="s">
        <v>2856</v>
      </c>
      <c r="E1748" s="6" t="s">
        <v>1814</v>
      </c>
      <c r="F1748" s="6" t="s">
        <v>1376</v>
      </c>
      <c r="G1748" s="6" t="s">
        <v>431</v>
      </c>
      <c r="H1748" s="6"/>
      <c r="I1748" s="14" t="s">
        <v>1642</v>
      </c>
      <c r="J1748" s="15"/>
      <c r="K1748" s="6" t="s">
        <v>1976</v>
      </c>
      <c r="L1748" s="6"/>
      <c r="M1748" s="6" t="s">
        <v>1643</v>
      </c>
      <c r="N1748" s="6" t="s">
        <v>1644</v>
      </c>
      <c r="O1748" s="7">
        <f>SUMIFS('05_상품별배치367'!$K$7:$K$373,'05_상품별배치367'!$E$7:$E$373,A1748,'05_상품별배치367'!$H$7:$H$373,"본진")</f>
        <v>0</v>
      </c>
      <c r="P1748" s="7">
        <f>SUMIFS('05_상품별배치367'!$K$7:$K$373,'05_상품별배치367'!$E$7:$E$373,A1748,'05_상품별배치367'!$H$7:$H$373,"추가 진열")</f>
        <v>0</v>
      </c>
      <c r="Q1748" s="7">
        <f>O1748+P1748</f>
        <v>0</v>
      </c>
      <c r="R1748" s="7">
        <v>1</v>
      </c>
      <c r="S1748" s="6" t="s">
        <v>1978</v>
      </c>
      <c r="T1748" s="6" t="s">
        <v>1637</v>
      </c>
      <c r="U1748" s="6"/>
      <c r="V1748" s="16"/>
      <c r="W1748" s="16"/>
      <c r="X1748" s="16"/>
      <c r="Y1748" s="6" t="s">
        <v>1627</v>
      </c>
      <c r="Z1748" s="15"/>
      <c r="AA1748" s="15" t="s">
        <v>1628</v>
      </c>
    </row>
    <row r="1749" spans="1:27" ht="33" customHeight="1">
      <c r="A1749" s="8" t="s">
        <v>5263</v>
      </c>
      <c r="B1749" s="9">
        <v>1602</v>
      </c>
      <c r="C1749" s="8" t="s">
        <v>5264</v>
      </c>
      <c r="D1749" s="8" t="s">
        <v>2133</v>
      </c>
      <c r="E1749" s="8" t="s">
        <v>2134</v>
      </c>
      <c r="F1749" s="8" t="s">
        <v>1263</v>
      </c>
      <c r="G1749" s="8" t="s">
        <v>376</v>
      </c>
      <c r="H1749" s="8"/>
      <c r="I1749" s="14" t="s">
        <v>1642</v>
      </c>
      <c r="J1749" s="15"/>
      <c r="K1749" s="8" t="s">
        <v>1976</v>
      </c>
      <c r="L1749" s="8"/>
      <c r="M1749" s="6" t="s">
        <v>1643</v>
      </c>
      <c r="N1749" s="6" t="s">
        <v>1644</v>
      </c>
      <c r="O1749" s="7">
        <f>SUMIFS('05_상품별배치367'!$K$7:$K$373,'05_상품별배치367'!$E$7:$E$373,A1749,'05_상품별배치367'!$H$7:$H$373,"본진")</f>
        <v>0</v>
      </c>
      <c r="P1749" s="7">
        <f>SUMIFS('05_상품별배치367'!$K$7:$K$373,'05_상품별배치367'!$E$7:$E$373,A1749,'05_상품별배치367'!$H$7:$H$373,"추가 진열")</f>
        <v>0</v>
      </c>
      <c r="Q1749" s="7">
        <f>O1749+P1749</f>
        <v>0</v>
      </c>
      <c r="R1749" s="7">
        <v>1</v>
      </c>
      <c r="S1749" s="6" t="s">
        <v>3016</v>
      </c>
      <c r="T1749" s="6" t="s">
        <v>1637</v>
      </c>
      <c r="U1749" s="6"/>
      <c r="V1749" s="16"/>
      <c r="W1749" s="16"/>
      <c r="X1749" s="16"/>
      <c r="Y1749" s="6" t="s">
        <v>1627</v>
      </c>
      <c r="Z1749" s="15"/>
      <c r="AA1749" s="15" t="s">
        <v>1628</v>
      </c>
    </row>
    <row r="1750" spans="1:27" ht="33" customHeight="1">
      <c r="A1750" s="6" t="s">
        <v>5265</v>
      </c>
      <c r="B1750" s="7">
        <v>1603</v>
      </c>
      <c r="C1750" s="6" t="s">
        <v>5266</v>
      </c>
      <c r="D1750" s="6" t="s">
        <v>1851</v>
      </c>
      <c r="E1750" s="6" t="s">
        <v>2134</v>
      </c>
      <c r="F1750" s="6" t="s">
        <v>1263</v>
      </c>
      <c r="G1750" s="6" t="s">
        <v>376</v>
      </c>
      <c r="H1750" s="6"/>
      <c r="I1750" s="14" t="s">
        <v>1642</v>
      </c>
      <c r="J1750" s="15"/>
      <c r="K1750" s="6" t="s">
        <v>1976</v>
      </c>
      <c r="L1750" s="6"/>
      <c r="M1750" s="6" t="s">
        <v>1643</v>
      </c>
      <c r="N1750" s="6" t="s">
        <v>1644</v>
      </c>
      <c r="O1750" s="7">
        <f>SUMIFS('05_상품별배치367'!$K$7:$K$373,'05_상품별배치367'!$E$7:$E$373,A1750,'05_상품별배치367'!$H$7:$H$373,"본진")</f>
        <v>0</v>
      </c>
      <c r="P1750" s="7">
        <f>SUMIFS('05_상품별배치367'!$K$7:$K$373,'05_상품별배치367'!$E$7:$E$373,A1750,'05_상품별배치367'!$H$7:$H$373,"추가 진열")</f>
        <v>0</v>
      </c>
      <c r="Q1750" s="7">
        <f>O1750+P1750</f>
        <v>0</v>
      </c>
      <c r="R1750" s="7">
        <v>1</v>
      </c>
      <c r="S1750" s="6" t="s">
        <v>3016</v>
      </c>
      <c r="T1750" s="6" t="s">
        <v>1637</v>
      </c>
      <c r="U1750" s="6"/>
      <c r="V1750" s="16"/>
      <c r="W1750" s="16"/>
      <c r="X1750" s="16"/>
      <c r="Y1750" s="6" t="s">
        <v>1627</v>
      </c>
      <c r="Z1750" s="15"/>
      <c r="AA1750" s="15" t="s">
        <v>1628</v>
      </c>
    </row>
    <row r="1751" spans="1:27" ht="33" customHeight="1">
      <c r="A1751" s="8" t="s">
        <v>5267</v>
      </c>
      <c r="B1751" s="9">
        <v>1604</v>
      </c>
      <c r="C1751" s="8" t="s">
        <v>5268</v>
      </c>
      <c r="D1751" s="8" t="s">
        <v>2133</v>
      </c>
      <c r="E1751" s="8" t="s">
        <v>2134</v>
      </c>
      <c r="F1751" s="8" t="s">
        <v>162</v>
      </c>
      <c r="G1751" s="8" t="s">
        <v>404</v>
      </c>
      <c r="H1751" s="8"/>
      <c r="I1751" s="14" t="s">
        <v>1642</v>
      </c>
      <c r="J1751" s="15"/>
      <c r="K1751" s="8" t="s">
        <v>1976</v>
      </c>
      <c r="L1751" s="8"/>
      <c r="M1751" s="6" t="s">
        <v>1643</v>
      </c>
      <c r="N1751" s="6" t="s">
        <v>1644</v>
      </c>
      <c r="O1751" s="7">
        <f>SUMIFS('05_상품별배치367'!$K$7:$K$373,'05_상품별배치367'!$E$7:$E$373,A1751,'05_상품별배치367'!$H$7:$H$373,"본진")</f>
        <v>0</v>
      </c>
      <c r="P1751" s="7">
        <f>SUMIFS('05_상품별배치367'!$K$7:$K$373,'05_상품별배치367'!$E$7:$E$373,A1751,'05_상품별배치367'!$H$7:$H$373,"추가 진열")</f>
        <v>0</v>
      </c>
      <c r="Q1751" s="7">
        <f>O1751+P1751</f>
        <v>0</v>
      </c>
      <c r="R1751" s="7">
        <v>1</v>
      </c>
      <c r="S1751" s="6" t="s">
        <v>2996</v>
      </c>
      <c r="T1751" s="6" t="s">
        <v>1637</v>
      </c>
      <c r="U1751" s="6"/>
      <c r="V1751" s="16"/>
      <c r="W1751" s="16"/>
      <c r="X1751" s="16"/>
      <c r="Y1751" s="6" t="s">
        <v>1627</v>
      </c>
      <c r="Z1751" s="15"/>
      <c r="AA1751" s="15" t="s">
        <v>1628</v>
      </c>
    </row>
    <row r="1752" spans="1:27" ht="33" customHeight="1">
      <c r="A1752" s="6" t="s">
        <v>5269</v>
      </c>
      <c r="B1752" s="7">
        <v>1605</v>
      </c>
      <c r="C1752" s="6" t="s">
        <v>5270</v>
      </c>
      <c r="D1752" s="6" t="s">
        <v>2133</v>
      </c>
      <c r="E1752" s="6" t="s">
        <v>2134</v>
      </c>
      <c r="F1752" s="6" t="s">
        <v>162</v>
      </c>
      <c r="G1752" s="6" t="s">
        <v>404</v>
      </c>
      <c r="H1752" s="6"/>
      <c r="I1752" s="14" t="s">
        <v>1642</v>
      </c>
      <c r="J1752" s="15"/>
      <c r="K1752" s="6" t="s">
        <v>1976</v>
      </c>
      <c r="L1752" s="6"/>
      <c r="M1752" s="6" t="s">
        <v>1643</v>
      </c>
      <c r="N1752" s="6" t="s">
        <v>1644</v>
      </c>
      <c r="O1752" s="7">
        <f>SUMIFS('05_상품별배치367'!$K$7:$K$373,'05_상품별배치367'!$E$7:$E$373,A1752,'05_상품별배치367'!$H$7:$H$373,"본진")</f>
        <v>0</v>
      </c>
      <c r="P1752" s="7">
        <f>SUMIFS('05_상품별배치367'!$K$7:$K$373,'05_상품별배치367'!$E$7:$E$373,A1752,'05_상품별배치367'!$H$7:$H$373,"추가 진열")</f>
        <v>0</v>
      </c>
      <c r="Q1752" s="7">
        <f>O1752+P1752</f>
        <v>0</v>
      </c>
      <c r="R1752" s="7">
        <v>1</v>
      </c>
      <c r="S1752" s="6" t="s">
        <v>2996</v>
      </c>
      <c r="T1752" s="6" t="s">
        <v>1637</v>
      </c>
      <c r="U1752" s="6"/>
      <c r="V1752" s="16"/>
      <c r="W1752" s="16"/>
      <c r="X1752" s="16"/>
      <c r="Y1752" s="6" t="s">
        <v>1627</v>
      </c>
      <c r="Z1752" s="15"/>
      <c r="AA1752" s="15" t="s">
        <v>1628</v>
      </c>
    </row>
    <row r="1753" spans="1:27" ht="33" customHeight="1">
      <c r="A1753" s="8" t="s">
        <v>5271</v>
      </c>
      <c r="B1753" s="9">
        <v>1606</v>
      </c>
      <c r="C1753" s="8" t="s">
        <v>5272</v>
      </c>
      <c r="D1753" s="8" t="s">
        <v>1851</v>
      </c>
      <c r="E1753" s="8" t="s">
        <v>2134</v>
      </c>
      <c r="F1753" s="8" t="s">
        <v>162</v>
      </c>
      <c r="G1753" s="8" t="s">
        <v>404</v>
      </c>
      <c r="H1753" s="8"/>
      <c r="I1753" s="14" t="s">
        <v>1642</v>
      </c>
      <c r="J1753" s="15"/>
      <c r="K1753" s="8" t="s">
        <v>1976</v>
      </c>
      <c r="L1753" s="8"/>
      <c r="M1753" s="6" t="s">
        <v>1643</v>
      </c>
      <c r="N1753" s="6" t="s">
        <v>1644</v>
      </c>
      <c r="O1753" s="7">
        <f>SUMIFS('05_상품별배치367'!$K$7:$K$373,'05_상품별배치367'!$E$7:$E$373,A1753,'05_상품별배치367'!$H$7:$H$373,"본진")</f>
        <v>0</v>
      </c>
      <c r="P1753" s="7">
        <f>SUMIFS('05_상품별배치367'!$K$7:$K$373,'05_상품별배치367'!$E$7:$E$373,A1753,'05_상품별배치367'!$H$7:$H$373,"추가 진열")</f>
        <v>0</v>
      </c>
      <c r="Q1753" s="7">
        <f>O1753+P1753</f>
        <v>0</v>
      </c>
      <c r="R1753" s="7">
        <v>1</v>
      </c>
      <c r="S1753" s="6" t="s">
        <v>2996</v>
      </c>
      <c r="T1753" s="6" t="s">
        <v>1637</v>
      </c>
      <c r="U1753" s="6"/>
      <c r="V1753" s="16"/>
      <c r="W1753" s="16"/>
      <c r="X1753" s="16"/>
      <c r="Y1753" s="6" t="s">
        <v>1627</v>
      </c>
      <c r="Z1753" s="15"/>
      <c r="AA1753" s="15" t="s">
        <v>1628</v>
      </c>
    </row>
    <row r="1754" spans="1:27" ht="33" customHeight="1">
      <c r="A1754" s="6" t="s">
        <v>5273</v>
      </c>
      <c r="B1754" s="7">
        <v>1607</v>
      </c>
      <c r="C1754" s="6" t="s">
        <v>5274</v>
      </c>
      <c r="D1754" s="6" t="s">
        <v>2856</v>
      </c>
      <c r="E1754" s="6" t="s">
        <v>2134</v>
      </c>
      <c r="F1754" s="6" t="s">
        <v>162</v>
      </c>
      <c r="G1754" s="6" t="s">
        <v>404</v>
      </c>
      <c r="H1754" s="6"/>
      <c r="I1754" s="14" t="s">
        <v>1642</v>
      </c>
      <c r="J1754" s="15"/>
      <c r="K1754" s="6" t="s">
        <v>1976</v>
      </c>
      <c r="L1754" s="6"/>
      <c r="M1754" s="6" t="s">
        <v>1643</v>
      </c>
      <c r="N1754" s="6" t="s">
        <v>1644</v>
      </c>
      <c r="O1754" s="7">
        <f>SUMIFS('05_상품별배치367'!$K$7:$K$373,'05_상품별배치367'!$E$7:$E$373,A1754,'05_상품별배치367'!$H$7:$H$373,"본진")</f>
        <v>0</v>
      </c>
      <c r="P1754" s="7">
        <f>SUMIFS('05_상품별배치367'!$K$7:$K$373,'05_상품별배치367'!$E$7:$E$373,A1754,'05_상품별배치367'!$H$7:$H$373,"추가 진열")</f>
        <v>0</v>
      </c>
      <c r="Q1754" s="7">
        <f>O1754+P1754</f>
        <v>0</v>
      </c>
      <c r="R1754" s="7">
        <v>1</v>
      </c>
      <c r="S1754" s="6" t="s">
        <v>2996</v>
      </c>
      <c r="T1754" s="6" t="s">
        <v>1637</v>
      </c>
      <c r="U1754" s="6"/>
      <c r="V1754" s="16"/>
      <c r="W1754" s="16"/>
      <c r="X1754" s="16"/>
      <c r="Y1754" s="6" t="s">
        <v>1627</v>
      </c>
      <c r="Z1754" s="15"/>
      <c r="AA1754" s="15" t="s">
        <v>1628</v>
      </c>
    </row>
    <row r="1755" spans="1:27" ht="33" customHeight="1">
      <c r="A1755" s="8" t="s">
        <v>5275</v>
      </c>
      <c r="B1755" s="9">
        <v>1608</v>
      </c>
      <c r="C1755" s="8" t="s">
        <v>5276</v>
      </c>
      <c r="D1755" s="8" t="s">
        <v>2133</v>
      </c>
      <c r="E1755" s="8" t="s">
        <v>2134</v>
      </c>
      <c r="F1755" s="8" t="s">
        <v>481</v>
      </c>
      <c r="G1755" s="8" t="s">
        <v>193</v>
      </c>
      <c r="H1755" s="8"/>
      <c r="I1755" s="14" t="s">
        <v>1642</v>
      </c>
      <c r="J1755" s="15"/>
      <c r="K1755" s="8" t="s">
        <v>1976</v>
      </c>
      <c r="L1755" s="8"/>
      <c r="M1755" s="6" t="s">
        <v>1643</v>
      </c>
      <c r="N1755" s="6" t="s">
        <v>1644</v>
      </c>
      <c r="O1755" s="7">
        <f>SUMIFS('05_상품별배치367'!$K$7:$K$373,'05_상품별배치367'!$E$7:$E$373,A1755,'05_상품별배치367'!$H$7:$H$373,"본진")</f>
        <v>0</v>
      </c>
      <c r="P1755" s="7">
        <f>SUMIFS('05_상품별배치367'!$K$7:$K$373,'05_상품별배치367'!$E$7:$E$373,A1755,'05_상품별배치367'!$H$7:$H$373,"추가 진열")</f>
        <v>0</v>
      </c>
      <c r="Q1755" s="7">
        <f>O1755+P1755</f>
        <v>0</v>
      </c>
      <c r="R1755" s="7">
        <v>1</v>
      </c>
      <c r="S1755" s="6" t="s">
        <v>3000</v>
      </c>
      <c r="T1755" s="6" t="s">
        <v>1637</v>
      </c>
      <c r="U1755" s="6"/>
      <c r="V1755" s="16"/>
      <c r="W1755" s="16"/>
      <c r="X1755" s="16"/>
      <c r="Y1755" s="6" t="s">
        <v>1627</v>
      </c>
      <c r="Z1755" s="15"/>
      <c r="AA1755" s="15" t="s">
        <v>1628</v>
      </c>
    </row>
    <row r="1756" spans="1:27" ht="33" customHeight="1">
      <c r="A1756" s="6" t="s">
        <v>5277</v>
      </c>
      <c r="B1756" s="7">
        <v>1609</v>
      </c>
      <c r="C1756" s="6" t="s">
        <v>5278</v>
      </c>
      <c r="D1756" s="6" t="s">
        <v>2856</v>
      </c>
      <c r="E1756" s="6" t="s">
        <v>1814</v>
      </c>
      <c r="F1756" s="6" t="s">
        <v>1376</v>
      </c>
      <c r="G1756" s="6" t="s">
        <v>431</v>
      </c>
      <c r="H1756" s="6"/>
      <c r="I1756" s="14" t="s">
        <v>1642</v>
      </c>
      <c r="J1756" s="15"/>
      <c r="K1756" s="6" t="s">
        <v>1976</v>
      </c>
      <c r="L1756" s="6"/>
      <c r="M1756" s="6" t="s">
        <v>1643</v>
      </c>
      <c r="N1756" s="6" t="s">
        <v>1644</v>
      </c>
      <c r="O1756" s="7">
        <f>SUMIFS('05_상품별배치367'!$K$7:$K$373,'05_상품별배치367'!$E$7:$E$373,A1756,'05_상품별배치367'!$H$7:$H$373,"본진")</f>
        <v>0</v>
      </c>
      <c r="P1756" s="7">
        <f>SUMIFS('05_상품별배치367'!$K$7:$K$373,'05_상품별배치367'!$E$7:$E$373,A1756,'05_상품별배치367'!$H$7:$H$373,"추가 진열")</f>
        <v>0</v>
      </c>
      <c r="Q1756" s="7">
        <f>O1756+P1756</f>
        <v>0</v>
      </c>
      <c r="R1756" s="7">
        <v>1</v>
      </c>
      <c r="S1756" s="6" t="s">
        <v>1978</v>
      </c>
      <c r="T1756" s="6" t="s">
        <v>1637</v>
      </c>
      <c r="U1756" s="6"/>
      <c r="V1756" s="16"/>
      <c r="W1756" s="16"/>
      <c r="X1756" s="16"/>
      <c r="Y1756" s="6" t="s">
        <v>1627</v>
      </c>
      <c r="Z1756" s="15"/>
      <c r="AA1756" s="15" t="s">
        <v>1628</v>
      </c>
    </row>
    <row r="1757" spans="1:27" ht="33" customHeight="1">
      <c r="A1757" s="8" t="s">
        <v>5279</v>
      </c>
      <c r="B1757" s="9">
        <v>1610</v>
      </c>
      <c r="C1757" s="8" t="s">
        <v>5280</v>
      </c>
      <c r="D1757" s="8" t="s">
        <v>2133</v>
      </c>
      <c r="E1757" s="8" t="s">
        <v>2134</v>
      </c>
      <c r="F1757" s="8" t="s">
        <v>481</v>
      </c>
      <c r="G1757" s="8" t="s">
        <v>193</v>
      </c>
      <c r="H1757" s="8"/>
      <c r="I1757" s="14" t="s">
        <v>1642</v>
      </c>
      <c r="J1757" s="15"/>
      <c r="K1757" s="8" t="s">
        <v>1976</v>
      </c>
      <c r="L1757" s="8"/>
      <c r="M1757" s="6" t="s">
        <v>1643</v>
      </c>
      <c r="N1757" s="6" t="s">
        <v>1644</v>
      </c>
      <c r="O1757" s="7">
        <f>SUMIFS('05_상품별배치367'!$K$7:$K$373,'05_상품별배치367'!$E$7:$E$373,A1757,'05_상품별배치367'!$H$7:$H$373,"본진")</f>
        <v>0</v>
      </c>
      <c r="P1757" s="7">
        <f>SUMIFS('05_상품별배치367'!$K$7:$K$373,'05_상품별배치367'!$E$7:$E$373,A1757,'05_상품별배치367'!$H$7:$H$373,"추가 진열")</f>
        <v>0</v>
      </c>
      <c r="Q1757" s="7">
        <f>O1757+P1757</f>
        <v>0</v>
      </c>
      <c r="R1757" s="7">
        <v>1</v>
      </c>
      <c r="S1757" s="6" t="s">
        <v>3000</v>
      </c>
      <c r="T1757" s="6" t="s">
        <v>1637</v>
      </c>
      <c r="U1757" s="6"/>
      <c r="V1757" s="16"/>
      <c r="W1757" s="16"/>
      <c r="X1757" s="16"/>
      <c r="Y1757" s="6" t="s">
        <v>1627</v>
      </c>
      <c r="Z1757" s="15"/>
      <c r="AA1757" s="15" t="s">
        <v>1628</v>
      </c>
    </row>
    <row r="1758" spans="1:27" ht="33" customHeight="1">
      <c r="A1758" s="6" t="s">
        <v>5281</v>
      </c>
      <c r="B1758" s="7">
        <v>1611</v>
      </c>
      <c r="C1758" s="6" t="s">
        <v>5282</v>
      </c>
      <c r="D1758" s="6" t="s">
        <v>1851</v>
      </c>
      <c r="E1758" s="6" t="s">
        <v>2134</v>
      </c>
      <c r="F1758" s="6" t="s">
        <v>481</v>
      </c>
      <c r="G1758" s="6" t="s">
        <v>193</v>
      </c>
      <c r="H1758" s="6"/>
      <c r="I1758" s="14" t="s">
        <v>1642</v>
      </c>
      <c r="J1758" s="15"/>
      <c r="K1758" s="6" t="s">
        <v>1976</v>
      </c>
      <c r="L1758" s="6"/>
      <c r="M1758" s="6" t="s">
        <v>1643</v>
      </c>
      <c r="N1758" s="6" t="s">
        <v>1644</v>
      </c>
      <c r="O1758" s="7">
        <f>SUMIFS('05_상품별배치367'!$K$7:$K$373,'05_상품별배치367'!$E$7:$E$373,A1758,'05_상품별배치367'!$H$7:$H$373,"본진")</f>
        <v>0</v>
      </c>
      <c r="P1758" s="7">
        <f>SUMIFS('05_상품별배치367'!$K$7:$K$373,'05_상품별배치367'!$E$7:$E$373,A1758,'05_상품별배치367'!$H$7:$H$373,"추가 진열")</f>
        <v>0</v>
      </c>
      <c r="Q1758" s="7">
        <f>O1758+P1758</f>
        <v>0</v>
      </c>
      <c r="R1758" s="7">
        <v>1</v>
      </c>
      <c r="S1758" s="6" t="s">
        <v>3000</v>
      </c>
      <c r="T1758" s="6" t="s">
        <v>1637</v>
      </c>
      <c r="U1758" s="6"/>
      <c r="V1758" s="16"/>
      <c r="W1758" s="16"/>
      <c r="X1758" s="16"/>
      <c r="Y1758" s="6" t="s">
        <v>1627</v>
      </c>
      <c r="Z1758" s="15"/>
      <c r="AA1758" s="15" t="s">
        <v>1628</v>
      </c>
    </row>
    <row r="1759" spans="1:27" ht="33" customHeight="1">
      <c r="A1759" s="8" t="s">
        <v>1774</v>
      </c>
      <c r="B1759" s="9">
        <v>52</v>
      </c>
      <c r="C1759" s="8" t="s">
        <v>1775</v>
      </c>
      <c r="D1759" s="8" t="s">
        <v>1640</v>
      </c>
      <c r="E1759" s="8" t="s">
        <v>1641</v>
      </c>
      <c r="F1759" s="8" t="s">
        <v>670</v>
      </c>
      <c r="G1759" s="8" t="s">
        <v>91</v>
      </c>
      <c r="H1759" s="8"/>
      <c r="I1759" s="14" t="s">
        <v>1642</v>
      </c>
      <c r="J1759" s="15"/>
      <c r="K1759" s="8" t="s">
        <v>1634</v>
      </c>
      <c r="L1759" s="8"/>
      <c r="M1759" s="6" t="s">
        <v>1643</v>
      </c>
      <c r="N1759" s="6" t="s">
        <v>1624</v>
      </c>
      <c r="O1759" s="7">
        <f>SUMIFS('05_상품별배치367'!$K$7:$K$373,'05_상품별배치367'!$E$7:$E$373,A1759,'05_상품별배치367'!$H$7:$H$373,"본진")</f>
        <v>0</v>
      </c>
      <c r="P1759" s="7">
        <f>SUMIFS('05_상품별배치367'!$K$7:$K$373,'05_상품별배치367'!$E$7:$E$373,A1759,'05_상품별배치367'!$H$7:$H$373,"추가 진열")</f>
        <v>0</v>
      </c>
      <c r="Q1759" s="7">
        <f>O1759+P1759</f>
        <v>0</v>
      </c>
      <c r="R1759" s="7">
        <v>1</v>
      </c>
      <c r="S1759" s="6" t="s">
        <v>1645</v>
      </c>
      <c r="T1759" s="6" t="s">
        <v>1637</v>
      </c>
      <c r="U1759" s="6"/>
      <c r="V1759" s="16"/>
      <c r="W1759" s="16"/>
      <c r="X1759" s="16"/>
      <c r="Y1759" s="6" t="s">
        <v>1627</v>
      </c>
      <c r="Z1759" s="15"/>
      <c r="AA1759" s="15" t="s">
        <v>1628</v>
      </c>
    </row>
    <row r="1760" spans="1:27" ht="33" customHeight="1">
      <c r="A1760" s="6" t="s">
        <v>1776</v>
      </c>
      <c r="B1760" s="7">
        <v>53</v>
      </c>
      <c r="C1760" s="6" t="s">
        <v>1777</v>
      </c>
      <c r="D1760" s="6" t="s">
        <v>1640</v>
      </c>
      <c r="E1760" s="6" t="s">
        <v>1641</v>
      </c>
      <c r="F1760" s="6" t="s">
        <v>670</v>
      </c>
      <c r="G1760" s="6" t="s">
        <v>91</v>
      </c>
      <c r="H1760" s="6"/>
      <c r="I1760" s="14" t="s">
        <v>1642</v>
      </c>
      <c r="J1760" s="15"/>
      <c r="K1760" s="6" t="s">
        <v>1634</v>
      </c>
      <c r="L1760" s="6"/>
      <c r="M1760" s="6" t="s">
        <v>1643</v>
      </c>
      <c r="N1760" s="6" t="s">
        <v>1644</v>
      </c>
      <c r="O1760" s="7">
        <f>SUMIFS('05_상품별배치367'!$K$7:$K$373,'05_상품별배치367'!$E$7:$E$373,A1760,'05_상품별배치367'!$H$7:$H$373,"본진")</f>
        <v>0</v>
      </c>
      <c r="P1760" s="7">
        <f>SUMIFS('05_상품별배치367'!$K$7:$K$373,'05_상품별배치367'!$E$7:$E$373,A1760,'05_상품별배치367'!$H$7:$H$373,"추가 진열")</f>
        <v>0</v>
      </c>
      <c r="Q1760" s="7">
        <f>O1760+P1760</f>
        <v>0</v>
      </c>
      <c r="R1760" s="7">
        <v>1</v>
      </c>
      <c r="S1760" s="6" t="s">
        <v>1645</v>
      </c>
      <c r="T1760" s="6" t="s">
        <v>1637</v>
      </c>
      <c r="U1760" s="6"/>
      <c r="V1760" s="16"/>
      <c r="W1760" s="16"/>
      <c r="X1760" s="16"/>
      <c r="Y1760" s="6" t="s">
        <v>1627</v>
      </c>
      <c r="Z1760" s="15"/>
      <c r="AA1760" s="15" t="s">
        <v>1628</v>
      </c>
    </row>
    <row r="1761" spans="1:27" ht="33" customHeight="1">
      <c r="A1761" s="6" t="s">
        <v>6170</v>
      </c>
      <c r="B1761" s="7">
        <v>2021</v>
      </c>
      <c r="C1761" s="6" t="s">
        <v>6171</v>
      </c>
      <c r="D1761" s="6" t="s">
        <v>6172</v>
      </c>
      <c r="E1761" s="6" t="s">
        <v>1641</v>
      </c>
      <c r="F1761" s="6" t="s">
        <v>670</v>
      </c>
      <c r="G1761" s="6" t="s">
        <v>91</v>
      </c>
      <c r="H1761" s="6"/>
      <c r="I1761" s="14" t="s">
        <v>1642</v>
      </c>
      <c r="J1761" s="15"/>
      <c r="K1761" s="6" t="s">
        <v>1634</v>
      </c>
      <c r="L1761" s="6" t="s">
        <v>3828</v>
      </c>
      <c r="M1761" s="6" t="s">
        <v>1643</v>
      </c>
      <c r="N1761" s="6" t="s">
        <v>1624</v>
      </c>
      <c r="O1761" s="7">
        <f>SUMIFS('05_상품별배치367'!$K$7:$K$373,'05_상품별배치367'!$E$7:$E$373,A1761,'05_상품별배치367'!$H$7:$H$373,"본진")</f>
        <v>0</v>
      </c>
      <c r="P1761" s="7">
        <f>SUMIFS('05_상품별배치367'!$K$7:$K$373,'05_상품별배치367'!$E$7:$E$373,A1761,'05_상품별배치367'!$H$7:$H$373,"추가 진열")</f>
        <v>0</v>
      </c>
      <c r="Q1761" s="7">
        <f>O1761+P1761</f>
        <v>0</v>
      </c>
      <c r="R1761" s="7">
        <v>1</v>
      </c>
      <c r="S1761" s="6" t="s">
        <v>1645</v>
      </c>
      <c r="T1761" s="6" t="s">
        <v>1637</v>
      </c>
      <c r="U1761" s="6"/>
      <c r="V1761" s="16"/>
      <c r="W1761" s="16"/>
      <c r="X1761" s="16"/>
      <c r="Y1761" s="6" t="s">
        <v>1655</v>
      </c>
      <c r="Z1761" s="15"/>
      <c r="AA1761" s="15" t="s">
        <v>1628</v>
      </c>
    </row>
    <row r="1762" spans="1:27" ht="33" customHeight="1">
      <c r="A1762" s="8" t="s">
        <v>1871</v>
      </c>
      <c r="B1762" s="9">
        <v>86</v>
      </c>
      <c r="C1762" s="8" t="s">
        <v>1872</v>
      </c>
      <c r="D1762" s="8" t="s">
        <v>1873</v>
      </c>
      <c r="E1762" s="8" t="s">
        <v>1695</v>
      </c>
      <c r="F1762" s="8" t="s">
        <v>1143</v>
      </c>
      <c r="G1762" s="8" t="s">
        <v>315</v>
      </c>
      <c r="H1762" s="8"/>
      <c r="I1762" s="14" t="s">
        <v>1642</v>
      </c>
      <c r="J1762" s="15"/>
      <c r="K1762" s="8" t="s">
        <v>1696</v>
      </c>
      <c r="L1762" s="8"/>
      <c r="M1762" s="6" t="s">
        <v>1643</v>
      </c>
      <c r="N1762" s="6" t="s">
        <v>1624</v>
      </c>
      <c r="O1762" s="7">
        <f>SUMIFS('05_상품별배치367'!$K$7:$K$373,'05_상품별배치367'!$E$7:$E$373,A1762,'05_상품별배치367'!$H$7:$H$373,"본진")</f>
        <v>0</v>
      </c>
      <c r="P1762" s="7">
        <f>SUMIFS('05_상품별배치367'!$K$7:$K$373,'05_상품별배치367'!$E$7:$E$373,A1762,'05_상품별배치367'!$H$7:$H$373,"추가 진열")</f>
        <v>0</v>
      </c>
      <c r="Q1762" s="7">
        <f>O1762+P1762</f>
        <v>0</v>
      </c>
      <c r="R1762" s="7">
        <v>1</v>
      </c>
      <c r="S1762" s="6" t="s">
        <v>1859</v>
      </c>
      <c r="T1762" s="6" t="s">
        <v>1637</v>
      </c>
      <c r="U1762" s="6"/>
      <c r="V1762" s="16"/>
      <c r="W1762" s="16"/>
      <c r="X1762" s="16"/>
      <c r="Y1762" s="6" t="s">
        <v>1627</v>
      </c>
      <c r="Z1762" s="15"/>
      <c r="AA1762" s="15" t="s">
        <v>1628</v>
      </c>
    </row>
    <row r="1763" spans="1:27" ht="33" customHeight="1">
      <c r="A1763" s="6" t="s">
        <v>1856</v>
      </c>
      <c r="B1763" s="7">
        <v>81</v>
      </c>
      <c r="C1763" s="6" t="s">
        <v>1857</v>
      </c>
      <c r="D1763" s="6" t="s">
        <v>1858</v>
      </c>
      <c r="E1763" s="6" t="s">
        <v>1695</v>
      </c>
      <c r="F1763" s="6" t="s">
        <v>1143</v>
      </c>
      <c r="G1763" s="6" t="s">
        <v>315</v>
      </c>
      <c r="H1763" s="6"/>
      <c r="I1763" s="14" t="s">
        <v>1642</v>
      </c>
      <c r="J1763" s="15"/>
      <c r="K1763" s="6" t="s">
        <v>1696</v>
      </c>
      <c r="L1763" s="6"/>
      <c r="M1763" s="6" t="s">
        <v>1643</v>
      </c>
      <c r="N1763" s="6" t="s">
        <v>1624</v>
      </c>
      <c r="O1763" s="7">
        <f>SUMIFS('05_상품별배치367'!$K$7:$K$373,'05_상품별배치367'!$E$7:$E$373,A1763,'05_상품별배치367'!$H$7:$H$373,"본진")</f>
        <v>0</v>
      </c>
      <c r="P1763" s="7">
        <f>SUMIFS('05_상품별배치367'!$K$7:$K$373,'05_상품별배치367'!$E$7:$E$373,A1763,'05_상품별배치367'!$H$7:$H$373,"추가 진열")</f>
        <v>0</v>
      </c>
      <c r="Q1763" s="7">
        <f>O1763+P1763</f>
        <v>0</v>
      </c>
      <c r="R1763" s="7">
        <v>1</v>
      </c>
      <c r="S1763" s="6" t="s">
        <v>1859</v>
      </c>
      <c r="T1763" s="6" t="s">
        <v>1637</v>
      </c>
      <c r="U1763" s="6"/>
      <c r="V1763" s="16"/>
      <c r="W1763" s="16"/>
      <c r="X1763" s="16"/>
      <c r="Y1763" s="6" t="s">
        <v>1627</v>
      </c>
      <c r="Z1763" s="15"/>
      <c r="AA1763" s="15" t="s">
        <v>1628</v>
      </c>
    </row>
    <row r="1764" spans="1:27" ht="33" customHeight="1">
      <c r="A1764" s="6" t="s">
        <v>1863</v>
      </c>
      <c r="B1764" s="7">
        <v>83</v>
      </c>
      <c r="C1764" s="6" t="s">
        <v>1864</v>
      </c>
      <c r="D1764" s="6" t="s">
        <v>1865</v>
      </c>
      <c r="E1764" s="6" t="s">
        <v>1695</v>
      </c>
      <c r="F1764" s="6" t="s">
        <v>1143</v>
      </c>
      <c r="G1764" s="6" t="s">
        <v>315</v>
      </c>
      <c r="H1764" s="6"/>
      <c r="I1764" s="14" t="s">
        <v>1642</v>
      </c>
      <c r="J1764" s="15"/>
      <c r="K1764" s="6" t="s">
        <v>1696</v>
      </c>
      <c r="L1764" s="6"/>
      <c r="M1764" s="6" t="s">
        <v>1643</v>
      </c>
      <c r="N1764" s="6" t="s">
        <v>1624</v>
      </c>
      <c r="O1764" s="7">
        <f>SUMIFS('05_상품별배치367'!$K$7:$K$373,'05_상품별배치367'!$E$7:$E$373,A1764,'05_상품별배치367'!$H$7:$H$373,"본진")</f>
        <v>0</v>
      </c>
      <c r="P1764" s="7">
        <f>SUMIFS('05_상품별배치367'!$K$7:$K$373,'05_상품별배치367'!$E$7:$E$373,A1764,'05_상품별배치367'!$H$7:$H$373,"추가 진열")</f>
        <v>0</v>
      </c>
      <c r="Q1764" s="7">
        <f>O1764+P1764</f>
        <v>0</v>
      </c>
      <c r="R1764" s="7">
        <v>1</v>
      </c>
      <c r="S1764" s="6" t="s">
        <v>1859</v>
      </c>
      <c r="T1764" s="6" t="s">
        <v>1637</v>
      </c>
      <c r="U1764" s="6"/>
      <c r="V1764" s="16"/>
      <c r="W1764" s="16"/>
      <c r="X1764" s="16"/>
      <c r="Y1764" s="6" t="s">
        <v>1627</v>
      </c>
      <c r="Z1764" s="15"/>
      <c r="AA1764" s="15" t="s">
        <v>1628</v>
      </c>
    </row>
    <row r="1765" spans="1:27" ht="33" customHeight="1">
      <c r="A1765" s="8" t="s">
        <v>1860</v>
      </c>
      <c r="B1765" s="9">
        <v>82</v>
      </c>
      <c r="C1765" s="8" t="s">
        <v>1861</v>
      </c>
      <c r="D1765" s="8" t="s">
        <v>1862</v>
      </c>
      <c r="E1765" s="8" t="s">
        <v>1695</v>
      </c>
      <c r="F1765" s="8" t="s">
        <v>1143</v>
      </c>
      <c r="G1765" s="8" t="s">
        <v>315</v>
      </c>
      <c r="H1765" s="8"/>
      <c r="I1765" s="14" t="s">
        <v>1642</v>
      </c>
      <c r="J1765" s="15"/>
      <c r="K1765" s="8" t="s">
        <v>1696</v>
      </c>
      <c r="L1765" s="8"/>
      <c r="M1765" s="6" t="s">
        <v>1643</v>
      </c>
      <c r="N1765" s="6" t="s">
        <v>1624</v>
      </c>
      <c r="O1765" s="7">
        <f>SUMIFS('05_상품별배치367'!$K$7:$K$373,'05_상품별배치367'!$E$7:$E$373,A1765,'05_상품별배치367'!$H$7:$H$373,"본진")</f>
        <v>0</v>
      </c>
      <c r="P1765" s="7">
        <f>SUMIFS('05_상품별배치367'!$K$7:$K$373,'05_상품별배치367'!$E$7:$E$373,A1765,'05_상품별배치367'!$H$7:$H$373,"추가 진열")</f>
        <v>0</v>
      </c>
      <c r="Q1765" s="7">
        <f>O1765+P1765</f>
        <v>0</v>
      </c>
      <c r="R1765" s="7">
        <v>1</v>
      </c>
      <c r="S1765" s="6" t="s">
        <v>1859</v>
      </c>
      <c r="T1765" s="6" t="s">
        <v>1637</v>
      </c>
      <c r="U1765" s="6"/>
      <c r="V1765" s="16"/>
      <c r="W1765" s="16"/>
      <c r="X1765" s="16"/>
      <c r="Y1765" s="6" t="s">
        <v>1627</v>
      </c>
      <c r="Z1765" s="15"/>
      <c r="AA1765" s="15" t="s">
        <v>1628</v>
      </c>
    </row>
    <row r="1766" spans="1:27" ht="33" customHeight="1">
      <c r="A1766" s="8" t="s">
        <v>1866</v>
      </c>
      <c r="B1766" s="9">
        <v>84</v>
      </c>
      <c r="C1766" s="8" t="s">
        <v>1867</v>
      </c>
      <c r="D1766" s="8" t="s">
        <v>1694</v>
      </c>
      <c r="E1766" s="8" t="s">
        <v>1695</v>
      </c>
      <c r="F1766" s="8" t="s">
        <v>1143</v>
      </c>
      <c r="G1766" s="8" t="s">
        <v>315</v>
      </c>
      <c r="H1766" s="8"/>
      <c r="I1766" s="14" t="s">
        <v>1642</v>
      </c>
      <c r="J1766" s="15"/>
      <c r="K1766" s="8" t="s">
        <v>1696</v>
      </c>
      <c r="L1766" s="8"/>
      <c r="M1766" s="6" t="s">
        <v>1643</v>
      </c>
      <c r="N1766" s="6" t="s">
        <v>1624</v>
      </c>
      <c r="O1766" s="7">
        <f>SUMIFS('05_상품별배치367'!$K$7:$K$373,'05_상품별배치367'!$E$7:$E$373,A1766,'05_상품별배치367'!$H$7:$H$373,"본진")</f>
        <v>0</v>
      </c>
      <c r="P1766" s="7">
        <f>SUMIFS('05_상품별배치367'!$K$7:$K$373,'05_상품별배치367'!$E$7:$E$373,A1766,'05_상품별배치367'!$H$7:$H$373,"추가 진열")</f>
        <v>0</v>
      </c>
      <c r="Q1766" s="7">
        <f>O1766+P1766</f>
        <v>0</v>
      </c>
      <c r="R1766" s="7">
        <v>1</v>
      </c>
      <c r="S1766" s="6" t="s">
        <v>1859</v>
      </c>
      <c r="T1766" s="6" t="s">
        <v>1637</v>
      </c>
      <c r="U1766" s="6"/>
      <c r="V1766" s="16"/>
      <c r="W1766" s="16"/>
      <c r="X1766" s="16"/>
      <c r="Y1766" s="6" t="s">
        <v>1627</v>
      </c>
      <c r="Z1766" s="15"/>
      <c r="AA1766" s="15" t="s">
        <v>1628</v>
      </c>
    </row>
    <row r="1767" spans="1:27" ht="33" customHeight="1">
      <c r="A1767" s="6" t="s">
        <v>1868</v>
      </c>
      <c r="B1767" s="7">
        <v>85</v>
      </c>
      <c r="C1767" s="6" t="s">
        <v>1869</v>
      </c>
      <c r="D1767" s="6" t="s">
        <v>1870</v>
      </c>
      <c r="E1767" s="6" t="s">
        <v>1695</v>
      </c>
      <c r="F1767" s="6" t="s">
        <v>1143</v>
      </c>
      <c r="G1767" s="6" t="s">
        <v>315</v>
      </c>
      <c r="H1767" s="6"/>
      <c r="I1767" s="14" t="s">
        <v>1642</v>
      </c>
      <c r="J1767" s="15"/>
      <c r="K1767" s="6" t="s">
        <v>1696</v>
      </c>
      <c r="L1767" s="6"/>
      <c r="M1767" s="6" t="s">
        <v>1643</v>
      </c>
      <c r="N1767" s="6" t="s">
        <v>1624</v>
      </c>
      <c r="O1767" s="7">
        <f>SUMIFS('05_상품별배치367'!$K$7:$K$373,'05_상품별배치367'!$E$7:$E$373,A1767,'05_상품별배치367'!$H$7:$H$373,"본진")</f>
        <v>0</v>
      </c>
      <c r="P1767" s="7">
        <f>SUMIFS('05_상품별배치367'!$K$7:$K$373,'05_상품별배치367'!$E$7:$E$373,A1767,'05_상품별배치367'!$H$7:$H$373,"추가 진열")</f>
        <v>0</v>
      </c>
      <c r="Q1767" s="7">
        <f>O1767+P1767</f>
        <v>0</v>
      </c>
      <c r="R1767" s="7">
        <v>1</v>
      </c>
      <c r="S1767" s="6" t="s">
        <v>1859</v>
      </c>
      <c r="T1767" s="6" t="s">
        <v>1637</v>
      </c>
      <c r="U1767" s="6"/>
      <c r="V1767" s="16"/>
      <c r="W1767" s="16"/>
      <c r="X1767" s="16"/>
      <c r="Y1767" s="6" t="s">
        <v>1627</v>
      </c>
      <c r="Z1767" s="15"/>
      <c r="AA1767" s="15" t="s">
        <v>1628</v>
      </c>
    </row>
    <row r="1768" spans="1:27" ht="33" customHeight="1">
      <c r="A1768" s="8" t="s">
        <v>6429</v>
      </c>
      <c r="B1768" s="9">
        <v>2132</v>
      </c>
      <c r="C1768" s="8" t="s">
        <v>6430</v>
      </c>
      <c r="D1768" s="8" t="s">
        <v>2007</v>
      </c>
      <c r="E1768" s="8" t="s">
        <v>1666</v>
      </c>
      <c r="F1768" s="8" t="s">
        <v>1852</v>
      </c>
      <c r="G1768" s="8" t="s">
        <v>1853</v>
      </c>
      <c r="H1768" s="8"/>
      <c r="I1768" s="14" t="s">
        <v>1669</v>
      </c>
      <c r="J1768" s="15"/>
      <c r="K1768" s="8" t="s">
        <v>1670</v>
      </c>
      <c r="L1768" s="8"/>
      <c r="M1768" s="6" t="s">
        <v>1671</v>
      </c>
      <c r="N1768" s="6" t="s">
        <v>1644</v>
      </c>
      <c r="O1768" s="7">
        <f>SUMIFS('05_상품별배치367'!$K$7:$K$373,'05_상품별배치367'!$E$7:$E$373,A1768,'05_상품별배치367'!$H$7:$H$373,"본진")</f>
        <v>0</v>
      </c>
      <c r="P1768" s="7">
        <f>SUMIFS('05_상품별배치367'!$K$7:$K$373,'05_상품별배치367'!$E$7:$E$373,A1768,'05_상품별배치367'!$H$7:$H$373,"추가 진열")</f>
        <v>0</v>
      </c>
      <c r="Q1768" s="7">
        <f>O1768+P1768</f>
        <v>0</v>
      </c>
      <c r="R1768" s="7">
        <v>0</v>
      </c>
      <c r="S1768" s="6" t="s">
        <v>1672</v>
      </c>
      <c r="T1768" s="6" t="s">
        <v>1637</v>
      </c>
      <c r="U1768" s="6"/>
      <c r="V1768" s="16"/>
      <c r="W1768" s="16"/>
      <c r="X1768" s="16"/>
      <c r="Y1768" s="6" t="s">
        <v>1627</v>
      </c>
      <c r="Z1768" s="15"/>
      <c r="AA1768" s="15" t="s">
        <v>1628</v>
      </c>
    </row>
    <row r="1769" spans="1:27" ht="33" customHeight="1">
      <c r="A1769" s="6" t="s">
        <v>6431</v>
      </c>
      <c r="B1769" s="7">
        <v>2133</v>
      </c>
      <c r="C1769" s="6" t="s">
        <v>6432</v>
      </c>
      <c r="D1769" s="6" t="s">
        <v>2007</v>
      </c>
      <c r="E1769" s="6" t="s">
        <v>1666</v>
      </c>
      <c r="F1769" s="6" t="s">
        <v>1852</v>
      </c>
      <c r="G1769" s="6" t="s">
        <v>1853</v>
      </c>
      <c r="H1769" s="6"/>
      <c r="I1769" s="14" t="s">
        <v>1669</v>
      </c>
      <c r="J1769" s="15"/>
      <c r="K1769" s="6" t="s">
        <v>1670</v>
      </c>
      <c r="L1769" s="6"/>
      <c r="M1769" s="6" t="s">
        <v>1671</v>
      </c>
      <c r="N1769" s="6" t="s">
        <v>1644</v>
      </c>
      <c r="O1769" s="7">
        <f>SUMIFS('05_상품별배치367'!$K$7:$K$373,'05_상품별배치367'!$E$7:$E$373,A1769,'05_상품별배치367'!$H$7:$H$373,"본진")</f>
        <v>0</v>
      </c>
      <c r="P1769" s="7">
        <f>SUMIFS('05_상품별배치367'!$K$7:$K$373,'05_상품별배치367'!$E$7:$E$373,A1769,'05_상품별배치367'!$H$7:$H$373,"추가 진열")</f>
        <v>0</v>
      </c>
      <c r="Q1769" s="7">
        <f>O1769+P1769</f>
        <v>0</v>
      </c>
      <c r="R1769" s="7">
        <v>0</v>
      </c>
      <c r="S1769" s="6" t="s">
        <v>1672</v>
      </c>
      <c r="T1769" s="6" t="s">
        <v>1637</v>
      </c>
      <c r="U1769" s="6"/>
      <c r="V1769" s="16"/>
      <c r="W1769" s="16"/>
      <c r="X1769" s="16"/>
      <c r="Y1769" s="6" t="s">
        <v>1627</v>
      </c>
      <c r="Z1769" s="15"/>
      <c r="AA1769" s="15" t="s">
        <v>1628</v>
      </c>
    </row>
    <row r="1770" spans="1:27" ht="33" customHeight="1">
      <c r="A1770" s="8" t="s">
        <v>6433</v>
      </c>
      <c r="B1770" s="9">
        <v>2134</v>
      </c>
      <c r="C1770" s="8" t="s">
        <v>6434</v>
      </c>
      <c r="D1770" s="8" t="s">
        <v>2007</v>
      </c>
      <c r="E1770" s="8" t="s">
        <v>1666</v>
      </c>
      <c r="F1770" s="8" t="s">
        <v>1852</v>
      </c>
      <c r="G1770" s="8" t="s">
        <v>1853</v>
      </c>
      <c r="H1770" s="8"/>
      <c r="I1770" s="14" t="s">
        <v>1669</v>
      </c>
      <c r="J1770" s="15"/>
      <c r="K1770" s="8" t="s">
        <v>1670</v>
      </c>
      <c r="L1770" s="8"/>
      <c r="M1770" s="6" t="s">
        <v>1671</v>
      </c>
      <c r="N1770" s="6" t="s">
        <v>1644</v>
      </c>
      <c r="O1770" s="7">
        <f>SUMIFS('05_상품별배치367'!$K$7:$K$373,'05_상품별배치367'!$E$7:$E$373,A1770,'05_상품별배치367'!$H$7:$H$373,"본진")</f>
        <v>0</v>
      </c>
      <c r="P1770" s="7">
        <f>SUMIFS('05_상품별배치367'!$K$7:$K$373,'05_상품별배치367'!$E$7:$E$373,A1770,'05_상품별배치367'!$H$7:$H$373,"추가 진열")</f>
        <v>0</v>
      </c>
      <c r="Q1770" s="7">
        <f>O1770+P1770</f>
        <v>0</v>
      </c>
      <c r="R1770" s="7">
        <v>0</v>
      </c>
      <c r="S1770" s="6" t="s">
        <v>1672</v>
      </c>
      <c r="T1770" s="6" t="s">
        <v>1637</v>
      </c>
      <c r="U1770" s="6"/>
      <c r="V1770" s="16"/>
      <c r="W1770" s="16"/>
      <c r="X1770" s="16"/>
      <c r="Y1770" s="6" t="s">
        <v>1627</v>
      </c>
      <c r="Z1770" s="15"/>
      <c r="AA1770" s="15" t="s">
        <v>1628</v>
      </c>
    </row>
    <row r="1771" spans="1:27" ht="33" customHeight="1">
      <c r="A1771" s="6" t="s">
        <v>6435</v>
      </c>
      <c r="B1771" s="7">
        <v>2135</v>
      </c>
      <c r="C1771" s="6" t="s">
        <v>6436</v>
      </c>
      <c r="D1771" s="6" t="s">
        <v>2007</v>
      </c>
      <c r="E1771" s="6" t="s">
        <v>1666</v>
      </c>
      <c r="F1771" s="6" t="s">
        <v>1852</v>
      </c>
      <c r="G1771" s="6" t="s">
        <v>1853</v>
      </c>
      <c r="H1771" s="6"/>
      <c r="I1771" s="14" t="s">
        <v>1669</v>
      </c>
      <c r="J1771" s="15"/>
      <c r="K1771" s="6" t="s">
        <v>1670</v>
      </c>
      <c r="L1771" s="6"/>
      <c r="M1771" s="6" t="s">
        <v>1671</v>
      </c>
      <c r="N1771" s="6" t="s">
        <v>1644</v>
      </c>
      <c r="O1771" s="7">
        <f>SUMIFS('05_상품별배치367'!$K$7:$K$373,'05_상품별배치367'!$E$7:$E$373,A1771,'05_상품별배치367'!$H$7:$H$373,"본진")</f>
        <v>0</v>
      </c>
      <c r="P1771" s="7">
        <f>SUMIFS('05_상품별배치367'!$K$7:$K$373,'05_상품별배치367'!$E$7:$E$373,A1771,'05_상품별배치367'!$H$7:$H$373,"추가 진열")</f>
        <v>0</v>
      </c>
      <c r="Q1771" s="7">
        <f>O1771+P1771</f>
        <v>0</v>
      </c>
      <c r="R1771" s="7">
        <v>0</v>
      </c>
      <c r="S1771" s="6" t="s">
        <v>1672</v>
      </c>
      <c r="T1771" s="6" t="s">
        <v>1637</v>
      </c>
      <c r="U1771" s="6"/>
      <c r="V1771" s="16"/>
      <c r="W1771" s="16"/>
      <c r="X1771" s="16"/>
      <c r="Y1771" s="6" t="s">
        <v>1627</v>
      </c>
      <c r="Z1771" s="15"/>
      <c r="AA1771" s="15" t="s">
        <v>1628</v>
      </c>
    </row>
    <row r="1772" spans="1:27" ht="33" customHeight="1">
      <c r="A1772" s="6" t="s">
        <v>5871</v>
      </c>
      <c r="B1772" s="7">
        <v>1891</v>
      </c>
      <c r="C1772" s="6" t="s">
        <v>5872</v>
      </c>
      <c r="D1772" s="6" t="s">
        <v>2572</v>
      </c>
      <c r="E1772" s="6" t="s">
        <v>1632</v>
      </c>
      <c r="F1772" s="6" t="s">
        <v>1034</v>
      </c>
      <c r="G1772" s="6" t="s">
        <v>263</v>
      </c>
      <c r="H1772" s="6" t="s">
        <v>1039</v>
      </c>
      <c r="I1772" s="14" t="s">
        <v>1621</v>
      </c>
      <c r="J1772" s="15"/>
      <c r="K1772" s="6" t="s">
        <v>1634</v>
      </c>
      <c r="L1772" s="6" t="s">
        <v>3828</v>
      </c>
      <c r="M1772" s="6" t="s">
        <v>1623</v>
      </c>
      <c r="N1772" s="6" t="s">
        <v>1624</v>
      </c>
      <c r="O1772" s="7">
        <f>SUMIFS('05_상품별배치367'!$K$7:$K$373,'05_상품별배치367'!$E$7:$E$373,A1772,'05_상품별배치367'!$H$7:$H$373,"본진")</f>
        <v>1</v>
      </c>
      <c r="P1772" s="7">
        <f>SUMIFS('05_상품별배치367'!$K$7:$K$373,'05_상품별배치367'!$E$7:$E$373,A1772,'05_상품별배치367'!$H$7:$H$373,"추가 진열")</f>
        <v>0</v>
      </c>
      <c r="Q1772" s="7">
        <f>O1772+P1772</f>
        <v>1</v>
      </c>
      <c r="R1772" s="7">
        <v>1</v>
      </c>
      <c r="S1772" s="6" t="s">
        <v>1625</v>
      </c>
      <c r="T1772" s="6" t="s">
        <v>1637</v>
      </c>
      <c r="U1772" s="6"/>
      <c r="V1772" s="16"/>
      <c r="W1772" s="16"/>
      <c r="X1772" s="16"/>
      <c r="Y1772" s="6" t="s">
        <v>1627</v>
      </c>
      <c r="Z1772" s="15"/>
      <c r="AA1772" s="15" t="s">
        <v>1628</v>
      </c>
    </row>
    <row r="1773" spans="1:27" ht="33" customHeight="1">
      <c r="A1773" s="6" t="s">
        <v>4732</v>
      </c>
      <c r="B1773" s="7">
        <v>1351</v>
      </c>
      <c r="C1773" s="6" t="s">
        <v>4733</v>
      </c>
      <c r="D1773" s="6" t="s">
        <v>2133</v>
      </c>
      <c r="E1773" s="6" t="s">
        <v>2134</v>
      </c>
      <c r="F1773" s="6" t="s">
        <v>2933</v>
      </c>
      <c r="G1773" s="6" t="s">
        <v>1668</v>
      </c>
      <c r="H1773" s="6"/>
      <c r="I1773" s="14" t="s">
        <v>1807</v>
      </c>
      <c r="J1773" s="15"/>
      <c r="K1773" s="6" t="s">
        <v>1976</v>
      </c>
      <c r="L1773" s="6" t="s">
        <v>2032</v>
      </c>
      <c r="M1773" s="6" t="s">
        <v>1809</v>
      </c>
      <c r="N1773" s="6" t="s">
        <v>1644</v>
      </c>
      <c r="O1773" s="7">
        <f>SUMIFS('05_상품별배치367'!$K$7:$K$373,'05_상품별배치367'!$E$7:$E$373,A1773,'05_상품별배치367'!$H$7:$H$373,"본진")</f>
        <v>0</v>
      </c>
      <c r="P1773" s="7">
        <f>SUMIFS('05_상품별배치367'!$K$7:$K$373,'05_상품별배치367'!$E$7:$E$373,A1773,'05_상품별배치367'!$H$7:$H$373,"추가 진열")</f>
        <v>0</v>
      </c>
      <c r="Q1773" s="7">
        <f>O1773+P1773</f>
        <v>0</v>
      </c>
      <c r="R1773" s="7">
        <v>0</v>
      </c>
      <c r="S1773" s="6" t="s">
        <v>1810</v>
      </c>
      <c r="T1773" s="6" t="s">
        <v>1637</v>
      </c>
      <c r="U1773" s="6"/>
      <c r="V1773" s="16"/>
      <c r="W1773" s="16"/>
      <c r="X1773" s="16"/>
      <c r="Y1773" s="6" t="s">
        <v>1627</v>
      </c>
      <c r="Z1773" s="15"/>
      <c r="AA1773" s="15" t="s">
        <v>1628</v>
      </c>
    </row>
    <row r="1774" spans="1:27" ht="33" customHeight="1">
      <c r="A1774" s="8" t="s">
        <v>4730</v>
      </c>
      <c r="B1774" s="9">
        <v>1350</v>
      </c>
      <c r="C1774" s="8" t="s">
        <v>4731</v>
      </c>
      <c r="D1774" s="8" t="s">
        <v>2856</v>
      </c>
      <c r="E1774" s="8" t="s">
        <v>2134</v>
      </c>
      <c r="F1774" s="8" t="s">
        <v>2933</v>
      </c>
      <c r="G1774" s="8" t="s">
        <v>1668</v>
      </c>
      <c r="H1774" s="8"/>
      <c r="I1774" s="14" t="s">
        <v>1807</v>
      </c>
      <c r="J1774" s="15"/>
      <c r="K1774" s="8" t="s">
        <v>1976</v>
      </c>
      <c r="L1774" s="8" t="s">
        <v>2032</v>
      </c>
      <c r="M1774" s="6" t="s">
        <v>1809</v>
      </c>
      <c r="N1774" s="6" t="s">
        <v>1644</v>
      </c>
      <c r="O1774" s="7">
        <f>SUMIFS('05_상품별배치367'!$K$7:$K$373,'05_상품별배치367'!$E$7:$E$373,A1774,'05_상품별배치367'!$H$7:$H$373,"본진")</f>
        <v>0</v>
      </c>
      <c r="P1774" s="7">
        <f>SUMIFS('05_상품별배치367'!$K$7:$K$373,'05_상품별배치367'!$E$7:$E$373,A1774,'05_상품별배치367'!$H$7:$H$373,"추가 진열")</f>
        <v>0</v>
      </c>
      <c r="Q1774" s="7">
        <f>O1774+P1774</f>
        <v>0</v>
      </c>
      <c r="R1774" s="7">
        <v>0</v>
      </c>
      <c r="S1774" s="6" t="s">
        <v>1810</v>
      </c>
      <c r="T1774" s="6" t="s">
        <v>1637</v>
      </c>
      <c r="U1774" s="6"/>
      <c r="V1774" s="16"/>
      <c r="W1774" s="16"/>
      <c r="X1774" s="16"/>
      <c r="Y1774" s="6" t="s">
        <v>1627</v>
      </c>
      <c r="Z1774" s="15"/>
      <c r="AA1774" s="15" t="s">
        <v>1628</v>
      </c>
    </row>
    <row r="1775" spans="1:27" ht="33" customHeight="1">
      <c r="A1775" s="6" t="s">
        <v>4728</v>
      </c>
      <c r="B1775" s="7">
        <v>1349</v>
      </c>
      <c r="C1775" s="6" t="s">
        <v>4729</v>
      </c>
      <c r="D1775" s="6" t="s">
        <v>2856</v>
      </c>
      <c r="E1775" s="6" t="s">
        <v>2134</v>
      </c>
      <c r="F1775" s="6" t="s">
        <v>1081</v>
      </c>
      <c r="G1775" s="6" t="s">
        <v>290</v>
      </c>
      <c r="H1775" s="6"/>
      <c r="I1775" s="14" t="s">
        <v>1642</v>
      </c>
      <c r="J1775" s="15"/>
      <c r="K1775" s="6" t="s">
        <v>1976</v>
      </c>
      <c r="L1775" s="6"/>
      <c r="M1775" s="6" t="s">
        <v>1643</v>
      </c>
      <c r="N1775" s="6" t="s">
        <v>1644</v>
      </c>
      <c r="O1775" s="7">
        <f>SUMIFS('05_상품별배치367'!$K$7:$K$373,'05_상품별배치367'!$E$7:$E$373,A1775,'05_상품별배치367'!$H$7:$H$373,"본진")</f>
        <v>0</v>
      </c>
      <c r="P1775" s="7">
        <f>SUMIFS('05_상품별배치367'!$K$7:$K$373,'05_상품별배치367'!$E$7:$E$373,A1775,'05_상품별배치367'!$H$7:$H$373,"추가 진열")</f>
        <v>0</v>
      </c>
      <c r="Q1775" s="7">
        <f>O1775+P1775</f>
        <v>0</v>
      </c>
      <c r="R1775" s="7">
        <v>1</v>
      </c>
      <c r="S1775" s="6" t="s">
        <v>2135</v>
      </c>
      <c r="T1775" s="6" t="s">
        <v>1637</v>
      </c>
      <c r="U1775" s="6"/>
      <c r="V1775" s="16"/>
      <c r="W1775" s="16"/>
      <c r="X1775" s="16"/>
      <c r="Y1775" s="6" t="s">
        <v>1627</v>
      </c>
      <c r="Z1775" s="15"/>
      <c r="AA1775" s="15" t="s">
        <v>1628</v>
      </c>
    </row>
    <row r="1776" spans="1:27" ht="33" customHeight="1">
      <c r="A1776" s="6" t="s">
        <v>4720</v>
      </c>
      <c r="B1776" s="7">
        <v>1345</v>
      </c>
      <c r="C1776" s="6" t="s">
        <v>4721</v>
      </c>
      <c r="D1776" s="6" t="s">
        <v>2133</v>
      </c>
      <c r="E1776" s="6" t="s">
        <v>1986</v>
      </c>
      <c r="F1776" s="6" t="s">
        <v>493</v>
      </c>
      <c r="G1776" s="6" t="s">
        <v>299</v>
      </c>
      <c r="H1776" s="6"/>
      <c r="I1776" s="14" t="s">
        <v>1642</v>
      </c>
      <c r="J1776" s="15"/>
      <c r="K1776" s="6" t="s">
        <v>1976</v>
      </c>
      <c r="L1776" s="6"/>
      <c r="M1776" s="6" t="s">
        <v>1643</v>
      </c>
      <c r="N1776" s="6" t="s">
        <v>1644</v>
      </c>
      <c r="O1776" s="7">
        <f>SUMIFS('05_상품별배치367'!$K$7:$K$373,'05_상품별배치367'!$E$7:$E$373,A1776,'05_상품별배치367'!$H$7:$H$373,"본진")</f>
        <v>0</v>
      </c>
      <c r="P1776" s="7">
        <f>SUMIFS('05_상품별배치367'!$K$7:$K$373,'05_상품별배치367'!$E$7:$E$373,A1776,'05_상품별배치367'!$H$7:$H$373,"추가 진열")</f>
        <v>0</v>
      </c>
      <c r="Q1776" s="7">
        <f>O1776+P1776</f>
        <v>0</v>
      </c>
      <c r="R1776" s="7">
        <v>1</v>
      </c>
      <c r="S1776" s="6" t="s">
        <v>3084</v>
      </c>
      <c r="T1776" s="6" t="s">
        <v>1637</v>
      </c>
      <c r="U1776" s="6"/>
      <c r="V1776" s="16"/>
      <c r="W1776" s="16"/>
      <c r="X1776" s="16"/>
      <c r="Y1776" s="6" t="s">
        <v>1627</v>
      </c>
      <c r="Z1776" s="15"/>
      <c r="AA1776" s="15" t="s">
        <v>1628</v>
      </c>
    </row>
    <row r="1777" spans="1:27" ht="33" customHeight="1">
      <c r="A1777" s="6" t="s">
        <v>4724</v>
      </c>
      <c r="B1777" s="7">
        <v>1347</v>
      </c>
      <c r="C1777" s="6" t="s">
        <v>4725</v>
      </c>
      <c r="D1777" s="6" t="s">
        <v>2133</v>
      </c>
      <c r="E1777" s="6" t="s">
        <v>1986</v>
      </c>
      <c r="F1777" s="6" t="s">
        <v>493</v>
      </c>
      <c r="G1777" s="6" t="s">
        <v>299</v>
      </c>
      <c r="H1777" s="6"/>
      <c r="I1777" s="14" t="s">
        <v>1642</v>
      </c>
      <c r="J1777" s="15"/>
      <c r="K1777" s="6" t="s">
        <v>1976</v>
      </c>
      <c r="L1777" s="6"/>
      <c r="M1777" s="6" t="s">
        <v>1643</v>
      </c>
      <c r="N1777" s="6" t="s">
        <v>1644</v>
      </c>
      <c r="O1777" s="7">
        <f>SUMIFS('05_상품별배치367'!$K$7:$K$373,'05_상품별배치367'!$E$7:$E$373,A1777,'05_상품별배치367'!$H$7:$H$373,"본진")</f>
        <v>0</v>
      </c>
      <c r="P1777" s="7">
        <f>SUMIFS('05_상품별배치367'!$K$7:$K$373,'05_상품별배치367'!$E$7:$E$373,A1777,'05_상품별배치367'!$H$7:$H$373,"추가 진열")</f>
        <v>0</v>
      </c>
      <c r="Q1777" s="7">
        <f>O1777+P1777</f>
        <v>0</v>
      </c>
      <c r="R1777" s="7">
        <v>1</v>
      </c>
      <c r="S1777" s="6" t="s">
        <v>3084</v>
      </c>
      <c r="T1777" s="6" t="s">
        <v>1637</v>
      </c>
      <c r="U1777" s="6"/>
      <c r="V1777" s="16"/>
      <c r="W1777" s="16"/>
      <c r="X1777" s="16"/>
      <c r="Y1777" s="6" t="s">
        <v>1627</v>
      </c>
      <c r="Z1777" s="15"/>
      <c r="AA1777" s="15" t="s">
        <v>1628</v>
      </c>
    </row>
    <row r="1778" spans="1:27" ht="33" customHeight="1">
      <c r="A1778" s="8" t="s">
        <v>4722</v>
      </c>
      <c r="B1778" s="9">
        <v>1346</v>
      </c>
      <c r="C1778" s="8" t="s">
        <v>4723</v>
      </c>
      <c r="D1778" s="8" t="s">
        <v>2133</v>
      </c>
      <c r="E1778" s="8" t="s">
        <v>1986</v>
      </c>
      <c r="F1778" s="8" t="s">
        <v>493</v>
      </c>
      <c r="G1778" s="8" t="s">
        <v>299</v>
      </c>
      <c r="H1778" s="8"/>
      <c r="I1778" s="14" t="s">
        <v>1642</v>
      </c>
      <c r="J1778" s="15"/>
      <c r="K1778" s="8" t="s">
        <v>1976</v>
      </c>
      <c r="L1778" s="8"/>
      <c r="M1778" s="6" t="s">
        <v>1643</v>
      </c>
      <c r="N1778" s="6" t="s">
        <v>1644</v>
      </c>
      <c r="O1778" s="7">
        <f>SUMIFS('05_상품별배치367'!$K$7:$K$373,'05_상품별배치367'!$E$7:$E$373,A1778,'05_상품별배치367'!$H$7:$H$373,"본진")</f>
        <v>0</v>
      </c>
      <c r="P1778" s="7">
        <f>SUMIFS('05_상품별배치367'!$K$7:$K$373,'05_상품별배치367'!$E$7:$E$373,A1778,'05_상품별배치367'!$H$7:$H$373,"추가 진열")</f>
        <v>0</v>
      </c>
      <c r="Q1778" s="7">
        <f>O1778+P1778</f>
        <v>0</v>
      </c>
      <c r="R1778" s="7">
        <v>1</v>
      </c>
      <c r="S1778" s="6" t="s">
        <v>3084</v>
      </c>
      <c r="T1778" s="6" t="s">
        <v>1637</v>
      </c>
      <c r="U1778" s="6"/>
      <c r="V1778" s="16"/>
      <c r="W1778" s="16"/>
      <c r="X1778" s="16"/>
      <c r="Y1778" s="6" t="s">
        <v>1627</v>
      </c>
      <c r="Z1778" s="15"/>
      <c r="AA1778" s="15" t="s">
        <v>1628</v>
      </c>
    </row>
    <row r="1779" spans="1:27" ht="33" customHeight="1">
      <c r="A1779" s="8" t="s">
        <v>4718</v>
      </c>
      <c r="B1779" s="9">
        <v>1344</v>
      </c>
      <c r="C1779" s="8" t="s">
        <v>4719</v>
      </c>
      <c r="D1779" s="8" t="s">
        <v>1851</v>
      </c>
      <c r="E1779" s="8" t="s">
        <v>2134</v>
      </c>
      <c r="F1779" s="8" t="s">
        <v>162</v>
      </c>
      <c r="G1779" s="8" t="s">
        <v>404</v>
      </c>
      <c r="H1779" s="8"/>
      <c r="I1779" s="14" t="s">
        <v>1642</v>
      </c>
      <c r="J1779" s="15"/>
      <c r="K1779" s="8" t="s">
        <v>1976</v>
      </c>
      <c r="L1779" s="8"/>
      <c r="M1779" s="6" t="s">
        <v>1643</v>
      </c>
      <c r="N1779" s="6" t="s">
        <v>1644</v>
      </c>
      <c r="O1779" s="7">
        <f>SUMIFS('05_상품별배치367'!$K$7:$K$373,'05_상품별배치367'!$E$7:$E$373,A1779,'05_상품별배치367'!$H$7:$H$373,"본진")</f>
        <v>0</v>
      </c>
      <c r="P1779" s="7">
        <f>SUMIFS('05_상품별배치367'!$K$7:$K$373,'05_상품별배치367'!$E$7:$E$373,A1779,'05_상품별배치367'!$H$7:$H$373,"추가 진열")</f>
        <v>0</v>
      </c>
      <c r="Q1779" s="7">
        <f>O1779+P1779</f>
        <v>0</v>
      </c>
      <c r="R1779" s="7">
        <v>1</v>
      </c>
      <c r="S1779" s="6" t="s">
        <v>2996</v>
      </c>
      <c r="T1779" s="6" t="s">
        <v>1637</v>
      </c>
      <c r="U1779" s="6"/>
      <c r="V1779" s="16"/>
      <c r="W1779" s="16"/>
      <c r="X1779" s="16"/>
      <c r="Y1779" s="6" t="s">
        <v>1627</v>
      </c>
      <c r="Z1779" s="15"/>
      <c r="AA1779" s="15" t="s">
        <v>1628</v>
      </c>
    </row>
    <row r="1780" spans="1:27" ht="33" customHeight="1">
      <c r="A1780" s="6" t="s">
        <v>4716</v>
      </c>
      <c r="B1780" s="7">
        <v>1343</v>
      </c>
      <c r="C1780" s="6" t="s">
        <v>4717</v>
      </c>
      <c r="D1780" s="6" t="s">
        <v>3130</v>
      </c>
      <c r="E1780" s="6" t="s">
        <v>2134</v>
      </c>
      <c r="F1780" s="6" t="s">
        <v>162</v>
      </c>
      <c r="G1780" s="6" t="s">
        <v>404</v>
      </c>
      <c r="H1780" s="6"/>
      <c r="I1780" s="14" t="s">
        <v>1642</v>
      </c>
      <c r="J1780" s="15"/>
      <c r="K1780" s="6" t="s">
        <v>1976</v>
      </c>
      <c r="L1780" s="6"/>
      <c r="M1780" s="6" t="s">
        <v>1643</v>
      </c>
      <c r="N1780" s="6" t="s">
        <v>1644</v>
      </c>
      <c r="O1780" s="7">
        <f>SUMIFS('05_상품별배치367'!$K$7:$K$373,'05_상품별배치367'!$E$7:$E$373,A1780,'05_상품별배치367'!$H$7:$H$373,"본진")</f>
        <v>0</v>
      </c>
      <c r="P1780" s="7">
        <f>SUMIFS('05_상품별배치367'!$K$7:$K$373,'05_상품별배치367'!$E$7:$E$373,A1780,'05_상품별배치367'!$H$7:$H$373,"추가 진열")</f>
        <v>0</v>
      </c>
      <c r="Q1780" s="7">
        <f>O1780+P1780</f>
        <v>0</v>
      </c>
      <c r="R1780" s="7">
        <v>1</v>
      </c>
      <c r="S1780" s="6" t="s">
        <v>2996</v>
      </c>
      <c r="T1780" s="6" t="s">
        <v>1637</v>
      </c>
      <c r="U1780" s="6"/>
      <c r="V1780" s="16"/>
      <c r="W1780" s="16"/>
      <c r="X1780" s="16"/>
      <c r="Y1780" s="6" t="s">
        <v>1627</v>
      </c>
      <c r="Z1780" s="15"/>
      <c r="AA1780" s="15" t="s">
        <v>1628</v>
      </c>
    </row>
    <row r="1781" spans="1:27" ht="33" customHeight="1">
      <c r="A1781" s="8" t="s">
        <v>4726</v>
      </c>
      <c r="B1781" s="9">
        <v>1348</v>
      </c>
      <c r="C1781" s="8" t="s">
        <v>4727</v>
      </c>
      <c r="D1781" s="8" t="s">
        <v>2856</v>
      </c>
      <c r="E1781" s="8" t="s">
        <v>2134</v>
      </c>
      <c r="F1781" s="8" t="s">
        <v>162</v>
      </c>
      <c r="G1781" s="8" t="s">
        <v>404</v>
      </c>
      <c r="H1781" s="8"/>
      <c r="I1781" s="14" t="s">
        <v>1642</v>
      </c>
      <c r="J1781" s="15"/>
      <c r="K1781" s="8" t="s">
        <v>1976</v>
      </c>
      <c r="L1781" s="8"/>
      <c r="M1781" s="6" t="s">
        <v>1643</v>
      </c>
      <c r="N1781" s="6" t="s">
        <v>1644</v>
      </c>
      <c r="O1781" s="7">
        <f>SUMIFS('05_상품별배치367'!$K$7:$K$373,'05_상품별배치367'!$E$7:$E$373,A1781,'05_상품별배치367'!$H$7:$H$373,"본진")</f>
        <v>0</v>
      </c>
      <c r="P1781" s="7">
        <f>SUMIFS('05_상품별배치367'!$K$7:$K$373,'05_상품별배치367'!$E$7:$E$373,A1781,'05_상품별배치367'!$H$7:$H$373,"추가 진열")</f>
        <v>0</v>
      </c>
      <c r="Q1781" s="7">
        <f>O1781+P1781</f>
        <v>0</v>
      </c>
      <c r="R1781" s="7">
        <v>1</v>
      </c>
      <c r="S1781" s="6" t="s">
        <v>2996</v>
      </c>
      <c r="T1781" s="6" t="s">
        <v>1637</v>
      </c>
      <c r="U1781" s="6"/>
      <c r="V1781" s="16"/>
      <c r="W1781" s="16"/>
      <c r="X1781" s="16"/>
      <c r="Y1781" s="6" t="s">
        <v>1627</v>
      </c>
      <c r="Z1781" s="15"/>
      <c r="AA1781" s="15" t="s">
        <v>1628</v>
      </c>
    </row>
    <row r="1782" spans="1:27" ht="33" customHeight="1">
      <c r="A1782" s="6" t="s">
        <v>4712</v>
      </c>
      <c r="B1782" s="7">
        <v>1341</v>
      </c>
      <c r="C1782" s="6" t="s">
        <v>4713</v>
      </c>
      <c r="D1782" s="6" t="s">
        <v>1851</v>
      </c>
      <c r="E1782" s="6" t="s">
        <v>1986</v>
      </c>
      <c r="F1782" s="6" t="s">
        <v>913</v>
      </c>
      <c r="G1782" s="6" t="s">
        <v>201</v>
      </c>
      <c r="H1782" s="6"/>
      <c r="I1782" s="14" t="s">
        <v>1642</v>
      </c>
      <c r="J1782" s="15"/>
      <c r="K1782" s="6" t="s">
        <v>1976</v>
      </c>
      <c r="L1782" s="6"/>
      <c r="M1782" s="6" t="s">
        <v>1643</v>
      </c>
      <c r="N1782" s="6" t="s">
        <v>1644</v>
      </c>
      <c r="O1782" s="7">
        <f>SUMIFS('05_상품별배치367'!$K$7:$K$373,'05_상품별배치367'!$E$7:$E$373,A1782,'05_상품별배치367'!$H$7:$H$373,"본진")</f>
        <v>0</v>
      </c>
      <c r="P1782" s="7">
        <f>SUMIFS('05_상품별배치367'!$K$7:$K$373,'05_상품별배치367'!$E$7:$E$373,A1782,'05_상품별배치367'!$H$7:$H$373,"추가 진열")</f>
        <v>0</v>
      </c>
      <c r="Q1782" s="7">
        <f>O1782+P1782</f>
        <v>0</v>
      </c>
      <c r="R1782" s="7">
        <v>1</v>
      </c>
      <c r="S1782" s="6" t="s">
        <v>2907</v>
      </c>
      <c r="T1782" s="6" t="s">
        <v>1637</v>
      </c>
      <c r="U1782" s="6"/>
      <c r="V1782" s="16"/>
      <c r="W1782" s="16"/>
      <c r="X1782" s="16"/>
      <c r="Y1782" s="6" t="s">
        <v>1627</v>
      </c>
      <c r="Z1782" s="15"/>
      <c r="AA1782" s="15" t="s">
        <v>1628</v>
      </c>
    </row>
    <row r="1783" spans="1:27" ht="33" customHeight="1">
      <c r="A1783" s="8" t="s">
        <v>4714</v>
      </c>
      <c r="B1783" s="9">
        <v>1342</v>
      </c>
      <c r="C1783" s="8" t="s">
        <v>4715</v>
      </c>
      <c r="D1783" s="8" t="s">
        <v>1851</v>
      </c>
      <c r="E1783" s="8" t="s">
        <v>1986</v>
      </c>
      <c r="F1783" s="8" t="s">
        <v>913</v>
      </c>
      <c r="G1783" s="8" t="s">
        <v>201</v>
      </c>
      <c r="H1783" s="8"/>
      <c r="I1783" s="14" t="s">
        <v>1642</v>
      </c>
      <c r="J1783" s="15"/>
      <c r="K1783" s="8" t="s">
        <v>1976</v>
      </c>
      <c r="L1783" s="8"/>
      <c r="M1783" s="6" t="s">
        <v>1643</v>
      </c>
      <c r="N1783" s="6" t="s">
        <v>1644</v>
      </c>
      <c r="O1783" s="7">
        <f>SUMIFS('05_상품별배치367'!$K$7:$K$373,'05_상품별배치367'!$E$7:$E$373,A1783,'05_상품별배치367'!$H$7:$H$373,"본진")</f>
        <v>0</v>
      </c>
      <c r="P1783" s="7">
        <f>SUMIFS('05_상품별배치367'!$K$7:$K$373,'05_상품별배치367'!$E$7:$E$373,A1783,'05_상품별배치367'!$H$7:$H$373,"추가 진열")</f>
        <v>0</v>
      </c>
      <c r="Q1783" s="7">
        <f>O1783+P1783</f>
        <v>0</v>
      </c>
      <c r="R1783" s="7">
        <v>1</v>
      </c>
      <c r="S1783" s="6" t="s">
        <v>2907</v>
      </c>
      <c r="T1783" s="6" t="s">
        <v>1637</v>
      </c>
      <c r="U1783" s="6"/>
      <c r="V1783" s="16"/>
      <c r="W1783" s="16"/>
      <c r="X1783" s="16"/>
      <c r="Y1783" s="6" t="s">
        <v>1627</v>
      </c>
      <c r="Z1783" s="15"/>
      <c r="AA1783" s="15" t="s">
        <v>1628</v>
      </c>
    </row>
    <row r="1784" spans="1:27" ht="33" customHeight="1">
      <c r="A1784" s="8" t="s">
        <v>6437</v>
      </c>
      <c r="B1784" s="9">
        <v>2136</v>
      </c>
      <c r="C1784" s="8" t="s">
        <v>6438</v>
      </c>
      <c r="D1784" s="8" t="s">
        <v>6439</v>
      </c>
      <c r="E1784" s="8" t="s">
        <v>1814</v>
      </c>
      <c r="F1784" s="8" t="s">
        <v>731</v>
      </c>
      <c r="G1784" s="8" t="s">
        <v>107</v>
      </c>
      <c r="H1784" s="8"/>
      <c r="I1784" s="14" t="s">
        <v>1642</v>
      </c>
      <c r="J1784" s="15"/>
      <c r="K1784" s="8" t="s">
        <v>6422</v>
      </c>
      <c r="L1784" s="8"/>
      <c r="M1784" s="6" t="s">
        <v>1643</v>
      </c>
      <c r="N1784" s="6" t="s">
        <v>1644</v>
      </c>
      <c r="O1784" s="7">
        <f>SUMIFS('05_상품별배치367'!$K$7:$K$373,'05_상품별배치367'!$E$7:$E$373,A1784,'05_상품별배치367'!$H$7:$H$373,"본진")</f>
        <v>0</v>
      </c>
      <c r="P1784" s="7">
        <f>SUMIFS('05_상품별배치367'!$K$7:$K$373,'05_상품별배치367'!$E$7:$E$373,A1784,'05_상품별배치367'!$H$7:$H$373,"추가 진열")</f>
        <v>0</v>
      </c>
      <c r="Q1784" s="7">
        <f>O1784+P1784</f>
        <v>0</v>
      </c>
      <c r="R1784" s="7">
        <v>1</v>
      </c>
      <c r="S1784" s="6" t="s">
        <v>6440</v>
      </c>
      <c r="T1784" s="6" t="s">
        <v>1637</v>
      </c>
      <c r="U1784" s="6"/>
      <c r="V1784" s="16"/>
      <c r="W1784" s="16"/>
      <c r="X1784" s="16"/>
      <c r="Y1784" s="6" t="s">
        <v>1627</v>
      </c>
      <c r="Z1784" s="15"/>
      <c r="AA1784" s="15" t="s">
        <v>1628</v>
      </c>
    </row>
    <row r="1785" spans="1:27" ht="33" customHeight="1">
      <c r="A1785" s="6" t="s">
        <v>6441</v>
      </c>
      <c r="B1785" s="7">
        <v>2137</v>
      </c>
      <c r="C1785" s="6" t="s">
        <v>6442</v>
      </c>
      <c r="D1785" s="6" t="s">
        <v>6443</v>
      </c>
      <c r="E1785" s="6" t="s">
        <v>1814</v>
      </c>
      <c r="F1785" s="6" t="s">
        <v>731</v>
      </c>
      <c r="G1785" s="6" t="s">
        <v>107</v>
      </c>
      <c r="H1785" s="6" t="s">
        <v>730</v>
      </c>
      <c r="I1785" s="14" t="s">
        <v>1621</v>
      </c>
      <c r="J1785" s="15"/>
      <c r="K1785" s="6" t="s">
        <v>6422</v>
      </c>
      <c r="L1785" s="6" t="s">
        <v>2079</v>
      </c>
      <c r="M1785" s="6" t="s">
        <v>1623</v>
      </c>
      <c r="N1785" s="6" t="s">
        <v>1624</v>
      </c>
      <c r="O1785" s="7">
        <f>SUMIFS('05_상품별배치367'!$K$7:$K$373,'05_상품별배치367'!$E$7:$E$373,A1785,'05_상품별배치367'!$H$7:$H$373,"본진")</f>
        <v>1</v>
      </c>
      <c r="P1785" s="7">
        <f>SUMIFS('05_상품별배치367'!$K$7:$K$373,'05_상품별배치367'!$E$7:$E$373,A1785,'05_상품별배치367'!$H$7:$H$373,"추가 진열")</f>
        <v>0</v>
      </c>
      <c r="Q1785" s="7">
        <f>O1785+P1785</f>
        <v>1</v>
      </c>
      <c r="R1785" s="7">
        <v>1</v>
      </c>
      <c r="S1785" s="6" t="s">
        <v>1625</v>
      </c>
      <c r="T1785" s="6" t="s">
        <v>1637</v>
      </c>
      <c r="U1785" s="6"/>
      <c r="V1785" s="16"/>
      <c r="W1785" s="16"/>
      <c r="X1785" s="16"/>
      <c r="Y1785" s="6" t="s">
        <v>1627</v>
      </c>
      <c r="Z1785" s="15"/>
      <c r="AA1785" s="15" t="s">
        <v>1628</v>
      </c>
    </row>
    <row r="1786" spans="1:27" ht="33" customHeight="1">
      <c r="A1786" s="6" t="s">
        <v>5584</v>
      </c>
      <c r="B1786" s="7">
        <v>1757</v>
      </c>
      <c r="C1786" s="6" t="s">
        <v>5585</v>
      </c>
      <c r="D1786" s="6" t="s">
        <v>5586</v>
      </c>
      <c r="E1786" s="6" t="s">
        <v>1986</v>
      </c>
      <c r="F1786" s="6" t="s">
        <v>3378</v>
      </c>
      <c r="G1786" s="6" t="s">
        <v>38</v>
      </c>
      <c r="H1786" s="6"/>
      <c r="I1786" s="14" t="s">
        <v>1642</v>
      </c>
      <c r="J1786" s="15"/>
      <c r="K1786" s="6" t="s">
        <v>1976</v>
      </c>
      <c r="L1786" s="6"/>
      <c r="M1786" s="6" t="s">
        <v>1643</v>
      </c>
      <c r="N1786" s="6" t="s">
        <v>1644</v>
      </c>
      <c r="O1786" s="7">
        <f>SUMIFS('05_상품별배치367'!$K$7:$K$373,'05_상품별배치367'!$E$7:$E$373,A1786,'05_상품별배치367'!$H$7:$H$373,"본진")</f>
        <v>0</v>
      </c>
      <c r="P1786" s="7">
        <f>SUMIFS('05_상품별배치367'!$K$7:$K$373,'05_상품별배치367'!$E$7:$E$373,A1786,'05_상품별배치367'!$H$7:$H$373,"추가 진열")</f>
        <v>0</v>
      </c>
      <c r="Q1786" s="7">
        <f>O1786+P1786</f>
        <v>0</v>
      </c>
      <c r="R1786" s="7">
        <v>1</v>
      </c>
      <c r="S1786" s="6" t="s">
        <v>3379</v>
      </c>
      <c r="T1786" s="6" t="s">
        <v>1637</v>
      </c>
      <c r="U1786" s="6"/>
      <c r="V1786" s="16"/>
      <c r="W1786" s="16"/>
      <c r="X1786" s="16"/>
      <c r="Y1786" s="6" t="s">
        <v>1627</v>
      </c>
      <c r="Z1786" s="15"/>
      <c r="AA1786" s="15" t="s">
        <v>1628</v>
      </c>
    </row>
    <row r="1787" spans="1:27" ht="33" customHeight="1">
      <c r="A1787" s="8" t="s">
        <v>4638</v>
      </c>
      <c r="B1787" s="9">
        <v>1306</v>
      </c>
      <c r="C1787" s="8" t="s">
        <v>4639</v>
      </c>
      <c r="D1787" s="8" t="s">
        <v>4640</v>
      </c>
      <c r="E1787" s="8" t="s">
        <v>1986</v>
      </c>
      <c r="F1787" s="8" t="s">
        <v>3378</v>
      </c>
      <c r="G1787" s="8" t="s">
        <v>38</v>
      </c>
      <c r="H1787" s="8"/>
      <c r="I1787" s="14" t="s">
        <v>1642</v>
      </c>
      <c r="J1787" s="15"/>
      <c r="K1787" s="8" t="s">
        <v>1976</v>
      </c>
      <c r="L1787" s="8"/>
      <c r="M1787" s="6" t="s">
        <v>1643</v>
      </c>
      <c r="N1787" s="6" t="s">
        <v>1644</v>
      </c>
      <c r="O1787" s="7">
        <f>SUMIFS('05_상품별배치367'!$K$7:$K$373,'05_상품별배치367'!$E$7:$E$373,A1787,'05_상품별배치367'!$H$7:$H$373,"본진")</f>
        <v>0</v>
      </c>
      <c r="P1787" s="7">
        <f>SUMIFS('05_상품별배치367'!$K$7:$K$373,'05_상품별배치367'!$E$7:$E$373,A1787,'05_상품별배치367'!$H$7:$H$373,"추가 진열")</f>
        <v>0</v>
      </c>
      <c r="Q1787" s="7">
        <f>O1787+P1787</f>
        <v>0</v>
      </c>
      <c r="R1787" s="7">
        <v>1</v>
      </c>
      <c r="S1787" s="6" t="s">
        <v>3379</v>
      </c>
      <c r="T1787" s="6" t="s">
        <v>1637</v>
      </c>
      <c r="U1787" s="6"/>
      <c r="V1787" s="16"/>
      <c r="W1787" s="16"/>
      <c r="X1787" s="16"/>
      <c r="Y1787" s="6" t="s">
        <v>1627</v>
      </c>
      <c r="Z1787" s="15"/>
      <c r="AA1787" s="15" t="s">
        <v>1628</v>
      </c>
    </row>
    <row r="1788" spans="1:27" ht="33" customHeight="1">
      <c r="A1788" s="6" t="s">
        <v>4645</v>
      </c>
      <c r="B1788" s="7">
        <v>1309</v>
      </c>
      <c r="C1788" s="6" t="s">
        <v>4646</v>
      </c>
      <c r="D1788" s="6" t="s">
        <v>1658</v>
      </c>
      <c r="E1788" s="6" t="s">
        <v>1986</v>
      </c>
      <c r="F1788" s="6" t="s">
        <v>1276</v>
      </c>
      <c r="G1788" s="6" t="s">
        <v>1987</v>
      </c>
      <c r="H1788" s="6"/>
      <c r="I1788" s="14" t="s">
        <v>1642</v>
      </c>
      <c r="J1788" s="15"/>
      <c r="K1788" s="6" t="s">
        <v>1976</v>
      </c>
      <c r="L1788" s="6"/>
      <c r="M1788" s="6" t="s">
        <v>1643</v>
      </c>
      <c r="N1788" s="6" t="s">
        <v>1644</v>
      </c>
      <c r="O1788" s="7">
        <f>SUMIFS('05_상품별배치367'!$K$7:$K$373,'05_상품별배치367'!$E$7:$E$373,A1788,'05_상품별배치367'!$H$7:$H$373,"본진")</f>
        <v>0</v>
      </c>
      <c r="P1788" s="7">
        <f>SUMIFS('05_상품별배치367'!$K$7:$K$373,'05_상품별배치367'!$E$7:$E$373,A1788,'05_상품별배치367'!$H$7:$H$373,"추가 진열")</f>
        <v>0</v>
      </c>
      <c r="Q1788" s="7">
        <f>O1788+P1788</f>
        <v>0</v>
      </c>
      <c r="R1788" s="7">
        <v>1</v>
      </c>
      <c r="S1788" s="6" t="s">
        <v>1988</v>
      </c>
      <c r="T1788" s="6" t="s">
        <v>1637</v>
      </c>
      <c r="U1788" s="6"/>
      <c r="V1788" s="16"/>
      <c r="W1788" s="16"/>
      <c r="X1788" s="16"/>
      <c r="Y1788" s="6" t="s">
        <v>1627</v>
      </c>
      <c r="Z1788" s="15"/>
      <c r="AA1788" s="15" t="s">
        <v>1628</v>
      </c>
    </row>
    <row r="1789" spans="1:27" ht="33" customHeight="1">
      <c r="A1789" s="8" t="s">
        <v>4647</v>
      </c>
      <c r="B1789" s="9">
        <v>1310</v>
      </c>
      <c r="C1789" s="8" t="s">
        <v>4648</v>
      </c>
      <c r="D1789" s="8" t="s">
        <v>1658</v>
      </c>
      <c r="E1789" s="8" t="s">
        <v>1986</v>
      </c>
      <c r="F1789" s="8" t="s">
        <v>1276</v>
      </c>
      <c r="G1789" s="8" t="s">
        <v>1987</v>
      </c>
      <c r="H1789" s="8"/>
      <c r="I1789" s="14" t="s">
        <v>1642</v>
      </c>
      <c r="J1789" s="15"/>
      <c r="K1789" s="8" t="s">
        <v>1976</v>
      </c>
      <c r="L1789" s="8"/>
      <c r="M1789" s="6" t="s">
        <v>1643</v>
      </c>
      <c r="N1789" s="6" t="s">
        <v>1644</v>
      </c>
      <c r="O1789" s="7">
        <f>SUMIFS('05_상품별배치367'!$K$7:$K$373,'05_상품별배치367'!$E$7:$E$373,A1789,'05_상품별배치367'!$H$7:$H$373,"본진")</f>
        <v>0</v>
      </c>
      <c r="P1789" s="7">
        <f>SUMIFS('05_상품별배치367'!$K$7:$K$373,'05_상품별배치367'!$E$7:$E$373,A1789,'05_상품별배치367'!$H$7:$H$373,"추가 진열")</f>
        <v>0</v>
      </c>
      <c r="Q1789" s="7">
        <f>O1789+P1789</f>
        <v>0</v>
      </c>
      <c r="R1789" s="7">
        <v>1</v>
      </c>
      <c r="S1789" s="6" t="s">
        <v>1988</v>
      </c>
      <c r="T1789" s="6" t="s">
        <v>1637</v>
      </c>
      <c r="U1789" s="6"/>
      <c r="V1789" s="16"/>
      <c r="W1789" s="16"/>
      <c r="X1789" s="16"/>
      <c r="Y1789" s="6" t="s">
        <v>1627</v>
      </c>
      <c r="Z1789" s="15"/>
      <c r="AA1789" s="15" t="s">
        <v>1628</v>
      </c>
    </row>
    <row r="1790" spans="1:27" ht="33" customHeight="1">
      <c r="A1790" s="8" t="s">
        <v>4643</v>
      </c>
      <c r="B1790" s="9">
        <v>1308</v>
      </c>
      <c r="C1790" s="8" t="s">
        <v>4644</v>
      </c>
      <c r="D1790" s="8" t="s">
        <v>4640</v>
      </c>
      <c r="E1790" s="8" t="s">
        <v>1986</v>
      </c>
      <c r="F1790" s="8" t="s">
        <v>3378</v>
      </c>
      <c r="G1790" s="8" t="s">
        <v>38</v>
      </c>
      <c r="H1790" s="8"/>
      <c r="I1790" s="14" t="s">
        <v>1642</v>
      </c>
      <c r="J1790" s="15"/>
      <c r="K1790" s="8" t="s">
        <v>1976</v>
      </c>
      <c r="L1790" s="8"/>
      <c r="M1790" s="6" t="s">
        <v>1643</v>
      </c>
      <c r="N1790" s="6" t="s">
        <v>1644</v>
      </c>
      <c r="O1790" s="7">
        <f>SUMIFS('05_상품별배치367'!$K$7:$K$373,'05_상품별배치367'!$E$7:$E$373,A1790,'05_상품별배치367'!$H$7:$H$373,"본진")</f>
        <v>0</v>
      </c>
      <c r="P1790" s="7">
        <f>SUMIFS('05_상품별배치367'!$K$7:$K$373,'05_상품별배치367'!$E$7:$E$373,A1790,'05_상품별배치367'!$H$7:$H$373,"추가 진열")</f>
        <v>0</v>
      </c>
      <c r="Q1790" s="7">
        <f>O1790+P1790</f>
        <v>0</v>
      </c>
      <c r="R1790" s="7">
        <v>1</v>
      </c>
      <c r="S1790" s="6" t="s">
        <v>3379</v>
      </c>
      <c r="T1790" s="6" t="s">
        <v>1637</v>
      </c>
      <c r="U1790" s="6"/>
      <c r="V1790" s="16"/>
      <c r="W1790" s="16"/>
      <c r="X1790" s="16"/>
      <c r="Y1790" s="6" t="s">
        <v>1627</v>
      </c>
      <c r="Z1790" s="15"/>
      <c r="AA1790" s="15" t="s">
        <v>1628</v>
      </c>
    </row>
    <row r="1791" spans="1:27" ht="33" customHeight="1">
      <c r="A1791" s="6" t="s">
        <v>4641</v>
      </c>
      <c r="B1791" s="7">
        <v>1307</v>
      </c>
      <c r="C1791" s="6" t="s">
        <v>4642</v>
      </c>
      <c r="D1791" s="6" t="s">
        <v>4640</v>
      </c>
      <c r="E1791" s="6" t="s">
        <v>1986</v>
      </c>
      <c r="F1791" s="6" t="s">
        <v>3378</v>
      </c>
      <c r="G1791" s="6" t="s">
        <v>38</v>
      </c>
      <c r="H1791" s="6"/>
      <c r="I1791" s="14" t="s">
        <v>1642</v>
      </c>
      <c r="J1791" s="15"/>
      <c r="K1791" s="6" t="s">
        <v>1976</v>
      </c>
      <c r="L1791" s="6"/>
      <c r="M1791" s="6" t="s">
        <v>1643</v>
      </c>
      <c r="N1791" s="6" t="s">
        <v>1644</v>
      </c>
      <c r="O1791" s="7">
        <f>SUMIFS('05_상품별배치367'!$K$7:$K$373,'05_상품별배치367'!$E$7:$E$373,A1791,'05_상품별배치367'!$H$7:$H$373,"본진")</f>
        <v>0</v>
      </c>
      <c r="P1791" s="7">
        <f>SUMIFS('05_상품별배치367'!$K$7:$K$373,'05_상품별배치367'!$E$7:$E$373,A1791,'05_상품별배치367'!$H$7:$H$373,"추가 진열")</f>
        <v>0</v>
      </c>
      <c r="Q1791" s="7">
        <f>O1791+P1791</f>
        <v>0</v>
      </c>
      <c r="R1791" s="7">
        <v>1</v>
      </c>
      <c r="S1791" s="6" t="s">
        <v>3379</v>
      </c>
      <c r="T1791" s="6" t="s">
        <v>1637</v>
      </c>
      <c r="U1791" s="6"/>
      <c r="V1791" s="16"/>
      <c r="W1791" s="16"/>
      <c r="X1791" s="16"/>
      <c r="Y1791" s="6" t="s">
        <v>1627</v>
      </c>
      <c r="Z1791" s="15"/>
      <c r="AA1791" s="15" t="s">
        <v>1628</v>
      </c>
    </row>
    <row r="1792" spans="1:27" ht="33" customHeight="1">
      <c r="A1792" s="6" t="s">
        <v>5045</v>
      </c>
      <c r="B1792" s="7">
        <v>1499</v>
      </c>
      <c r="C1792" s="6" t="s">
        <v>5046</v>
      </c>
      <c r="D1792" s="6" t="s">
        <v>1631</v>
      </c>
      <c r="E1792" s="6" t="s">
        <v>2134</v>
      </c>
      <c r="F1792" s="6" t="s">
        <v>842</v>
      </c>
      <c r="G1792" s="6" t="s">
        <v>164</v>
      </c>
      <c r="H1792" s="6"/>
      <c r="I1792" s="14" t="s">
        <v>1642</v>
      </c>
      <c r="J1792" s="15"/>
      <c r="K1792" s="6" t="s">
        <v>1976</v>
      </c>
      <c r="L1792" s="6"/>
      <c r="M1792" s="6" t="s">
        <v>1643</v>
      </c>
      <c r="N1792" s="6" t="s">
        <v>1644</v>
      </c>
      <c r="O1792" s="7">
        <f>SUMIFS('05_상품별배치367'!$K$7:$K$373,'05_상품별배치367'!$E$7:$E$373,A1792,'05_상품별배치367'!$H$7:$H$373,"본진")</f>
        <v>0</v>
      </c>
      <c r="P1792" s="7">
        <f>SUMIFS('05_상품별배치367'!$K$7:$K$373,'05_상품별배치367'!$E$7:$E$373,A1792,'05_상품별배치367'!$H$7:$H$373,"추가 진열")</f>
        <v>0</v>
      </c>
      <c r="Q1792" s="7">
        <f>O1792+P1792</f>
        <v>0</v>
      </c>
      <c r="R1792" s="7">
        <v>1</v>
      </c>
      <c r="S1792" s="6" t="s">
        <v>3009</v>
      </c>
      <c r="T1792" s="6" t="s">
        <v>1637</v>
      </c>
      <c r="U1792" s="6"/>
      <c r="V1792" s="16"/>
      <c r="W1792" s="16"/>
      <c r="X1792" s="16"/>
      <c r="Y1792" s="6" t="s">
        <v>1627</v>
      </c>
      <c r="Z1792" s="15"/>
      <c r="AA1792" s="15" t="s">
        <v>1628</v>
      </c>
    </row>
    <row r="1793" spans="1:27" ht="33" customHeight="1">
      <c r="A1793" s="8" t="s">
        <v>5034</v>
      </c>
      <c r="B1793" s="9">
        <v>1494</v>
      </c>
      <c r="C1793" s="8" t="s">
        <v>5035</v>
      </c>
      <c r="D1793" s="8" t="s">
        <v>1851</v>
      </c>
      <c r="E1793" s="8" t="s">
        <v>2134</v>
      </c>
      <c r="F1793" s="8" t="s">
        <v>842</v>
      </c>
      <c r="G1793" s="8" t="s">
        <v>164</v>
      </c>
      <c r="H1793" s="8"/>
      <c r="I1793" s="14" t="s">
        <v>1642</v>
      </c>
      <c r="J1793" s="15"/>
      <c r="K1793" s="8" t="s">
        <v>1976</v>
      </c>
      <c r="L1793" s="8"/>
      <c r="M1793" s="6" t="s">
        <v>1643</v>
      </c>
      <c r="N1793" s="6" t="s">
        <v>1644</v>
      </c>
      <c r="O1793" s="7">
        <f>SUMIFS('05_상품별배치367'!$K$7:$K$373,'05_상품별배치367'!$E$7:$E$373,A1793,'05_상품별배치367'!$H$7:$H$373,"본진")</f>
        <v>0</v>
      </c>
      <c r="P1793" s="7">
        <f>SUMIFS('05_상품별배치367'!$K$7:$K$373,'05_상품별배치367'!$E$7:$E$373,A1793,'05_상품별배치367'!$H$7:$H$373,"추가 진열")</f>
        <v>0</v>
      </c>
      <c r="Q1793" s="7">
        <f>O1793+P1793</f>
        <v>0</v>
      </c>
      <c r="R1793" s="7">
        <v>1</v>
      </c>
      <c r="S1793" s="6" t="s">
        <v>3009</v>
      </c>
      <c r="T1793" s="6" t="s">
        <v>1637</v>
      </c>
      <c r="U1793" s="6"/>
      <c r="V1793" s="16"/>
      <c r="W1793" s="16"/>
      <c r="X1793" s="16"/>
      <c r="Y1793" s="6" t="s">
        <v>1627</v>
      </c>
      <c r="Z1793" s="15"/>
      <c r="AA1793" s="15" t="s">
        <v>1628</v>
      </c>
    </row>
    <row r="1794" spans="1:27" ht="33" customHeight="1">
      <c r="A1794" s="6" t="s">
        <v>5036</v>
      </c>
      <c r="B1794" s="7">
        <v>1495</v>
      </c>
      <c r="C1794" s="6" t="s">
        <v>5037</v>
      </c>
      <c r="D1794" s="6" t="s">
        <v>2856</v>
      </c>
      <c r="E1794" s="6" t="s">
        <v>2134</v>
      </c>
      <c r="F1794" s="6" t="s">
        <v>842</v>
      </c>
      <c r="G1794" s="6" t="s">
        <v>164</v>
      </c>
      <c r="H1794" s="6"/>
      <c r="I1794" s="14" t="s">
        <v>1642</v>
      </c>
      <c r="J1794" s="15"/>
      <c r="K1794" s="6" t="s">
        <v>1976</v>
      </c>
      <c r="L1794" s="6"/>
      <c r="M1794" s="6" t="s">
        <v>1643</v>
      </c>
      <c r="N1794" s="6" t="s">
        <v>1644</v>
      </c>
      <c r="O1794" s="7">
        <f>SUMIFS('05_상품별배치367'!$K$7:$K$373,'05_상품별배치367'!$E$7:$E$373,A1794,'05_상품별배치367'!$H$7:$H$373,"본진")</f>
        <v>0</v>
      </c>
      <c r="P1794" s="7">
        <f>SUMIFS('05_상품별배치367'!$K$7:$K$373,'05_상품별배치367'!$E$7:$E$373,A1794,'05_상품별배치367'!$H$7:$H$373,"추가 진열")</f>
        <v>0</v>
      </c>
      <c r="Q1794" s="7">
        <f>O1794+P1794</f>
        <v>0</v>
      </c>
      <c r="R1794" s="7">
        <v>1</v>
      </c>
      <c r="S1794" s="6" t="s">
        <v>3009</v>
      </c>
      <c r="T1794" s="6" t="s">
        <v>1637</v>
      </c>
      <c r="U1794" s="6"/>
      <c r="V1794" s="16"/>
      <c r="W1794" s="16"/>
      <c r="X1794" s="16"/>
      <c r="Y1794" s="6" t="s">
        <v>1627</v>
      </c>
      <c r="Z1794" s="15"/>
      <c r="AA1794" s="15" t="s">
        <v>1628</v>
      </c>
    </row>
    <row r="1795" spans="1:27" ht="33" customHeight="1">
      <c r="A1795" s="6" t="s">
        <v>5040</v>
      </c>
      <c r="B1795" s="7">
        <v>1497</v>
      </c>
      <c r="C1795" s="6" t="s">
        <v>5041</v>
      </c>
      <c r="D1795" s="6" t="s">
        <v>5042</v>
      </c>
      <c r="E1795" s="6" t="s">
        <v>2134</v>
      </c>
      <c r="F1795" s="6" t="s">
        <v>1263</v>
      </c>
      <c r="G1795" s="6" t="s">
        <v>376</v>
      </c>
      <c r="H1795" s="6"/>
      <c r="I1795" s="14" t="s">
        <v>1642</v>
      </c>
      <c r="J1795" s="15"/>
      <c r="K1795" s="6" t="s">
        <v>1976</v>
      </c>
      <c r="L1795" s="6"/>
      <c r="M1795" s="6" t="s">
        <v>1643</v>
      </c>
      <c r="N1795" s="6" t="s">
        <v>1644</v>
      </c>
      <c r="O1795" s="7">
        <f>SUMIFS('05_상품별배치367'!$K$7:$K$373,'05_상품별배치367'!$E$7:$E$373,A1795,'05_상품별배치367'!$H$7:$H$373,"본진")</f>
        <v>0</v>
      </c>
      <c r="P1795" s="7">
        <f>SUMIFS('05_상품별배치367'!$K$7:$K$373,'05_상품별배치367'!$E$7:$E$373,A1795,'05_상품별배치367'!$H$7:$H$373,"추가 진열")</f>
        <v>0</v>
      </c>
      <c r="Q1795" s="7">
        <f>O1795+P1795</f>
        <v>0</v>
      </c>
      <c r="R1795" s="7">
        <v>1</v>
      </c>
      <c r="S1795" s="6" t="s">
        <v>3016</v>
      </c>
      <c r="T1795" s="6" t="s">
        <v>1637</v>
      </c>
      <c r="U1795" s="6"/>
      <c r="V1795" s="16"/>
      <c r="W1795" s="16"/>
      <c r="X1795" s="16"/>
      <c r="Y1795" s="6" t="s">
        <v>1655</v>
      </c>
      <c r="Z1795" s="15"/>
      <c r="AA1795" s="15" t="s">
        <v>1628</v>
      </c>
    </row>
    <row r="1796" spans="1:27" ht="33" customHeight="1">
      <c r="A1796" s="8" t="s">
        <v>5038</v>
      </c>
      <c r="B1796" s="9">
        <v>1496</v>
      </c>
      <c r="C1796" s="8" t="s">
        <v>5039</v>
      </c>
      <c r="D1796" s="8" t="s">
        <v>1851</v>
      </c>
      <c r="E1796" s="8" t="s">
        <v>2134</v>
      </c>
      <c r="F1796" s="8" t="s">
        <v>842</v>
      </c>
      <c r="G1796" s="8" t="s">
        <v>164</v>
      </c>
      <c r="H1796" s="8"/>
      <c r="I1796" s="14" t="s">
        <v>1642</v>
      </c>
      <c r="J1796" s="15"/>
      <c r="K1796" s="8" t="s">
        <v>1976</v>
      </c>
      <c r="L1796" s="8"/>
      <c r="M1796" s="6" t="s">
        <v>1643</v>
      </c>
      <c r="N1796" s="6" t="s">
        <v>1644</v>
      </c>
      <c r="O1796" s="7">
        <f>SUMIFS('05_상품별배치367'!$K$7:$K$373,'05_상품별배치367'!$E$7:$E$373,A1796,'05_상품별배치367'!$H$7:$H$373,"본진")</f>
        <v>0</v>
      </c>
      <c r="P1796" s="7">
        <f>SUMIFS('05_상품별배치367'!$K$7:$K$373,'05_상품별배치367'!$E$7:$E$373,A1796,'05_상품별배치367'!$H$7:$H$373,"추가 진열")</f>
        <v>0</v>
      </c>
      <c r="Q1796" s="7">
        <f>O1796+P1796</f>
        <v>0</v>
      </c>
      <c r="R1796" s="7">
        <v>1</v>
      </c>
      <c r="S1796" s="6" t="s">
        <v>3009</v>
      </c>
      <c r="T1796" s="6" t="s">
        <v>1637</v>
      </c>
      <c r="U1796" s="6"/>
      <c r="V1796" s="16"/>
      <c r="W1796" s="16"/>
      <c r="X1796" s="16"/>
      <c r="Y1796" s="6" t="s">
        <v>1627</v>
      </c>
      <c r="Z1796" s="15"/>
      <c r="AA1796" s="15" t="s">
        <v>1628</v>
      </c>
    </row>
    <row r="1797" spans="1:27" ht="33" customHeight="1">
      <c r="A1797" s="8" t="s">
        <v>5047</v>
      </c>
      <c r="B1797" s="9">
        <v>1500</v>
      </c>
      <c r="C1797" s="8" t="s">
        <v>5048</v>
      </c>
      <c r="D1797" s="8" t="s">
        <v>5049</v>
      </c>
      <c r="E1797" s="8" t="s">
        <v>2134</v>
      </c>
      <c r="F1797" s="8" t="s">
        <v>842</v>
      </c>
      <c r="G1797" s="8" t="s">
        <v>164</v>
      </c>
      <c r="H1797" s="8"/>
      <c r="I1797" s="14" t="s">
        <v>1642</v>
      </c>
      <c r="J1797" s="15"/>
      <c r="K1797" s="8" t="s">
        <v>1976</v>
      </c>
      <c r="L1797" s="8"/>
      <c r="M1797" s="6" t="s">
        <v>1643</v>
      </c>
      <c r="N1797" s="6" t="s">
        <v>1644</v>
      </c>
      <c r="O1797" s="7">
        <f>SUMIFS('05_상품별배치367'!$K$7:$K$373,'05_상품별배치367'!$E$7:$E$373,A1797,'05_상품별배치367'!$H$7:$H$373,"본진")</f>
        <v>0</v>
      </c>
      <c r="P1797" s="7">
        <f>SUMIFS('05_상품별배치367'!$K$7:$K$373,'05_상품별배치367'!$E$7:$E$373,A1797,'05_상품별배치367'!$H$7:$H$373,"추가 진열")</f>
        <v>0</v>
      </c>
      <c r="Q1797" s="7">
        <f>O1797+P1797</f>
        <v>0</v>
      </c>
      <c r="R1797" s="7">
        <v>1</v>
      </c>
      <c r="S1797" s="6" t="s">
        <v>3009</v>
      </c>
      <c r="T1797" s="6" t="s">
        <v>1637</v>
      </c>
      <c r="U1797" s="6"/>
      <c r="V1797" s="16"/>
      <c r="W1797" s="16"/>
      <c r="X1797" s="16"/>
      <c r="Y1797" s="6" t="s">
        <v>1627</v>
      </c>
      <c r="Z1797" s="15"/>
      <c r="AA1797" s="15" t="s">
        <v>1628</v>
      </c>
    </row>
    <row r="1798" spans="1:27" ht="33" customHeight="1">
      <c r="A1798" s="8" t="s">
        <v>5043</v>
      </c>
      <c r="B1798" s="9">
        <v>1498</v>
      </c>
      <c r="C1798" s="8" t="s">
        <v>5044</v>
      </c>
      <c r="D1798" s="8" t="s">
        <v>1686</v>
      </c>
      <c r="E1798" s="8" t="s">
        <v>2134</v>
      </c>
      <c r="F1798" s="8" t="s">
        <v>481</v>
      </c>
      <c r="G1798" s="8" t="s">
        <v>193</v>
      </c>
      <c r="H1798" s="8"/>
      <c r="I1798" s="14" t="s">
        <v>1642</v>
      </c>
      <c r="J1798" s="15"/>
      <c r="K1798" s="8" t="s">
        <v>1976</v>
      </c>
      <c r="L1798" s="8"/>
      <c r="M1798" s="6" t="s">
        <v>1643</v>
      </c>
      <c r="N1798" s="6" t="s">
        <v>1644</v>
      </c>
      <c r="O1798" s="7">
        <f>SUMIFS('05_상품별배치367'!$K$7:$K$373,'05_상품별배치367'!$E$7:$E$373,A1798,'05_상품별배치367'!$H$7:$H$373,"본진")</f>
        <v>0</v>
      </c>
      <c r="P1798" s="7">
        <f>SUMIFS('05_상품별배치367'!$K$7:$K$373,'05_상품별배치367'!$E$7:$E$373,A1798,'05_상품별배치367'!$H$7:$H$373,"추가 진열")</f>
        <v>0</v>
      </c>
      <c r="Q1798" s="7">
        <f>O1798+P1798</f>
        <v>0</v>
      </c>
      <c r="R1798" s="7">
        <v>1</v>
      </c>
      <c r="S1798" s="6" t="s">
        <v>3000</v>
      </c>
      <c r="T1798" s="6" t="s">
        <v>1637</v>
      </c>
      <c r="U1798" s="6"/>
      <c r="V1798" s="16"/>
      <c r="W1798" s="16"/>
      <c r="X1798" s="16"/>
      <c r="Y1798" s="6" t="s">
        <v>1627</v>
      </c>
      <c r="Z1798" s="15"/>
      <c r="AA1798" s="15" t="s">
        <v>1628</v>
      </c>
    </row>
    <row r="1799" spans="1:27" ht="33" customHeight="1">
      <c r="A1799" s="6" t="s">
        <v>4554</v>
      </c>
      <c r="B1799" s="7">
        <v>1265</v>
      </c>
      <c r="C1799" s="6" t="s">
        <v>4555</v>
      </c>
      <c r="D1799" s="6" t="s">
        <v>1851</v>
      </c>
      <c r="E1799" s="6" t="s">
        <v>2134</v>
      </c>
      <c r="F1799" s="6" t="s">
        <v>2933</v>
      </c>
      <c r="G1799" s="6" t="s">
        <v>1668</v>
      </c>
      <c r="H1799" s="6"/>
      <c r="I1799" s="14" t="s">
        <v>1807</v>
      </c>
      <c r="J1799" s="15"/>
      <c r="K1799" s="6" t="s">
        <v>1976</v>
      </c>
      <c r="L1799" s="6" t="s">
        <v>2032</v>
      </c>
      <c r="M1799" s="6" t="s">
        <v>1809</v>
      </c>
      <c r="N1799" s="6" t="s">
        <v>1644</v>
      </c>
      <c r="O1799" s="7">
        <f>SUMIFS('05_상품별배치367'!$K$7:$K$373,'05_상품별배치367'!$E$7:$E$373,A1799,'05_상품별배치367'!$H$7:$H$373,"본진")</f>
        <v>0</v>
      </c>
      <c r="P1799" s="7">
        <f>SUMIFS('05_상품별배치367'!$K$7:$K$373,'05_상품별배치367'!$E$7:$E$373,A1799,'05_상품별배치367'!$H$7:$H$373,"추가 진열")</f>
        <v>0</v>
      </c>
      <c r="Q1799" s="7">
        <f>O1799+P1799</f>
        <v>0</v>
      </c>
      <c r="R1799" s="7">
        <v>0</v>
      </c>
      <c r="S1799" s="6" t="s">
        <v>1810</v>
      </c>
      <c r="T1799" s="6" t="s">
        <v>1637</v>
      </c>
      <c r="U1799" s="6"/>
      <c r="V1799" s="16"/>
      <c r="W1799" s="16"/>
      <c r="X1799" s="16"/>
      <c r="Y1799" s="6" t="s">
        <v>1627</v>
      </c>
      <c r="Z1799" s="15"/>
      <c r="AA1799" s="15" t="s">
        <v>1628</v>
      </c>
    </row>
    <row r="1800" spans="1:27" ht="33" customHeight="1">
      <c r="A1800" s="8" t="s">
        <v>4556</v>
      </c>
      <c r="B1800" s="9">
        <v>1266</v>
      </c>
      <c r="C1800" s="8" t="s">
        <v>4557</v>
      </c>
      <c r="D1800" s="8" t="s">
        <v>2913</v>
      </c>
      <c r="E1800" s="8" t="s">
        <v>2134</v>
      </c>
      <c r="F1800" s="8" t="s">
        <v>2933</v>
      </c>
      <c r="G1800" s="8" t="s">
        <v>1668</v>
      </c>
      <c r="H1800" s="8"/>
      <c r="I1800" s="14" t="s">
        <v>1807</v>
      </c>
      <c r="J1800" s="15"/>
      <c r="K1800" s="8" t="s">
        <v>1976</v>
      </c>
      <c r="L1800" s="8" t="s">
        <v>2032</v>
      </c>
      <c r="M1800" s="6" t="s">
        <v>1809</v>
      </c>
      <c r="N1800" s="6" t="s">
        <v>1644</v>
      </c>
      <c r="O1800" s="7">
        <f>SUMIFS('05_상품별배치367'!$K$7:$K$373,'05_상품별배치367'!$E$7:$E$373,A1800,'05_상품별배치367'!$H$7:$H$373,"본진")</f>
        <v>0</v>
      </c>
      <c r="P1800" s="7">
        <f>SUMIFS('05_상품별배치367'!$K$7:$K$373,'05_상품별배치367'!$E$7:$E$373,A1800,'05_상품별배치367'!$H$7:$H$373,"추가 진열")</f>
        <v>0</v>
      </c>
      <c r="Q1800" s="7">
        <f>O1800+P1800</f>
        <v>0</v>
      </c>
      <c r="R1800" s="7">
        <v>0</v>
      </c>
      <c r="S1800" s="6" t="s">
        <v>1810</v>
      </c>
      <c r="T1800" s="6" t="s">
        <v>1637</v>
      </c>
      <c r="U1800" s="6"/>
      <c r="V1800" s="16"/>
      <c r="W1800" s="16"/>
      <c r="X1800" s="16"/>
      <c r="Y1800" s="6" t="s">
        <v>1627</v>
      </c>
      <c r="Z1800" s="15"/>
      <c r="AA1800" s="15" t="s">
        <v>1628</v>
      </c>
    </row>
    <row r="1801" spans="1:27" ht="33" customHeight="1">
      <c r="A1801" s="6" t="s">
        <v>4558</v>
      </c>
      <c r="B1801" s="7">
        <v>1267</v>
      </c>
      <c r="C1801" s="6" t="s">
        <v>4559</v>
      </c>
      <c r="D1801" s="6" t="s">
        <v>3338</v>
      </c>
      <c r="E1801" s="6" t="s">
        <v>2134</v>
      </c>
      <c r="F1801" s="6" t="s">
        <v>2933</v>
      </c>
      <c r="G1801" s="6" t="s">
        <v>1668</v>
      </c>
      <c r="H1801" s="6"/>
      <c r="I1801" s="14" t="s">
        <v>1807</v>
      </c>
      <c r="J1801" s="15"/>
      <c r="K1801" s="6" t="s">
        <v>1976</v>
      </c>
      <c r="L1801" s="6" t="s">
        <v>2032</v>
      </c>
      <c r="M1801" s="6" t="s">
        <v>1809</v>
      </c>
      <c r="N1801" s="6" t="s">
        <v>1644</v>
      </c>
      <c r="O1801" s="7">
        <f>SUMIFS('05_상품별배치367'!$K$7:$K$373,'05_상품별배치367'!$E$7:$E$373,A1801,'05_상품별배치367'!$H$7:$H$373,"본진")</f>
        <v>0</v>
      </c>
      <c r="P1801" s="7">
        <f>SUMIFS('05_상품별배치367'!$K$7:$K$373,'05_상품별배치367'!$E$7:$E$373,A1801,'05_상품별배치367'!$H$7:$H$373,"추가 진열")</f>
        <v>0</v>
      </c>
      <c r="Q1801" s="7">
        <f>O1801+P1801</f>
        <v>0</v>
      </c>
      <c r="R1801" s="7">
        <v>0</v>
      </c>
      <c r="S1801" s="6" t="s">
        <v>1810</v>
      </c>
      <c r="T1801" s="6" t="s">
        <v>1637</v>
      </c>
      <c r="U1801" s="6"/>
      <c r="V1801" s="16"/>
      <c r="W1801" s="16"/>
      <c r="X1801" s="16"/>
      <c r="Y1801" s="6" t="s">
        <v>1627</v>
      </c>
      <c r="Z1801" s="15"/>
      <c r="AA1801" s="15" t="s">
        <v>1628</v>
      </c>
    </row>
    <row r="1802" spans="1:27" ht="33" customHeight="1">
      <c r="A1802" s="8" t="s">
        <v>5154</v>
      </c>
      <c r="B1802" s="9">
        <v>1550</v>
      </c>
      <c r="C1802" s="8" t="s">
        <v>5155</v>
      </c>
      <c r="D1802" s="8" t="s">
        <v>2133</v>
      </c>
      <c r="E1802" s="8" t="s">
        <v>2134</v>
      </c>
      <c r="F1802" s="8" t="s">
        <v>1081</v>
      </c>
      <c r="G1802" s="8" t="s">
        <v>290</v>
      </c>
      <c r="H1802" s="8"/>
      <c r="I1802" s="14" t="s">
        <v>1642</v>
      </c>
      <c r="J1802" s="15"/>
      <c r="K1802" s="8" t="s">
        <v>1976</v>
      </c>
      <c r="L1802" s="8"/>
      <c r="M1802" s="6" t="s">
        <v>1643</v>
      </c>
      <c r="N1802" s="6" t="s">
        <v>1644</v>
      </c>
      <c r="O1802" s="7">
        <f>SUMIFS('05_상품별배치367'!$K$7:$K$373,'05_상품별배치367'!$E$7:$E$373,A1802,'05_상품별배치367'!$H$7:$H$373,"본진")</f>
        <v>0</v>
      </c>
      <c r="P1802" s="7">
        <f>SUMIFS('05_상품별배치367'!$K$7:$K$373,'05_상품별배치367'!$E$7:$E$373,A1802,'05_상품별배치367'!$H$7:$H$373,"추가 진열")</f>
        <v>0</v>
      </c>
      <c r="Q1802" s="7">
        <f>O1802+P1802</f>
        <v>0</v>
      </c>
      <c r="R1802" s="7">
        <v>1</v>
      </c>
      <c r="S1802" s="6" t="s">
        <v>2135</v>
      </c>
      <c r="T1802" s="6" t="s">
        <v>1637</v>
      </c>
      <c r="U1802" s="6"/>
      <c r="V1802" s="16"/>
      <c r="W1802" s="16"/>
      <c r="X1802" s="16"/>
      <c r="Y1802" s="6" t="s">
        <v>1627</v>
      </c>
      <c r="Z1802" s="15"/>
      <c r="AA1802" s="15" t="s">
        <v>1628</v>
      </c>
    </row>
    <row r="1803" spans="1:27" ht="33" customHeight="1">
      <c r="A1803" s="6" t="s">
        <v>5156</v>
      </c>
      <c r="B1803" s="7">
        <v>1551</v>
      </c>
      <c r="C1803" s="6" t="s">
        <v>5157</v>
      </c>
      <c r="D1803" s="6" t="s">
        <v>2133</v>
      </c>
      <c r="E1803" s="6" t="s">
        <v>2134</v>
      </c>
      <c r="F1803" s="6" t="s">
        <v>1081</v>
      </c>
      <c r="G1803" s="6" t="s">
        <v>290</v>
      </c>
      <c r="H1803" s="6"/>
      <c r="I1803" s="14" t="s">
        <v>1642</v>
      </c>
      <c r="J1803" s="15"/>
      <c r="K1803" s="6" t="s">
        <v>1976</v>
      </c>
      <c r="L1803" s="6"/>
      <c r="M1803" s="6" t="s">
        <v>1643</v>
      </c>
      <c r="N1803" s="6" t="s">
        <v>1644</v>
      </c>
      <c r="O1803" s="7">
        <f>SUMIFS('05_상품별배치367'!$K$7:$K$373,'05_상품별배치367'!$E$7:$E$373,A1803,'05_상품별배치367'!$H$7:$H$373,"본진")</f>
        <v>0</v>
      </c>
      <c r="P1803" s="7">
        <f>SUMIFS('05_상품별배치367'!$K$7:$K$373,'05_상품별배치367'!$E$7:$E$373,A1803,'05_상품별배치367'!$H$7:$H$373,"추가 진열")</f>
        <v>0</v>
      </c>
      <c r="Q1803" s="7">
        <f>O1803+P1803</f>
        <v>0</v>
      </c>
      <c r="R1803" s="7">
        <v>1</v>
      </c>
      <c r="S1803" s="6" t="s">
        <v>2135</v>
      </c>
      <c r="T1803" s="6" t="s">
        <v>1637</v>
      </c>
      <c r="U1803" s="6"/>
      <c r="V1803" s="16"/>
      <c r="W1803" s="16"/>
      <c r="X1803" s="16"/>
      <c r="Y1803" s="6" t="s">
        <v>1627</v>
      </c>
      <c r="Z1803" s="15"/>
      <c r="AA1803" s="15" t="s">
        <v>1628</v>
      </c>
    </row>
    <row r="1804" spans="1:27" ht="33" customHeight="1">
      <c r="A1804" s="8" t="s">
        <v>5146</v>
      </c>
      <c r="B1804" s="9">
        <v>1546</v>
      </c>
      <c r="C1804" s="8" t="s">
        <v>5147</v>
      </c>
      <c r="D1804" s="8" t="s">
        <v>3055</v>
      </c>
      <c r="E1804" s="8" t="s">
        <v>2134</v>
      </c>
      <c r="F1804" s="8" t="s">
        <v>2933</v>
      </c>
      <c r="G1804" s="8" t="s">
        <v>1668</v>
      </c>
      <c r="H1804" s="8"/>
      <c r="I1804" s="14" t="s">
        <v>1807</v>
      </c>
      <c r="J1804" s="15"/>
      <c r="K1804" s="8" t="s">
        <v>1976</v>
      </c>
      <c r="L1804" s="8" t="s">
        <v>2032</v>
      </c>
      <c r="M1804" s="6" t="s">
        <v>1809</v>
      </c>
      <c r="N1804" s="6" t="s">
        <v>1644</v>
      </c>
      <c r="O1804" s="7">
        <f>SUMIFS('05_상품별배치367'!$K$7:$K$373,'05_상품별배치367'!$E$7:$E$373,A1804,'05_상품별배치367'!$H$7:$H$373,"본진")</f>
        <v>0</v>
      </c>
      <c r="P1804" s="7">
        <f>SUMIFS('05_상품별배치367'!$K$7:$K$373,'05_상품별배치367'!$E$7:$E$373,A1804,'05_상품별배치367'!$H$7:$H$373,"추가 진열")</f>
        <v>0</v>
      </c>
      <c r="Q1804" s="7">
        <f>O1804+P1804</f>
        <v>0</v>
      </c>
      <c r="R1804" s="7">
        <v>0</v>
      </c>
      <c r="S1804" s="6" t="s">
        <v>1810</v>
      </c>
      <c r="T1804" s="6" t="s">
        <v>1637</v>
      </c>
      <c r="U1804" s="6"/>
      <c r="V1804" s="16"/>
      <c r="W1804" s="16"/>
      <c r="X1804" s="16"/>
      <c r="Y1804" s="6" t="s">
        <v>1627</v>
      </c>
      <c r="Z1804" s="15"/>
      <c r="AA1804" s="15" t="s">
        <v>1628</v>
      </c>
    </row>
    <row r="1805" spans="1:27" ht="33" customHeight="1">
      <c r="A1805" s="6" t="s">
        <v>5148</v>
      </c>
      <c r="B1805" s="7">
        <v>1547</v>
      </c>
      <c r="C1805" s="6" t="s">
        <v>5149</v>
      </c>
      <c r="D1805" s="6" t="s">
        <v>3042</v>
      </c>
      <c r="E1805" s="6" t="s">
        <v>2134</v>
      </c>
      <c r="F1805" s="6" t="s">
        <v>1081</v>
      </c>
      <c r="G1805" s="6" t="s">
        <v>290</v>
      </c>
      <c r="H1805" s="6"/>
      <c r="I1805" s="14" t="s">
        <v>1642</v>
      </c>
      <c r="J1805" s="15"/>
      <c r="K1805" s="6" t="s">
        <v>1976</v>
      </c>
      <c r="L1805" s="6"/>
      <c r="M1805" s="6" t="s">
        <v>1643</v>
      </c>
      <c r="N1805" s="6" t="s">
        <v>1644</v>
      </c>
      <c r="O1805" s="7">
        <f>SUMIFS('05_상품별배치367'!$K$7:$K$373,'05_상품별배치367'!$E$7:$E$373,A1805,'05_상품별배치367'!$H$7:$H$373,"본진")</f>
        <v>0</v>
      </c>
      <c r="P1805" s="7">
        <f>SUMIFS('05_상품별배치367'!$K$7:$K$373,'05_상품별배치367'!$E$7:$E$373,A1805,'05_상품별배치367'!$H$7:$H$373,"추가 진열")</f>
        <v>0</v>
      </c>
      <c r="Q1805" s="7">
        <f>O1805+P1805</f>
        <v>0</v>
      </c>
      <c r="R1805" s="7">
        <v>1</v>
      </c>
      <c r="S1805" s="6" t="s">
        <v>2135</v>
      </c>
      <c r="T1805" s="6" t="s">
        <v>1637</v>
      </c>
      <c r="U1805" s="6"/>
      <c r="V1805" s="16"/>
      <c r="W1805" s="16"/>
      <c r="X1805" s="16"/>
      <c r="Y1805" s="6" t="s">
        <v>1627</v>
      </c>
      <c r="Z1805" s="15"/>
      <c r="AA1805" s="15" t="s">
        <v>1628</v>
      </c>
    </row>
    <row r="1806" spans="1:27" ht="33" customHeight="1">
      <c r="A1806" s="8" t="s">
        <v>5150</v>
      </c>
      <c r="B1806" s="9">
        <v>1548</v>
      </c>
      <c r="C1806" s="8" t="s">
        <v>5151</v>
      </c>
      <c r="D1806" s="8" t="s">
        <v>3042</v>
      </c>
      <c r="E1806" s="8" t="s">
        <v>2134</v>
      </c>
      <c r="F1806" s="8" t="s">
        <v>1263</v>
      </c>
      <c r="G1806" s="8" t="s">
        <v>376</v>
      </c>
      <c r="H1806" s="8"/>
      <c r="I1806" s="14" t="s">
        <v>1642</v>
      </c>
      <c r="J1806" s="15"/>
      <c r="K1806" s="8" t="s">
        <v>1976</v>
      </c>
      <c r="L1806" s="8"/>
      <c r="M1806" s="6" t="s">
        <v>1643</v>
      </c>
      <c r="N1806" s="6" t="s">
        <v>1644</v>
      </c>
      <c r="O1806" s="7">
        <f>SUMIFS('05_상품별배치367'!$K$7:$K$373,'05_상품별배치367'!$E$7:$E$373,A1806,'05_상품별배치367'!$H$7:$H$373,"본진")</f>
        <v>0</v>
      </c>
      <c r="P1806" s="7">
        <f>SUMIFS('05_상품별배치367'!$K$7:$K$373,'05_상품별배치367'!$E$7:$E$373,A1806,'05_상품별배치367'!$H$7:$H$373,"추가 진열")</f>
        <v>0</v>
      </c>
      <c r="Q1806" s="7">
        <f>O1806+P1806</f>
        <v>0</v>
      </c>
      <c r="R1806" s="7">
        <v>1</v>
      </c>
      <c r="S1806" s="6" t="s">
        <v>3016</v>
      </c>
      <c r="T1806" s="6" t="s">
        <v>1637</v>
      </c>
      <c r="U1806" s="6"/>
      <c r="V1806" s="16"/>
      <c r="W1806" s="16"/>
      <c r="X1806" s="16"/>
      <c r="Y1806" s="6" t="s">
        <v>1627</v>
      </c>
      <c r="Z1806" s="15"/>
      <c r="AA1806" s="15" t="s">
        <v>1628</v>
      </c>
    </row>
    <row r="1807" spans="1:27" ht="33" customHeight="1">
      <c r="A1807" s="6" t="s">
        <v>5152</v>
      </c>
      <c r="B1807" s="7">
        <v>1549</v>
      </c>
      <c r="C1807" s="6" t="s">
        <v>5153</v>
      </c>
      <c r="D1807" s="6" t="s">
        <v>3042</v>
      </c>
      <c r="E1807" s="6" t="s">
        <v>2134</v>
      </c>
      <c r="F1807" s="6" t="s">
        <v>1081</v>
      </c>
      <c r="G1807" s="6" t="s">
        <v>290</v>
      </c>
      <c r="H1807" s="6"/>
      <c r="I1807" s="14" t="s">
        <v>1642</v>
      </c>
      <c r="J1807" s="15"/>
      <c r="K1807" s="6" t="s">
        <v>1976</v>
      </c>
      <c r="L1807" s="6"/>
      <c r="M1807" s="6" t="s">
        <v>1643</v>
      </c>
      <c r="N1807" s="6" t="s">
        <v>1644</v>
      </c>
      <c r="O1807" s="7">
        <f>SUMIFS('05_상품별배치367'!$K$7:$K$373,'05_상품별배치367'!$E$7:$E$373,A1807,'05_상품별배치367'!$H$7:$H$373,"본진")</f>
        <v>0</v>
      </c>
      <c r="P1807" s="7">
        <f>SUMIFS('05_상품별배치367'!$K$7:$K$373,'05_상품별배치367'!$E$7:$E$373,A1807,'05_상품별배치367'!$H$7:$H$373,"추가 진열")</f>
        <v>0</v>
      </c>
      <c r="Q1807" s="7">
        <f>O1807+P1807</f>
        <v>0</v>
      </c>
      <c r="R1807" s="7">
        <v>1</v>
      </c>
      <c r="S1807" s="6" t="s">
        <v>2135</v>
      </c>
      <c r="T1807" s="6" t="s">
        <v>1637</v>
      </c>
      <c r="U1807" s="6"/>
      <c r="V1807" s="16"/>
      <c r="W1807" s="16"/>
      <c r="X1807" s="16"/>
      <c r="Y1807" s="6" t="s">
        <v>1627</v>
      </c>
      <c r="Z1807" s="15"/>
      <c r="AA1807" s="15" t="s">
        <v>1628</v>
      </c>
    </row>
    <row r="1808" spans="1:27" ht="33" customHeight="1">
      <c r="A1808" s="6" t="s">
        <v>6797</v>
      </c>
      <c r="B1808" s="7">
        <v>2305</v>
      </c>
      <c r="C1808" s="6" t="s">
        <v>6798</v>
      </c>
      <c r="D1808" s="6" t="s">
        <v>1773</v>
      </c>
      <c r="E1808" s="6" t="s">
        <v>1981</v>
      </c>
      <c r="F1808" s="6" t="s">
        <v>122</v>
      </c>
      <c r="G1808" s="6" t="s">
        <v>185</v>
      </c>
      <c r="H1808" s="6"/>
      <c r="I1808" s="14" t="s">
        <v>1642</v>
      </c>
      <c r="J1808" s="15"/>
      <c r="K1808" s="6" t="s">
        <v>1982</v>
      </c>
      <c r="L1808" s="6" t="s">
        <v>3828</v>
      </c>
      <c r="M1808" s="6" t="s">
        <v>1643</v>
      </c>
      <c r="N1808" s="6" t="s">
        <v>1624</v>
      </c>
      <c r="O1808" s="7">
        <f>SUMIFS('05_상품별배치367'!$K$7:$K$373,'05_상품별배치367'!$E$7:$E$373,A1808,'05_상품별배치367'!$H$7:$H$373,"본진")</f>
        <v>0</v>
      </c>
      <c r="P1808" s="7">
        <f>SUMIFS('05_상품별배치367'!$K$7:$K$373,'05_상품별배치367'!$E$7:$E$373,A1808,'05_상품별배치367'!$H$7:$H$373,"추가 진열")</f>
        <v>0</v>
      </c>
      <c r="Q1808" s="7">
        <f>O1808+P1808</f>
        <v>0</v>
      </c>
      <c r="R1808" s="7">
        <v>1</v>
      </c>
      <c r="S1808" s="6" t="s">
        <v>1983</v>
      </c>
      <c r="T1808" s="6" t="s">
        <v>6789</v>
      </c>
      <c r="U1808" s="6"/>
      <c r="V1808" s="16"/>
      <c r="W1808" s="16"/>
      <c r="X1808" s="16"/>
      <c r="Y1808" s="6" t="s">
        <v>1627</v>
      </c>
      <c r="Z1808" s="15"/>
      <c r="AA1808" s="15" t="s">
        <v>1628</v>
      </c>
    </row>
    <row r="1809" spans="1:27" ht="33" customHeight="1">
      <c r="A1809" s="6" t="s">
        <v>6786</v>
      </c>
      <c r="B1809" s="7">
        <v>2301</v>
      </c>
      <c r="C1809" s="6" t="s">
        <v>6787</v>
      </c>
      <c r="D1809" s="6" t="s">
        <v>6788</v>
      </c>
      <c r="E1809" s="6" t="s">
        <v>1981</v>
      </c>
      <c r="F1809" s="6" t="s">
        <v>122</v>
      </c>
      <c r="G1809" s="6" t="s">
        <v>185</v>
      </c>
      <c r="H1809" s="6" t="s">
        <v>879</v>
      </c>
      <c r="I1809" s="14" t="s">
        <v>1621</v>
      </c>
      <c r="J1809" s="15"/>
      <c r="K1809" s="6" t="s">
        <v>1982</v>
      </c>
      <c r="L1809" s="6" t="s">
        <v>3828</v>
      </c>
      <c r="M1809" s="6" t="s">
        <v>1623</v>
      </c>
      <c r="N1809" s="6" t="s">
        <v>1624</v>
      </c>
      <c r="O1809" s="7">
        <f>SUMIFS('05_상품별배치367'!$K$7:$K$373,'05_상품별배치367'!$E$7:$E$373,A1809,'05_상품별배치367'!$H$7:$H$373,"본진")</f>
        <v>1</v>
      </c>
      <c r="P1809" s="7">
        <f>SUMIFS('05_상품별배치367'!$K$7:$K$373,'05_상품별배치367'!$E$7:$E$373,A1809,'05_상품별배치367'!$H$7:$H$373,"추가 진열")</f>
        <v>0</v>
      </c>
      <c r="Q1809" s="7">
        <f>O1809+P1809</f>
        <v>1</v>
      </c>
      <c r="R1809" s="7">
        <v>1</v>
      </c>
      <c r="S1809" s="6" t="s">
        <v>1625</v>
      </c>
      <c r="T1809" s="6" t="s">
        <v>6789</v>
      </c>
      <c r="U1809" s="6"/>
      <c r="V1809" s="16"/>
      <c r="W1809" s="16"/>
      <c r="X1809" s="16"/>
      <c r="Y1809" s="6" t="s">
        <v>1627</v>
      </c>
      <c r="Z1809" s="15"/>
      <c r="AA1809" s="15" t="s">
        <v>1628</v>
      </c>
    </row>
    <row r="1810" spans="1:27" ht="33" customHeight="1">
      <c r="A1810" s="8" t="s">
        <v>747</v>
      </c>
      <c r="B1810" s="9">
        <v>2310</v>
      </c>
      <c r="C1810" s="8" t="s">
        <v>746</v>
      </c>
      <c r="D1810" s="8" t="s">
        <v>6788</v>
      </c>
      <c r="E1810" s="8" t="s">
        <v>1981</v>
      </c>
      <c r="F1810" s="8" t="s">
        <v>122</v>
      </c>
      <c r="G1810" s="8" t="s">
        <v>185</v>
      </c>
      <c r="H1810" s="8" t="s">
        <v>879</v>
      </c>
      <c r="I1810" s="14" t="s">
        <v>1621</v>
      </c>
      <c r="J1810" s="15"/>
      <c r="K1810" s="8" t="s">
        <v>1982</v>
      </c>
      <c r="L1810" s="8" t="s">
        <v>3828</v>
      </c>
      <c r="M1810" s="6" t="s">
        <v>1623</v>
      </c>
      <c r="N1810" s="6" t="s">
        <v>1624</v>
      </c>
      <c r="O1810" s="7">
        <f>SUMIFS('05_상품별배치367'!$K$7:$K$373,'05_상품별배치367'!$E$7:$E$373,A1810,'05_상품별배치367'!$H$7:$H$373,"본진")</f>
        <v>2</v>
      </c>
      <c r="P1810" s="7">
        <f>SUMIFS('05_상품별배치367'!$K$7:$K$373,'05_상품별배치367'!$E$7:$E$373,A1810,'05_상품별배치367'!$H$7:$H$373,"추가 진열")</f>
        <v>1</v>
      </c>
      <c r="Q1810" s="7">
        <f>O1810+P1810</f>
        <v>3</v>
      </c>
      <c r="R1810" s="7">
        <v>2</v>
      </c>
      <c r="S1810" s="6" t="s">
        <v>1625</v>
      </c>
      <c r="T1810" s="6" t="s">
        <v>6789</v>
      </c>
      <c r="U1810" s="6"/>
      <c r="V1810" s="16"/>
      <c r="W1810" s="16"/>
      <c r="X1810" s="16"/>
      <c r="Y1810" s="6" t="s">
        <v>1627</v>
      </c>
      <c r="Z1810" s="15"/>
      <c r="AA1810" s="15" t="s">
        <v>1628</v>
      </c>
    </row>
    <row r="1811" spans="1:27" ht="33" customHeight="1">
      <c r="A1811" s="6" t="s">
        <v>6807</v>
      </c>
      <c r="B1811" s="7">
        <v>2309</v>
      </c>
      <c r="C1811" s="6" t="s">
        <v>6808</v>
      </c>
      <c r="D1811" s="6" t="s">
        <v>1773</v>
      </c>
      <c r="E1811" s="6" t="s">
        <v>1981</v>
      </c>
      <c r="F1811" s="6" t="s">
        <v>122</v>
      </c>
      <c r="G1811" s="6" t="s">
        <v>185</v>
      </c>
      <c r="H1811" s="6" t="s">
        <v>883</v>
      </c>
      <c r="I1811" s="14" t="s">
        <v>1633</v>
      </c>
      <c r="J1811" s="15"/>
      <c r="K1811" s="6" t="s">
        <v>1982</v>
      </c>
      <c r="L1811" s="6" t="s">
        <v>3828</v>
      </c>
      <c r="M1811" s="6" t="s">
        <v>1635</v>
      </c>
      <c r="N1811" s="6" t="s">
        <v>1624</v>
      </c>
      <c r="O1811" s="7">
        <f>SUMIFS('05_상품별배치367'!$K$7:$K$373,'05_상품별배치367'!$E$7:$E$373,A1811,'05_상품별배치367'!$H$7:$H$373,"본진")</f>
        <v>1</v>
      </c>
      <c r="P1811" s="7">
        <f>SUMIFS('05_상품별배치367'!$K$7:$K$373,'05_상품별배치367'!$E$7:$E$373,A1811,'05_상품별배치367'!$H$7:$H$373,"추가 진열")</f>
        <v>0</v>
      </c>
      <c r="Q1811" s="7">
        <f>O1811+P1811</f>
        <v>1</v>
      </c>
      <c r="R1811" s="7">
        <v>1</v>
      </c>
      <c r="S1811" s="6" t="s">
        <v>1636</v>
      </c>
      <c r="T1811" s="6" t="s">
        <v>6789</v>
      </c>
      <c r="U1811" s="6"/>
      <c r="V1811" s="16"/>
      <c r="W1811" s="16"/>
      <c r="X1811" s="16"/>
      <c r="Y1811" s="6" t="s">
        <v>1627</v>
      </c>
      <c r="Z1811" s="15"/>
      <c r="AA1811" s="15" t="s">
        <v>1628</v>
      </c>
    </row>
    <row r="1812" spans="1:27" ht="33" customHeight="1">
      <c r="A1812" s="6" t="s">
        <v>6769</v>
      </c>
      <c r="B1812" s="7">
        <v>2293</v>
      </c>
      <c r="C1812" s="6" t="s">
        <v>6770</v>
      </c>
      <c r="D1812" s="6" t="s">
        <v>3042</v>
      </c>
      <c r="E1812" s="6" t="s">
        <v>2134</v>
      </c>
      <c r="F1812" s="6" t="s">
        <v>575</v>
      </c>
      <c r="G1812" s="6" t="s">
        <v>38</v>
      </c>
      <c r="H1812" s="6" t="s">
        <v>580</v>
      </c>
      <c r="I1812" s="14" t="s">
        <v>1621</v>
      </c>
      <c r="J1812" s="15"/>
      <c r="K1812" s="6" t="s">
        <v>1976</v>
      </c>
      <c r="L1812" s="6" t="s">
        <v>3828</v>
      </c>
      <c r="M1812" s="6" t="s">
        <v>1623</v>
      </c>
      <c r="N1812" s="6" t="s">
        <v>1624</v>
      </c>
      <c r="O1812" s="7">
        <f>SUMIFS('05_상품별배치367'!$K$7:$K$373,'05_상품별배치367'!$E$7:$E$373,A1812,'05_상품별배치367'!$H$7:$H$373,"본진")</f>
        <v>1</v>
      </c>
      <c r="P1812" s="7">
        <f>SUMIFS('05_상품별배치367'!$K$7:$K$373,'05_상품별배치367'!$E$7:$E$373,A1812,'05_상품별배치367'!$H$7:$H$373,"추가 진열")</f>
        <v>0</v>
      </c>
      <c r="Q1812" s="7">
        <f>O1812+P1812</f>
        <v>1</v>
      </c>
      <c r="R1812" s="7">
        <v>1</v>
      </c>
      <c r="S1812" s="6" t="s">
        <v>1625</v>
      </c>
      <c r="T1812" s="6" t="s">
        <v>6771</v>
      </c>
      <c r="U1812" s="6"/>
      <c r="V1812" s="16"/>
      <c r="W1812" s="16"/>
      <c r="X1812" s="16"/>
      <c r="Y1812" s="6" t="s">
        <v>1627</v>
      </c>
      <c r="Z1812" s="15"/>
      <c r="AA1812" s="15" t="s">
        <v>1628</v>
      </c>
    </row>
    <row r="1813" spans="1:27" ht="33" customHeight="1">
      <c r="A1813" s="6" t="s">
        <v>6753</v>
      </c>
      <c r="B1813" s="7">
        <v>2285</v>
      </c>
      <c r="C1813" s="6" t="s">
        <v>6754</v>
      </c>
      <c r="D1813" s="6" t="s">
        <v>3600</v>
      </c>
      <c r="E1813" s="6" t="s">
        <v>2134</v>
      </c>
      <c r="F1813" s="6" t="s">
        <v>575</v>
      </c>
      <c r="G1813" s="6" t="s">
        <v>38</v>
      </c>
      <c r="H1813" s="6" t="s">
        <v>576</v>
      </c>
      <c r="I1813" s="14" t="s">
        <v>1633</v>
      </c>
      <c r="J1813" s="15"/>
      <c r="K1813" s="6" t="s">
        <v>1976</v>
      </c>
      <c r="L1813" s="6" t="s">
        <v>3828</v>
      </c>
      <c r="M1813" s="6" t="s">
        <v>1635</v>
      </c>
      <c r="N1813" s="6" t="s">
        <v>1624</v>
      </c>
      <c r="O1813" s="7">
        <f>SUMIFS('05_상품별배치367'!$K$7:$K$373,'05_상품별배치367'!$E$7:$E$373,A1813,'05_상품별배치367'!$H$7:$H$373,"본진")</f>
        <v>1</v>
      </c>
      <c r="P1813" s="7">
        <f>SUMIFS('05_상품별배치367'!$K$7:$K$373,'05_상품별배치367'!$E$7:$E$373,A1813,'05_상품별배치367'!$H$7:$H$373,"추가 진열")</f>
        <v>0</v>
      </c>
      <c r="Q1813" s="7">
        <f>O1813+P1813</f>
        <v>1</v>
      </c>
      <c r="R1813" s="7">
        <v>1</v>
      </c>
      <c r="S1813" s="6" t="s">
        <v>1636</v>
      </c>
      <c r="T1813" s="6" t="s">
        <v>6755</v>
      </c>
      <c r="U1813" s="6"/>
      <c r="V1813" s="16"/>
      <c r="W1813" s="16"/>
      <c r="X1813" s="16"/>
      <c r="Y1813" s="6" t="s">
        <v>1627</v>
      </c>
      <c r="Z1813" s="15"/>
      <c r="AA1813" s="15" t="s">
        <v>1628</v>
      </c>
    </row>
    <row r="1814" spans="1:27" ht="33" customHeight="1">
      <c r="A1814" s="8" t="s">
        <v>6763</v>
      </c>
      <c r="B1814" s="9">
        <v>2290</v>
      </c>
      <c r="C1814" s="8" t="s">
        <v>6764</v>
      </c>
      <c r="D1814" s="8" t="s">
        <v>3600</v>
      </c>
      <c r="E1814" s="8" t="s">
        <v>2134</v>
      </c>
      <c r="F1814" s="8" t="s">
        <v>575</v>
      </c>
      <c r="G1814" s="8" t="s">
        <v>38</v>
      </c>
      <c r="H1814" s="8" t="s">
        <v>576</v>
      </c>
      <c r="I1814" s="14" t="s">
        <v>1633</v>
      </c>
      <c r="J1814" s="15"/>
      <c r="K1814" s="8" t="s">
        <v>1976</v>
      </c>
      <c r="L1814" s="8" t="s">
        <v>3828</v>
      </c>
      <c r="M1814" s="6" t="s">
        <v>1635</v>
      </c>
      <c r="N1814" s="6" t="s">
        <v>1624</v>
      </c>
      <c r="O1814" s="7">
        <f>SUMIFS('05_상품별배치367'!$K$7:$K$373,'05_상품별배치367'!$E$7:$E$373,A1814,'05_상품별배치367'!$H$7:$H$373,"본진")</f>
        <v>1</v>
      </c>
      <c r="P1814" s="7">
        <f>SUMIFS('05_상품별배치367'!$K$7:$K$373,'05_상품별배치367'!$E$7:$E$373,A1814,'05_상품별배치367'!$H$7:$H$373,"추가 진열")</f>
        <v>0</v>
      </c>
      <c r="Q1814" s="7">
        <f>O1814+P1814</f>
        <v>1</v>
      </c>
      <c r="R1814" s="7">
        <v>1</v>
      </c>
      <c r="S1814" s="6" t="s">
        <v>1636</v>
      </c>
      <c r="T1814" s="6" t="s">
        <v>6755</v>
      </c>
      <c r="U1814" s="6"/>
      <c r="V1814" s="16"/>
      <c r="W1814" s="16"/>
      <c r="X1814" s="16"/>
      <c r="Y1814" s="6" t="s">
        <v>1627</v>
      </c>
      <c r="Z1814" s="15"/>
      <c r="AA1814" s="15" t="s">
        <v>1628</v>
      </c>
    </row>
    <row r="1815" spans="1:27" ht="33" customHeight="1">
      <c r="A1815" s="6" t="s">
        <v>6758</v>
      </c>
      <c r="B1815" s="7">
        <v>2287</v>
      </c>
      <c r="C1815" s="6" t="s">
        <v>6759</v>
      </c>
      <c r="D1815" s="6" t="s">
        <v>3600</v>
      </c>
      <c r="E1815" s="6" t="s">
        <v>2134</v>
      </c>
      <c r="F1815" s="6" t="s">
        <v>575</v>
      </c>
      <c r="G1815" s="6" t="s">
        <v>38</v>
      </c>
      <c r="H1815" s="6" t="s">
        <v>576</v>
      </c>
      <c r="I1815" s="14" t="s">
        <v>1633</v>
      </c>
      <c r="J1815" s="15"/>
      <c r="K1815" s="6" t="s">
        <v>1976</v>
      </c>
      <c r="L1815" s="6" t="s">
        <v>3828</v>
      </c>
      <c r="M1815" s="6" t="s">
        <v>1635</v>
      </c>
      <c r="N1815" s="6" t="s">
        <v>1624</v>
      </c>
      <c r="O1815" s="7">
        <f>SUMIFS('05_상품별배치367'!$K$7:$K$373,'05_상품별배치367'!$E$7:$E$373,A1815,'05_상품별배치367'!$H$7:$H$373,"본진")</f>
        <v>1</v>
      </c>
      <c r="P1815" s="7">
        <f>SUMIFS('05_상품별배치367'!$K$7:$K$373,'05_상품별배치367'!$E$7:$E$373,A1815,'05_상품별배치367'!$H$7:$H$373,"추가 진열")</f>
        <v>0</v>
      </c>
      <c r="Q1815" s="7">
        <f>O1815+P1815</f>
        <v>1</v>
      </c>
      <c r="R1815" s="7">
        <v>1</v>
      </c>
      <c r="S1815" s="6" t="s">
        <v>1636</v>
      </c>
      <c r="T1815" s="6" t="s">
        <v>6755</v>
      </c>
      <c r="U1815" s="6"/>
      <c r="V1815" s="16"/>
      <c r="W1815" s="16"/>
      <c r="X1815" s="16"/>
      <c r="Y1815" s="6" t="s">
        <v>1627</v>
      </c>
      <c r="Z1815" s="15"/>
      <c r="AA1815" s="15" t="s">
        <v>1628</v>
      </c>
    </row>
    <row r="1816" spans="1:27" ht="33" customHeight="1">
      <c r="A1816" s="8" t="s">
        <v>5980</v>
      </c>
      <c r="B1816" s="9">
        <v>1940</v>
      </c>
      <c r="C1816" s="8" t="s">
        <v>5981</v>
      </c>
      <c r="D1816" s="8" t="s">
        <v>5979</v>
      </c>
      <c r="E1816" s="8" t="s">
        <v>1641</v>
      </c>
      <c r="F1816" s="8" t="s">
        <v>694</v>
      </c>
      <c r="G1816" s="8" t="s">
        <v>99</v>
      </c>
      <c r="H1816" s="8"/>
      <c r="I1816" s="14" t="s">
        <v>1642</v>
      </c>
      <c r="J1816" s="15"/>
      <c r="K1816" s="8" t="s">
        <v>1634</v>
      </c>
      <c r="L1816" s="8" t="s">
        <v>3828</v>
      </c>
      <c r="M1816" s="6" t="s">
        <v>1643</v>
      </c>
      <c r="N1816" s="6" t="s">
        <v>1624</v>
      </c>
      <c r="O1816" s="7">
        <f>SUMIFS('05_상품별배치367'!$K$7:$K$373,'05_상품별배치367'!$E$7:$E$373,A1816,'05_상품별배치367'!$H$7:$H$373,"본진")</f>
        <v>0</v>
      </c>
      <c r="P1816" s="7">
        <f>SUMIFS('05_상품별배치367'!$K$7:$K$373,'05_상품별배치367'!$E$7:$E$373,A1816,'05_상품별배치367'!$H$7:$H$373,"추가 진열")</f>
        <v>0</v>
      </c>
      <c r="Q1816" s="7">
        <f>O1816+P1816</f>
        <v>0</v>
      </c>
      <c r="R1816" s="7">
        <v>1</v>
      </c>
      <c r="S1816" s="6" t="s">
        <v>5964</v>
      </c>
      <c r="T1816" s="6" t="s">
        <v>1637</v>
      </c>
      <c r="U1816" s="6"/>
      <c r="V1816" s="16"/>
      <c r="W1816" s="16"/>
      <c r="X1816" s="16"/>
      <c r="Y1816" s="6" t="s">
        <v>1627</v>
      </c>
      <c r="Z1816" s="15"/>
      <c r="AA1816" s="15" t="s">
        <v>1628</v>
      </c>
    </row>
    <row r="1817" spans="1:27" ht="33" customHeight="1">
      <c r="A1817" s="6" t="s">
        <v>5977</v>
      </c>
      <c r="B1817" s="7">
        <v>1939</v>
      </c>
      <c r="C1817" s="6" t="s">
        <v>5978</v>
      </c>
      <c r="D1817" s="6" t="s">
        <v>5979</v>
      </c>
      <c r="E1817" s="6" t="s">
        <v>1641</v>
      </c>
      <c r="F1817" s="6" t="s">
        <v>694</v>
      </c>
      <c r="G1817" s="6" t="s">
        <v>99</v>
      </c>
      <c r="H1817" s="6" t="s">
        <v>693</v>
      </c>
      <c r="I1817" s="14" t="s">
        <v>1621</v>
      </c>
      <c r="J1817" s="15"/>
      <c r="K1817" s="6" t="s">
        <v>1634</v>
      </c>
      <c r="L1817" s="6" t="s">
        <v>3828</v>
      </c>
      <c r="M1817" s="6" t="s">
        <v>1623</v>
      </c>
      <c r="N1817" s="6" t="s">
        <v>1624</v>
      </c>
      <c r="O1817" s="7">
        <f>SUMIFS('05_상품별배치367'!$K$7:$K$373,'05_상품별배치367'!$E$7:$E$373,A1817,'05_상품별배치367'!$H$7:$H$373,"본진")</f>
        <v>1</v>
      </c>
      <c r="P1817" s="7">
        <f>SUMIFS('05_상품별배치367'!$K$7:$K$373,'05_상품별배치367'!$E$7:$E$373,A1817,'05_상품별배치367'!$H$7:$H$373,"추가 진열")</f>
        <v>0</v>
      </c>
      <c r="Q1817" s="7">
        <f>O1817+P1817</f>
        <v>1</v>
      </c>
      <c r="R1817" s="7">
        <v>1</v>
      </c>
      <c r="S1817" s="6" t="s">
        <v>1625</v>
      </c>
      <c r="T1817" s="6" t="s">
        <v>1637</v>
      </c>
      <c r="U1817" s="6"/>
      <c r="V1817" s="16"/>
      <c r="W1817" s="16"/>
      <c r="X1817" s="16"/>
      <c r="Y1817" s="6" t="s">
        <v>1627</v>
      </c>
      <c r="Z1817" s="15"/>
      <c r="AA1817" s="15" t="s">
        <v>1628</v>
      </c>
    </row>
    <row r="1818" spans="1:27" ht="33" customHeight="1">
      <c r="A1818" s="8" t="s">
        <v>5984</v>
      </c>
      <c r="B1818" s="9">
        <v>1942</v>
      </c>
      <c r="C1818" s="8" t="s">
        <v>5985</v>
      </c>
      <c r="D1818" s="8" t="s">
        <v>5986</v>
      </c>
      <c r="E1818" s="8" t="s">
        <v>1641</v>
      </c>
      <c r="F1818" s="8" t="s">
        <v>694</v>
      </c>
      <c r="G1818" s="8" t="s">
        <v>99</v>
      </c>
      <c r="H1818" s="8"/>
      <c r="I1818" s="14" t="s">
        <v>1642</v>
      </c>
      <c r="J1818" s="15"/>
      <c r="K1818" s="8" t="s">
        <v>1634</v>
      </c>
      <c r="L1818" s="8" t="s">
        <v>3828</v>
      </c>
      <c r="M1818" s="6" t="s">
        <v>1643</v>
      </c>
      <c r="N1818" s="6" t="s">
        <v>1624</v>
      </c>
      <c r="O1818" s="7">
        <f>SUMIFS('05_상품별배치367'!$K$7:$K$373,'05_상품별배치367'!$E$7:$E$373,A1818,'05_상품별배치367'!$H$7:$H$373,"본진")</f>
        <v>0</v>
      </c>
      <c r="P1818" s="7">
        <f>SUMIFS('05_상품별배치367'!$K$7:$K$373,'05_상품별배치367'!$E$7:$E$373,A1818,'05_상품별배치367'!$H$7:$H$373,"추가 진열")</f>
        <v>0</v>
      </c>
      <c r="Q1818" s="7">
        <f>O1818+P1818</f>
        <v>0</v>
      </c>
      <c r="R1818" s="7">
        <v>1</v>
      </c>
      <c r="S1818" s="6" t="s">
        <v>5964</v>
      </c>
      <c r="T1818" s="6" t="s">
        <v>1637</v>
      </c>
      <c r="U1818" s="6"/>
      <c r="V1818" s="16"/>
      <c r="W1818" s="16"/>
      <c r="X1818" s="16"/>
      <c r="Y1818" s="6" t="s">
        <v>1627</v>
      </c>
      <c r="Z1818" s="15"/>
      <c r="AA1818" s="15" t="s">
        <v>1628</v>
      </c>
    </row>
    <row r="1819" spans="1:27" ht="33" customHeight="1">
      <c r="A1819" s="6" t="s">
        <v>5987</v>
      </c>
      <c r="B1819" s="7">
        <v>1943</v>
      </c>
      <c r="C1819" s="6" t="s">
        <v>5983</v>
      </c>
      <c r="D1819" s="6" t="s">
        <v>5986</v>
      </c>
      <c r="E1819" s="6" t="s">
        <v>1641</v>
      </c>
      <c r="F1819" s="6" t="s">
        <v>694</v>
      </c>
      <c r="G1819" s="6" t="s">
        <v>99</v>
      </c>
      <c r="H1819" s="6"/>
      <c r="I1819" s="14" t="s">
        <v>1642</v>
      </c>
      <c r="J1819" s="15"/>
      <c r="K1819" s="6" t="s">
        <v>1634</v>
      </c>
      <c r="L1819" s="6" t="s">
        <v>3828</v>
      </c>
      <c r="M1819" s="6" t="s">
        <v>1643</v>
      </c>
      <c r="N1819" s="6" t="s">
        <v>1624</v>
      </c>
      <c r="O1819" s="7">
        <f>SUMIFS('05_상품별배치367'!$K$7:$K$373,'05_상품별배치367'!$E$7:$E$373,A1819,'05_상품별배치367'!$H$7:$H$373,"본진")</f>
        <v>0</v>
      </c>
      <c r="P1819" s="7">
        <f>SUMIFS('05_상품별배치367'!$K$7:$K$373,'05_상품별배치367'!$E$7:$E$373,A1819,'05_상품별배치367'!$H$7:$H$373,"추가 진열")</f>
        <v>0</v>
      </c>
      <c r="Q1819" s="7">
        <f>O1819+P1819</f>
        <v>0</v>
      </c>
      <c r="R1819" s="7">
        <v>1</v>
      </c>
      <c r="S1819" s="6" t="s">
        <v>5964</v>
      </c>
      <c r="T1819" s="6" t="s">
        <v>1637</v>
      </c>
      <c r="U1819" s="6"/>
      <c r="V1819" s="16"/>
      <c r="W1819" s="16"/>
      <c r="X1819" s="16"/>
      <c r="Y1819" s="6" t="s">
        <v>1627</v>
      </c>
      <c r="Z1819" s="15"/>
      <c r="AA1819" s="15" t="s">
        <v>1628</v>
      </c>
    </row>
    <row r="1820" spans="1:27" ht="33" customHeight="1">
      <c r="A1820" s="6" t="s">
        <v>5982</v>
      </c>
      <c r="B1820" s="7">
        <v>1941</v>
      </c>
      <c r="C1820" s="6" t="s">
        <v>5983</v>
      </c>
      <c r="D1820" s="6" t="s">
        <v>5979</v>
      </c>
      <c r="E1820" s="6" t="s">
        <v>1641</v>
      </c>
      <c r="F1820" s="6" t="s">
        <v>694</v>
      </c>
      <c r="G1820" s="6" t="s">
        <v>99</v>
      </c>
      <c r="H1820" s="6"/>
      <c r="I1820" s="14" t="s">
        <v>1642</v>
      </c>
      <c r="J1820" s="15"/>
      <c r="K1820" s="6" t="s">
        <v>1634</v>
      </c>
      <c r="L1820" s="6" t="s">
        <v>3828</v>
      </c>
      <c r="M1820" s="6" t="s">
        <v>1643</v>
      </c>
      <c r="N1820" s="6" t="s">
        <v>1624</v>
      </c>
      <c r="O1820" s="7">
        <f>SUMIFS('05_상품별배치367'!$K$7:$K$373,'05_상품별배치367'!$E$7:$E$373,A1820,'05_상품별배치367'!$H$7:$H$373,"본진")</f>
        <v>0</v>
      </c>
      <c r="P1820" s="7">
        <f>SUMIFS('05_상품별배치367'!$K$7:$K$373,'05_상품별배치367'!$E$7:$E$373,A1820,'05_상품별배치367'!$H$7:$H$373,"추가 진열")</f>
        <v>0</v>
      </c>
      <c r="Q1820" s="7">
        <f>O1820+P1820</f>
        <v>0</v>
      </c>
      <c r="R1820" s="7">
        <v>1</v>
      </c>
      <c r="S1820" s="6" t="s">
        <v>5964</v>
      </c>
      <c r="T1820" s="6" t="s">
        <v>1637</v>
      </c>
      <c r="U1820" s="6"/>
      <c r="V1820" s="16"/>
      <c r="W1820" s="16"/>
      <c r="X1820" s="16"/>
      <c r="Y1820" s="6" t="s">
        <v>1627</v>
      </c>
      <c r="Z1820" s="15"/>
      <c r="AA1820" s="15" t="s">
        <v>1628</v>
      </c>
    </row>
    <row r="1821" spans="1:27" ht="33" customHeight="1">
      <c r="A1821" s="6" t="s">
        <v>1887</v>
      </c>
      <c r="B1821" s="7">
        <v>91</v>
      </c>
      <c r="C1821" s="6" t="s">
        <v>1888</v>
      </c>
      <c r="D1821" s="6" t="s">
        <v>1658</v>
      </c>
      <c r="E1821" s="6" t="s">
        <v>1695</v>
      </c>
      <c r="F1821" s="6" t="s">
        <v>770</v>
      </c>
      <c r="G1821" s="6" t="s">
        <v>131</v>
      </c>
      <c r="H1821" s="6" t="s">
        <v>771</v>
      </c>
      <c r="I1821" s="14" t="s">
        <v>1633</v>
      </c>
      <c r="J1821" s="15"/>
      <c r="K1821" s="6" t="s">
        <v>1696</v>
      </c>
      <c r="L1821" s="6"/>
      <c r="M1821" s="6" t="s">
        <v>1635</v>
      </c>
      <c r="N1821" s="6" t="s">
        <v>1624</v>
      </c>
      <c r="O1821" s="7">
        <f>SUMIFS('05_상품별배치367'!$K$7:$K$373,'05_상품별배치367'!$E$7:$E$373,A1821,'05_상품별배치367'!$H$7:$H$373,"본진")</f>
        <v>1</v>
      </c>
      <c r="P1821" s="7">
        <f>SUMIFS('05_상품별배치367'!$K$7:$K$373,'05_상품별배치367'!$E$7:$E$373,A1821,'05_상품별배치367'!$H$7:$H$373,"추가 진열")</f>
        <v>0</v>
      </c>
      <c r="Q1821" s="7">
        <f>O1821+P1821</f>
        <v>1</v>
      </c>
      <c r="R1821" s="7">
        <v>1</v>
      </c>
      <c r="S1821" s="6" t="s">
        <v>1636</v>
      </c>
      <c r="T1821" s="6" t="s">
        <v>1637</v>
      </c>
      <c r="U1821" s="6"/>
      <c r="V1821" s="16"/>
      <c r="W1821" s="16"/>
      <c r="X1821" s="16"/>
      <c r="Y1821" s="6" t="s">
        <v>1627</v>
      </c>
      <c r="Z1821" s="15"/>
      <c r="AA1821" s="15" t="s">
        <v>1628</v>
      </c>
    </row>
    <row r="1822" spans="1:27" ht="33" customHeight="1">
      <c r="A1822" s="8" t="s">
        <v>1889</v>
      </c>
      <c r="B1822" s="9">
        <v>92</v>
      </c>
      <c r="C1822" s="8" t="s">
        <v>1890</v>
      </c>
      <c r="D1822" s="8" t="s">
        <v>1658</v>
      </c>
      <c r="E1822" s="8" t="s">
        <v>1695</v>
      </c>
      <c r="F1822" s="8" t="s">
        <v>770</v>
      </c>
      <c r="G1822" s="8" t="s">
        <v>131</v>
      </c>
      <c r="H1822" s="8"/>
      <c r="I1822" s="14" t="s">
        <v>1642</v>
      </c>
      <c r="J1822" s="15"/>
      <c r="K1822" s="8" t="s">
        <v>1696</v>
      </c>
      <c r="L1822" s="8"/>
      <c r="M1822" s="6" t="s">
        <v>1643</v>
      </c>
      <c r="N1822" s="6" t="s">
        <v>1624</v>
      </c>
      <c r="O1822" s="7">
        <f>SUMIFS('05_상품별배치367'!$K$7:$K$373,'05_상품별배치367'!$E$7:$E$373,A1822,'05_상품별배치367'!$H$7:$H$373,"본진")</f>
        <v>0</v>
      </c>
      <c r="P1822" s="7">
        <f>SUMIFS('05_상품별배치367'!$K$7:$K$373,'05_상품별배치367'!$E$7:$E$373,A1822,'05_상품별배치367'!$H$7:$H$373,"추가 진열")</f>
        <v>0</v>
      </c>
      <c r="Q1822" s="7">
        <f>O1822+P1822</f>
        <v>0</v>
      </c>
      <c r="R1822" s="7">
        <v>1</v>
      </c>
      <c r="S1822" s="6" t="s">
        <v>1891</v>
      </c>
      <c r="T1822" s="6" t="s">
        <v>1637</v>
      </c>
      <c r="U1822" s="6"/>
      <c r="V1822" s="16"/>
      <c r="W1822" s="16"/>
      <c r="X1822" s="16"/>
      <c r="Y1822" s="6" t="s">
        <v>1627</v>
      </c>
      <c r="Z1822" s="15"/>
      <c r="AA1822" s="15" t="s">
        <v>1628</v>
      </c>
    </row>
    <row r="1823" spans="1:27" ht="33" customHeight="1">
      <c r="A1823" s="6" t="s">
        <v>2824</v>
      </c>
      <c r="B1823" s="7">
        <v>471</v>
      </c>
      <c r="C1823" s="6" t="s">
        <v>2825</v>
      </c>
      <c r="D1823" s="6" t="s">
        <v>2418</v>
      </c>
      <c r="E1823" s="6" t="s">
        <v>1620</v>
      </c>
      <c r="F1823" s="6" t="s">
        <v>2162</v>
      </c>
      <c r="G1823" s="6" t="s">
        <v>358</v>
      </c>
      <c r="H1823" s="6"/>
      <c r="I1823" s="14" t="s">
        <v>1642</v>
      </c>
      <c r="J1823" s="15"/>
      <c r="K1823" s="6" t="s">
        <v>1622</v>
      </c>
      <c r="L1823" s="6"/>
      <c r="M1823" s="6" t="s">
        <v>1643</v>
      </c>
      <c r="N1823" s="6" t="s">
        <v>1644</v>
      </c>
      <c r="O1823" s="7">
        <f>SUMIFS('05_상품별배치367'!$K$7:$K$373,'05_상품별배치367'!$E$7:$E$373,A1823,'05_상품별배치367'!$H$7:$H$373,"본진")</f>
        <v>0</v>
      </c>
      <c r="P1823" s="7">
        <f>SUMIFS('05_상품별배치367'!$K$7:$K$373,'05_상품별배치367'!$E$7:$E$373,A1823,'05_상품별배치367'!$H$7:$H$373,"추가 진열")</f>
        <v>0</v>
      </c>
      <c r="Q1823" s="7">
        <f>O1823+P1823</f>
        <v>0</v>
      </c>
      <c r="R1823" s="7">
        <v>1</v>
      </c>
      <c r="S1823" s="6" t="s">
        <v>2163</v>
      </c>
      <c r="T1823" s="6" t="s">
        <v>1637</v>
      </c>
      <c r="U1823" s="6"/>
      <c r="V1823" s="16"/>
      <c r="W1823" s="16"/>
      <c r="X1823" s="16"/>
      <c r="Y1823" s="6" t="s">
        <v>1627</v>
      </c>
      <c r="Z1823" s="15"/>
      <c r="AA1823" s="15" t="s">
        <v>1628</v>
      </c>
    </row>
    <row r="1824" spans="1:27" ht="33" customHeight="1">
      <c r="A1824" s="8" t="s">
        <v>2814</v>
      </c>
      <c r="B1824" s="9">
        <v>466</v>
      </c>
      <c r="C1824" s="8" t="s">
        <v>2815</v>
      </c>
      <c r="D1824" s="8" t="s">
        <v>2036</v>
      </c>
      <c r="E1824" s="8" t="s">
        <v>1620</v>
      </c>
      <c r="F1824" s="8" t="s">
        <v>1220</v>
      </c>
      <c r="G1824" s="8" t="s">
        <v>349</v>
      </c>
      <c r="H1824" s="8" t="s">
        <v>1224</v>
      </c>
      <c r="I1824" s="14" t="s">
        <v>1633</v>
      </c>
      <c r="J1824" s="15"/>
      <c r="K1824" s="8" t="s">
        <v>1622</v>
      </c>
      <c r="L1824" s="8"/>
      <c r="M1824" s="6" t="s">
        <v>1635</v>
      </c>
      <c r="N1824" s="6" t="s">
        <v>1624</v>
      </c>
      <c r="O1824" s="7">
        <f>SUMIFS('05_상품별배치367'!$K$7:$K$373,'05_상품별배치367'!$E$7:$E$373,A1824,'05_상품별배치367'!$H$7:$H$373,"본진")</f>
        <v>1</v>
      </c>
      <c r="P1824" s="7">
        <f>SUMIFS('05_상품별배치367'!$K$7:$K$373,'05_상품별배치367'!$E$7:$E$373,A1824,'05_상품별배치367'!$H$7:$H$373,"추가 진열")</f>
        <v>0</v>
      </c>
      <c r="Q1824" s="7">
        <f>O1824+P1824</f>
        <v>1</v>
      </c>
      <c r="R1824" s="7">
        <v>1</v>
      </c>
      <c r="S1824" s="6" t="s">
        <v>1636</v>
      </c>
      <c r="T1824" s="6" t="s">
        <v>1637</v>
      </c>
      <c r="U1824" s="6"/>
      <c r="V1824" s="16"/>
      <c r="W1824" s="16"/>
      <c r="X1824" s="16"/>
      <c r="Y1824" s="6" t="s">
        <v>1627</v>
      </c>
      <c r="Z1824" s="15"/>
      <c r="AA1824" s="15" t="s">
        <v>1628</v>
      </c>
    </row>
    <row r="1825" spans="1:27" ht="33" customHeight="1">
      <c r="A1825" s="8" t="s">
        <v>2826</v>
      </c>
      <c r="B1825" s="9">
        <v>472</v>
      </c>
      <c r="C1825" s="8" t="s">
        <v>2827</v>
      </c>
      <c r="D1825" s="8" t="s">
        <v>2047</v>
      </c>
      <c r="E1825" s="8" t="s">
        <v>1620</v>
      </c>
      <c r="F1825" s="8" t="s">
        <v>1220</v>
      </c>
      <c r="G1825" s="8" t="s">
        <v>349</v>
      </c>
      <c r="H1825" s="8"/>
      <c r="I1825" s="14" t="s">
        <v>1642</v>
      </c>
      <c r="J1825" s="15"/>
      <c r="K1825" s="8" t="s">
        <v>1622</v>
      </c>
      <c r="L1825" s="8"/>
      <c r="M1825" s="6" t="s">
        <v>1643</v>
      </c>
      <c r="N1825" s="6" t="s">
        <v>1644</v>
      </c>
      <c r="O1825" s="7">
        <f>SUMIFS('05_상품별배치367'!$K$7:$K$373,'05_상품별배치367'!$E$7:$E$373,A1825,'05_상품별배치367'!$H$7:$H$373,"본진")</f>
        <v>0</v>
      </c>
      <c r="P1825" s="7">
        <f>SUMIFS('05_상품별배치367'!$K$7:$K$373,'05_상품별배치367'!$E$7:$E$373,A1825,'05_상품별배치367'!$H$7:$H$373,"추가 진열")</f>
        <v>0</v>
      </c>
      <c r="Q1825" s="7">
        <f>O1825+P1825</f>
        <v>0</v>
      </c>
      <c r="R1825" s="7">
        <v>1</v>
      </c>
      <c r="S1825" s="6" t="s">
        <v>2080</v>
      </c>
      <c r="T1825" s="6" t="s">
        <v>1637</v>
      </c>
      <c r="U1825" s="6"/>
      <c r="V1825" s="16"/>
      <c r="W1825" s="16"/>
      <c r="X1825" s="16"/>
      <c r="Y1825" s="6" t="s">
        <v>1627</v>
      </c>
      <c r="Z1825" s="15"/>
      <c r="AA1825" s="15" t="s">
        <v>1628</v>
      </c>
    </row>
    <row r="1826" spans="1:27" ht="33" customHeight="1">
      <c r="A1826" s="6" t="s">
        <v>2820</v>
      </c>
      <c r="B1826" s="7">
        <v>469</v>
      </c>
      <c r="C1826" s="6" t="s">
        <v>2821</v>
      </c>
      <c r="D1826" s="6" t="s">
        <v>2036</v>
      </c>
      <c r="E1826" s="6" t="s">
        <v>1620</v>
      </c>
      <c r="F1826" s="6" t="s">
        <v>1220</v>
      </c>
      <c r="G1826" s="6" t="s">
        <v>349</v>
      </c>
      <c r="H1826" s="6"/>
      <c r="I1826" s="14" t="s">
        <v>1642</v>
      </c>
      <c r="J1826" s="15"/>
      <c r="K1826" s="6" t="s">
        <v>1622</v>
      </c>
      <c r="L1826" s="6"/>
      <c r="M1826" s="6" t="s">
        <v>1643</v>
      </c>
      <c r="N1826" s="6" t="s">
        <v>1644</v>
      </c>
      <c r="O1826" s="7">
        <f>SUMIFS('05_상품별배치367'!$K$7:$K$373,'05_상품별배치367'!$E$7:$E$373,A1826,'05_상품별배치367'!$H$7:$H$373,"본진")</f>
        <v>0</v>
      </c>
      <c r="P1826" s="7">
        <f>SUMIFS('05_상품별배치367'!$K$7:$K$373,'05_상품별배치367'!$E$7:$E$373,A1826,'05_상품별배치367'!$H$7:$H$373,"추가 진열")</f>
        <v>0</v>
      </c>
      <c r="Q1826" s="7">
        <f>O1826+P1826</f>
        <v>0</v>
      </c>
      <c r="R1826" s="7">
        <v>1</v>
      </c>
      <c r="S1826" s="6" t="s">
        <v>2080</v>
      </c>
      <c r="T1826" s="6" t="s">
        <v>1637</v>
      </c>
      <c r="U1826" s="6"/>
      <c r="V1826" s="16"/>
      <c r="W1826" s="16"/>
      <c r="X1826" s="16"/>
      <c r="Y1826" s="6" t="s">
        <v>1627</v>
      </c>
      <c r="Z1826" s="15"/>
      <c r="AA1826" s="15" t="s">
        <v>1628</v>
      </c>
    </row>
    <row r="1827" spans="1:27" ht="33" customHeight="1">
      <c r="A1827" s="8" t="s">
        <v>2818</v>
      </c>
      <c r="B1827" s="9">
        <v>468</v>
      </c>
      <c r="C1827" s="8" t="s">
        <v>2819</v>
      </c>
      <c r="D1827" s="8" t="s">
        <v>2036</v>
      </c>
      <c r="E1827" s="8" t="s">
        <v>1620</v>
      </c>
      <c r="F1827" s="8" t="s">
        <v>1220</v>
      </c>
      <c r="G1827" s="8" t="s">
        <v>349</v>
      </c>
      <c r="H1827" s="8"/>
      <c r="I1827" s="14" t="s">
        <v>1642</v>
      </c>
      <c r="J1827" s="15"/>
      <c r="K1827" s="8" t="s">
        <v>1622</v>
      </c>
      <c r="L1827" s="8"/>
      <c r="M1827" s="6" t="s">
        <v>1643</v>
      </c>
      <c r="N1827" s="6" t="s">
        <v>1644</v>
      </c>
      <c r="O1827" s="7">
        <f>SUMIFS('05_상품별배치367'!$K$7:$K$373,'05_상품별배치367'!$E$7:$E$373,A1827,'05_상품별배치367'!$H$7:$H$373,"본진")</f>
        <v>0</v>
      </c>
      <c r="P1827" s="7">
        <f>SUMIFS('05_상품별배치367'!$K$7:$K$373,'05_상품별배치367'!$E$7:$E$373,A1827,'05_상품별배치367'!$H$7:$H$373,"추가 진열")</f>
        <v>0</v>
      </c>
      <c r="Q1827" s="7">
        <f>O1827+P1827</f>
        <v>0</v>
      </c>
      <c r="R1827" s="7">
        <v>1</v>
      </c>
      <c r="S1827" s="6" t="s">
        <v>2080</v>
      </c>
      <c r="T1827" s="6" t="s">
        <v>1637</v>
      </c>
      <c r="U1827" s="6"/>
      <c r="V1827" s="16"/>
      <c r="W1827" s="16"/>
      <c r="X1827" s="16"/>
      <c r="Y1827" s="6" t="s">
        <v>1627</v>
      </c>
      <c r="Z1827" s="15"/>
      <c r="AA1827" s="15" t="s">
        <v>1628</v>
      </c>
    </row>
    <row r="1828" spans="1:27" ht="33" customHeight="1">
      <c r="A1828" s="6" t="s">
        <v>2841</v>
      </c>
      <c r="B1828" s="7">
        <v>479</v>
      </c>
      <c r="C1828" s="6" t="s">
        <v>2842</v>
      </c>
      <c r="D1828" s="6" t="s">
        <v>1619</v>
      </c>
      <c r="E1828" s="6" t="s">
        <v>1666</v>
      </c>
      <c r="F1828" s="6" t="s">
        <v>1852</v>
      </c>
      <c r="G1828" s="6" t="s">
        <v>1853</v>
      </c>
      <c r="H1828" s="6"/>
      <c r="I1828" s="14" t="s">
        <v>1669</v>
      </c>
      <c r="J1828" s="15"/>
      <c r="K1828" s="6" t="s">
        <v>1670</v>
      </c>
      <c r="L1828" s="6"/>
      <c r="M1828" s="6" t="s">
        <v>1671</v>
      </c>
      <c r="N1828" s="6" t="s">
        <v>1644</v>
      </c>
      <c r="O1828" s="7">
        <f>SUMIFS('05_상품별배치367'!$K$7:$K$373,'05_상품별배치367'!$E$7:$E$373,A1828,'05_상품별배치367'!$H$7:$H$373,"본진")</f>
        <v>0</v>
      </c>
      <c r="P1828" s="7">
        <f>SUMIFS('05_상품별배치367'!$K$7:$K$373,'05_상품별배치367'!$E$7:$E$373,A1828,'05_상품별배치367'!$H$7:$H$373,"추가 진열")</f>
        <v>0</v>
      </c>
      <c r="Q1828" s="7">
        <f>O1828+P1828</f>
        <v>0</v>
      </c>
      <c r="R1828" s="7">
        <v>0</v>
      </c>
      <c r="S1828" s="6" t="s">
        <v>1672</v>
      </c>
      <c r="T1828" s="6" t="s">
        <v>1637</v>
      </c>
      <c r="U1828" s="6"/>
      <c r="V1828" s="16"/>
      <c r="W1828" s="16"/>
      <c r="X1828" s="16"/>
      <c r="Y1828" s="6" t="s">
        <v>1627</v>
      </c>
      <c r="Z1828" s="15"/>
      <c r="AA1828" s="15" t="s">
        <v>1628</v>
      </c>
    </row>
    <row r="1829" spans="1:27" ht="33" customHeight="1">
      <c r="A1829" s="8" t="s">
        <v>2831</v>
      </c>
      <c r="B1829" s="9">
        <v>474</v>
      </c>
      <c r="C1829" s="8" t="s">
        <v>2832</v>
      </c>
      <c r="D1829" s="8" t="s">
        <v>2138</v>
      </c>
      <c r="E1829" s="8" t="s">
        <v>1620</v>
      </c>
      <c r="F1829" s="8" t="s">
        <v>1220</v>
      </c>
      <c r="G1829" s="8" t="s">
        <v>349</v>
      </c>
      <c r="H1829" s="8"/>
      <c r="I1829" s="14" t="s">
        <v>1642</v>
      </c>
      <c r="J1829" s="15"/>
      <c r="K1829" s="8" t="s">
        <v>1622</v>
      </c>
      <c r="L1829" s="8"/>
      <c r="M1829" s="6" t="s">
        <v>1643</v>
      </c>
      <c r="N1829" s="6" t="s">
        <v>1644</v>
      </c>
      <c r="O1829" s="7">
        <f>SUMIFS('05_상품별배치367'!$K$7:$K$373,'05_상품별배치367'!$E$7:$E$373,A1829,'05_상품별배치367'!$H$7:$H$373,"본진")</f>
        <v>0</v>
      </c>
      <c r="P1829" s="7">
        <f>SUMIFS('05_상품별배치367'!$K$7:$K$373,'05_상품별배치367'!$E$7:$E$373,A1829,'05_상품별배치367'!$H$7:$H$373,"추가 진열")</f>
        <v>0</v>
      </c>
      <c r="Q1829" s="7">
        <f>O1829+P1829</f>
        <v>0</v>
      </c>
      <c r="R1829" s="7">
        <v>1</v>
      </c>
      <c r="S1829" s="6" t="s">
        <v>2080</v>
      </c>
      <c r="T1829" s="6" t="s">
        <v>1637</v>
      </c>
      <c r="U1829" s="6"/>
      <c r="V1829" s="16"/>
      <c r="W1829" s="16"/>
      <c r="X1829" s="16"/>
      <c r="Y1829" s="6" t="s">
        <v>1627</v>
      </c>
      <c r="Z1829" s="15"/>
      <c r="AA1829" s="15" t="s">
        <v>1628</v>
      </c>
    </row>
    <row r="1830" spans="1:27" ht="33" customHeight="1">
      <c r="A1830" s="6" t="s">
        <v>2833</v>
      </c>
      <c r="B1830" s="7">
        <v>475</v>
      </c>
      <c r="C1830" s="6" t="s">
        <v>2834</v>
      </c>
      <c r="D1830" s="6" t="s">
        <v>2138</v>
      </c>
      <c r="E1830" s="6" t="s">
        <v>1620</v>
      </c>
      <c r="F1830" s="6" t="s">
        <v>1220</v>
      </c>
      <c r="G1830" s="6" t="s">
        <v>349</v>
      </c>
      <c r="H1830" s="6"/>
      <c r="I1830" s="14" t="s">
        <v>1642</v>
      </c>
      <c r="J1830" s="15"/>
      <c r="K1830" s="6" t="s">
        <v>1622</v>
      </c>
      <c r="L1830" s="6"/>
      <c r="M1830" s="6" t="s">
        <v>1643</v>
      </c>
      <c r="N1830" s="6" t="s">
        <v>1644</v>
      </c>
      <c r="O1830" s="7">
        <f>SUMIFS('05_상품별배치367'!$K$7:$K$373,'05_상품별배치367'!$E$7:$E$373,A1830,'05_상품별배치367'!$H$7:$H$373,"본진")</f>
        <v>0</v>
      </c>
      <c r="P1830" s="7">
        <f>SUMIFS('05_상품별배치367'!$K$7:$K$373,'05_상품별배치367'!$E$7:$E$373,A1830,'05_상품별배치367'!$H$7:$H$373,"추가 진열")</f>
        <v>0</v>
      </c>
      <c r="Q1830" s="7">
        <f>O1830+P1830</f>
        <v>0</v>
      </c>
      <c r="R1830" s="7">
        <v>1</v>
      </c>
      <c r="S1830" s="6" t="s">
        <v>2080</v>
      </c>
      <c r="T1830" s="6" t="s">
        <v>1637</v>
      </c>
      <c r="U1830" s="6"/>
      <c r="V1830" s="16"/>
      <c r="W1830" s="16"/>
      <c r="X1830" s="16"/>
      <c r="Y1830" s="6" t="s">
        <v>1627</v>
      </c>
      <c r="Z1830" s="15"/>
      <c r="AA1830" s="15" t="s">
        <v>1628</v>
      </c>
    </row>
    <row r="1831" spans="1:27" ht="33" customHeight="1">
      <c r="A1831" s="8" t="s">
        <v>2822</v>
      </c>
      <c r="B1831" s="9">
        <v>470</v>
      </c>
      <c r="C1831" s="8" t="s">
        <v>2823</v>
      </c>
      <c r="D1831" s="8" t="s">
        <v>2418</v>
      </c>
      <c r="E1831" s="8" t="s">
        <v>1620</v>
      </c>
      <c r="F1831" s="8" t="s">
        <v>1163</v>
      </c>
      <c r="G1831" s="8" t="s">
        <v>323</v>
      </c>
      <c r="H1831" s="8"/>
      <c r="I1831" s="14" t="s">
        <v>1642</v>
      </c>
      <c r="J1831" s="15"/>
      <c r="K1831" s="8" t="s">
        <v>1622</v>
      </c>
      <c r="L1831" s="8"/>
      <c r="M1831" s="6" t="s">
        <v>1643</v>
      </c>
      <c r="N1831" s="6" t="s">
        <v>1644</v>
      </c>
      <c r="O1831" s="7">
        <f>SUMIFS('05_상품별배치367'!$K$7:$K$373,'05_상품별배치367'!$E$7:$E$373,A1831,'05_상품별배치367'!$H$7:$H$373,"본진")</f>
        <v>0</v>
      </c>
      <c r="P1831" s="7">
        <f>SUMIFS('05_상품별배치367'!$K$7:$K$373,'05_상품별배치367'!$E$7:$E$373,A1831,'05_상품별배치367'!$H$7:$H$373,"추가 진열")</f>
        <v>0</v>
      </c>
      <c r="Q1831" s="7">
        <f>O1831+P1831</f>
        <v>0</v>
      </c>
      <c r="R1831" s="7">
        <v>1</v>
      </c>
      <c r="S1831" s="6" t="s">
        <v>1654</v>
      </c>
      <c r="T1831" s="6" t="s">
        <v>1637</v>
      </c>
      <c r="U1831" s="6"/>
      <c r="V1831" s="16"/>
      <c r="W1831" s="16"/>
      <c r="X1831" s="16"/>
      <c r="Y1831" s="6" t="s">
        <v>1627</v>
      </c>
      <c r="Z1831" s="15"/>
      <c r="AA1831" s="15" t="s">
        <v>1628</v>
      </c>
    </row>
    <row r="1832" spans="1:27" ht="33" customHeight="1">
      <c r="A1832" s="6" t="s">
        <v>2816</v>
      </c>
      <c r="B1832" s="7">
        <v>467</v>
      </c>
      <c r="C1832" s="6" t="s">
        <v>2817</v>
      </c>
      <c r="D1832" s="6" t="s">
        <v>2010</v>
      </c>
      <c r="E1832" s="6" t="s">
        <v>1620</v>
      </c>
      <c r="F1832" s="6" t="s">
        <v>1220</v>
      </c>
      <c r="G1832" s="6" t="s">
        <v>349</v>
      </c>
      <c r="H1832" s="6"/>
      <c r="I1832" s="14" t="s">
        <v>1642</v>
      </c>
      <c r="J1832" s="15"/>
      <c r="K1832" s="6" t="s">
        <v>1622</v>
      </c>
      <c r="L1832" s="6"/>
      <c r="M1832" s="6" t="s">
        <v>1643</v>
      </c>
      <c r="N1832" s="6" t="s">
        <v>1644</v>
      </c>
      <c r="O1832" s="7">
        <f>SUMIFS('05_상품별배치367'!$K$7:$K$373,'05_상품별배치367'!$E$7:$E$373,A1832,'05_상품별배치367'!$H$7:$H$373,"본진")</f>
        <v>0</v>
      </c>
      <c r="P1832" s="7">
        <f>SUMIFS('05_상품별배치367'!$K$7:$K$373,'05_상품별배치367'!$E$7:$E$373,A1832,'05_상품별배치367'!$H$7:$H$373,"추가 진열")</f>
        <v>0</v>
      </c>
      <c r="Q1832" s="7">
        <f>O1832+P1832</f>
        <v>0</v>
      </c>
      <c r="R1832" s="7">
        <v>1</v>
      </c>
      <c r="S1832" s="6" t="s">
        <v>2080</v>
      </c>
      <c r="T1832" s="6" t="s">
        <v>1637</v>
      </c>
      <c r="U1832" s="6"/>
      <c r="V1832" s="16"/>
      <c r="W1832" s="16"/>
      <c r="X1832" s="16"/>
      <c r="Y1832" s="6" t="s">
        <v>1627</v>
      </c>
      <c r="Z1832" s="15"/>
      <c r="AA1832" s="15" t="s">
        <v>1628</v>
      </c>
    </row>
    <row r="1833" spans="1:27" ht="33" customHeight="1">
      <c r="A1833" s="6" t="s">
        <v>2837</v>
      </c>
      <c r="B1833" s="7">
        <v>477</v>
      </c>
      <c r="C1833" s="6" t="s">
        <v>2838</v>
      </c>
      <c r="D1833" s="6" t="s">
        <v>1711</v>
      </c>
      <c r="E1833" s="6" t="s">
        <v>1620</v>
      </c>
      <c r="F1833" s="6" t="s">
        <v>1220</v>
      </c>
      <c r="G1833" s="6" t="s">
        <v>349</v>
      </c>
      <c r="H1833" s="6"/>
      <c r="I1833" s="14" t="s">
        <v>1642</v>
      </c>
      <c r="J1833" s="15"/>
      <c r="K1833" s="6" t="s">
        <v>1622</v>
      </c>
      <c r="L1833" s="6"/>
      <c r="M1833" s="6" t="s">
        <v>1643</v>
      </c>
      <c r="N1833" s="6" t="s">
        <v>1644</v>
      </c>
      <c r="O1833" s="7">
        <f>SUMIFS('05_상품별배치367'!$K$7:$K$373,'05_상품별배치367'!$E$7:$E$373,A1833,'05_상품별배치367'!$H$7:$H$373,"본진")</f>
        <v>0</v>
      </c>
      <c r="P1833" s="7">
        <f>SUMIFS('05_상품별배치367'!$K$7:$K$373,'05_상품별배치367'!$E$7:$E$373,A1833,'05_상품별배치367'!$H$7:$H$373,"추가 진열")</f>
        <v>0</v>
      </c>
      <c r="Q1833" s="7">
        <f>O1833+P1833</f>
        <v>0</v>
      </c>
      <c r="R1833" s="7">
        <v>1</v>
      </c>
      <c r="S1833" s="6" t="s">
        <v>2080</v>
      </c>
      <c r="T1833" s="6" t="s">
        <v>1637</v>
      </c>
      <c r="U1833" s="6"/>
      <c r="V1833" s="16"/>
      <c r="W1833" s="16"/>
      <c r="X1833" s="16"/>
      <c r="Y1833" s="6" t="s">
        <v>1627</v>
      </c>
      <c r="Z1833" s="15"/>
      <c r="AA1833" s="15" t="s">
        <v>1628</v>
      </c>
    </row>
    <row r="1834" spans="1:27" ht="33" customHeight="1">
      <c r="A1834" s="8" t="s">
        <v>2835</v>
      </c>
      <c r="B1834" s="9">
        <v>476</v>
      </c>
      <c r="C1834" s="8" t="s">
        <v>2836</v>
      </c>
      <c r="D1834" s="8" t="s">
        <v>1711</v>
      </c>
      <c r="E1834" s="8" t="s">
        <v>1620</v>
      </c>
      <c r="F1834" s="8" t="s">
        <v>1220</v>
      </c>
      <c r="G1834" s="8" t="s">
        <v>349</v>
      </c>
      <c r="H1834" s="8"/>
      <c r="I1834" s="14" t="s">
        <v>1642</v>
      </c>
      <c r="J1834" s="15"/>
      <c r="K1834" s="8" t="s">
        <v>1622</v>
      </c>
      <c r="L1834" s="8"/>
      <c r="M1834" s="6" t="s">
        <v>1643</v>
      </c>
      <c r="N1834" s="6" t="s">
        <v>1644</v>
      </c>
      <c r="O1834" s="7">
        <f>SUMIFS('05_상품별배치367'!$K$7:$K$373,'05_상품별배치367'!$E$7:$E$373,A1834,'05_상품별배치367'!$H$7:$H$373,"본진")</f>
        <v>0</v>
      </c>
      <c r="P1834" s="7">
        <f>SUMIFS('05_상품별배치367'!$K$7:$K$373,'05_상품별배치367'!$E$7:$E$373,A1834,'05_상품별배치367'!$H$7:$H$373,"추가 진열")</f>
        <v>0</v>
      </c>
      <c r="Q1834" s="7">
        <f>O1834+P1834</f>
        <v>0</v>
      </c>
      <c r="R1834" s="7">
        <v>1</v>
      </c>
      <c r="S1834" s="6" t="s">
        <v>2080</v>
      </c>
      <c r="T1834" s="6" t="s">
        <v>1637</v>
      </c>
      <c r="U1834" s="6"/>
      <c r="V1834" s="16"/>
      <c r="W1834" s="16"/>
      <c r="X1834" s="16"/>
      <c r="Y1834" s="6" t="s">
        <v>1627</v>
      </c>
      <c r="Z1834" s="15"/>
      <c r="AA1834" s="15" t="s">
        <v>1628</v>
      </c>
    </row>
    <row r="1835" spans="1:27" ht="33" customHeight="1">
      <c r="A1835" s="6" t="s">
        <v>2828</v>
      </c>
      <c r="B1835" s="7">
        <v>473</v>
      </c>
      <c r="C1835" s="6" t="s">
        <v>2829</v>
      </c>
      <c r="D1835" s="6" t="s">
        <v>2830</v>
      </c>
      <c r="E1835" s="6" t="s">
        <v>1620</v>
      </c>
      <c r="F1835" s="6" t="s">
        <v>2048</v>
      </c>
      <c r="G1835" s="6" t="s">
        <v>1668</v>
      </c>
      <c r="H1835" s="6"/>
      <c r="I1835" s="14" t="s">
        <v>1669</v>
      </c>
      <c r="J1835" s="15"/>
      <c r="K1835" s="6" t="s">
        <v>1622</v>
      </c>
      <c r="L1835" s="6"/>
      <c r="M1835" s="6" t="s">
        <v>1671</v>
      </c>
      <c r="N1835" s="6" t="s">
        <v>1644</v>
      </c>
      <c r="O1835" s="7">
        <f>SUMIFS('05_상품별배치367'!$K$7:$K$373,'05_상품별배치367'!$E$7:$E$373,A1835,'05_상품별배치367'!$H$7:$H$373,"본진")</f>
        <v>0</v>
      </c>
      <c r="P1835" s="7">
        <f>SUMIFS('05_상품별배치367'!$K$7:$K$373,'05_상품별배치367'!$E$7:$E$373,A1835,'05_상품별배치367'!$H$7:$H$373,"추가 진열")</f>
        <v>0</v>
      </c>
      <c r="Q1835" s="7">
        <f>O1835+P1835</f>
        <v>0</v>
      </c>
      <c r="R1835" s="7">
        <v>0</v>
      </c>
      <c r="S1835" s="6" t="s">
        <v>1672</v>
      </c>
      <c r="T1835" s="6" t="s">
        <v>1637</v>
      </c>
      <c r="U1835" s="6"/>
      <c r="V1835" s="16"/>
      <c r="W1835" s="16"/>
      <c r="X1835" s="16"/>
      <c r="Y1835" s="6" t="s">
        <v>1627</v>
      </c>
      <c r="Z1835" s="15"/>
      <c r="AA1835" s="15" t="s">
        <v>1628</v>
      </c>
    </row>
    <row r="1836" spans="1:27" ht="33" customHeight="1">
      <c r="A1836" s="8" t="s">
        <v>2839</v>
      </c>
      <c r="B1836" s="9">
        <v>478</v>
      </c>
      <c r="C1836" s="8" t="s">
        <v>2840</v>
      </c>
      <c r="D1836" s="8" t="s">
        <v>2013</v>
      </c>
      <c r="E1836" s="8" t="s">
        <v>1666</v>
      </c>
      <c r="F1836" s="8" t="s">
        <v>1852</v>
      </c>
      <c r="G1836" s="8" t="s">
        <v>1853</v>
      </c>
      <c r="H1836" s="8"/>
      <c r="I1836" s="14" t="s">
        <v>1669</v>
      </c>
      <c r="J1836" s="15"/>
      <c r="K1836" s="8" t="s">
        <v>1670</v>
      </c>
      <c r="L1836" s="8"/>
      <c r="M1836" s="6" t="s">
        <v>1671</v>
      </c>
      <c r="N1836" s="6" t="s">
        <v>1644</v>
      </c>
      <c r="O1836" s="7">
        <f>SUMIFS('05_상품별배치367'!$K$7:$K$373,'05_상품별배치367'!$E$7:$E$373,A1836,'05_상품별배치367'!$H$7:$H$373,"본진")</f>
        <v>0</v>
      </c>
      <c r="P1836" s="7">
        <f>SUMIFS('05_상품별배치367'!$K$7:$K$373,'05_상품별배치367'!$E$7:$E$373,A1836,'05_상품별배치367'!$H$7:$H$373,"추가 진열")</f>
        <v>0</v>
      </c>
      <c r="Q1836" s="7">
        <f>O1836+P1836</f>
        <v>0</v>
      </c>
      <c r="R1836" s="7">
        <v>0</v>
      </c>
      <c r="S1836" s="6" t="s">
        <v>1672</v>
      </c>
      <c r="T1836" s="6" t="s">
        <v>1637</v>
      </c>
      <c r="U1836" s="6"/>
      <c r="V1836" s="16"/>
      <c r="W1836" s="16"/>
      <c r="X1836" s="16"/>
      <c r="Y1836" s="6" t="s">
        <v>1627</v>
      </c>
      <c r="Z1836" s="15"/>
      <c r="AA1836" s="15" t="s">
        <v>1628</v>
      </c>
    </row>
    <row r="1837" spans="1:27" ht="33" customHeight="1">
      <c r="A1837" s="6" t="s">
        <v>4636</v>
      </c>
      <c r="B1837" s="7">
        <v>1305</v>
      </c>
      <c r="C1837" s="6" t="s">
        <v>4637</v>
      </c>
      <c r="D1837" s="6" t="s">
        <v>2845</v>
      </c>
      <c r="E1837" s="6" t="s">
        <v>1986</v>
      </c>
      <c r="F1837" s="6" t="s">
        <v>913</v>
      </c>
      <c r="G1837" s="6" t="s">
        <v>201</v>
      </c>
      <c r="H1837" s="6"/>
      <c r="I1837" s="14" t="s">
        <v>1642</v>
      </c>
      <c r="J1837" s="15"/>
      <c r="K1837" s="6" t="s">
        <v>1976</v>
      </c>
      <c r="L1837" s="6"/>
      <c r="M1837" s="6" t="s">
        <v>1643</v>
      </c>
      <c r="N1837" s="6" t="s">
        <v>1644</v>
      </c>
      <c r="O1837" s="7">
        <f>SUMIFS('05_상품별배치367'!$K$7:$K$373,'05_상품별배치367'!$E$7:$E$373,A1837,'05_상품별배치367'!$H$7:$H$373,"본진")</f>
        <v>0</v>
      </c>
      <c r="P1837" s="7">
        <f>SUMIFS('05_상품별배치367'!$K$7:$K$373,'05_상품별배치367'!$E$7:$E$373,A1837,'05_상품별배치367'!$H$7:$H$373,"추가 진열")</f>
        <v>0</v>
      </c>
      <c r="Q1837" s="7">
        <f>O1837+P1837</f>
        <v>0</v>
      </c>
      <c r="R1837" s="7">
        <v>1</v>
      </c>
      <c r="S1837" s="6" t="s">
        <v>2907</v>
      </c>
      <c r="T1837" s="6" t="s">
        <v>1637</v>
      </c>
      <c r="U1837" s="6"/>
      <c r="V1837" s="16"/>
      <c r="W1837" s="16"/>
      <c r="X1837" s="16"/>
      <c r="Y1837" s="6" t="s">
        <v>1627</v>
      </c>
      <c r="Z1837" s="15"/>
      <c r="AA1837" s="15" t="s">
        <v>1628</v>
      </c>
    </row>
    <row r="1838" spans="1:27" ht="33" customHeight="1">
      <c r="A1838" s="8" t="s">
        <v>1803</v>
      </c>
      <c r="B1838" s="9">
        <v>64</v>
      </c>
      <c r="C1838" s="8" t="s">
        <v>1804</v>
      </c>
      <c r="D1838" s="8" t="s">
        <v>1805</v>
      </c>
      <c r="E1838" s="8" t="s">
        <v>1641</v>
      </c>
      <c r="F1838" s="8" t="s">
        <v>1806</v>
      </c>
      <c r="G1838" s="8" t="s">
        <v>1668</v>
      </c>
      <c r="H1838" s="8"/>
      <c r="I1838" s="14" t="s">
        <v>1807</v>
      </c>
      <c r="J1838" s="15"/>
      <c r="K1838" s="8" t="s">
        <v>1634</v>
      </c>
      <c r="L1838" s="8" t="s">
        <v>1808</v>
      </c>
      <c r="M1838" s="6" t="s">
        <v>1809</v>
      </c>
      <c r="N1838" s="6" t="s">
        <v>1624</v>
      </c>
      <c r="O1838" s="7">
        <f>SUMIFS('05_상품별배치367'!$K$7:$K$373,'05_상품별배치367'!$E$7:$E$373,A1838,'05_상품별배치367'!$H$7:$H$373,"본진")</f>
        <v>0</v>
      </c>
      <c r="P1838" s="7">
        <f>SUMIFS('05_상품별배치367'!$K$7:$K$373,'05_상품별배치367'!$E$7:$E$373,A1838,'05_상품별배치367'!$H$7:$H$373,"추가 진열")</f>
        <v>0</v>
      </c>
      <c r="Q1838" s="7">
        <f>O1838+P1838</f>
        <v>0</v>
      </c>
      <c r="R1838" s="7">
        <v>0</v>
      </c>
      <c r="S1838" s="6" t="s">
        <v>1810</v>
      </c>
      <c r="T1838" s="6" t="s">
        <v>1637</v>
      </c>
      <c r="U1838" s="6"/>
      <c r="V1838" s="16"/>
      <c r="W1838" s="16"/>
      <c r="X1838" s="16"/>
      <c r="Y1838" s="6" t="s">
        <v>1627</v>
      </c>
      <c r="Z1838" s="15"/>
      <c r="AA1838" s="15" t="s">
        <v>1628</v>
      </c>
    </row>
    <row r="1839" spans="1:27" ht="33" customHeight="1">
      <c r="A1839" s="8" t="s">
        <v>3336</v>
      </c>
      <c r="B1839" s="9">
        <v>700</v>
      </c>
      <c r="C1839" s="8" t="s">
        <v>3337</v>
      </c>
      <c r="D1839" s="8" t="s">
        <v>3338</v>
      </c>
      <c r="E1839" s="8" t="s">
        <v>2134</v>
      </c>
      <c r="F1839" s="8" t="s">
        <v>163</v>
      </c>
      <c r="G1839" s="8" t="s">
        <v>414</v>
      </c>
      <c r="H1839" s="8"/>
      <c r="I1839" s="14" t="s">
        <v>1642</v>
      </c>
      <c r="J1839" s="15"/>
      <c r="K1839" s="8" t="s">
        <v>1976</v>
      </c>
      <c r="L1839" s="8"/>
      <c r="M1839" s="6" t="s">
        <v>1643</v>
      </c>
      <c r="N1839" s="6" t="s">
        <v>1644</v>
      </c>
      <c r="O1839" s="7">
        <f>SUMIFS('05_상품별배치367'!$K$7:$K$373,'05_상품별배치367'!$E$7:$E$373,A1839,'05_상품별배치367'!$H$7:$H$373,"본진")</f>
        <v>0</v>
      </c>
      <c r="P1839" s="7">
        <f>SUMIFS('05_상품별배치367'!$K$7:$K$373,'05_상품별배치367'!$E$7:$E$373,A1839,'05_상품별배치367'!$H$7:$H$373,"추가 진열")</f>
        <v>0</v>
      </c>
      <c r="Q1839" s="7">
        <f>O1839+P1839</f>
        <v>0</v>
      </c>
      <c r="R1839" s="7">
        <v>1</v>
      </c>
      <c r="S1839" s="6" t="s">
        <v>3048</v>
      </c>
      <c r="T1839" s="6" t="s">
        <v>1637</v>
      </c>
      <c r="U1839" s="6"/>
      <c r="V1839" s="16"/>
      <c r="W1839" s="16"/>
      <c r="X1839" s="16"/>
      <c r="Y1839" s="6" t="s">
        <v>1627</v>
      </c>
      <c r="Z1839" s="15"/>
      <c r="AA1839" s="15" t="s">
        <v>1628</v>
      </c>
    </row>
    <row r="1840" spans="1:27" ht="33" customHeight="1">
      <c r="A1840" s="8" t="s">
        <v>3346</v>
      </c>
      <c r="B1840" s="9">
        <v>704</v>
      </c>
      <c r="C1840" s="8" t="s">
        <v>3347</v>
      </c>
      <c r="D1840" s="8" t="s">
        <v>2845</v>
      </c>
      <c r="E1840" s="8" t="s">
        <v>2134</v>
      </c>
      <c r="F1840" s="8" t="s">
        <v>163</v>
      </c>
      <c r="G1840" s="8" t="s">
        <v>414</v>
      </c>
      <c r="H1840" s="8"/>
      <c r="I1840" s="14" t="s">
        <v>1642</v>
      </c>
      <c r="J1840" s="15"/>
      <c r="K1840" s="8" t="s">
        <v>1976</v>
      </c>
      <c r="L1840" s="8"/>
      <c r="M1840" s="6" t="s">
        <v>1643</v>
      </c>
      <c r="N1840" s="6" t="s">
        <v>1644</v>
      </c>
      <c r="O1840" s="7">
        <f>SUMIFS('05_상품별배치367'!$K$7:$K$373,'05_상품별배치367'!$E$7:$E$373,A1840,'05_상품별배치367'!$H$7:$H$373,"본진")</f>
        <v>0</v>
      </c>
      <c r="P1840" s="7">
        <f>SUMIFS('05_상품별배치367'!$K$7:$K$373,'05_상품별배치367'!$E$7:$E$373,A1840,'05_상품별배치367'!$H$7:$H$373,"추가 진열")</f>
        <v>0</v>
      </c>
      <c r="Q1840" s="7">
        <f>O1840+P1840</f>
        <v>0</v>
      </c>
      <c r="R1840" s="7">
        <v>1</v>
      </c>
      <c r="S1840" s="6" t="s">
        <v>3048</v>
      </c>
      <c r="T1840" s="6" t="s">
        <v>1637</v>
      </c>
      <c r="U1840" s="6"/>
      <c r="V1840" s="16"/>
      <c r="W1840" s="16"/>
      <c r="X1840" s="16"/>
      <c r="Y1840" s="6" t="s">
        <v>1627</v>
      </c>
      <c r="Z1840" s="15"/>
      <c r="AA1840" s="15" t="s">
        <v>1628</v>
      </c>
    </row>
    <row r="1841" spans="1:27" ht="33" customHeight="1">
      <c r="A1841" s="6" t="s">
        <v>3348</v>
      </c>
      <c r="B1841" s="7">
        <v>705</v>
      </c>
      <c r="C1841" s="6" t="s">
        <v>3349</v>
      </c>
      <c r="D1841" s="6" t="s">
        <v>3350</v>
      </c>
      <c r="E1841" s="6" t="s">
        <v>2134</v>
      </c>
      <c r="F1841" s="6" t="s">
        <v>163</v>
      </c>
      <c r="G1841" s="6" t="s">
        <v>414</v>
      </c>
      <c r="H1841" s="6"/>
      <c r="I1841" s="14" t="s">
        <v>1642</v>
      </c>
      <c r="J1841" s="15"/>
      <c r="K1841" s="6" t="s">
        <v>1976</v>
      </c>
      <c r="L1841" s="6"/>
      <c r="M1841" s="6" t="s">
        <v>1643</v>
      </c>
      <c r="N1841" s="6" t="s">
        <v>1644</v>
      </c>
      <c r="O1841" s="7">
        <f>SUMIFS('05_상품별배치367'!$K$7:$K$373,'05_상품별배치367'!$E$7:$E$373,A1841,'05_상품별배치367'!$H$7:$H$373,"본진")</f>
        <v>0</v>
      </c>
      <c r="P1841" s="7">
        <f>SUMIFS('05_상품별배치367'!$K$7:$K$373,'05_상품별배치367'!$E$7:$E$373,A1841,'05_상품별배치367'!$H$7:$H$373,"추가 진열")</f>
        <v>0</v>
      </c>
      <c r="Q1841" s="7">
        <f>O1841+P1841</f>
        <v>0</v>
      </c>
      <c r="R1841" s="7">
        <v>1</v>
      </c>
      <c r="S1841" s="6" t="s">
        <v>3048</v>
      </c>
      <c r="T1841" s="6" t="s">
        <v>1637</v>
      </c>
      <c r="U1841" s="6"/>
      <c r="V1841" s="16"/>
      <c r="W1841" s="16"/>
      <c r="X1841" s="16"/>
      <c r="Y1841" s="6" t="s">
        <v>1627</v>
      </c>
      <c r="Z1841" s="15"/>
      <c r="AA1841" s="15" t="s">
        <v>1628</v>
      </c>
    </row>
    <row r="1842" spans="1:27" ht="33" customHeight="1">
      <c r="A1842" s="6" t="s">
        <v>3344</v>
      </c>
      <c r="B1842" s="7">
        <v>703</v>
      </c>
      <c r="C1842" s="6" t="s">
        <v>3345</v>
      </c>
      <c r="D1842" s="6" t="s">
        <v>2133</v>
      </c>
      <c r="E1842" s="6" t="s">
        <v>2134</v>
      </c>
      <c r="F1842" s="6" t="s">
        <v>163</v>
      </c>
      <c r="G1842" s="6" t="s">
        <v>414</v>
      </c>
      <c r="H1842" s="6"/>
      <c r="I1842" s="14" t="s">
        <v>1642</v>
      </c>
      <c r="J1842" s="15"/>
      <c r="K1842" s="6" t="s">
        <v>1976</v>
      </c>
      <c r="L1842" s="6"/>
      <c r="M1842" s="6" t="s">
        <v>1643</v>
      </c>
      <c r="N1842" s="6" t="s">
        <v>1644</v>
      </c>
      <c r="O1842" s="7">
        <f>SUMIFS('05_상품별배치367'!$K$7:$K$373,'05_상품별배치367'!$E$7:$E$373,A1842,'05_상품별배치367'!$H$7:$H$373,"본진")</f>
        <v>0</v>
      </c>
      <c r="P1842" s="7">
        <f>SUMIFS('05_상품별배치367'!$K$7:$K$373,'05_상품별배치367'!$E$7:$E$373,A1842,'05_상품별배치367'!$H$7:$H$373,"추가 진열")</f>
        <v>0</v>
      </c>
      <c r="Q1842" s="7">
        <f>O1842+P1842</f>
        <v>0</v>
      </c>
      <c r="R1842" s="7">
        <v>1</v>
      </c>
      <c r="S1842" s="6" t="s">
        <v>3048</v>
      </c>
      <c r="T1842" s="6" t="s">
        <v>1637</v>
      </c>
      <c r="U1842" s="6"/>
      <c r="V1842" s="16"/>
      <c r="W1842" s="16"/>
      <c r="X1842" s="16"/>
      <c r="Y1842" s="6" t="s">
        <v>1627</v>
      </c>
      <c r="Z1842" s="15"/>
      <c r="AA1842" s="15" t="s">
        <v>1628</v>
      </c>
    </row>
    <row r="1843" spans="1:27" ht="33" customHeight="1">
      <c r="A1843" s="6" t="s">
        <v>2864</v>
      </c>
      <c r="B1843" s="7">
        <v>487</v>
      </c>
      <c r="C1843" s="6" t="s">
        <v>2865</v>
      </c>
      <c r="D1843" s="6" t="s">
        <v>2866</v>
      </c>
      <c r="E1843" s="6" t="s">
        <v>1695</v>
      </c>
      <c r="F1843" s="6" t="s">
        <v>497</v>
      </c>
      <c r="G1843" s="6" t="s">
        <v>307</v>
      </c>
      <c r="H1843" s="6"/>
      <c r="I1843" s="14" t="s">
        <v>1642</v>
      </c>
      <c r="J1843" s="15"/>
      <c r="K1843" s="6" t="s">
        <v>1696</v>
      </c>
      <c r="L1843" s="6"/>
      <c r="M1843" s="6" t="s">
        <v>1643</v>
      </c>
      <c r="N1843" s="6" t="s">
        <v>1644</v>
      </c>
      <c r="O1843" s="7">
        <f>SUMIFS('05_상품별배치367'!$K$7:$K$373,'05_상품별배치367'!$E$7:$E$373,A1843,'05_상품별배치367'!$H$7:$H$373,"본진")</f>
        <v>0</v>
      </c>
      <c r="P1843" s="7">
        <f>SUMIFS('05_상품별배치367'!$K$7:$K$373,'05_상품별배치367'!$E$7:$E$373,A1843,'05_상품별배치367'!$H$7:$H$373,"추가 진열")</f>
        <v>0</v>
      </c>
      <c r="Q1843" s="7">
        <f>O1843+P1843</f>
        <v>0</v>
      </c>
      <c r="R1843" s="7">
        <v>1</v>
      </c>
      <c r="S1843" s="6" t="s">
        <v>2857</v>
      </c>
      <c r="T1843" s="6" t="s">
        <v>1637</v>
      </c>
      <c r="U1843" s="6"/>
      <c r="V1843" s="16"/>
      <c r="W1843" s="16"/>
      <c r="X1843" s="16"/>
      <c r="Y1843" s="6" t="s">
        <v>1655</v>
      </c>
      <c r="Z1843" s="15"/>
      <c r="AA1843" s="15" t="s">
        <v>1628</v>
      </c>
    </row>
    <row r="1844" spans="1:27" ht="33" customHeight="1">
      <c r="A1844" s="6" t="s">
        <v>3339</v>
      </c>
      <c r="B1844" s="7">
        <v>701</v>
      </c>
      <c r="C1844" s="6" t="s">
        <v>3340</v>
      </c>
      <c r="D1844" s="6" t="s">
        <v>3338</v>
      </c>
      <c r="E1844" s="6" t="s">
        <v>2134</v>
      </c>
      <c r="F1844" s="6" t="s">
        <v>481</v>
      </c>
      <c r="G1844" s="6" t="s">
        <v>193</v>
      </c>
      <c r="H1844" s="6"/>
      <c r="I1844" s="14" t="s">
        <v>1642</v>
      </c>
      <c r="J1844" s="15"/>
      <c r="K1844" s="6" t="s">
        <v>1976</v>
      </c>
      <c r="L1844" s="6"/>
      <c r="M1844" s="6" t="s">
        <v>1643</v>
      </c>
      <c r="N1844" s="6" t="s">
        <v>1644</v>
      </c>
      <c r="O1844" s="7">
        <f>SUMIFS('05_상품별배치367'!$K$7:$K$373,'05_상품별배치367'!$E$7:$E$373,A1844,'05_상품별배치367'!$H$7:$H$373,"본진")</f>
        <v>0</v>
      </c>
      <c r="P1844" s="7">
        <f>SUMIFS('05_상품별배치367'!$K$7:$K$373,'05_상품별배치367'!$E$7:$E$373,A1844,'05_상품별배치367'!$H$7:$H$373,"추가 진열")</f>
        <v>0</v>
      </c>
      <c r="Q1844" s="7">
        <f>O1844+P1844</f>
        <v>0</v>
      </c>
      <c r="R1844" s="7">
        <v>1</v>
      </c>
      <c r="S1844" s="6" t="s">
        <v>3000</v>
      </c>
      <c r="T1844" s="6" t="s">
        <v>1637</v>
      </c>
      <c r="U1844" s="6"/>
      <c r="V1844" s="16"/>
      <c r="W1844" s="16"/>
      <c r="X1844" s="16"/>
      <c r="Y1844" s="6" t="s">
        <v>1627</v>
      </c>
      <c r="Z1844" s="15"/>
      <c r="AA1844" s="15" t="s">
        <v>1628</v>
      </c>
    </row>
    <row r="1845" spans="1:27" ht="33" customHeight="1">
      <c r="A1845" s="8" t="s">
        <v>3341</v>
      </c>
      <c r="B1845" s="9">
        <v>702</v>
      </c>
      <c r="C1845" s="8" t="s">
        <v>3342</v>
      </c>
      <c r="D1845" s="8" t="s">
        <v>3343</v>
      </c>
      <c r="E1845" s="8" t="s">
        <v>2134</v>
      </c>
      <c r="F1845" s="8" t="s">
        <v>161</v>
      </c>
      <c r="G1845" s="8" t="s">
        <v>395</v>
      </c>
      <c r="H1845" s="8"/>
      <c r="I1845" s="14" t="s">
        <v>1642</v>
      </c>
      <c r="J1845" s="15"/>
      <c r="K1845" s="8" t="s">
        <v>1976</v>
      </c>
      <c r="L1845" s="8"/>
      <c r="M1845" s="6" t="s">
        <v>1643</v>
      </c>
      <c r="N1845" s="6" t="s">
        <v>1644</v>
      </c>
      <c r="O1845" s="7">
        <f>SUMIFS('05_상품별배치367'!$K$7:$K$373,'05_상품별배치367'!$E$7:$E$373,A1845,'05_상품별배치367'!$H$7:$H$373,"본진")</f>
        <v>0</v>
      </c>
      <c r="P1845" s="7">
        <f>SUMIFS('05_상품별배치367'!$K$7:$K$373,'05_상품별배치367'!$E$7:$E$373,A1845,'05_상품별배치367'!$H$7:$H$373,"추가 진열")</f>
        <v>0</v>
      </c>
      <c r="Q1845" s="7">
        <f>O1845+P1845</f>
        <v>0</v>
      </c>
      <c r="R1845" s="7">
        <v>1</v>
      </c>
      <c r="S1845" s="6" t="s">
        <v>3070</v>
      </c>
      <c r="T1845" s="6" t="s">
        <v>1637</v>
      </c>
      <c r="U1845" s="6"/>
      <c r="V1845" s="16"/>
      <c r="W1845" s="16"/>
      <c r="X1845" s="16"/>
      <c r="Y1845" s="6" t="s">
        <v>1627</v>
      </c>
      <c r="Z1845" s="15"/>
      <c r="AA1845" s="15" t="s">
        <v>1628</v>
      </c>
    </row>
    <row r="1846" spans="1:27" ht="33" customHeight="1">
      <c r="A1846" s="8" t="s">
        <v>3351</v>
      </c>
      <c r="B1846" s="9">
        <v>706</v>
      </c>
      <c r="C1846" s="8" t="s">
        <v>3352</v>
      </c>
      <c r="D1846" s="8" t="s">
        <v>3353</v>
      </c>
      <c r="E1846" s="8" t="s">
        <v>2134</v>
      </c>
      <c r="F1846" s="8" t="s">
        <v>2933</v>
      </c>
      <c r="G1846" s="8" t="s">
        <v>1668</v>
      </c>
      <c r="H1846" s="8"/>
      <c r="I1846" s="14" t="s">
        <v>1807</v>
      </c>
      <c r="J1846" s="15"/>
      <c r="K1846" s="8" t="s">
        <v>1976</v>
      </c>
      <c r="L1846" s="8" t="s">
        <v>2032</v>
      </c>
      <c r="M1846" s="6" t="s">
        <v>1809</v>
      </c>
      <c r="N1846" s="6" t="s">
        <v>1644</v>
      </c>
      <c r="O1846" s="7">
        <f>SUMIFS('05_상품별배치367'!$K$7:$K$373,'05_상품별배치367'!$E$7:$E$373,A1846,'05_상품별배치367'!$H$7:$H$373,"본진")</f>
        <v>0</v>
      </c>
      <c r="P1846" s="7">
        <f>SUMIFS('05_상품별배치367'!$K$7:$K$373,'05_상품별배치367'!$E$7:$E$373,A1846,'05_상품별배치367'!$H$7:$H$373,"추가 진열")</f>
        <v>0</v>
      </c>
      <c r="Q1846" s="7">
        <f>O1846+P1846</f>
        <v>0</v>
      </c>
      <c r="R1846" s="7">
        <v>0</v>
      </c>
      <c r="S1846" s="6" t="s">
        <v>1810</v>
      </c>
      <c r="T1846" s="6" t="s">
        <v>1637</v>
      </c>
      <c r="U1846" s="6"/>
      <c r="V1846" s="16"/>
      <c r="W1846" s="16"/>
      <c r="X1846" s="16"/>
      <c r="Y1846" s="6" t="s">
        <v>1627</v>
      </c>
      <c r="Z1846" s="15"/>
      <c r="AA1846" s="15" t="s">
        <v>1628</v>
      </c>
    </row>
    <row r="1847" spans="1:27" ht="33" customHeight="1">
      <c r="A1847" s="6" t="s">
        <v>3354</v>
      </c>
      <c r="B1847" s="7">
        <v>707</v>
      </c>
      <c r="C1847" s="6" t="s">
        <v>3355</v>
      </c>
      <c r="D1847" s="6" t="s">
        <v>3042</v>
      </c>
      <c r="E1847" s="6" t="s">
        <v>2134</v>
      </c>
      <c r="F1847" s="6" t="s">
        <v>2933</v>
      </c>
      <c r="G1847" s="6" t="s">
        <v>1668</v>
      </c>
      <c r="H1847" s="6"/>
      <c r="I1847" s="14" t="s">
        <v>1807</v>
      </c>
      <c r="J1847" s="15"/>
      <c r="K1847" s="6" t="s">
        <v>1976</v>
      </c>
      <c r="L1847" s="6" t="s">
        <v>2032</v>
      </c>
      <c r="M1847" s="6" t="s">
        <v>1809</v>
      </c>
      <c r="N1847" s="6" t="s">
        <v>1644</v>
      </c>
      <c r="O1847" s="7">
        <f>SUMIFS('05_상품별배치367'!$K$7:$K$373,'05_상품별배치367'!$E$7:$E$373,A1847,'05_상품별배치367'!$H$7:$H$373,"본진")</f>
        <v>0</v>
      </c>
      <c r="P1847" s="7">
        <f>SUMIFS('05_상품별배치367'!$K$7:$K$373,'05_상품별배치367'!$E$7:$E$373,A1847,'05_상품별배치367'!$H$7:$H$373,"추가 진열")</f>
        <v>0</v>
      </c>
      <c r="Q1847" s="7">
        <f>O1847+P1847</f>
        <v>0</v>
      </c>
      <c r="R1847" s="7">
        <v>0</v>
      </c>
      <c r="S1847" s="6" t="s">
        <v>1810</v>
      </c>
      <c r="T1847" s="6" t="s">
        <v>1637</v>
      </c>
      <c r="U1847" s="6"/>
      <c r="V1847" s="16"/>
      <c r="W1847" s="16"/>
      <c r="X1847" s="16"/>
      <c r="Y1847" s="6" t="s">
        <v>1627</v>
      </c>
      <c r="Z1847" s="15"/>
      <c r="AA1847" s="15" t="s">
        <v>1628</v>
      </c>
    </row>
    <row r="1848" spans="1:27" ht="33" customHeight="1">
      <c r="A1848" s="6" t="s">
        <v>3358</v>
      </c>
      <c r="B1848" s="7">
        <v>709</v>
      </c>
      <c r="C1848" s="6" t="s">
        <v>3359</v>
      </c>
      <c r="D1848" s="6" t="s">
        <v>3042</v>
      </c>
      <c r="E1848" s="6" t="s">
        <v>2134</v>
      </c>
      <c r="F1848" s="6" t="s">
        <v>163</v>
      </c>
      <c r="G1848" s="6" t="s">
        <v>414</v>
      </c>
      <c r="H1848" s="6"/>
      <c r="I1848" s="14" t="s">
        <v>1642</v>
      </c>
      <c r="J1848" s="15"/>
      <c r="K1848" s="6" t="s">
        <v>1976</v>
      </c>
      <c r="L1848" s="6"/>
      <c r="M1848" s="6" t="s">
        <v>1643</v>
      </c>
      <c r="N1848" s="6" t="s">
        <v>1644</v>
      </c>
      <c r="O1848" s="7">
        <f>SUMIFS('05_상품별배치367'!$K$7:$K$373,'05_상품별배치367'!$E$7:$E$373,A1848,'05_상품별배치367'!$H$7:$H$373,"본진")</f>
        <v>0</v>
      </c>
      <c r="P1848" s="7">
        <f>SUMIFS('05_상품별배치367'!$K$7:$K$373,'05_상품별배치367'!$E$7:$E$373,A1848,'05_상품별배치367'!$H$7:$H$373,"추가 진열")</f>
        <v>0</v>
      </c>
      <c r="Q1848" s="7">
        <f>O1848+P1848</f>
        <v>0</v>
      </c>
      <c r="R1848" s="7">
        <v>1</v>
      </c>
      <c r="S1848" s="6" t="s">
        <v>3048</v>
      </c>
      <c r="T1848" s="6" t="s">
        <v>1637</v>
      </c>
      <c r="U1848" s="6"/>
      <c r="V1848" s="16"/>
      <c r="W1848" s="16"/>
      <c r="X1848" s="16"/>
      <c r="Y1848" s="6" t="s">
        <v>1627</v>
      </c>
      <c r="Z1848" s="15"/>
      <c r="AA1848" s="15" t="s">
        <v>1628</v>
      </c>
    </row>
    <row r="1849" spans="1:27" ht="33" customHeight="1">
      <c r="A1849" s="8" t="s">
        <v>3356</v>
      </c>
      <c r="B1849" s="9">
        <v>708</v>
      </c>
      <c r="C1849" s="8" t="s">
        <v>3357</v>
      </c>
      <c r="D1849" s="8" t="s">
        <v>3042</v>
      </c>
      <c r="E1849" s="8" t="s">
        <v>2134</v>
      </c>
      <c r="F1849" s="8" t="s">
        <v>1081</v>
      </c>
      <c r="G1849" s="8" t="s">
        <v>290</v>
      </c>
      <c r="H1849" s="8"/>
      <c r="I1849" s="14" t="s">
        <v>1642</v>
      </c>
      <c r="J1849" s="15"/>
      <c r="K1849" s="8" t="s">
        <v>1976</v>
      </c>
      <c r="L1849" s="8"/>
      <c r="M1849" s="6" t="s">
        <v>1643</v>
      </c>
      <c r="N1849" s="6" t="s">
        <v>1644</v>
      </c>
      <c r="O1849" s="7">
        <f>SUMIFS('05_상품별배치367'!$K$7:$K$373,'05_상품별배치367'!$E$7:$E$373,A1849,'05_상품별배치367'!$H$7:$H$373,"본진")</f>
        <v>0</v>
      </c>
      <c r="P1849" s="7">
        <f>SUMIFS('05_상품별배치367'!$K$7:$K$373,'05_상품별배치367'!$E$7:$E$373,A1849,'05_상품별배치367'!$H$7:$H$373,"추가 진열")</f>
        <v>0</v>
      </c>
      <c r="Q1849" s="7">
        <f>O1849+P1849</f>
        <v>0</v>
      </c>
      <c r="R1849" s="7">
        <v>1</v>
      </c>
      <c r="S1849" s="6" t="s">
        <v>2135</v>
      </c>
      <c r="T1849" s="6" t="s">
        <v>1637</v>
      </c>
      <c r="U1849" s="6"/>
      <c r="V1849" s="16"/>
      <c r="W1849" s="16"/>
      <c r="X1849" s="16"/>
      <c r="Y1849" s="6" t="s">
        <v>1627</v>
      </c>
      <c r="Z1849" s="15"/>
      <c r="AA1849" s="15" t="s">
        <v>1628</v>
      </c>
    </row>
    <row r="1850" spans="1:27" ht="33" customHeight="1">
      <c r="A1850" s="6" t="s">
        <v>7217</v>
      </c>
      <c r="B1850" s="7">
        <v>2511</v>
      </c>
      <c r="C1850" s="6" t="s">
        <v>7218</v>
      </c>
      <c r="D1850" s="6" t="s">
        <v>7219</v>
      </c>
      <c r="E1850" s="6" t="s">
        <v>1641</v>
      </c>
      <c r="F1850" s="6" t="s">
        <v>679</v>
      </c>
      <c r="G1850" s="6" t="s">
        <v>91</v>
      </c>
      <c r="H1850" s="6" t="s">
        <v>678</v>
      </c>
      <c r="I1850" s="14" t="s">
        <v>1633</v>
      </c>
      <c r="J1850" s="15"/>
      <c r="K1850" s="6" t="s">
        <v>1634</v>
      </c>
      <c r="L1850" s="6" t="s">
        <v>3828</v>
      </c>
      <c r="M1850" s="6" t="s">
        <v>1635</v>
      </c>
      <c r="N1850" s="6" t="s">
        <v>1624</v>
      </c>
      <c r="O1850" s="7">
        <f>SUMIFS('05_상품별배치367'!$K$7:$K$373,'05_상품별배치367'!$E$7:$E$373,A1850,'05_상품별배치367'!$H$7:$H$373,"본진")</f>
        <v>1</v>
      </c>
      <c r="P1850" s="7">
        <f>SUMIFS('05_상품별배치367'!$K$7:$K$373,'05_상품별배치367'!$E$7:$E$373,A1850,'05_상품별배치367'!$H$7:$H$373,"추가 진열")</f>
        <v>0</v>
      </c>
      <c r="Q1850" s="7">
        <f>O1850+P1850</f>
        <v>1</v>
      </c>
      <c r="R1850" s="7">
        <v>1</v>
      </c>
      <c r="S1850" s="6" t="s">
        <v>1636</v>
      </c>
      <c r="T1850" s="6" t="s">
        <v>1637</v>
      </c>
      <c r="U1850" s="6"/>
      <c r="V1850" s="16"/>
      <c r="W1850" s="16"/>
      <c r="X1850" s="16"/>
      <c r="Y1850" s="6" t="s">
        <v>1627</v>
      </c>
      <c r="Z1850" s="15"/>
      <c r="AA1850" s="15" t="s">
        <v>1628</v>
      </c>
    </row>
    <row r="1851" spans="1:27" ht="33" customHeight="1">
      <c r="A1851" s="8" t="s">
        <v>6970</v>
      </c>
      <c r="B1851" s="9">
        <v>2394</v>
      </c>
      <c r="C1851" s="8" t="s">
        <v>6971</v>
      </c>
      <c r="D1851" s="8" t="s">
        <v>6121</v>
      </c>
      <c r="E1851" s="8" t="s">
        <v>1620</v>
      </c>
      <c r="F1851" s="8" t="s">
        <v>606</v>
      </c>
      <c r="G1851" s="8" t="s">
        <v>59</v>
      </c>
      <c r="H1851" s="8" t="s">
        <v>607</v>
      </c>
      <c r="I1851" s="14" t="s">
        <v>1621</v>
      </c>
      <c r="J1851" s="15"/>
      <c r="K1851" s="8" t="s">
        <v>1622</v>
      </c>
      <c r="L1851" s="8" t="s">
        <v>3828</v>
      </c>
      <c r="M1851" s="6" t="s">
        <v>1623</v>
      </c>
      <c r="N1851" s="6" t="s">
        <v>1624</v>
      </c>
      <c r="O1851" s="7">
        <f>SUMIFS('05_상품별배치367'!$K$7:$K$373,'05_상품별배치367'!$E$7:$E$373,A1851,'05_상품별배치367'!$H$7:$H$373,"본진")</f>
        <v>1</v>
      </c>
      <c r="P1851" s="7">
        <f>SUMIFS('05_상품별배치367'!$K$7:$K$373,'05_상품별배치367'!$E$7:$E$373,A1851,'05_상품별배치367'!$H$7:$H$373,"추가 진열")</f>
        <v>0</v>
      </c>
      <c r="Q1851" s="7">
        <f>O1851+P1851</f>
        <v>1</v>
      </c>
      <c r="R1851" s="7">
        <v>1</v>
      </c>
      <c r="S1851" s="6" t="s">
        <v>1625</v>
      </c>
      <c r="T1851" s="6" t="s">
        <v>1637</v>
      </c>
      <c r="U1851" s="6"/>
      <c r="V1851" s="16"/>
      <c r="W1851" s="16"/>
      <c r="X1851" s="16"/>
      <c r="Y1851" s="6" t="s">
        <v>1627</v>
      </c>
      <c r="Z1851" s="15"/>
      <c r="AA1851" s="15" t="s">
        <v>1628</v>
      </c>
    </row>
    <row r="1852" spans="1:27" ht="33" customHeight="1">
      <c r="A1852" s="8" t="s">
        <v>5121</v>
      </c>
      <c r="B1852" s="9">
        <v>1536</v>
      </c>
      <c r="C1852" s="8" t="s">
        <v>5122</v>
      </c>
      <c r="D1852" s="8" t="s">
        <v>5123</v>
      </c>
      <c r="E1852" s="8" t="s">
        <v>1986</v>
      </c>
      <c r="F1852" s="8" t="s">
        <v>3378</v>
      </c>
      <c r="G1852" s="8" t="s">
        <v>38</v>
      </c>
      <c r="H1852" s="8"/>
      <c r="I1852" s="14" t="s">
        <v>1642</v>
      </c>
      <c r="J1852" s="15"/>
      <c r="K1852" s="8" t="s">
        <v>1976</v>
      </c>
      <c r="L1852" s="8"/>
      <c r="M1852" s="6" t="s">
        <v>1643</v>
      </c>
      <c r="N1852" s="6" t="s">
        <v>1644</v>
      </c>
      <c r="O1852" s="7">
        <f>SUMIFS('05_상품별배치367'!$K$7:$K$373,'05_상품별배치367'!$E$7:$E$373,A1852,'05_상품별배치367'!$H$7:$H$373,"본진")</f>
        <v>0</v>
      </c>
      <c r="P1852" s="7">
        <f>SUMIFS('05_상품별배치367'!$K$7:$K$373,'05_상품별배치367'!$E$7:$E$373,A1852,'05_상품별배치367'!$H$7:$H$373,"추가 진열")</f>
        <v>0</v>
      </c>
      <c r="Q1852" s="7">
        <f>O1852+P1852</f>
        <v>0</v>
      </c>
      <c r="R1852" s="7">
        <v>1</v>
      </c>
      <c r="S1852" s="6" t="s">
        <v>3379</v>
      </c>
      <c r="T1852" s="6" t="s">
        <v>1637</v>
      </c>
      <c r="U1852" s="6"/>
      <c r="V1852" s="16"/>
      <c r="W1852" s="16"/>
      <c r="X1852" s="16"/>
      <c r="Y1852" s="6" t="s">
        <v>1627</v>
      </c>
      <c r="Z1852" s="15"/>
      <c r="AA1852" s="15" t="s">
        <v>1628</v>
      </c>
    </row>
    <row r="1853" spans="1:27" ht="33" customHeight="1">
      <c r="A1853" s="6" t="s">
        <v>5124</v>
      </c>
      <c r="B1853" s="7">
        <v>1537</v>
      </c>
      <c r="C1853" s="6" t="s">
        <v>5125</v>
      </c>
      <c r="D1853" s="6" t="s">
        <v>1876</v>
      </c>
      <c r="E1853" s="6" t="s">
        <v>2134</v>
      </c>
      <c r="F1853" s="6" t="s">
        <v>156</v>
      </c>
      <c r="G1853" s="6" t="s">
        <v>3239</v>
      </c>
      <c r="H1853" s="6"/>
      <c r="I1853" s="14" t="s">
        <v>1642</v>
      </c>
      <c r="J1853" s="15"/>
      <c r="K1853" s="6" t="s">
        <v>1976</v>
      </c>
      <c r="L1853" s="6"/>
      <c r="M1853" s="6" t="s">
        <v>1643</v>
      </c>
      <c r="N1853" s="6" t="s">
        <v>1644</v>
      </c>
      <c r="O1853" s="7">
        <f>SUMIFS('05_상품별배치367'!$K$7:$K$373,'05_상품별배치367'!$E$7:$E$373,A1853,'05_상품별배치367'!$H$7:$H$373,"본진")</f>
        <v>0</v>
      </c>
      <c r="P1853" s="7">
        <f>SUMIFS('05_상품별배치367'!$K$7:$K$373,'05_상품별배치367'!$E$7:$E$373,A1853,'05_상품별배치367'!$H$7:$H$373,"추가 진열")</f>
        <v>0</v>
      </c>
      <c r="Q1853" s="7">
        <f>O1853+P1853</f>
        <v>0</v>
      </c>
      <c r="R1853" s="7">
        <v>1</v>
      </c>
      <c r="S1853" s="6" t="s">
        <v>3240</v>
      </c>
      <c r="T1853" s="6" t="s">
        <v>1637</v>
      </c>
      <c r="U1853" s="6"/>
      <c r="V1853" s="16"/>
      <c r="W1853" s="16"/>
      <c r="X1853" s="16"/>
      <c r="Y1853" s="6" t="s">
        <v>1627</v>
      </c>
      <c r="Z1853" s="15"/>
      <c r="AA1853" s="15" t="s">
        <v>1628</v>
      </c>
    </row>
    <row r="1854" spans="1:27" ht="33" customHeight="1">
      <c r="A1854" s="8" t="s">
        <v>5126</v>
      </c>
      <c r="B1854" s="9">
        <v>1538</v>
      </c>
      <c r="C1854" s="8" t="s">
        <v>5127</v>
      </c>
      <c r="D1854" s="8" t="s">
        <v>1876</v>
      </c>
      <c r="E1854" s="8" t="s">
        <v>2134</v>
      </c>
      <c r="F1854" s="8" t="s">
        <v>156</v>
      </c>
      <c r="G1854" s="8" t="s">
        <v>3239</v>
      </c>
      <c r="H1854" s="8"/>
      <c r="I1854" s="14" t="s">
        <v>1642</v>
      </c>
      <c r="J1854" s="15"/>
      <c r="K1854" s="8" t="s">
        <v>1976</v>
      </c>
      <c r="L1854" s="8"/>
      <c r="M1854" s="6" t="s">
        <v>1643</v>
      </c>
      <c r="N1854" s="6" t="s">
        <v>1644</v>
      </c>
      <c r="O1854" s="7">
        <f>SUMIFS('05_상품별배치367'!$K$7:$K$373,'05_상품별배치367'!$E$7:$E$373,A1854,'05_상품별배치367'!$H$7:$H$373,"본진")</f>
        <v>0</v>
      </c>
      <c r="P1854" s="7">
        <f>SUMIFS('05_상품별배치367'!$K$7:$K$373,'05_상품별배치367'!$E$7:$E$373,A1854,'05_상품별배치367'!$H$7:$H$373,"추가 진열")</f>
        <v>0</v>
      </c>
      <c r="Q1854" s="7">
        <f>O1854+P1854</f>
        <v>0</v>
      </c>
      <c r="R1854" s="7">
        <v>1</v>
      </c>
      <c r="S1854" s="6" t="s">
        <v>3240</v>
      </c>
      <c r="T1854" s="6" t="s">
        <v>1637</v>
      </c>
      <c r="U1854" s="6"/>
      <c r="V1854" s="16"/>
      <c r="W1854" s="16"/>
      <c r="X1854" s="16"/>
      <c r="Y1854" s="6" t="s">
        <v>1627</v>
      </c>
      <c r="Z1854" s="15"/>
      <c r="AA1854" s="15" t="s">
        <v>1628</v>
      </c>
    </row>
    <row r="1855" spans="1:27" ht="33" customHeight="1">
      <c r="A1855" s="6" t="s">
        <v>5128</v>
      </c>
      <c r="B1855" s="7">
        <v>1539</v>
      </c>
      <c r="C1855" s="6" t="s">
        <v>5129</v>
      </c>
      <c r="D1855" s="6" t="s">
        <v>5130</v>
      </c>
      <c r="E1855" s="6" t="s">
        <v>2134</v>
      </c>
      <c r="F1855" s="6" t="s">
        <v>2933</v>
      </c>
      <c r="G1855" s="6" t="s">
        <v>1668</v>
      </c>
      <c r="H1855" s="6"/>
      <c r="I1855" s="14" t="s">
        <v>1807</v>
      </c>
      <c r="J1855" s="15"/>
      <c r="K1855" s="6" t="s">
        <v>1976</v>
      </c>
      <c r="L1855" s="6" t="s">
        <v>2032</v>
      </c>
      <c r="M1855" s="6" t="s">
        <v>1809</v>
      </c>
      <c r="N1855" s="6" t="s">
        <v>1644</v>
      </c>
      <c r="O1855" s="7">
        <f>SUMIFS('05_상품별배치367'!$K$7:$K$373,'05_상품별배치367'!$E$7:$E$373,A1855,'05_상품별배치367'!$H$7:$H$373,"본진")</f>
        <v>0</v>
      </c>
      <c r="P1855" s="7">
        <f>SUMIFS('05_상품별배치367'!$K$7:$K$373,'05_상품별배치367'!$E$7:$E$373,A1855,'05_상품별배치367'!$H$7:$H$373,"추가 진열")</f>
        <v>0</v>
      </c>
      <c r="Q1855" s="7">
        <f>O1855+P1855</f>
        <v>0</v>
      </c>
      <c r="R1855" s="7">
        <v>0</v>
      </c>
      <c r="S1855" s="6" t="s">
        <v>1810</v>
      </c>
      <c r="T1855" s="6" t="s">
        <v>1637</v>
      </c>
      <c r="U1855" s="6"/>
      <c r="V1855" s="16"/>
      <c r="W1855" s="16"/>
      <c r="X1855" s="16"/>
      <c r="Y1855" s="6" t="s">
        <v>1627</v>
      </c>
      <c r="Z1855" s="15"/>
      <c r="AA1855" s="15" t="s">
        <v>1628</v>
      </c>
    </row>
    <row r="1856" spans="1:27" ht="33" customHeight="1">
      <c r="A1856" s="6" t="s">
        <v>2517</v>
      </c>
      <c r="B1856" s="7">
        <v>335</v>
      </c>
      <c r="C1856" s="6" t="s">
        <v>2518</v>
      </c>
      <c r="D1856" s="6" t="s">
        <v>1711</v>
      </c>
      <c r="E1856" s="6" t="s">
        <v>1666</v>
      </c>
      <c r="F1856" s="6" t="s">
        <v>1667</v>
      </c>
      <c r="G1856" s="6" t="s">
        <v>1668</v>
      </c>
      <c r="H1856" s="6"/>
      <c r="I1856" s="14" t="s">
        <v>1669</v>
      </c>
      <c r="J1856" s="15"/>
      <c r="K1856" s="6" t="s">
        <v>1670</v>
      </c>
      <c r="L1856" s="6"/>
      <c r="M1856" s="6" t="s">
        <v>1671</v>
      </c>
      <c r="N1856" s="6" t="s">
        <v>1624</v>
      </c>
      <c r="O1856" s="7">
        <f>SUMIFS('05_상품별배치367'!$K$7:$K$373,'05_상품별배치367'!$E$7:$E$373,A1856,'05_상품별배치367'!$H$7:$H$373,"본진")</f>
        <v>0</v>
      </c>
      <c r="P1856" s="7">
        <f>SUMIFS('05_상품별배치367'!$K$7:$K$373,'05_상품별배치367'!$E$7:$E$373,A1856,'05_상품별배치367'!$H$7:$H$373,"추가 진열")</f>
        <v>0</v>
      </c>
      <c r="Q1856" s="7">
        <f>O1856+P1856</f>
        <v>0</v>
      </c>
      <c r="R1856" s="7">
        <v>0</v>
      </c>
      <c r="S1856" s="6" t="s">
        <v>1672</v>
      </c>
      <c r="T1856" s="6" t="s">
        <v>1637</v>
      </c>
      <c r="U1856" s="6"/>
      <c r="V1856" s="16"/>
      <c r="W1856" s="16"/>
      <c r="X1856" s="16"/>
      <c r="Y1856" s="6" t="s">
        <v>1627</v>
      </c>
      <c r="Z1856" s="15"/>
      <c r="AA1856" s="15" t="s">
        <v>1628</v>
      </c>
    </row>
    <row r="1857" spans="1:27" ht="33" customHeight="1">
      <c r="A1857" s="6" t="s">
        <v>2521</v>
      </c>
      <c r="B1857" s="7">
        <v>337</v>
      </c>
      <c r="C1857" s="6" t="s">
        <v>2522</v>
      </c>
      <c r="D1857" s="6" t="s">
        <v>1711</v>
      </c>
      <c r="E1857" s="6" t="s">
        <v>1666</v>
      </c>
      <c r="F1857" s="6" t="s">
        <v>1667</v>
      </c>
      <c r="G1857" s="6" t="s">
        <v>1668</v>
      </c>
      <c r="H1857" s="6"/>
      <c r="I1857" s="14" t="s">
        <v>1669</v>
      </c>
      <c r="J1857" s="15"/>
      <c r="K1857" s="6" t="s">
        <v>1670</v>
      </c>
      <c r="L1857" s="6"/>
      <c r="M1857" s="6" t="s">
        <v>1671</v>
      </c>
      <c r="N1857" s="6" t="s">
        <v>1624</v>
      </c>
      <c r="O1857" s="7">
        <f>SUMIFS('05_상품별배치367'!$K$7:$K$373,'05_상품별배치367'!$E$7:$E$373,A1857,'05_상품별배치367'!$H$7:$H$373,"본진")</f>
        <v>0</v>
      </c>
      <c r="P1857" s="7">
        <f>SUMIFS('05_상품별배치367'!$K$7:$K$373,'05_상품별배치367'!$E$7:$E$373,A1857,'05_상품별배치367'!$H$7:$H$373,"추가 진열")</f>
        <v>0</v>
      </c>
      <c r="Q1857" s="7">
        <f>O1857+P1857</f>
        <v>0</v>
      </c>
      <c r="R1857" s="7">
        <v>0</v>
      </c>
      <c r="S1857" s="6" t="s">
        <v>1672</v>
      </c>
      <c r="T1857" s="6" t="s">
        <v>1637</v>
      </c>
      <c r="U1857" s="6"/>
      <c r="V1857" s="16"/>
      <c r="W1857" s="16"/>
      <c r="X1857" s="16"/>
      <c r="Y1857" s="6" t="s">
        <v>1627</v>
      </c>
      <c r="Z1857" s="15"/>
      <c r="AA1857" s="15" t="s">
        <v>1628</v>
      </c>
    </row>
    <row r="1858" spans="1:27" ht="33" customHeight="1">
      <c r="A1858" s="8" t="s">
        <v>2519</v>
      </c>
      <c r="B1858" s="9">
        <v>336</v>
      </c>
      <c r="C1858" s="8" t="s">
        <v>2520</v>
      </c>
      <c r="D1858" s="8" t="s">
        <v>1711</v>
      </c>
      <c r="E1858" s="8" t="s">
        <v>1666</v>
      </c>
      <c r="F1858" s="8" t="s">
        <v>1667</v>
      </c>
      <c r="G1858" s="8" t="s">
        <v>1668</v>
      </c>
      <c r="H1858" s="8"/>
      <c r="I1858" s="14" t="s">
        <v>1669</v>
      </c>
      <c r="J1858" s="15"/>
      <c r="K1858" s="8" t="s">
        <v>1670</v>
      </c>
      <c r="L1858" s="8"/>
      <c r="M1858" s="6" t="s">
        <v>1671</v>
      </c>
      <c r="N1858" s="6" t="s">
        <v>1624</v>
      </c>
      <c r="O1858" s="7">
        <f>SUMIFS('05_상품별배치367'!$K$7:$K$373,'05_상품별배치367'!$E$7:$E$373,A1858,'05_상품별배치367'!$H$7:$H$373,"본진")</f>
        <v>0</v>
      </c>
      <c r="P1858" s="7">
        <f>SUMIFS('05_상품별배치367'!$K$7:$K$373,'05_상품별배치367'!$E$7:$E$373,A1858,'05_상품별배치367'!$H$7:$H$373,"추가 진열")</f>
        <v>0</v>
      </c>
      <c r="Q1858" s="7">
        <f>O1858+P1858</f>
        <v>0</v>
      </c>
      <c r="R1858" s="7">
        <v>0</v>
      </c>
      <c r="S1858" s="6" t="s">
        <v>1672</v>
      </c>
      <c r="T1858" s="6" t="s">
        <v>1637</v>
      </c>
      <c r="U1858" s="6"/>
      <c r="V1858" s="16"/>
      <c r="W1858" s="16"/>
      <c r="X1858" s="16"/>
      <c r="Y1858" s="6" t="s">
        <v>1627</v>
      </c>
      <c r="Z1858" s="15"/>
      <c r="AA1858" s="15" t="s">
        <v>1628</v>
      </c>
    </row>
    <row r="1859" spans="1:27" ht="33" customHeight="1">
      <c r="A1859" s="6" t="s">
        <v>2525</v>
      </c>
      <c r="B1859" s="7">
        <v>339</v>
      </c>
      <c r="C1859" s="6" t="s">
        <v>2526</v>
      </c>
      <c r="D1859" s="6" t="s">
        <v>1631</v>
      </c>
      <c r="E1859" s="6" t="s">
        <v>1666</v>
      </c>
      <c r="F1859" s="6" t="s">
        <v>1667</v>
      </c>
      <c r="G1859" s="6" t="s">
        <v>1668</v>
      </c>
      <c r="H1859" s="6"/>
      <c r="I1859" s="14" t="s">
        <v>1669</v>
      </c>
      <c r="J1859" s="15"/>
      <c r="K1859" s="6" t="s">
        <v>1670</v>
      </c>
      <c r="L1859" s="6"/>
      <c r="M1859" s="6" t="s">
        <v>1671</v>
      </c>
      <c r="N1859" s="6" t="s">
        <v>1624</v>
      </c>
      <c r="O1859" s="7">
        <f>SUMIFS('05_상품별배치367'!$K$7:$K$373,'05_상품별배치367'!$E$7:$E$373,A1859,'05_상품별배치367'!$H$7:$H$373,"본진")</f>
        <v>0</v>
      </c>
      <c r="P1859" s="7">
        <f>SUMIFS('05_상품별배치367'!$K$7:$K$373,'05_상품별배치367'!$E$7:$E$373,A1859,'05_상품별배치367'!$H$7:$H$373,"추가 진열")</f>
        <v>0</v>
      </c>
      <c r="Q1859" s="7">
        <f>O1859+P1859</f>
        <v>0</v>
      </c>
      <c r="R1859" s="7">
        <v>0</v>
      </c>
      <c r="S1859" s="6" t="s">
        <v>1672</v>
      </c>
      <c r="T1859" s="6" t="s">
        <v>1637</v>
      </c>
      <c r="U1859" s="6"/>
      <c r="V1859" s="16"/>
      <c r="W1859" s="16"/>
      <c r="X1859" s="16"/>
      <c r="Y1859" s="6" t="s">
        <v>1627</v>
      </c>
      <c r="Z1859" s="15"/>
      <c r="AA1859" s="15" t="s">
        <v>1628</v>
      </c>
    </row>
    <row r="1860" spans="1:27" ht="33" customHeight="1">
      <c r="A1860" s="8" t="s">
        <v>2523</v>
      </c>
      <c r="B1860" s="9">
        <v>338</v>
      </c>
      <c r="C1860" s="8" t="s">
        <v>2524</v>
      </c>
      <c r="D1860" s="8" t="s">
        <v>1631</v>
      </c>
      <c r="E1860" s="8" t="s">
        <v>1666</v>
      </c>
      <c r="F1860" s="8" t="s">
        <v>1667</v>
      </c>
      <c r="G1860" s="8" t="s">
        <v>1668</v>
      </c>
      <c r="H1860" s="8"/>
      <c r="I1860" s="14" t="s">
        <v>1669</v>
      </c>
      <c r="J1860" s="15"/>
      <c r="K1860" s="8" t="s">
        <v>1670</v>
      </c>
      <c r="L1860" s="8"/>
      <c r="M1860" s="6" t="s">
        <v>1671</v>
      </c>
      <c r="N1860" s="6" t="s">
        <v>1624</v>
      </c>
      <c r="O1860" s="7">
        <f>SUMIFS('05_상품별배치367'!$K$7:$K$373,'05_상품별배치367'!$E$7:$E$373,A1860,'05_상품별배치367'!$H$7:$H$373,"본진")</f>
        <v>0</v>
      </c>
      <c r="P1860" s="7">
        <f>SUMIFS('05_상품별배치367'!$K$7:$K$373,'05_상품별배치367'!$E$7:$E$373,A1860,'05_상품별배치367'!$H$7:$H$373,"추가 진열")</f>
        <v>0</v>
      </c>
      <c r="Q1860" s="7">
        <f>O1860+P1860</f>
        <v>0</v>
      </c>
      <c r="R1860" s="7">
        <v>0</v>
      </c>
      <c r="S1860" s="6" t="s">
        <v>1672</v>
      </c>
      <c r="T1860" s="6" t="s">
        <v>1637</v>
      </c>
      <c r="U1860" s="6"/>
      <c r="V1860" s="16"/>
      <c r="W1860" s="16"/>
      <c r="X1860" s="16"/>
      <c r="Y1860" s="6" t="s">
        <v>1627</v>
      </c>
      <c r="Z1860" s="15"/>
      <c r="AA1860" s="15" t="s">
        <v>1628</v>
      </c>
    </row>
    <row r="1861" spans="1:27" ht="33" customHeight="1">
      <c r="A1861" s="8" t="s">
        <v>2515</v>
      </c>
      <c r="B1861" s="9">
        <v>334</v>
      </c>
      <c r="C1861" s="8" t="s">
        <v>2516</v>
      </c>
      <c r="D1861" s="8" t="s">
        <v>2138</v>
      </c>
      <c r="E1861" s="8" t="s">
        <v>1666</v>
      </c>
      <c r="F1861" s="8" t="s">
        <v>1667</v>
      </c>
      <c r="G1861" s="8" t="s">
        <v>1668</v>
      </c>
      <c r="H1861" s="8"/>
      <c r="I1861" s="14" t="s">
        <v>1669</v>
      </c>
      <c r="J1861" s="15"/>
      <c r="K1861" s="8" t="s">
        <v>1670</v>
      </c>
      <c r="L1861" s="8"/>
      <c r="M1861" s="6" t="s">
        <v>1671</v>
      </c>
      <c r="N1861" s="6" t="s">
        <v>1624</v>
      </c>
      <c r="O1861" s="7">
        <f>SUMIFS('05_상품별배치367'!$K$7:$K$373,'05_상품별배치367'!$E$7:$E$373,A1861,'05_상품별배치367'!$H$7:$H$373,"본진")</f>
        <v>0</v>
      </c>
      <c r="P1861" s="7">
        <f>SUMIFS('05_상품별배치367'!$K$7:$K$373,'05_상품별배치367'!$E$7:$E$373,A1861,'05_상품별배치367'!$H$7:$H$373,"추가 진열")</f>
        <v>0</v>
      </c>
      <c r="Q1861" s="7">
        <f>O1861+P1861</f>
        <v>0</v>
      </c>
      <c r="R1861" s="7">
        <v>0</v>
      </c>
      <c r="S1861" s="6" t="s">
        <v>1672</v>
      </c>
      <c r="T1861" s="6" t="s">
        <v>1637</v>
      </c>
      <c r="U1861" s="6"/>
      <c r="V1861" s="16"/>
      <c r="W1861" s="16"/>
      <c r="X1861" s="16"/>
      <c r="Y1861" s="6" t="s">
        <v>1627</v>
      </c>
      <c r="Z1861" s="15"/>
      <c r="AA1861" s="15" t="s">
        <v>1628</v>
      </c>
    </row>
    <row r="1862" spans="1:27" ht="33" customHeight="1">
      <c r="A1862" s="6" t="s">
        <v>2513</v>
      </c>
      <c r="B1862" s="7">
        <v>333</v>
      </c>
      <c r="C1862" s="6" t="s">
        <v>2514</v>
      </c>
      <c r="D1862" s="6" t="s">
        <v>2138</v>
      </c>
      <c r="E1862" s="6" t="s">
        <v>1666</v>
      </c>
      <c r="F1862" s="6" t="s">
        <v>1667</v>
      </c>
      <c r="G1862" s="6" t="s">
        <v>1668</v>
      </c>
      <c r="H1862" s="6"/>
      <c r="I1862" s="14" t="s">
        <v>1669</v>
      </c>
      <c r="J1862" s="15"/>
      <c r="K1862" s="6" t="s">
        <v>1670</v>
      </c>
      <c r="L1862" s="6"/>
      <c r="M1862" s="6" t="s">
        <v>1671</v>
      </c>
      <c r="N1862" s="6" t="s">
        <v>1624</v>
      </c>
      <c r="O1862" s="7">
        <f>SUMIFS('05_상품별배치367'!$K$7:$K$373,'05_상품별배치367'!$E$7:$E$373,A1862,'05_상품별배치367'!$H$7:$H$373,"본진")</f>
        <v>0</v>
      </c>
      <c r="P1862" s="7">
        <f>SUMIFS('05_상품별배치367'!$K$7:$K$373,'05_상품별배치367'!$E$7:$E$373,A1862,'05_상품별배치367'!$H$7:$H$373,"추가 진열")</f>
        <v>0</v>
      </c>
      <c r="Q1862" s="7">
        <f>O1862+P1862</f>
        <v>0</v>
      </c>
      <c r="R1862" s="7">
        <v>0</v>
      </c>
      <c r="S1862" s="6" t="s">
        <v>1672</v>
      </c>
      <c r="T1862" s="6" t="s">
        <v>1637</v>
      </c>
      <c r="U1862" s="6"/>
      <c r="V1862" s="16"/>
      <c r="W1862" s="16"/>
      <c r="X1862" s="16"/>
      <c r="Y1862" s="6" t="s">
        <v>1627</v>
      </c>
      <c r="Z1862" s="15"/>
      <c r="AA1862" s="15" t="s">
        <v>1628</v>
      </c>
    </row>
    <row r="1863" spans="1:27" ht="33" customHeight="1">
      <c r="A1863" s="8" t="s">
        <v>2511</v>
      </c>
      <c r="B1863" s="9">
        <v>332</v>
      </c>
      <c r="C1863" s="8" t="s">
        <v>2512</v>
      </c>
      <c r="D1863" s="8" t="s">
        <v>2138</v>
      </c>
      <c r="E1863" s="8" t="s">
        <v>1666</v>
      </c>
      <c r="F1863" s="8" t="s">
        <v>1667</v>
      </c>
      <c r="G1863" s="8" t="s">
        <v>1668</v>
      </c>
      <c r="H1863" s="8"/>
      <c r="I1863" s="14" t="s">
        <v>1669</v>
      </c>
      <c r="J1863" s="15"/>
      <c r="K1863" s="8" t="s">
        <v>1670</v>
      </c>
      <c r="L1863" s="8"/>
      <c r="M1863" s="6" t="s">
        <v>1671</v>
      </c>
      <c r="N1863" s="6" t="s">
        <v>1624</v>
      </c>
      <c r="O1863" s="7">
        <f>SUMIFS('05_상품별배치367'!$K$7:$K$373,'05_상품별배치367'!$E$7:$E$373,A1863,'05_상품별배치367'!$H$7:$H$373,"본진")</f>
        <v>0</v>
      </c>
      <c r="P1863" s="7">
        <f>SUMIFS('05_상품별배치367'!$K$7:$K$373,'05_상품별배치367'!$E$7:$E$373,A1863,'05_상품별배치367'!$H$7:$H$373,"추가 진열")</f>
        <v>0</v>
      </c>
      <c r="Q1863" s="7">
        <f>O1863+P1863</f>
        <v>0</v>
      </c>
      <c r="R1863" s="7">
        <v>0</v>
      </c>
      <c r="S1863" s="6" t="s">
        <v>1672</v>
      </c>
      <c r="T1863" s="6" t="s">
        <v>1637</v>
      </c>
      <c r="U1863" s="6"/>
      <c r="V1863" s="16"/>
      <c r="W1863" s="16"/>
      <c r="X1863" s="16"/>
      <c r="Y1863" s="6" t="s">
        <v>1627</v>
      </c>
      <c r="Z1863" s="15"/>
      <c r="AA1863" s="15" t="s">
        <v>1628</v>
      </c>
    </row>
    <row r="1864" spans="1:27" ht="33" customHeight="1">
      <c r="A1864" s="8" t="s">
        <v>4585</v>
      </c>
      <c r="B1864" s="9">
        <v>1280</v>
      </c>
      <c r="C1864" s="8" t="s">
        <v>4586</v>
      </c>
      <c r="D1864" s="8" t="s">
        <v>3338</v>
      </c>
      <c r="E1864" s="8" t="s">
        <v>2134</v>
      </c>
      <c r="F1864" s="8" t="s">
        <v>1263</v>
      </c>
      <c r="G1864" s="8" t="s">
        <v>376</v>
      </c>
      <c r="H1864" s="8"/>
      <c r="I1864" s="14" t="s">
        <v>1642</v>
      </c>
      <c r="J1864" s="15"/>
      <c r="K1864" s="8" t="s">
        <v>1976</v>
      </c>
      <c r="L1864" s="8"/>
      <c r="M1864" s="6" t="s">
        <v>1643</v>
      </c>
      <c r="N1864" s="6" t="s">
        <v>1644</v>
      </c>
      <c r="O1864" s="7">
        <f>SUMIFS('05_상품별배치367'!$K$7:$K$373,'05_상품별배치367'!$E$7:$E$373,A1864,'05_상품별배치367'!$H$7:$H$373,"본진")</f>
        <v>0</v>
      </c>
      <c r="P1864" s="7">
        <f>SUMIFS('05_상품별배치367'!$K$7:$K$373,'05_상품별배치367'!$E$7:$E$373,A1864,'05_상품별배치367'!$H$7:$H$373,"추가 진열")</f>
        <v>0</v>
      </c>
      <c r="Q1864" s="7">
        <f>O1864+P1864</f>
        <v>0</v>
      </c>
      <c r="R1864" s="7">
        <v>1</v>
      </c>
      <c r="S1864" s="6" t="s">
        <v>3016</v>
      </c>
      <c r="T1864" s="6" t="s">
        <v>1637</v>
      </c>
      <c r="U1864" s="6"/>
      <c r="V1864" s="16"/>
      <c r="W1864" s="16"/>
      <c r="X1864" s="16"/>
      <c r="Y1864" s="6" t="s">
        <v>1627</v>
      </c>
      <c r="Z1864" s="15"/>
      <c r="AA1864" s="15" t="s">
        <v>1628</v>
      </c>
    </row>
    <row r="1865" spans="1:27" ht="33" customHeight="1">
      <c r="A1865" s="8" t="s">
        <v>4581</v>
      </c>
      <c r="B1865" s="9">
        <v>1278</v>
      </c>
      <c r="C1865" s="8" t="s">
        <v>4582</v>
      </c>
      <c r="D1865" s="8" t="s">
        <v>1876</v>
      </c>
      <c r="E1865" s="8" t="s">
        <v>1986</v>
      </c>
      <c r="F1865" s="8" t="s">
        <v>913</v>
      </c>
      <c r="G1865" s="8" t="s">
        <v>201</v>
      </c>
      <c r="H1865" s="8"/>
      <c r="I1865" s="14" t="s">
        <v>1642</v>
      </c>
      <c r="J1865" s="15"/>
      <c r="K1865" s="8" t="s">
        <v>1976</v>
      </c>
      <c r="L1865" s="8"/>
      <c r="M1865" s="6" t="s">
        <v>1643</v>
      </c>
      <c r="N1865" s="6" t="s">
        <v>1644</v>
      </c>
      <c r="O1865" s="7">
        <f>SUMIFS('05_상품별배치367'!$K$7:$K$373,'05_상품별배치367'!$E$7:$E$373,A1865,'05_상품별배치367'!$H$7:$H$373,"본진")</f>
        <v>0</v>
      </c>
      <c r="P1865" s="7">
        <f>SUMIFS('05_상품별배치367'!$K$7:$K$373,'05_상품별배치367'!$E$7:$E$373,A1865,'05_상품별배치367'!$H$7:$H$373,"추가 진열")</f>
        <v>0</v>
      </c>
      <c r="Q1865" s="7">
        <f>O1865+P1865</f>
        <v>0</v>
      </c>
      <c r="R1865" s="7">
        <v>1</v>
      </c>
      <c r="S1865" s="6" t="s">
        <v>2907</v>
      </c>
      <c r="T1865" s="6" t="s">
        <v>1637</v>
      </c>
      <c r="U1865" s="6"/>
      <c r="V1865" s="16"/>
      <c r="W1865" s="16"/>
      <c r="X1865" s="16"/>
      <c r="Y1865" s="6" t="s">
        <v>1627</v>
      </c>
      <c r="Z1865" s="15"/>
      <c r="AA1865" s="15" t="s">
        <v>1628</v>
      </c>
    </row>
    <row r="1866" spans="1:27" ht="33" customHeight="1">
      <c r="A1866" s="8" t="s">
        <v>4589</v>
      </c>
      <c r="B1866" s="9">
        <v>1282</v>
      </c>
      <c r="C1866" s="8" t="s">
        <v>4590</v>
      </c>
      <c r="D1866" s="8" t="s">
        <v>2845</v>
      </c>
      <c r="E1866" s="8" t="s">
        <v>1986</v>
      </c>
      <c r="F1866" s="8" t="s">
        <v>913</v>
      </c>
      <c r="G1866" s="8" t="s">
        <v>201</v>
      </c>
      <c r="H1866" s="8"/>
      <c r="I1866" s="14" t="s">
        <v>1642</v>
      </c>
      <c r="J1866" s="15"/>
      <c r="K1866" s="8" t="s">
        <v>1976</v>
      </c>
      <c r="L1866" s="8"/>
      <c r="M1866" s="6" t="s">
        <v>1643</v>
      </c>
      <c r="N1866" s="6" t="s">
        <v>1644</v>
      </c>
      <c r="O1866" s="7">
        <f>SUMIFS('05_상품별배치367'!$K$7:$K$373,'05_상품별배치367'!$E$7:$E$373,A1866,'05_상품별배치367'!$H$7:$H$373,"본진")</f>
        <v>0</v>
      </c>
      <c r="P1866" s="7">
        <f>SUMIFS('05_상품별배치367'!$K$7:$K$373,'05_상품별배치367'!$E$7:$E$373,A1866,'05_상품별배치367'!$H$7:$H$373,"추가 진열")</f>
        <v>0</v>
      </c>
      <c r="Q1866" s="7">
        <f>O1866+P1866</f>
        <v>0</v>
      </c>
      <c r="R1866" s="7">
        <v>1</v>
      </c>
      <c r="S1866" s="6" t="s">
        <v>2907</v>
      </c>
      <c r="T1866" s="6" t="s">
        <v>1637</v>
      </c>
      <c r="U1866" s="6"/>
      <c r="V1866" s="16"/>
      <c r="W1866" s="16"/>
      <c r="X1866" s="16"/>
      <c r="Y1866" s="6" t="s">
        <v>1627</v>
      </c>
      <c r="Z1866" s="15"/>
      <c r="AA1866" s="15" t="s">
        <v>1628</v>
      </c>
    </row>
    <row r="1867" spans="1:27" ht="33" customHeight="1">
      <c r="A1867" s="6" t="s">
        <v>4591</v>
      </c>
      <c r="B1867" s="7">
        <v>1283</v>
      </c>
      <c r="C1867" s="6" t="s">
        <v>4592</v>
      </c>
      <c r="D1867" s="6" t="s">
        <v>2588</v>
      </c>
      <c r="E1867" s="6" t="s">
        <v>2134</v>
      </c>
      <c r="F1867" s="6" t="s">
        <v>162</v>
      </c>
      <c r="G1867" s="6" t="s">
        <v>404</v>
      </c>
      <c r="H1867" s="6"/>
      <c r="I1867" s="14" t="s">
        <v>1642</v>
      </c>
      <c r="J1867" s="15"/>
      <c r="K1867" s="6" t="s">
        <v>1976</v>
      </c>
      <c r="L1867" s="6"/>
      <c r="M1867" s="6" t="s">
        <v>1643</v>
      </c>
      <c r="N1867" s="6" t="s">
        <v>1644</v>
      </c>
      <c r="O1867" s="7">
        <f>SUMIFS('05_상품별배치367'!$K$7:$K$373,'05_상품별배치367'!$E$7:$E$373,A1867,'05_상품별배치367'!$H$7:$H$373,"본진")</f>
        <v>0</v>
      </c>
      <c r="P1867" s="7">
        <f>SUMIFS('05_상품별배치367'!$K$7:$K$373,'05_상품별배치367'!$E$7:$E$373,A1867,'05_상품별배치367'!$H$7:$H$373,"추가 진열")</f>
        <v>0</v>
      </c>
      <c r="Q1867" s="7">
        <f>O1867+P1867</f>
        <v>0</v>
      </c>
      <c r="R1867" s="7">
        <v>1</v>
      </c>
      <c r="S1867" s="6" t="s">
        <v>2996</v>
      </c>
      <c r="T1867" s="6" t="s">
        <v>1637</v>
      </c>
      <c r="U1867" s="6"/>
      <c r="V1867" s="16"/>
      <c r="W1867" s="16"/>
      <c r="X1867" s="16"/>
      <c r="Y1867" s="6" t="s">
        <v>1627</v>
      </c>
      <c r="Z1867" s="15"/>
      <c r="AA1867" s="15" t="s">
        <v>1628</v>
      </c>
    </row>
    <row r="1868" spans="1:27" ht="33" customHeight="1">
      <c r="A1868" s="6" t="s">
        <v>4575</v>
      </c>
      <c r="B1868" s="7">
        <v>1275</v>
      </c>
      <c r="C1868" s="6" t="s">
        <v>4576</v>
      </c>
      <c r="D1868" s="6" t="s">
        <v>1662</v>
      </c>
      <c r="E1868" s="6" t="s">
        <v>1986</v>
      </c>
      <c r="F1868" s="6" t="s">
        <v>1276</v>
      </c>
      <c r="G1868" s="6" t="s">
        <v>1987</v>
      </c>
      <c r="H1868" s="6"/>
      <c r="I1868" s="14" t="s">
        <v>1642</v>
      </c>
      <c r="J1868" s="15"/>
      <c r="K1868" s="6" t="s">
        <v>1976</v>
      </c>
      <c r="L1868" s="6"/>
      <c r="M1868" s="6" t="s">
        <v>1643</v>
      </c>
      <c r="N1868" s="6" t="s">
        <v>1644</v>
      </c>
      <c r="O1868" s="7">
        <f>SUMIFS('05_상품별배치367'!$K$7:$K$373,'05_상품별배치367'!$E$7:$E$373,A1868,'05_상품별배치367'!$H$7:$H$373,"본진")</f>
        <v>0</v>
      </c>
      <c r="P1868" s="7">
        <f>SUMIFS('05_상품별배치367'!$K$7:$K$373,'05_상품별배치367'!$E$7:$E$373,A1868,'05_상품별배치367'!$H$7:$H$373,"추가 진열")</f>
        <v>0</v>
      </c>
      <c r="Q1868" s="7">
        <f>O1868+P1868</f>
        <v>0</v>
      </c>
      <c r="R1868" s="7">
        <v>1</v>
      </c>
      <c r="S1868" s="6" t="s">
        <v>1988</v>
      </c>
      <c r="T1868" s="6" t="s">
        <v>1637</v>
      </c>
      <c r="U1868" s="6"/>
      <c r="V1868" s="16"/>
      <c r="W1868" s="16"/>
      <c r="X1868" s="16"/>
      <c r="Y1868" s="6" t="s">
        <v>1627</v>
      </c>
      <c r="Z1868" s="15"/>
      <c r="AA1868" s="15" t="s">
        <v>1628</v>
      </c>
    </row>
    <row r="1869" spans="1:27" ht="33" customHeight="1">
      <c r="A1869" s="8" t="s">
        <v>4577</v>
      </c>
      <c r="B1869" s="9">
        <v>1276</v>
      </c>
      <c r="C1869" s="8" t="s">
        <v>4578</v>
      </c>
      <c r="D1869" s="8" t="s">
        <v>1662</v>
      </c>
      <c r="E1869" s="8" t="s">
        <v>2134</v>
      </c>
      <c r="F1869" s="8" t="s">
        <v>162</v>
      </c>
      <c r="G1869" s="8" t="s">
        <v>404</v>
      </c>
      <c r="H1869" s="8"/>
      <c r="I1869" s="14" t="s">
        <v>1642</v>
      </c>
      <c r="J1869" s="15"/>
      <c r="K1869" s="8" t="s">
        <v>1976</v>
      </c>
      <c r="L1869" s="8"/>
      <c r="M1869" s="6" t="s">
        <v>1643</v>
      </c>
      <c r="N1869" s="6" t="s">
        <v>1644</v>
      </c>
      <c r="O1869" s="7">
        <f>SUMIFS('05_상품별배치367'!$K$7:$K$373,'05_상품별배치367'!$E$7:$E$373,A1869,'05_상품별배치367'!$H$7:$H$373,"본진")</f>
        <v>0</v>
      </c>
      <c r="P1869" s="7">
        <f>SUMIFS('05_상품별배치367'!$K$7:$K$373,'05_상품별배치367'!$E$7:$E$373,A1869,'05_상품별배치367'!$H$7:$H$373,"추가 진열")</f>
        <v>0</v>
      </c>
      <c r="Q1869" s="7">
        <f>O1869+P1869</f>
        <v>0</v>
      </c>
      <c r="R1869" s="7">
        <v>1</v>
      </c>
      <c r="S1869" s="6" t="s">
        <v>2996</v>
      </c>
      <c r="T1869" s="6" t="s">
        <v>1637</v>
      </c>
      <c r="U1869" s="6"/>
      <c r="V1869" s="16"/>
      <c r="W1869" s="16"/>
      <c r="X1869" s="16"/>
      <c r="Y1869" s="6" t="s">
        <v>1627</v>
      </c>
      <c r="Z1869" s="15"/>
      <c r="AA1869" s="15" t="s">
        <v>1628</v>
      </c>
    </row>
    <row r="1870" spans="1:27" ht="33" customHeight="1">
      <c r="A1870" s="6" t="s">
        <v>4579</v>
      </c>
      <c r="B1870" s="7">
        <v>1277</v>
      </c>
      <c r="C1870" s="6" t="s">
        <v>4580</v>
      </c>
      <c r="D1870" s="6" t="s">
        <v>1662</v>
      </c>
      <c r="E1870" s="6" t="s">
        <v>2134</v>
      </c>
      <c r="F1870" s="6" t="s">
        <v>1263</v>
      </c>
      <c r="G1870" s="6" t="s">
        <v>376</v>
      </c>
      <c r="H1870" s="6"/>
      <c r="I1870" s="14" t="s">
        <v>1642</v>
      </c>
      <c r="J1870" s="15"/>
      <c r="K1870" s="6" t="s">
        <v>1976</v>
      </c>
      <c r="L1870" s="6"/>
      <c r="M1870" s="6" t="s">
        <v>1643</v>
      </c>
      <c r="N1870" s="6" t="s">
        <v>1644</v>
      </c>
      <c r="O1870" s="7">
        <f>SUMIFS('05_상품별배치367'!$K$7:$K$373,'05_상품별배치367'!$E$7:$E$373,A1870,'05_상품별배치367'!$H$7:$H$373,"본진")</f>
        <v>0</v>
      </c>
      <c r="P1870" s="7">
        <f>SUMIFS('05_상품별배치367'!$K$7:$K$373,'05_상품별배치367'!$E$7:$E$373,A1870,'05_상품별배치367'!$H$7:$H$373,"추가 진열")</f>
        <v>0</v>
      </c>
      <c r="Q1870" s="7">
        <f>O1870+P1870</f>
        <v>0</v>
      </c>
      <c r="R1870" s="7">
        <v>1</v>
      </c>
      <c r="S1870" s="6" t="s">
        <v>3016</v>
      </c>
      <c r="T1870" s="6" t="s">
        <v>1637</v>
      </c>
      <c r="U1870" s="6"/>
      <c r="V1870" s="16"/>
      <c r="W1870" s="16"/>
      <c r="X1870" s="16"/>
      <c r="Y1870" s="6" t="s">
        <v>1627</v>
      </c>
      <c r="Z1870" s="15"/>
      <c r="AA1870" s="15" t="s">
        <v>1628</v>
      </c>
    </row>
    <row r="1871" spans="1:27" ht="33" customHeight="1">
      <c r="A1871" s="8" t="s">
        <v>4593</v>
      </c>
      <c r="B1871" s="9">
        <v>1284</v>
      </c>
      <c r="C1871" s="8" t="s">
        <v>4594</v>
      </c>
      <c r="D1871" s="8" t="s">
        <v>2845</v>
      </c>
      <c r="E1871" s="8" t="s">
        <v>1695</v>
      </c>
      <c r="F1871" s="8" t="s">
        <v>1143</v>
      </c>
      <c r="G1871" s="8" t="s">
        <v>315</v>
      </c>
      <c r="H1871" s="8"/>
      <c r="I1871" s="14" t="s">
        <v>1642</v>
      </c>
      <c r="J1871" s="15"/>
      <c r="K1871" s="8" t="s">
        <v>1696</v>
      </c>
      <c r="L1871" s="8"/>
      <c r="M1871" s="6" t="s">
        <v>1643</v>
      </c>
      <c r="N1871" s="6" t="s">
        <v>1644</v>
      </c>
      <c r="O1871" s="7">
        <f>SUMIFS('05_상품별배치367'!$K$7:$K$373,'05_상품별배치367'!$E$7:$E$373,A1871,'05_상품별배치367'!$H$7:$H$373,"본진")</f>
        <v>0</v>
      </c>
      <c r="P1871" s="7">
        <f>SUMIFS('05_상품별배치367'!$K$7:$K$373,'05_상품별배치367'!$E$7:$E$373,A1871,'05_상품별배치367'!$H$7:$H$373,"추가 진열")</f>
        <v>0</v>
      </c>
      <c r="Q1871" s="7">
        <f>O1871+P1871</f>
        <v>0</v>
      </c>
      <c r="R1871" s="7">
        <v>1</v>
      </c>
      <c r="S1871" s="6" t="s">
        <v>1859</v>
      </c>
      <c r="T1871" s="6" t="s">
        <v>1637</v>
      </c>
      <c r="U1871" s="6"/>
      <c r="V1871" s="16"/>
      <c r="W1871" s="16"/>
      <c r="X1871" s="16"/>
      <c r="Y1871" s="6" t="s">
        <v>1627</v>
      </c>
      <c r="Z1871" s="15"/>
      <c r="AA1871" s="15" t="s">
        <v>1628</v>
      </c>
    </row>
    <row r="1872" spans="1:27" ht="33" customHeight="1">
      <c r="A1872" s="6" t="s">
        <v>4587</v>
      </c>
      <c r="B1872" s="7">
        <v>1281</v>
      </c>
      <c r="C1872" s="6" t="s">
        <v>4588</v>
      </c>
      <c r="D1872" s="6" t="s">
        <v>2588</v>
      </c>
      <c r="E1872" s="6" t="s">
        <v>2134</v>
      </c>
      <c r="F1872" s="6" t="s">
        <v>1263</v>
      </c>
      <c r="G1872" s="6" t="s">
        <v>376</v>
      </c>
      <c r="H1872" s="6"/>
      <c r="I1872" s="14" t="s">
        <v>1642</v>
      </c>
      <c r="J1872" s="15"/>
      <c r="K1872" s="6" t="s">
        <v>1976</v>
      </c>
      <c r="L1872" s="6"/>
      <c r="M1872" s="6" t="s">
        <v>1643</v>
      </c>
      <c r="N1872" s="6" t="s">
        <v>1644</v>
      </c>
      <c r="O1872" s="7">
        <f>SUMIFS('05_상품별배치367'!$K$7:$K$373,'05_상품별배치367'!$E$7:$E$373,A1872,'05_상품별배치367'!$H$7:$H$373,"본진")</f>
        <v>0</v>
      </c>
      <c r="P1872" s="7">
        <f>SUMIFS('05_상품별배치367'!$K$7:$K$373,'05_상품별배치367'!$E$7:$E$373,A1872,'05_상품별배치367'!$H$7:$H$373,"추가 진열")</f>
        <v>0</v>
      </c>
      <c r="Q1872" s="7">
        <f>O1872+P1872</f>
        <v>0</v>
      </c>
      <c r="R1872" s="7">
        <v>1</v>
      </c>
      <c r="S1872" s="6" t="s">
        <v>3016</v>
      </c>
      <c r="T1872" s="6" t="s">
        <v>1637</v>
      </c>
      <c r="U1872" s="6"/>
      <c r="V1872" s="16"/>
      <c r="W1872" s="16"/>
      <c r="X1872" s="16"/>
      <c r="Y1872" s="6" t="s">
        <v>1627</v>
      </c>
      <c r="Z1872" s="15"/>
      <c r="AA1872" s="15" t="s">
        <v>1628</v>
      </c>
    </row>
    <row r="1873" spans="1:27" ht="33" customHeight="1">
      <c r="A1873" s="6" t="s">
        <v>4583</v>
      </c>
      <c r="B1873" s="7">
        <v>1279</v>
      </c>
      <c r="C1873" s="6" t="s">
        <v>4584</v>
      </c>
      <c r="D1873" s="6" t="s">
        <v>4179</v>
      </c>
      <c r="E1873" s="6" t="s">
        <v>1814</v>
      </c>
      <c r="F1873" s="6" t="s">
        <v>1376</v>
      </c>
      <c r="G1873" s="6" t="s">
        <v>431</v>
      </c>
      <c r="H1873" s="6"/>
      <c r="I1873" s="14" t="s">
        <v>1642</v>
      </c>
      <c r="J1873" s="15"/>
      <c r="K1873" s="6" t="s">
        <v>1976</v>
      </c>
      <c r="L1873" s="6"/>
      <c r="M1873" s="6" t="s">
        <v>1643</v>
      </c>
      <c r="N1873" s="6" t="s">
        <v>1644</v>
      </c>
      <c r="O1873" s="7">
        <f>SUMIFS('05_상품별배치367'!$K$7:$K$373,'05_상품별배치367'!$E$7:$E$373,A1873,'05_상품별배치367'!$H$7:$H$373,"본진")</f>
        <v>0</v>
      </c>
      <c r="P1873" s="7">
        <f>SUMIFS('05_상품별배치367'!$K$7:$K$373,'05_상품별배치367'!$E$7:$E$373,A1873,'05_상품별배치367'!$H$7:$H$373,"추가 진열")</f>
        <v>0</v>
      </c>
      <c r="Q1873" s="7">
        <f>O1873+P1873</f>
        <v>0</v>
      </c>
      <c r="R1873" s="7">
        <v>1</v>
      </c>
      <c r="S1873" s="6" t="s">
        <v>1978</v>
      </c>
      <c r="T1873" s="6" t="s">
        <v>1637</v>
      </c>
      <c r="U1873" s="6"/>
      <c r="V1873" s="16"/>
      <c r="W1873" s="16"/>
      <c r="X1873" s="16"/>
      <c r="Y1873" s="6" t="s">
        <v>1627</v>
      </c>
      <c r="Z1873" s="15"/>
      <c r="AA1873" s="15" t="s">
        <v>1628</v>
      </c>
    </row>
    <row r="1874" spans="1:27" ht="33" customHeight="1">
      <c r="A1874" s="6" t="s">
        <v>6600</v>
      </c>
      <c r="B1874" s="7">
        <v>2213</v>
      </c>
      <c r="C1874" s="6" t="s">
        <v>6601</v>
      </c>
      <c r="D1874" s="6" t="s">
        <v>1827</v>
      </c>
      <c r="E1874" s="6" t="s">
        <v>1641</v>
      </c>
      <c r="F1874" s="6" t="s">
        <v>1157</v>
      </c>
      <c r="G1874" s="6" t="s">
        <v>323</v>
      </c>
      <c r="H1874" s="6" t="s">
        <v>1158</v>
      </c>
      <c r="I1874" s="14" t="s">
        <v>1621</v>
      </c>
      <c r="J1874" s="15"/>
      <c r="K1874" s="6" t="s">
        <v>1634</v>
      </c>
      <c r="L1874" s="6" t="s">
        <v>1977</v>
      </c>
      <c r="M1874" s="6" t="s">
        <v>1623</v>
      </c>
      <c r="N1874" s="6" t="s">
        <v>1624</v>
      </c>
      <c r="O1874" s="7">
        <f>SUMIFS('05_상품별배치367'!$K$7:$K$373,'05_상품별배치367'!$E$7:$E$373,A1874,'05_상품별배치367'!$H$7:$H$373,"본진")</f>
        <v>1</v>
      </c>
      <c r="P1874" s="7">
        <f>SUMIFS('05_상품별배치367'!$K$7:$K$373,'05_상품별배치367'!$E$7:$E$373,A1874,'05_상품별배치367'!$H$7:$H$373,"추가 진열")</f>
        <v>0</v>
      </c>
      <c r="Q1874" s="7">
        <f>O1874+P1874</f>
        <v>1</v>
      </c>
      <c r="R1874" s="7">
        <v>1</v>
      </c>
      <c r="S1874" s="6" t="s">
        <v>1625</v>
      </c>
      <c r="T1874" s="6" t="s">
        <v>1637</v>
      </c>
      <c r="U1874" s="6"/>
      <c r="V1874" s="16"/>
      <c r="W1874" s="16"/>
      <c r="X1874" s="16"/>
      <c r="Y1874" s="6" t="s">
        <v>1627</v>
      </c>
      <c r="Z1874" s="15"/>
      <c r="AA1874" s="15" t="s">
        <v>1628</v>
      </c>
    </row>
    <row r="1875" spans="1:27" ht="33" customHeight="1">
      <c r="A1875" s="8" t="s">
        <v>6697</v>
      </c>
      <c r="B1875" s="9">
        <v>2258</v>
      </c>
      <c r="C1875" s="8" t="s">
        <v>6601</v>
      </c>
      <c r="D1875" s="8" t="s">
        <v>1827</v>
      </c>
      <c r="E1875" s="8" t="s">
        <v>1641</v>
      </c>
      <c r="F1875" s="8" t="s">
        <v>1157</v>
      </c>
      <c r="G1875" s="8" t="s">
        <v>323</v>
      </c>
      <c r="H1875" s="8"/>
      <c r="I1875" s="14" t="s">
        <v>1642</v>
      </c>
      <c r="J1875" s="15"/>
      <c r="K1875" s="8" t="s">
        <v>1634</v>
      </c>
      <c r="L1875" s="8" t="s">
        <v>1977</v>
      </c>
      <c r="M1875" s="6" t="s">
        <v>1643</v>
      </c>
      <c r="N1875" s="6" t="s">
        <v>1624</v>
      </c>
      <c r="O1875" s="7">
        <f>SUMIFS('05_상품별배치367'!$K$7:$K$373,'05_상품별배치367'!$E$7:$E$373,A1875,'05_상품별배치367'!$H$7:$H$373,"본진")</f>
        <v>0</v>
      </c>
      <c r="P1875" s="7">
        <f>SUMIFS('05_상품별배치367'!$K$7:$K$373,'05_상품별배치367'!$E$7:$E$373,A1875,'05_상품별배치367'!$H$7:$H$373,"추가 진열")</f>
        <v>0</v>
      </c>
      <c r="Q1875" s="7">
        <f>O1875+P1875</f>
        <v>0</v>
      </c>
      <c r="R1875" s="7">
        <v>1</v>
      </c>
      <c r="S1875" s="6" t="s">
        <v>6698</v>
      </c>
      <c r="T1875" s="6" t="s">
        <v>1637</v>
      </c>
      <c r="U1875" s="6" t="s">
        <v>6600</v>
      </c>
      <c r="V1875" s="16"/>
      <c r="W1875" s="16"/>
      <c r="X1875" s="16"/>
      <c r="Y1875" s="6" t="s">
        <v>1627</v>
      </c>
      <c r="Z1875" s="15"/>
      <c r="AA1875" s="15" t="s">
        <v>1628</v>
      </c>
    </row>
    <row r="1876" spans="1:27" ht="33" customHeight="1">
      <c r="A1876" s="6" t="s">
        <v>2554</v>
      </c>
      <c r="B1876" s="7">
        <v>353</v>
      </c>
      <c r="C1876" s="6" t="s">
        <v>2555</v>
      </c>
      <c r="D1876" s="6" t="s">
        <v>2556</v>
      </c>
      <c r="E1876" s="6" t="s">
        <v>1666</v>
      </c>
      <c r="F1876" s="6" t="s">
        <v>1667</v>
      </c>
      <c r="G1876" s="6" t="s">
        <v>1668</v>
      </c>
      <c r="H1876" s="6"/>
      <c r="I1876" s="14" t="s">
        <v>1669</v>
      </c>
      <c r="J1876" s="15"/>
      <c r="K1876" s="6" t="s">
        <v>1670</v>
      </c>
      <c r="L1876" s="6"/>
      <c r="M1876" s="6" t="s">
        <v>1671</v>
      </c>
      <c r="N1876" s="6" t="s">
        <v>1624</v>
      </c>
      <c r="O1876" s="7">
        <f>SUMIFS('05_상품별배치367'!$K$7:$K$373,'05_상품별배치367'!$E$7:$E$373,A1876,'05_상품별배치367'!$H$7:$H$373,"본진")</f>
        <v>0</v>
      </c>
      <c r="P1876" s="7">
        <f>SUMIFS('05_상품별배치367'!$K$7:$K$373,'05_상품별배치367'!$E$7:$E$373,A1876,'05_상품별배치367'!$H$7:$H$373,"추가 진열")</f>
        <v>0</v>
      </c>
      <c r="Q1876" s="7">
        <f>O1876+P1876</f>
        <v>0</v>
      </c>
      <c r="R1876" s="7">
        <v>0</v>
      </c>
      <c r="S1876" s="6" t="s">
        <v>1672</v>
      </c>
      <c r="T1876" s="6" t="s">
        <v>1637</v>
      </c>
      <c r="U1876" s="6"/>
      <c r="V1876" s="16"/>
      <c r="W1876" s="16"/>
      <c r="X1876" s="16"/>
      <c r="Y1876" s="6" t="s">
        <v>1627</v>
      </c>
      <c r="Z1876" s="15"/>
      <c r="AA1876" s="15" t="s">
        <v>1628</v>
      </c>
    </row>
    <row r="1877" spans="1:27" ht="33" customHeight="1">
      <c r="A1877" s="8" t="s">
        <v>2579</v>
      </c>
      <c r="B1877" s="9">
        <v>364</v>
      </c>
      <c r="C1877" s="8" t="s">
        <v>2580</v>
      </c>
      <c r="D1877" s="8" t="s">
        <v>1631</v>
      </c>
      <c r="E1877" s="8" t="s">
        <v>1666</v>
      </c>
      <c r="F1877" s="8" t="s">
        <v>1667</v>
      </c>
      <c r="G1877" s="8" t="s">
        <v>1668</v>
      </c>
      <c r="H1877" s="8"/>
      <c r="I1877" s="14" t="s">
        <v>1669</v>
      </c>
      <c r="J1877" s="15"/>
      <c r="K1877" s="8" t="s">
        <v>1670</v>
      </c>
      <c r="L1877" s="8"/>
      <c r="M1877" s="6" t="s">
        <v>1671</v>
      </c>
      <c r="N1877" s="6" t="s">
        <v>1624</v>
      </c>
      <c r="O1877" s="7">
        <f>SUMIFS('05_상품별배치367'!$K$7:$K$373,'05_상품별배치367'!$E$7:$E$373,A1877,'05_상품별배치367'!$H$7:$H$373,"본진")</f>
        <v>0</v>
      </c>
      <c r="P1877" s="7">
        <f>SUMIFS('05_상품별배치367'!$K$7:$K$373,'05_상품별배치367'!$E$7:$E$373,A1877,'05_상품별배치367'!$H$7:$H$373,"추가 진열")</f>
        <v>0</v>
      </c>
      <c r="Q1877" s="7">
        <f>O1877+P1877</f>
        <v>0</v>
      </c>
      <c r="R1877" s="7">
        <v>0</v>
      </c>
      <c r="S1877" s="6" t="s">
        <v>1672</v>
      </c>
      <c r="T1877" s="6" t="s">
        <v>1637</v>
      </c>
      <c r="U1877" s="6"/>
      <c r="V1877" s="16"/>
      <c r="W1877" s="16"/>
      <c r="X1877" s="16"/>
      <c r="Y1877" s="6" t="s">
        <v>1627</v>
      </c>
      <c r="Z1877" s="15"/>
      <c r="AA1877" s="15" t="s">
        <v>1628</v>
      </c>
    </row>
    <row r="1878" spans="1:27" ht="33" customHeight="1">
      <c r="A1878" s="6" t="s">
        <v>2577</v>
      </c>
      <c r="B1878" s="7">
        <v>363</v>
      </c>
      <c r="C1878" s="6" t="s">
        <v>2578</v>
      </c>
      <c r="D1878" s="6" t="s">
        <v>1631</v>
      </c>
      <c r="E1878" s="6" t="s">
        <v>1666</v>
      </c>
      <c r="F1878" s="6" t="s">
        <v>1667</v>
      </c>
      <c r="G1878" s="6" t="s">
        <v>1668</v>
      </c>
      <c r="H1878" s="6"/>
      <c r="I1878" s="14" t="s">
        <v>1669</v>
      </c>
      <c r="J1878" s="15"/>
      <c r="K1878" s="6" t="s">
        <v>1670</v>
      </c>
      <c r="L1878" s="6"/>
      <c r="M1878" s="6" t="s">
        <v>1671</v>
      </c>
      <c r="N1878" s="6" t="s">
        <v>1624</v>
      </c>
      <c r="O1878" s="7">
        <f>SUMIFS('05_상품별배치367'!$K$7:$K$373,'05_상품별배치367'!$E$7:$E$373,A1878,'05_상품별배치367'!$H$7:$H$373,"본진")</f>
        <v>0</v>
      </c>
      <c r="P1878" s="7">
        <f>SUMIFS('05_상품별배치367'!$K$7:$K$373,'05_상품별배치367'!$E$7:$E$373,A1878,'05_상품별배치367'!$H$7:$H$373,"추가 진열")</f>
        <v>0</v>
      </c>
      <c r="Q1878" s="7">
        <f>O1878+P1878</f>
        <v>0</v>
      </c>
      <c r="R1878" s="7">
        <v>0</v>
      </c>
      <c r="S1878" s="6" t="s">
        <v>1672</v>
      </c>
      <c r="T1878" s="6" t="s">
        <v>1637</v>
      </c>
      <c r="U1878" s="6"/>
      <c r="V1878" s="16"/>
      <c r="W1878" s="16"/>
      <c r="X1878" s="16"/>
      <c r="Y1878" s="6" t="s">
        <v>1627</v>
      </c>
      <c r="Z1878" s="15"/>
      <c r="AA1878" s="15" t="s">
        <v>1628</v>
      </c>
    </row>
    <row r="1879" spans="1:27" ht="33" customHeight="1">
      <c r="A1879" s="8" t="s">
        <v>2575</v>
      </c>
      <c r="B1879" s="9">
        <v>362</v>
      </c>
      <c r="C1879" s="8" t="s">
        <v>2576</v>
      </c>
      <c r="D1879" s="8" t="s">
        <v>2572</v>
      </c>
      <c r="E1879" s="8" t="s">
        <v>1666</v>
      </c>
      <c r="F1879" s="8" t="s">
        <v>1667</v>
      </c>
      <c r="G1879" s="8" t="s">
        <v>1668</v>
      </c>
      <c r="H1879" s="8"/>
      <c r="I1879" s="14" t="s">
        <v>1669</v>
      </c>
      <c r="J1879" s="15"/>
      <c r="K1879" s="8" t="s">
        <v>1670</v>
      </c>
      <c r="L1879" s="8"/>
      <c r="M1879" s="6" t="s">
        <v>1671</v>
      </c>
      <c r="N1879" s="6" t="s">
        <v>1624</v>
      </c>
      <c r="O1879" s="7">
        <f>SUMIFS('05_상품별배치367'!$K$7:$K$373,'05_상품별배치367'!$E$7:$E$373,A1879,'05_상품별배치367'!$H$7:$H$373,"본진")</f>
        <v>0</v>
      </c>
      <c r="P1879" s="7">
        <f>SUMIFS('05_상품별배치367'!$K$7:$K$373,'05_상품별배치367'!$E$7:$E$373,A1879,'05_상품별배치367'!$H$7:$H$373,"추가 진열")</f>
        <v>0</v>
      </c>
      <c r="Q1879" s="7">
        <f>O1879+P1879</f>
        <v>0</v>
      </c>
      <c r="R1879" s="7">
        <v>0</v>
      </c>
      <c r="S1879" s="6" t="s">
        <v>1672</v>
      </c>
      <c r="T1879" s="6" t="s">
        <v>1637</v>
      </c>
      <c r="U1879" s="6"/>
      <c r="V1879" s="16"/>
      <c r="W1879" s="16"/>
      <c r="X1879" s="16"/>
      <c r="Y1879" s="6" t="s">
        <v>1627</v>
      </c>
      <c r="Z1879" s="15"/>
      <c r="AA1879" s="15" t="s">
        <v>1628</v>
      </c>
    </row>
    <row r="1880" spans="1:27" ht="33" customHeight="1">
      <c r="A1880" s="6" t="s">
        <v>2573</v>
      </c>
      <c r="B1880" s="7">
        <v>361</v>
      </c>
      <c r="C1880" s="6" t="s">
        <v>2574</v>
      </c>
      <c r="D1880" s="6" t="s">
        <v>2572</v>
      </c>
      <c r="E1880" s="6" t="s">
        <v>1666</v>
      </c>
      <c r="F1880" s="6" t="s">
        <v>1667</v>
      </c>
      <c r="G1880" s="6" t="s">
        <v>1668</v>
      </c>
      <c r="H1880" s="6"/>
      <c r="I1880" s="14" t="s">
        <v>1669</v>
      </c>
      <c r="J1880" s="15"/>
      <c r="K1880" s="6" t="s">
        <v>1670</v>
      </c>
      <c r="L1880" s="6"/>
      <c r="M1880" s="6" t="s">
        <v>1671</v>
      </c>
      <c r="N1880" s="6" t="s">
        <v>1624</v>
      </c>
      <c r="O1880" s="7">
        <f>SUMIFS('05_상품별배치367'!$K$7:$K$373,'05_상품별배치367'!$E$7:$E$373,A1880,'05_상품별배치367'!$H$7:$H$373,"본진")</f>
        <v>0</v>
      </c>
      <c r="P1880" s="7">
        <f>SUMIFS('05_상품별배치367'!$K$7:$K$373,'05_상품별배치367'!$E$7:$E$373,A1880,'05_상품별배치367'!$H$7:$H$373,"추가 진열")</f>
        <v>0</v>
      </c>
      <c r="Q1880" s="7">
        <f>O1880+P1880</f>
        <v>0</v>
      </c>
      <c r="R1880" s="7">
        <v>0</v>
      </c>
      <c r="S1880" s="6" t="s">
        <v>1672</v>
      </c>
      <c r="T1880" s="6" t="s">
        <v>1637</v>
      </c>
      <c r="U1880" s="6"/>
      <c r="V1880" s="16"/>
      <c r="W1880" s="16"/>
      <c r="X1880" s="16"/>
      <c r="Y1880" s="6" t="s">
        <v>1627</v>
      </c>
      <c r="Z1880" s="15"/>
      <c r="AA1880" s="15" t="s">
        <v>1628</v>
      </c>
    </row>
    <row r="1881" spans="1:27" ht="33" customHeight="1">
      <c r="A1881" s="8" t="s">
        <v>2570</v>
      </c>
      <c r="B1881" s="9">
        <v>360</v>
      </c>
      <c r="C1881" s="8" t="s">
        <v>2571</v>
      </c>
      <c r="D1881" s="8" t="s">
        <v>2572</v>
      </c>
      <c r="E1881" s="8" t="s">
        <v>1666</v>
      </c>
      <c r="F1881" s="8" t="s">
        <v>1667</v>
      </c>
      <c r="G1881" s="8" t="s">
        <v>1668</v>
      </c>
      <c r="H1881" s="8"/>
      <c r="I1881" s="14" t="s">
        <v>1669</v>
      </c>
      <c r="J1881" s="15"/>
      <c r="K1881" s="8" t="s">
        <v>1670</v>
      </c>
      <c r="L1881" s="8"/>
      <c r="M1881" s="6" t="s">
        <v>1671</v>
      </c>
      <c r="N1881" s="6" t="s">
        <v>1624</v>
      </c>
      <c r="O1881" s="7">
        <f>SUMIFS('05_상품별배치367'!$K$7:$K$373,'05_상품별배치367'!$E$7:$E$373,A1881,'05_상품별배치367'!$H$7:$H$373,"본진")</f>
        <v>0</v>
      </c>
      <c r="P1881" s="7">
        <f>SUMIFS('05_상품별배치367'!$K$7:$K$373,'05_상품별배치367'!$E$7:$E$373,A1881,'05_상품별배치367'!$H$7:$H$373,"추가 진열")</f>
        <v>0</v>
      </c>
      <c r="Q1881" s="7">
        <f>O1881+P1881</f>
        <v>0</v>
      </c>
      <c r="R1881" s="7">
        <v>0</v>
      </c>
      <c r="S1881" s="6" t="s">
        <v>1672</v>
      </c>
      <c r="T1881" s="6" t="s">
        <v>1637</v>
      </c>
      <c r="U1881" s="6"/>
      <c r="V1881" s="16"/>
      <c r="W1881" s="16"/>
      <c r="X1881" s="16"/>
      <c r="Y1881" s="6" t="s">
        <v>1627</v>
      </c>
      <c r="Z1881" s="15"/>
      <c r="AA1881" s="15" t="s">
        <v>1628</v>
      </c>
    </row>
    <row r="1882" spans="1:27" ht="33" customHeight="1">
      <c r="A1882" s="6" t="s">
        <v>2567</v>
      </c>
      <c r="B1882" s="7">
        <v>359</v>
      </c>
      <c r="C1882" s="6" t="s">
        <v>2568</v>
      </c>
      <c r="D1882" s="6" t="s">
        <v>2569</v>
      </c>
      <c r="E1882" s="6" t="s">
        <v>1666</v>
      </c>
      <c r="F1882" s="6" t="s">
        <v>1667</v>
      </c>
      <c r="G1882" s="6" t="s">
        <v>1668</v>
      </c>
      <c r="H1882" s="6"/>
      <c r="I1882" s="14" t="s">
        <v>1669</v>
      </c>
      <c r="J1882" s="15"/>
      <c r="K1882" s="6" t="s">
        <v>1670</v>
      </c>
      <c r="L1882" s="6"/>
      <c r="M1882" s="6" t="s">
        <v>1671</v>
      </c>
      <c r="N1882" s="6" t="s">
        <v>1624</v>
      </c>
      <c r="O1882" s="7">
        <f>SUMIFS('05_상품별배치367'!$K$7:$K$373,'05_상품별배치367'!$E$7:$E$373,A1882,'05_상품별배치367'!$H$7:$H$373,"본진")</f>
        <v>0</v>
      </c>
      <c r="P1882" s="7">
        <f>SUMIFS('05_상품별배치367'!$K$7:$K$373,'05_상품별배치367'!$E$7:$E$373,A1882,'05_상품별배치367'!$H$7:$H$373,"추가 진열")</f>
        <v>0</v>
      </c>
      <c r="Q1882" s="7">
        <f>O1882+P1882</f>
        <v>0</v>
      </c>
      <c r="R1882" s="7">
        <v>0</v>
      </c>
      <c r="S1882" s="6" t="s">
        <v>1672</v>
      </c>
      <c r="T1882" s="6" t="s">
        <v>1637</v>
      </c>
      <c r="U1882" s="6"/>
      <c r="V1882" s="16"/>
      <c r="W1882" s="16"/>
      <c r="X1882" s="16"/>
      <c r="Y1882" s="6" t="s">
        <v>1627</v>
      </c>
      <c r="Z1882" s="15"/>
      <c r="AA1882" s="15" t="s">
        <v>1628</v>
      </c>
    </row>
    <row r="1883" spans="1:27" ht="33" customHeight="1">
      <c r="A1883" s="8" t="s">
        <v>2557</v>
      </c>
      <c r="B1883" s="9">
        <v>354</v>
      </c>
      <c r="C1883" s="8" t="s">
        <v>2558</v>
      </c>
      <c r="D1883" s="8" t="s">
        <v>2556</v>
      </c>
      <c r="E1883" s="8" t="s">
        <v>1666</v>
      </c>
      <c r="F1883" s="8" t="s">
        <v>1667</v>
      </c>
      <c r="G1883" s="8" t="s">
        <v>1668</v>
      </c>
      <c r="H1883" s="8"/>
      <c r="I1883" s="14" t="s">
        <v>1669</v>
      </c>
      <c r="J1883" s="15"/>
      <c r="K1883" s="8" t="s">
        <v>1670</v>
      </c>
      <c r="L1883" s="8"/>
      <c r="M1883" s="6" t="s">
        <v>1671</v>
      </c>
      <c r="N1883" s="6" t="s">
        <v>1624</v>
      </c>
      <c r="O1883" s="7">
        <f>SUMIFS('05_상품별배치367'!$K$7:$K$373,'05_상품별배치367'!$E$7:$E$373,A1883,'05_상품별배치367'!$H$7:$H$373,"본진")</f>
        <v>0</v>
      </c>
      <c r="P1883" s="7">
        <f>SUMIFS('05_상품별배치367'!$K$7:$K$373,'05_상품별배치367'!$E$7:$E$373,A1883,'05_상품별배치367'!$H$7:$H$373,"추가 진열")</f>
        <v>0</v>
      </c>
      <c r="Q1883" s="7">
        <f>O1883+P1883</f>
        <v>0</v>
      </c>
      <c r="R1883" s="7">
        <v>0</v>
      </c>
      <c r="S1883" s="6" t="s">
        <v>1672</v>
      </c>
      <c r="T1883" s="6" t="s">
        <v>1637</v>
      </c>
      <c r="U1883" s="6"/>
      <c r="V1883" s="16"/>
      <c r="W1883" s="16"/>
      <c r="X1883" s="16"/>
      <c r="Y1883" s="6" t="s">
        <v>1627</v>
      </c>
      <c r="Z1883" s="15"/>
      <c r="AA1883" s="15" t="s">
        <v>1628</v>
      </c>
    </row>
    <row r="1884" spans="1:27" ht="33" customHeight="1">
      <c r="A1884" s="8" t="s">
        <v>2561</v>
      </c>
      <c r="B1884" s="9">
        <v>356</v>
      </c>
      <c r="C1884" s="8" t="s">
        <v>2562</v>
      </c>
      <c r="D1884" s="8" t="s">
        <v>2556</v>
      </c>
      <c r="E1884" s="8" t="s">
        <v>1666</v>
      </c>
      <c r="F1884" s="8" t="s">
        <v>1667</v>
      </c>
      <c r="G1884" s="8" t="s">
        <v>1668</v>
      </c>
      <c r="H1884" s="8"/>
      <c r="I1884" s="14" t="s">
        <v>1669</v>
      </c>
      <c r="J1884" s="15"/>
      <c r="K1884" s="8" t="s">
        <v>1670</v>
      </c>
      <c r="L1884" s="8"/>
      <c r="M1884" s="6" t="s">
        <v>1671</v>
      </c>
      <c r="N1884" s="6" t="s">
        <v>1624</v>
      </c>
      <c r="O1884" s="7">
        <f>SUMIFS('05_상품별배치367'!$K$7:$K$373,'05_상품별배치367'!$E$7:$E$373,A1884,'05_상품별배치367'!$H$7:$H$373,"본진")</f>
        <v>0</v>
      </c>
      <c r="P1884" s="7">
        <f>SUMIFS('05_상품별배치367'!$K$7:$K$373,'05_상품별배치367'!$E$7:$E$373,A1884,'05_상품별배치367'!$H$7:$H$373,"추가 진열")</f>
        <v>0</v>
      </c>
      <c r="Q1884" s="7">
        <f>O1884+P1884</f>
        <v>0</v>
      </c>
      <c r="R1884" s="7">
        <v>0</v>
      </c>
      <c r="S1884" s="6" t="s">
        <v>1672</v>
      </c>
      <c r="T1884" s="6" t="s">
        <v>1637</v>
      </c>
      <c r="U1884" s="6"/>
      <c r="V1884" s="16"/>
      <c r="W1884" s="16"/>
      <c r="X1884" s="16"/>
      <c r="Y1884" s="6" t="s">
        <v>1627</v>
      </c>
      <c r="Z1884" s="15"/>
      <c r="AA1884" s="15" t="s">
        <v>1628</v>
      </c>
    </row>
    <row r="1885" spans="1:27" ht="33" customHeight="1">
      <c r="A1885" s="6" t="s">
        <v>2559</v>
      </c>
      <c r="B1885" s="7">
        <v>355</v>
      </c>
      <c r="C1885" s="6" t="s">
        <v>2560</v>
      </c>
      <c r="D1885" s="6" t="s">
        <v>2556</v>
      </c>
      <c r="E1885" s="6" t="s">
        <v>1666</v>
      </c>
      <c r="F1885" s="6" t="s">
        <v>1667</v>
      </c>
      <c r="G1885" s="6" t="s">
        <v>1668</v>
      </c>
      <c r="H1885" s="6"/>
      <c r="I1885" s="14" t="s">
        <v>1669</v>
      </c>
      <c r="J1885" s="15"/>
      <c r="K1885" s="6" t="s">
        <v>1670</v>
      </c>
      <c r="L1885" s="6"/>
      <c r="M1885" s="6" t="s">
        <v>1671</v>
      </c>
      <c r="N1885" s="6" t="s">
        <v>1624</v>
      </c>
      <c r="O1885" s="7">
        <f>SUMIFS('05_상품별배치367'!$K$7:$K$373,'05_상품별배치367'!$E$7:$E$373,A1885,'05_상품별배치367'!$H$7:$H$373,"본진")</f>
        <v>0</v>
      </c>
      <c r="P1885" s="7">
        <f>SUMIFS('05_상품별배치367'!$K$7:$K$373,'05_상품별배치367'!$E$7:$E$373,A1885,'05_상품별배치367'!$H$7:$H$373,"추가 진열")</f>
        <v>0</v>
      </c>
      <c r="Q1885" s="7">
        <f>O1885+P1885</f>
        <v>0</v>
      </c>
      <c r="R1885" s="7">
        <v>0</v>
      </c>
      <c r="S1885" s="6" t="s">
        <v>1672</v>
      </c>
      <c r="T1885" s="6" t="s">
        <v>1637</v>
      </c>
      <c r="U1885" s="6"/>
      <c r="V1885" s="16"/>
      <c r="W1885" s="16"/>
      <c r="X1885" s="16"/>
      <c r="Y1885" s="6" t="s">
        <v>1627</v>
      </c>
      <c r="Z1885" s="15"/>
      <c r="AA1885" s="15" t="s">
        <v>1628</v>
      </c>
    </row>
    <row r="1886" spans="1:27" ht="33" customHeight="1">
      <c r="A1886" s="6" t="s">
        <v>2581</v>
      </c>
      <c r="B1886" s="7">
        <v>365</v>
      </c>
      <c r="C1886" s="6" t="s">
        <v>2582</v>
      </c>
      <c r="D1886" s="6" t="s">
        <v>2583</v>
      </c>
      <c r="E1886" s="6" t="s">
        <v>1666</v>
      </c>
      <c r="F1886" s="6" t="s">
        <v>1852</v>
      </c>
      <c r="G1886" s="6" t="s">
        <v>1853</v>
      </c>
      <c r="H1886" s="6"/>
      <c r="I1886" s="14" t="s">
        <v>1669</v>
      </c>
      <c r="J1886" s="15"/>
      <c r="K1886" s="6" t="s">
        <v>1670</v>
      </c>
      <c r="L1886" s="6"/>
      <c r="M1886" s="6" t="s">
        <v>1671</v>
      </c>
      <c r="N1886" s="6" t="s">
        <v>1624</v>
      </c>
      <c r="O1886" s="7">
        <f>SUMIFS('05_상품별배치367'!$K$7:$K$373,'05_상품별배치367'!$E$7:$E$373,A1886,'05_상품별배치367'!$H$7:$H$373,"본진")</f>
        <v>0</v>
      </c>
      <c r="P1886" s="7">
        <f>SUMIFS('05_상품별배치367'!$K$7:$K$373,'05_상품별배치367'!$E$7:$E$373,A1886,'05_상품별배치367'!$H$7:$H$373,"추가 진열")</f>
        <v>0</v>
      </c>
      <c r="Q1886" s="7">
        <f>O1886+P1886</f>
        <v>0</v>
      </c>
      <c r="R1886" s="7">
        <v>0</v>
      </c>
      <c r="S1886" s="6" t="s">
        <v>1672</v>
      </c>
      <c r="T1886" s="6" t="s">
        <v>1637</v>
      </c>
      <c r="U1886" s="6"/>
      <c r="V1886" s="16"/>
      <c r="W1886" s="16"/>
      <c r="X1886" s="16"/>
      <c r="Y1886" s="6" t="s">
        <v>1655</v>
      </c>
      <c r="Z1886" s="15"/>
      <c r="AA1886" s="15" t="s">
        <v>1628</v>
      </c>
    </row>
    <row r="1887" spans="1:27" ht="33" customHeight="1">
      <c r="A1887" s="8" t="s">
        <v>2584</v>
      </c>
      <c r="B1887" s="9">
        <v>366</v>
      </c>
      <c r="C1887" s="8" t="s">
        <v>2585</v>
      </c>
      <c r="D1887" s="8" t="s">
        <v>2116</v>
      </c>
      <c r="E1887" s="8" t="s">
        <v>1666</v>
      </c>
      <c r="F1887" s="8" t="s">
        <v>347</v>
      </c>
      <c r="G1887" s="8" t="s">
        <v>341</v>
      </c>
      <c r="H1887" s="8"/>
      <c r="I1887" s="14" t="s">
        <v>1642</v>
      </c>
      <c r="J1887" s="15"/>
      <c r="K1887" s="8" t="s">
        <v>1670</v>
      </c>
      <c r="L1887" s="8"/>
      <c r="M1887" s="6" t="s">
        <v>1643</v>
      </c>
      <c r="N1887" s="6" t="s">
        <v>1644</v>
      </c>
      <c r="O1887" s="7">
        <f>SUMIFS('05_상품별배치367'!$K$7:$K$373,'05_상품별배치367'!$E$7:$E$373,A1887,'05_상품별배치367'!$H$7:$H$373,"본진")</f>
        <v>0</v>
      </c>
      <c r="P1887" s="7">
        <f>SUMIFS('05_상품별배치367'!$K$7:$K$373,'05_상품별배치367'!$E$7:$E$373,A1887,'05_상품별배치367'!$H$7:$H$373,"추가 진열")</f>
        <v>0</v>
      </c>
      <c r="Q1887" s="7">
        <f>O1887+P1887</f>
        <v>0</v>
      </c>
      <c r="R1887" s="7">
        <v>1</v>
      </c>
      <c r="S1887" s="6" t="s">
        <v>2018</v>
      </c>
      <c r="T1887" s="6" t="s">
        <v>1637</v>
      </c>
      <c r="U1887" s="6"/>
      <c r="V1887" s="16"/>
      <c r="W1887" s="16"/>
      <c r="X1887" s="16"/>
      <c r="Y1887" s="6" t="s">
        <v>1655</v>
      </c>
      <c r="Z1887" s="15"/>
      <c r="AA1887" s="15" t="s">
        <v>1628</v>
      </c>
    </row>
    <row r="1888" spans="1:27" ht="33" customHeight="1">
      <c r="A1888" s="6" t="s">
        <v>2586</v>
      </c>
      <c r="B1888" s="7">
        <v>367</v>
      </c>
      <c r="C1888" s="6" t="s">
        <v>2587</v>
      </c>
      <c r="D1888" s="6" t="s">
        <v>2588</v>
      </c>
      <c r="E1888" s="6" t="s">
        <v>1666</v>
      </c>
      <c r="F1888" s="6" t="s">
        <v>1667</v>
      </c>
      <c r="G1888" s="6" t="s">
        <v>1668</v>
      </c>
      <c r="H1888" s="6"/>
      <c r="I1888" s="14" t="s">
        <v>1669</v>
      </c>
      <c r="J1888" s="15"/>
      <c r="K1888" s="6" t="s">
        <v>1670</v>
      </c>
      <c r="L1888" s="6"/>
      <c r="M1888" s="6" t="s">
        <v>1671</v>
      </c>
      <c r="N1888" s="6" t="s">
        <v>1624</v>
      </c>
      <c r="O1888" s="7">
        <f>SUMIFS('05_상품별배치367'!$K$7:$K$373,'05_상품별배치367'!$E$7:$E$373,A1888,'05_상품별배치367'!$H$7:$H$373,"본진")</f>
        <v>0</v>
      </c>
      <c r="P1888" s="7">
        <f>SUMIFS('05_상품별배치367'!$K$7:$K$373,'05_상품별배치367'!$E$7:$E$373,A1888,'05_상품별배치367'!$H$7:$H$373,"추가 진열")</f>
        <v>0</v>
      </c>
      <c r="Q1888" s="7">
        <f>O1888+P1888</f>
        <v>0</v>
      </c>
      <c r="R1888" s="7">
        <v>0</v>
      </c>
      <c r="S1888" s="6" t="s">
        <v>1672</v>
      </c>
      <c r="T1888" s="6" t="s">
        <v>1637</v>
      </c>
      <c r="U1888" s="6"/>
      <c r="V1888" s="16"/>
      <c r="W1888" s="16"/>
      <c r="X1888" s="16"/>
      <c r="Y1888" s="6" t="s">
        <v>1627</v>
      </c>
      <c r="Z1888" s="15"/>
      <c r="AA1888" s="15" t="s">
        <v>1628</v>
      </c>
    </row>
    <row r="1889" spans="1:27" ht="33" customHeight="1">
      <c r="A1889" s="6" t="s">
        <v>2563</v>
      </c>
      <c r="B1889" s="7">
        <v>357</v>
      </c>
      <c r="C1889" s="6" t="s">
        <v>2564</v>
      </c>
      <c r="D1889" s="6" t="s">
        <v>2556</v>
      </c>
      <c r="E1889" s="6" t="s">
        <v>1666</v>
      </c>
      <c r="F1889" s="6" t="s">
        <v>1667</v>
      </c>
      <c r="G1889" s="6" t="s">
        <v>1668</v>
      </c>
      <c r="H1889" s="6"/>
      <c r="I1889" s="14" t="s">
        <v>1669</v>
      </c>
      <c r="J1889" s="15"/>
      <c r="K1889" s="6" t="s">
        <v>1670</v>
      </c>
      <c r="L1889" s="6"/>
      <c r="M1889" s="6" t="s">
        <v>1671</v>
      </c>
      <c r="N1889" s="6" t="s">
        <v>1624</v>
      </c>
      <c r="O1889" s="7">
        <f>SUMIFS('05_상품별배치367'!$K$7:$K$373,'05_상품별배치367'!$E$7:$E$373,A1889,'05_상품별배치367'!$H$7:$H$373,"본진")</f>
        <v>0</v>
      </c>
      <c r="P1889" s="7">
        <f>SUMIFS('05_상품별배치367'!$K$7:$K$373,'05_상품별배치367'!$E$7:$E$373,A1889,'05_상품별배치367'!$H$7:$H$373,"추가 진열")</f>
        <v>0</v>
      </c>
      <c r="Q1889" s="7">
        <f>O1889+P1889</f>
        <v>0</v>
      </c>
      <c r="R1889" s="7">
        <v>0</v>
      </c>
      <c r="S1889" s="6" t="s">
        <v>1672</v>
      </c>
      <c r="T1889" s="6" t="s">
        <v>1637</v>
      </c>
      <c r="U1889" s="6"/>
      <c r="V1889" s="16"/>
      <c r="W1889" s="16"/>
      <c r="X1889" s="16"/>
      <c r="Y1889" s="6" t="s">
        <v>1627</v>
      </c>
      <c r="Z1889" s="15"/>
      <c r="AA1889" s="15" t="s">
        <v>1628</v>
      </c>
    </row>
    <row r="1890" spans="1:27" ht="33" customHeight="1">
      <c r="A1890" s="8" t="s">
        <v>2589</v>
      </c>
      <c r="B1890" s="9">
        <v>368</v>
      </c>
      <c r="C1890" s="8" t="s">
        <v>2590</v>
      </c>
      <c r="D1890" s="8" t="s">
        <v>1631</v>
      </c>
      <c r="E1890" s="8" t="s">
        <v>1666</v>
      </c>
      <c r="F1890" s="8" t="s">
        <v>1667</v>
      </c>
      <c r="G1890" s="8" t="s">
        <v>1668</v>
      </c>
      <c r="H1890" s="8"/>
      <c r="I1890" s="14" t="s">
        <v>1669</v>
      </c>
      <c r="J1890" s="15"/>
      <c r="K1890" s="8" t="s">
        <v>1670</v>
      </c>
      <c r="L1890" s="8"/>
      <c r="M1890" s="6" t="s">
        <v>1671</v>
      </c>
      <c r="N1890" s="6" t="s">
        <v>1624</v>
      </c>
      <c r="O1890" s="7">
        <f>SUMIFS('05_상품별배치367'!$K$7:$K$373,'05_상품별배치367'!$E$7:$E$373,A1890,'05_상품별배치367'!$H$7:$H$373,"본진")</f>
        <v>0</v>
      </c>
      <c r="P1890" s="7">
        <f>SUMIFS('05_상품별배치367'!$K$7:$K$373,'05_상품별배치367'!$E$7:$E$373,A1890,'05_상품별배치367'!$H$7:$H$373,"추가 진열")</f>
        <v>0</v>
      </c>
      <c r="Q1890" s="7">
        <f>O1890+P1890</f>
        <v>0</v>
      </c>
      <c r="R1890" s="7">
        <v>0</v>
      </c>
      <c r="S1890" s="6" t="s">
        <v>1672</v>
      </c>
      <c r="T1890" s="6" t="s">
        <v>1637</v>
      </c>
      <c r="U1890" s="6"/>
      <c r="V1890" s="16"/>
      <c r="W1890" s="16"/>
      <c r="X1890" s="16"/>
      <c r="Y1890" s="6" t="s">
        <v>1627</v>
      </c>
      <c r="Z1890" s="15"/>
      <c r="AA1890" s="15" t="s">
        <v>1628</v>
      </c>
    </row>
    <row r="1891" spans="1:27" ht="33" customHeight="1">
      <c r="A1891" s="8" t="s">
        <v>2565</v>
      </c>
      <c r="B1891" s="9">
        <v>358</v>
      </c>
      <c r="C1891" s="8" t="s">
        <v>2566</v>
      </c>
      <c r="D1891" s="8" t="s">
        <v>2556</v>
      </c>
      <c r="E1891" s="8" t="s">
        <v>1666</v>
      </c>
      <c r="F1891" s="8" t="s">
        <v>1667</v>
      </c>
      <c r="G1891" s="8" t="s">
        <v>1668</v>
      </c>
      <c r="H1891" s="8"/>
      <c r="I1891" s="14" t="s">
        <v>1669</v>
      </c>
      <c r="J1891" s="15"/>
      <c r="K1891" s="8" t="s">
        <v>1670</v>
      </c>
      <c r="L1891" s="8"/>
      <c r="M1891" s="6" t="s">
        <v>1671</v>
      </c>
      <c r="N1891" s="6" t="s">
        <v>1624</v>
      </c>
      <c r="O1891" s="7">
        <f>SUMIFS('05_상품별배치367'!$K$7:$K$373,'05_상품별배치367'!$E$7:$E$373,A1891,'05_상품별배치367'!$H$7:$H$373,"본진")</f>
        <v>0</v>
      </c>
      <c r="P1891" s="7">
        <f>SUMIFS('05_상품별배치367'!$K$7:$K$373,'05_상품별배치367'!$E$7:$E$373,A1891,'05_상품별배치367'!$H$7:$H$373,"추가 진열")</f>
        <v>0</v>
      </c>
      <c r="Q1891" s="7">
        <f>O1891+P1891</f>
        <v>0</v>
      </c>
      <c r="R1891" s="7">
        <v>0</v>
      </c>
      <c r="S1891" s="6" t="s">
        <v>1672</v>
      </c>
      <c r="T1891" s="6" t="s">
        <v>1637</v>
      </c>
      <c r="U1891" s="6"/>
      <c r="V1891" s="16"/>
      <c r="W1891" s="16"/>
      <c r="X1891" s="16"/>
      <c r="Y1891" s="6" t="s">
        <v>1627</v>
      </c>
      <c r="Z1891" s="15"/>
      <c r="AA1891" s="15" t="s">
        <v>1628</v>
      </c>
    </row>
    <row r="1892" spans="1:27" ht="33" customHeight="1">
      <c r="A1892" s="6" t="s">
        <v>7184</v>
      </c>
      <c r="B1892" s="7">
        <v>2495</v>
      </c>
      <c r="C1892" s="6" t="s">
        <v>7185</v>
      </c>
      <c r="D1892" s="6" t="s">
        <v>2078</v>
      </c>
      <c r="E1892" s="6" t="s">
        <v>1641</v>
      </c>
      <c r="F1892" s="6" t="s">
        <v>1691</v>
      </c>
      <c r="G1892" s="6" t="s">
        <v>59</v>
      </c>
      <c r="H1892" s="6"/>
      <c r="I1892" s="14" t="s">
        <v>1642</v>
      </c>
      <c r="J1892" s="15"/>
      <c r="K1892" s="6" t="s">
        <v>1634</v>
      </c>
      <c r="L1892" s="6" t="s">
        <v>2079</v>
      </c>
      <c r="M1892" s="6" t="s">
        <v>1643</v>
      </c>
      <c r="N1892" s="6" t="s">
        <v>1624</v>
      </c>
      <c r="O1892" s="7">
        <f>SUMIFS('05_상품별배치367'!$K$7:$K$373,'05_상품별배치367'!$E$7:$E$373,A1892,'05_상품별배치367'!$H$7:$H$373,"본진")</f>
        <v>0</v>
      </c>
      <c r="P1892" s="7">
        <f>SUMIFS('05_상품별배치367'!$K$7:$K$373,'05_상품별배치367'!$E$7:$E$373,A1892,'05_상품별배치367'!$H$7:$H$373,"추가 진열")</f>
        <v>0</v>
      </c>
      <c r="Q1892" s="7">
        <f>O1892+P1892</f>
        <v>0</v>
      </c>
      <c r="R1892" s="7">
        <v>1</v>
      </c>
      <c r="S1892" s="6" t="s">
        <v>1721</v>
      </c>
      <c r="T1892" s="6" t="s">
        <v>1637</v>
      </c>
      <c r="U1892" s="6"/>
      <c r="V1892" s="16"/>
      <c r="W1892" s="16"/>
      <c r="X1892" s="16"/>
      <c r="Y1892" s="6" t="s">
        <v>1655</v>
      </c>
      <c r="Z1892" s="15"/>
      <c r="AA1892" s="15" t="s">
        <v>1628</v>
      </c>
    </row>
    <row r="1893" spans="1:27" ht="33" customHeight="1">
      <c r="A1893" s="8" t="s">
        <v>2461</v>
      </c>
      <c r="B1893" s="9">
        <v>310</v>
      </c>
      <c r="C1893" s="8" t="s">
        <v>2462</v>
      </c>
      <c r="D1893" s="8" t="s">
        <v>2460</v>
      </c>
      <c r="E1893" s="8" t="s">
        <v>1666</v>
      </c>
      <c r="F1893" s="8" t="s">
        <v>1852</v>
      </c>
      <c r="G1893" s="8" t="s">
        <v>1853</v>
      </c>
      <c r="H1893" s="8"/>
      <c r="I1893" s="14" t="s">
        <v>1669</v>
      </c>
      <c r="J1893" s="15"/>
      <c r="K1893" s="8" t="s">
        <v>1670</v>
      </c>
      <c r="L1893" s="8"/>
      <c r="M1893" s="6" t="s">
        <v>1671</v>
      </c>
      <c r="N1893" s="6" t="s">
        <v>1644</v>
      </c>
      <c r="O1893" s="7">
        <f>SUMIFS('05_상품별배치367'!$K$7:$K$373,'05_상품별배치367'!$E$7:$E$373,A1893,'05_상품별배치367'!$H$7:$H$373,"본진")</f>
        <v>0</v>
      </c>
      <c r="P1893" s="7">
        <f>SUMIFS('05_상품별배치367'!$K$7:$K$373,'05_상품별배치367'!$E$7:$E$373,A1893,'05_상품별배치367'!$H$7:$H$373,"추가 진열")</f>
        <v>0</v>
      </c>
      <c r="Q1893" s="7">
        <f>O1893+P1893</f>
        <v>0</v>
      </c>
      <c r="R1893" s="7">
        <v>0</v>
      </c>
      <c r="S1893" s="6" t="s">
        <v>1672</v>
      </c>
      <c r="T1893" s="6" t="s">
        <v>1637</v>
      </c>
      <c r="U1893" s="6"/>
      <c r="V1893" s="16"/>
      <c r="W1893" s="16"/>
      <c r="X1893" s="16"/>
      <c r="Y1893" s="6" t="s">
        <v>1655</v>
      </c>
      <c r="Z1893" s="15"/>
      <c r="AA1893" s="15" t="s">
        <v>1628</v>
      </c>
    </row>
    <row r="1894" spans="1:27" ht="33" customHeight="1">
      <c r="A1894" s="6" t="s">
        <v>2458</v>
      </c>
      <c r="B1894" s="7">
        <v>309</v>
      </c>
      <c r="C1894" s="6" t="s">
        <v>2459</v>
      </c>
      <c r="D1894" s="6" t="s">
        <v>2460</v>
      </c>
      <c r="E1894" s="6" t="s">
        <v>1666</v>
      </c>
      <c r="F1894" s="6" t="s">
        <v>1852</v>
      </c>
      <c r="G1894" s="6" t="s">
        <v>1853</v>
      </c>
      <c r="H1894" s="6"/>
      <c r="I1894" s="14" t="s">
        <v>1669</v>
      </c>
      <c r="J1894" s="15"/>
      <c r="K1894" s="6" t="s">
        <v>1670</v>
      </c>
      <c r="L1894" s="6"/>
      <c r="M1894" s="6" t="s">
        <v>1671</v>
      </c>
      <c r="N1894" s="6" t="s">
        <v>1644</v>
      </c>
      <c r="O1894" s="7">
        <f>SUMIFS('05_상품별배치367'!$K$7:$K$373,'05_상품별배치367'!$E$7:$E$373,A1894,'05_상품별배치367'!$H$7:$H$373,"본진")</f>
        <v>0</v>
      </c>
      <c r="P1894" s="7">
        <f>SUMIFS('05_상품별배치367'!$K$7:$K$373,'05_상품별배치367'!$E$7:$E$373,A1894,'05_상품별배치367'!$H$7:$H$373,"추가 진열")</f>
        <v>0</v>
      </c>
      <c r="Q1894" s="7">
        <f>O1894+P1894</f>
        <v>0</v>
      </c>
      <c r="R1894" s="7">
        <v>0</v>
      </c>
      <c r="S1894" s="6" t="s">
        <v>1672</v>
      </c>
      <c r="T1894" s="6" t="s">
        <v>1637</v>
      </c>
      <c r="U1894" s="6"/>
      <c r="V1894" s="16"/>
      <c r="W1894" s="16"/>
      <c r="X1894" s="16"/>
      <c r="Y1894" s="6" t="s">
        <v>1655</v>
      </c>
      <c r="Z1894" s="15"/>
      <c r="AA1894" s="15" t="s">
        <v>1628</v>
      </c>
    </row>
    <row r="1895" spans="1:27" ht="33" customHeight="1">
      <c r="A1895" s="8" t="s">
        <v>2440</v>
      </c>
      <c r="B1895" s="9">
        <v>300</v>
      </c>
      <c r="C1895" s="8" t="s">
        <v>2441</v>
      </c>
      <c r="D1895" s="8" t="s">
        <v>2094</v>
      </c>
      <c r="E1895" s="8" t="s">
        <v>1666</v>
      </c>
      <c r="F1895" s="8" t="s">
        <v>1852</v>
      </c>
      <c r="G1895" s="8" t="s">
        <v>1853</v>
      </c>
      <c r="H1895" s="8"/>
      <c r="I1895" s="14" t="s">
        <v>1669</v>
      </c>
      <c r="J1895" s="15"/>
      <c r="K1895" s="8" t="s">
        <v>1670</v>
      </c>
      <c r="L1895" s="8"/>
      <c r="M1895" s="6" t="s">
        <v>1671</v>
      </c>
      <c r="N1895" s="6" t="s">
        <v>1644</v>
      </c>
      <c r="O1895" s="7">
        <f>SUMIFS('05_상품별배치367'!$K$7:$K$373,'05_상품별배치367'!$E$7:$E$373,A1895,'05_상품별배치367'!$H$7:$H$373,"본진")</f>
        <v>0</v>
      </c>
      <c r="P1895" s="7">
        <f>SUMIFS('05_상품별배치367'!$K$7:$K$373,'05_상품별배치367'!$E$7:$E$373,A1895,'05_상품별배치367'!$H$7:$H$373,"추가 진열")</f>
        <v>0</v>
      </c>
      <c r="Q1895" s="7">
        <f>O1895+P1895</f>
        <v>0</v>
      </c>
      <c r="R1895" s="7">
        <v>0</v>
      </c>
      <c r="S1895" s="6" t="s">
        <v>1672</v>
      </c>
      <c r="T1895" s="6" t="s">
        <v>1637</v>
      </c>
      <c r="U1895" s="6"/>
      <c r="V1895" s="16"/>
      <c r="W1895" s="16"/>
      <c r="X1895" s="16"/>
      <c r="Y1895" s="6" t="s">
        <v>1655</v>
      </c>
      <c r="Z1895" s="15"/>
      <c r="AA1895" s="15" t="s">
        <v>1628</v>
      </c>
    </row>
    <row r="1896" spans="1:27" ht="33" customHeight="1">
      <c r="A1896" s="6" t="s">
        <v>2434</v>
      </c>
      <c r="B1896" s="7">
        <v>297</v>
      </c>
      <c r="C1896" s="6" t="s">
        <v>2435</v>
      </c>
      <c r="D1896" s="6" t="s">
        <v>2094</v>
      </c>
      <c r="E1896" s="6" t="s">
        <v>1666</v>
      </c>
      <c r="F1896" s="6" t="s">
        <v>1852</v>
      </c>
      <c r="G1896" s="6" t="s">
        <v>1853</v>
      </c>
      <c r="H1896" s="6"/>
      <c r="I1896" s="14" t="s">
        <v>1669</v>
      </c>
      <c r="J1896" s="15"/>
      <c r="K1896" s="6" t="s">
        <v>1670</v>
      </c>
      <c r="L1896" s="6"/>
      <c r="M1896" s="6" t="s">
        <v>1671</v>
      </c>
      <c r="N1896" s="6" t="s">
        <v>1644</v>
      </c>
      <c r="O1896" s="7">
        <f>SUMIFS('05_상품별배치367'!$K$7:$K$373,'05_상품별배치367'!$E$7:$E$373,A1896,'05_상품별배치367'!$H$7:$H$373,"본진")</f>
        <v>0</v>
      </c>
      <c r="P1896" s="7">
        <f>SUMIFS('05_상품별배치367'!$K$7:$K$373,'05_상품별배치367'!$E$7:$E$373,A1896,'05_상품별배치367'!$H$7:$H$373,"추가 진열")</f>
        <v>0</v>
      </c>
      <c r="Q1896" s="7">
        <f>O1896+P1896</f>
        <v>0</v>
      </c>
      <c r="R1896" s="7">
        <v>0</v>
      </c>
      <c r="S1896" s="6" t="s">
        <v>1672</v>
      </c>
      <c r="T1896" s="6" t="s">
        <v>1637</v>
      </c>
      <c r="U1896" s="6"/>
      <c r="V1896" s="16"/>
      <c r="W1896" s="16"/>
      <c r="X1896" s="16"/>
      <c r="Y1896" s="6" t="s">
        <v>1655</v>
      </c>
      <c r="Z1896" s="15"/>
      <c r="AA1896" s="15" t="s">
        <v>1628</v>
      </c>
    </row>
    <row r="1897" spans="1:27" ht="33" customHeight="1">
      <c r="A1897" s="6" t="s">
        <v>2442</v>
      </c>
      <c r="B1897" s="7">
        <v>301</v>
      </c>
      <c r="C1897" s="6" t="s">
        <v>2443</v>
      </c>
      <c r="D1897" s="6" t="s">
        <v>2094</v>
      </c>
      <c r="E1897" s="6" t="s">
        <v>1666</v>
      </c>
      <c r="F1897" s="6" t="s">
        <v>1852</v>
      </c>
      <c r="G1897" s="6" t="s">
        <v>1853</v>
      </c>
      <c r="H1897" s="6"/>
      <c r="I1897" s="14" t="s">
        <v>1669</v>
      </c>
      <c r="J1897" s="15"/>
      <c r="K1897" s="6" t="s">
        <v>1670</v>
      </c>
      <c r="L1897" s="6"/>
      <c r="M1897" s="6" t="s">
        <v>1671</v>
      </c>
      <c r="N1897" s="6" t="s">
        <v>1644</v>
      </c>
      <c r="O1897" s="7">
        <f>SUMIFS('05_상품별배치367'!$K$7:$K$373,'05_상품별배치367'!$E$7:$E$373,A1897,'05_상품별배치367'!$H$7:$H$373,"본진")</f>
        <v>0</v>
      </c>
      <c r="P1897" s="7">
        <f>SUMIFS('05_상품별배치367'!$K$7:$K$373,'05_상품별배치367'!$E$7:$E$373,A1897,'05_상품별배치367'!$H$7:$H$373,"추가 진열")</f>
        <v>0</v>
      </c>
      <c r="Q1897" s="7">
        <f>O1897+P1897</f>
        <v>0</v>
      </c>
      <c r="R1897" s="7">
        <v>0</v>
      </c>
      <c r="S1897" s="6" t="s">
        <v>1672</v>
      </c>
      <c r="T1897" s="6" t="s">
        <v>1637</v>
      </c>
      <c r="U1897" s="6"/>
      <c r="V1897" s="16"/>
      <c r="W1897" s="16"/>
      <c r="X1897" s="16"/>
      <c r="Y1897" s="6" t="s">
        <v>1655</v>
      </c>
      <c r="Z1897" s="15"/>
      <c r="AA1897" s="15" t="s">
        <v>1628</v>
      </c>
    </row>
    <row r="1898" spans="1:27" ht="33" customHeight="1">
      <c r="A1898" s="6" t="s">
        <v>2454</v>
      </c>
      <c r="B1898" s="7">
        <v>307</v>
      </c>
      <c r="C1898" s="6" t="s">
        <v>2455</v>
      </c>
      <c r="D1898" s="6" t="s">
        <v>2094</v>
      </c>
      <c r="E1898" s="6" t="s">
        <v>1666</v>
      </c>
      <c r="F1898" s="6" t="s">
        <v>1852</v>
      </c>
      <c r="G1898" s="6" t="s">
        <v>1853</v>
      </c>
      <c r="H1898" s="6"/>
      <c r="I1898" s="14" t="s">
        <v>1669</v>
      </c>
      <c r="J1898" s="15"/>
      <c r="K1898" s="6" t="s">
        <v>1670</v>
      </c>
      <c r="L1898" s="6"/>
      <c r="M1898" s="6" t="s">
        <v>1671</v>
      </c>
      <c r="N1898" s="6" t="s">
        <v>1644</v>
      </c>
      <c r="O1898" s="7">
        <f>SUMIFS('05_상품별배치367'!$K$7:$K$373,'05_상품별배치367'!$E$7:$E$373,A1898,'05_상품별배치367'!$H$7:$H$373,"본진")</f>
        <v>0</v>
      </c>
      <c r="P1898" s="7">
        <f>SUMIFS('05_상품별배치367'!$K$7:$K$373,'05_상품별배치367'!$E$7:$E$373,A1898,'05_상품별배치367'!$H$7:$H$373,"추가 진열")</f>
        <v>0</v>
      </c>
      <c r="Q1898" s="7">
        <f>O1898+P1898</f>
        <v>0</v>
      </c>
      <c r="R1898" s="7">
        <v>0</v>
      </c>
      <c r="S1898" s="6" t="s">
        <v>1672</v>
      </c>
      <c r="T1898" s="6" t="s">
        <v>1637</v>
      </c>
      <c r="U1898" s="6"/>
      <c r="V1898" s="16"/>
      <c r="W1898" s="16"/>
      <c r="X1898" s="16"/>
      <c r="Y1898" s="6" t="s">
        <v>1655</v>
      </c>
      <c r="Z1898" s="15"/>
      <c r="AA1898" s="15" t="s">
        <v>1628</v>
      </c>
    </row>
    <row r="1899" spans="1:27" ht="33" customHeight="1">
      <c r="A1899" s="8" t="s">
        <v>2452</v>
      </c>
      <c r="B1899" s="9">
        <v>306</v>
      </c>
      <c r="C1899" s="8" t="s">
        <v>2453</v>
      </c>
      <c r="D1899" s="8" t="s">
        <v>2094</v>
      </c>
      <c r="E1899" s="8" t="s">
        <v>1666</v>
      </c>
      <c r="F1899" s="8" t="s">
        <v>1852</v>
      </c>
      <c r="G1899" s="8" t="s">
        <v>1853</v>
      </c>
      <c r="H1899" s="8"/>
      <c r="I1899" s="14" t="s">
        <v>1669</v>
      </c>
      <c r="J1899" s="15"/>
      <c r="K1899" s="8" t="s">
        <v>1670</v>
      </c>
      <c r="L1899" s="8"/>
      <c r="M1899" s="6" t="s">
        <v>1671</v>
      </c>
      <c r="N1899" s="6" t="s">
        <v>1644</v>
      </c>
      <c r="O1899" s="7">
        <f>SUMIFS('05_상품별배치367'!$K$7:$K$373,'05_상품별배치367'!$E$7:$E$373,A1899,'05_상품별배치367'!$H$7:$H$373,"본진")</f>
        <v>0</v>
      </c>
      <c r="P1899" s="7">
        <f>SUMIFS('05_상품별배치367'!$K$7:$K$373,'05_상품별배치367'!$E$7:$E$373,A1899,'05_상품별배치367'!$H$7:$H$373,"추가 진열")</f>
        <v>0</v>
      </c>
      <c r="Q1899" s="7">
        <f>O1899+P1899</f>
        <v>0</v>
      </c>
      <c r="R1899" s="7">
        <v>0</v>
      </c>
      <c r="S1899" s="6" t="s">
        <v>1672</v>
      </c>
      <c r="T1899" s="6" t="s">
        <v>1637</v>
      </c>
      <c r="U1899" s="6"/>
      <c r="V1899" s="16"/>
      <c r="W1899" s="16"/>
      <c r="X1899" s="16"/>
      <c r="Y1899" s="6" t="s">
        <v>1655</v>
      </c>
      <c r="Z1899" s="15"/>
      <c r="AA1899" s="15" t="s">
        <v>1628</v>
      </c>
    </row>
    <row r="1900" spans="1:27" ht="33" customHeight="1">
      <c r="A1900" s="8" t="s">
        <v>2448</v>
      </c>
      <c r="B1900" s="9">
        <v>304</v>
      </c>
      <c r="C1900" s="8" t="s">
        <v>2449</v>
      </c>
      <c r="D1900" s="8" t="s">
        <v>2094</v>
      </c>
      <c r="E1900" s="8" t="s">
        <v>1666</v>
      </c>
      <c r="F1900" s="8" t="s">
        <v>1852</v>
      </c>
      <c r="G1900" s="8" t="s">
        <v>1853</v>
      </c>
      <c r="H1900" s="8"/>
      <c r="I1900" s="14" t="s">
        <v>1669</v>
      </c>
      <c r="J1900" s="15"/>
      <c r="K1900" s="8" t="s">
        <v>1670</v>
      </c>
      <c r="L1900" s="8"/>
      <c r="M1900" s="6" t="s">
        <v>1671</v>
      </c>
      <c r="N1900" s="6" t="s">
        <v>1644</v>
      </c>
      <c r="O1900" s="7">
        <f>SUMIFS('05_상품별배치367'!$K$7:$K$373,'05_상품별배치367'!$E$7:$E$373,A1900,'05_상품별배치367'!$H$7:$H$373,"본진")</f>
        <v>0</v>
      </c>
      <c r="P1900" s="7">
        <f>SUMIFS('05_상품별배치367'!$K$7:$K$373,'05_상품별배치367'!$E$7:$E$373,A1900,'05_상품별배치367'!$H$7:$H$373,"추가 진열")</f>
        <v>0</v>
      </c>
      <c r="Q1900" s="7">
        <f>O1900+P1900</f>
        <v>0</v>
      </c>
      <c r="R1900" s="7">
        <v>0</v>
      </c>
      <c r="S1900" s="6" t="s">
        <v>1672</v>
      </c>
      <c r="T1900" s="6" t="s">
        <v>1637</v>
      </c>
      <c r="U1900" s="6"/>
      <c r="V1900" s="16"/>
      <c r="W1900" s="16"/>
      <c r="X1900" s="16"/>
      <c r="Y1900" s="6" t="s">
        <v>1655</v>
      </c>
      <c r="Z1900" s="15"/>
      <c r="AA1900" s="15" t="s">
        <v>1628</v>
      </c>
    </row>
    <row r="1901" spans="1:27" ht="33" customHeight="1">
      <c r="A1901" s="8" t="s">
        <v>2436</v>
      </c>
      <c r="B1901" s="9">
        <v>298</v>
      </c>
      <c r="C1901" s="8" t="s">
        <v>2437</v>
      </c>
      <c r="D1901" s="8" t="s">
        <v>2094</v>
      </c>
      <c r="E1901" s="8" t="s">
        <v>1666</v>
      </c>
      <c r="F1901" s="8" t="s">
        <v>1852</v>
      </c>
      <c r="G1901" s="8" t="s">
        <v>1853</v>
      </c>
      <c r="H1901" s="8"/>
      <c r="I1901" s="14" t="s">
        <v>1669</v>
      </c>
      <c r="J1901" s="15"/>
      <c r="K1901" s="8" t="s">
        <v>1670</v>
      </c>
      <c r="L1901" s="8"/>
      <c r="M1901" s="6" t="s">
        <v>1671</v>
      </c>
      <c r="N1901" s="6" t="s">
        <v>1644</v>
      </c>
      <c r="O1901" s="7">
        <f>SUMIFS('05_상품별배치367'!$K$7:$K$373,'05_상품별배치367'!$E$7:$E$373,A1901,'05_상품별배치367'!$H$7:$H$373,"본진")</f>
        <v>0</v>
      </c>
      <c r="P1901" s="7">
        <f>SUMIFS('05_상품별배치367'!$K$7:$K$373,'05_상품별배치367'!$E$7:$E$373,A1901,'05_상품별배치367'!$H$7:$H$373,"추가 진열")</f>
        <v>0</v>
      </c>
      <c r="Q1901" s="7">
        <f>O1901+P1901</f>
        <v>0</v>
      </c>
      <c r="R1901" s="7">
        <v>0</v>
      </c>
      <c r="S1901" s="6" t="s">
        <v>1672</v>
      </c>
      <c r="T1901" s="6" t="s">
        <v>1637</v>
      </c>
      <c r="U1901" s="6"/>
      <c r="V1901" s="16"/>
      <c r="W1901" s="16"/>
      <c r="X1901" s="16"/>
      <c r="Y1901" s="6" t="s">
        <v>1655</v>
      </c>
      <c r="Z1901" s="15"/>
      <c r="AA1901" s="15" t="s">
        <v>1628</v>
      </c>
    </row>
    <row r="1902" spans="1:27" ht="33" customHeight="1">
      <c r="A1902" s="6" t="s">
        <v>2438</v>
      </c>
      <c r="B1902" s="7">
        <v>299</v>
      </c>
      <c r="C1902" s="6" t="s">
        <v>2439</v>
      </c>
      <c r="D1902" s="6" t="s">
        <v>2094</v>
      </c>
      <c r="E1902" s="6" t="s">
        <v>1666</v>
      </c>
      <c r="F1902" s="6" t="s">
        <v>1852</v>
      </c>
      <c r="G1902" s="6" t="s">
        <v>1853</v>
      </c>
      <c r="H1902" s="6"/>
      <c r="I1902" s="14" t="s">
        <v>1669</v>
      </c>
      <c r="J1902" s="15"/>
      <c r="K1902" s="6" t="s">
        <v>1670</v>
      </c>
      <c r="L1902" s="6"/>
      <c r="M1902" s="6" t="s">
        <v>1671</v>
      </c>
      <c r="N1902" s="6" t="s">
        <v>1644</v>
      </c>
      <c r="O1902" s="7">
        <f>SUMIFS('05_상품별배치367'!$K$7:$K$373,'05_상품별배치367'!$E$7:$E$373,A1902,'05_상품별배치367'!$H$7:$H$373,"본진")</f>
        <v>0</v>
      </c>
      <c r="P1902" s="7">
        <f>SUMIFS('05_상품별배치367'!$K$7:$K$373,'05_상품별배치367'!$E$7:$E$373,A1902,'05_상품별배치367'!$H$7:$H$373,"추가 진열")</f>
        <v>0</v>
      </c>
      <c r="Q1902" s="7">
        <f>O1902+P1902</f>
        <v>0</v>
      </c>
      <c r="R1902" s="7">
        <v>0</v>
      </c>
      <c r="S1902" s="6" t="s">
        <v>1672</v>
      </c>
      <c r="T1902" s="6" t="s">
        <v>1637</v>
      </c>
      <c r="U1902" s="6"/>
      <c r="V1902" s="16"/>
      <c r="W1902" s="16"/>
      <c r="X1902" s="16"/>
      <c r="Y1902" s="6" t="s">
        <v>1655</v>
      </c>
      <c r="Z1902" s="15"/>
      <c r="AA1902" s="15" t="s">
        <v>1628</v>
      </c>
    </row>
    <row r="1903" spans="1:27" ht="33" customHeight="1">
      <c r="A1903" s="8" t="s">
        <v>2444</v>
      </c>
      <c r="B1903" s="9">
        <v>302</v>
      </c>
      <c r="C1903" s="8" t="s">
        <v>2445</v>
      </c>
      <c r="D1903" s="8" t="s">
        <v>2094</v>
      </c>
      <c r="E1903" s="8" t="s">
        <v>1666</v>
      </c>
      <c r="F1903" s="8" t="s">
        <v>1852</v>
      </c>
      <c r="G1903" s="8" t="s">
        <v>1853</v>
      </c>
      <c r="H1903" s="8"/>
      <c r="I1903" s="14" t="s">
        <v>1669</v>
      </c>
      <c r="J1903" s="15"/>
      <c r="K1903" s="8" t="s">
        <v>1670</v>
      </c>
      <c r="L1903" s="8"/>
      <c r="M1903" s="6" t="s">
        <v>1671</v>
      </c>
      <c r="N1903" s="6" t="s">
        <v>1644</v>
      </c>
      <c r="O1903" s="7">
        <f>SUMIFS('05_상품별배치367'!$K$7:$K$373,'05_상품별배치367'!$E$7:$E$373,A1903,'05_상품별배치367'!$H$7:$H$373,"본진")</f>
        <v>0</v>
      </c>
      <c r="P1903" s="7">
        <f>SUMIFS('05_상품별배치367'!$K$7:$K$373,'05_상품별배치367'!$E$7:$E$373,A1903,'05_상품별배치367'!$H$7:$H$373,"추가 진열")</f>
        <v>0</v>
      </c>
      <c r="Q1903" s="7">
        <f>O1903+P1903</f>
        <v>0</v>
      </c>
      <c r="R1903" s="7">
        <v>0</v>
      </c>
      <c r="S1903" s="6" t="s">
        <v>1672</v>
      </c>
      <c r="T1903" s="6" t="s">
        <v>1637</v>
      </c>
      <c r="U1903" s="6"/>
      <c r="V1903" s="16"/>
      <c r="W1903" s="16"/>
      <c r="X1903" s="16"/>
      <c r="Y1903" s="6" t="s">
        <v>1655</v>
      </c>
      <c r="Z1903" s="15"/>
      <c r="AA1903" s="15" t="s">
        <v>1628</v>
      </c>
    </row>
    <row r="1904" spans="1:27" ht="33" customHeight="1">
      <c r="A1904" s="6" t="s">
        <v>2446</v>
      </c>
      <c r="B1904" s="7">
        <v>303</v>
      </c>
      <c r="C1904" s="6" t="s">
        <v>2447</v>
      </c>
      <c r="D1904" s="6" t="s">
        <v>2094</v>
      </c>
      <c r="E1904" s="6" t="s">
        <v>1666</v>
      </c>
      <c r="F1904" s="6" t="s">
        <v>1852</v>
      </c>
      <c r="G1904" s="6" t="s">
        <v>1853</v>
      </c>
      <c r="H1904" s="6"/>
      <c r="I1904" s="14" t="s">
        <v>1669</v>
      </c>
      <c r="J1904" s="15"/>
      <c r="K1904" s="6" t="s">
        <v>1670</v>
      </c>
      <c r="L1904" s="6"/>
      <c r="M1904" s="6" t="s">
        <v>1671</v>
      </c>
      <c r="N1904" s="6" t="s">
        <v>1644</v>
      </c>
      <c r="O1904" s="7">
        <f>SUMIFS('05_상품별배치367'!$K$7:$K$373,'05_상품별배치367'!$E$7:$E$373,A1904,'05_상품별배치367'!$H$7:$H$373,"본진")</f>
        <v>0</v>
      </c>
      <c r="P1904" s="7">
        <f>SUMIFS('05_상품별배치367'!$K$7:$K$373,'05_상품별배치367'!$E$7:$E$373,A1904,'05_상품별배치367'!$H$7:$H$373,"추가 진열")</f>
        <v>0</v>
      </c>
      <c r="Q1904" s="7">
        <f>O1904+P1904</f>
        <v>0</v>
      </c>
      <c r="R1904" s="7">
        <v>0</v>
      </c>
      <c r="S1904" s="6" t="s">
        <v>1672</v>
      </c>
      <c r="T1904" s="6" t="s">
        <v>1637</v>
      </c>
      <c r="U1904" s="6"/>
      <c r="V1904" s="16"/>
      <c r="W1904" s="16"/>
      <c r="X1904" s="16"/>
      <c r="Y1904" s="6" t="s">
        <v>1655</v>
      </c>
      <c r="Z1904" s="15"/>
      <c r="AA1904" s="15" t="s">
        <v>1628</v>
      </c>
    </row>
    <row r="1905" spans="1:27" ht="33" customHeight="1">
      <c r="A1905" s="6" t="s">
        <v>2450</v>
      </c>
      <c r="B1905" s="7">
        <v>305</v>
      </c>
      <c r="C1905" s="6" t="s">
        <v>2451</v>
      </c>
      <c r="D1905" s="6" t="s">
        <v>2094</v>
      </c>
      <c r="E1905" s="6" t="s">
        <v>1666</v>
      </c>
      <c r="F1905" s="6" t="s">
        <v>1852</v>
      </c>
      <c r="G1905" s="6" t="s">
        <v>1853</v>
      </c>
      <c r="H1905" s="6"/>
      <c r="I1905" s="14" t="s">
        <v>1669</v>
      </c>
      <c r="J1905" s="15"/>
      <c r="K1905" s="6" t="s">
        <v>1670</v>
      </c>
      <c r="L1905" s="6"/>
      <c r="M1905" s="6" t="s">
        <v>1671</v>
      </c>
      <c r="N1905" s="6" t="s">
        <v>1644</v>
      </c>
      <c r="O1905" s="7">
        <f>SUMIFS('05_상품별배치367'!$K$7:$K$373,'05_상품별배치367'!$E$7:$E$373,A1905,'05_상품별배치367'!$H$7:$H$373,"본진")</f>
        <v>0</v>
      </c>
      <c r="P1905" s="7">
        <f>SUMIFS('05_상품별배치367'!$K$7:$K$373,'05_상품별배치367'!$E$7:$E$373,A1905,'05_상품별배치367'!$H$7:$H$373,"추가 진열")</f>
        <v>0</v>
      </c>
      <c r="Q1905" s="7">
        <f>O1905+P1905</f>
        <v>0</v>
      </c>
      <c r="R1905" s="7">
        <v>0</v>
      </c>
      <c r="S1905" s="6" t="s">
        <v>1672</v>
      </c>
      <c r="T1905" s="6" t="s">
        <v>1637</v>
      </c>
      <c r="U1905" s="6"/>
      <c r="V1905" s="16"/>
      <c r="W1905" s="16"/>
      <c r="X1905" s="16"/>
      <c r="Y1905" s="6" t="s">
        <v>1655</v>
      </c>
      <c r="Z1905" s="15"/>
      <c r="AA1905" s="15" t="s">
        <v>1628</v>
      </c>
    </row>
    <row r="1906" spans="1:27" ht="33" customHeight="1">
      <c r="A1906" s="8" t="s">
        <v>2456</v>
      </c>
      <c r="B1906" s="9">
        <v>308</v>
      </c>
      <c r="C1906" s="8" t="s">
        <v>2457</v>
      </c>
      <c r="D1906" s="8" t="s">
        <v>2094</v>
      </c>
      <c r="E1906" s="8" t="s">
        <v>1666</v>
      </c>
      <c r="F1906" s="8" t="s">
        <v>1852</v>
      </c>
      <c r="G1906" s="8" t="s">
        <v>1853</v>
      </c>
      <c r="H1906" s="8"/>
      <c r="I1906" s="14" t="s">
        <v>1669</v>
      </c>
      <c r="J1906" s="15"/>
      <c r="K1906" s="8" t="s">
        <v>1670</v>
      </c>
      <c r="L1906" s="8"/>
      <c r="M1906" s="6" t="s">
        <v>1671</v>
      </c>
      <c r="N1906" s="6" t="s">
        <v>1644</v>
      </c>
      <c r="O1906" s="7">
        <f>SUMIFS('05_상품별배치367'!$K$7:$K$373,'05_상품별배치367'!$E$7:$E$373,A1906,'05_상품별배치367'!$H$7:$H$373,"본진")</f>
        <v>0</v>
      </c>
      <c r="P1906" s="7">
        <f>SUMIFS('05_상품별배치367'!$K$7:$K$373,'05_상품별배치367'!$E$7:$E$373,A1906,'05_상품별배치367'!$H$7:$H$373,"추가 진열")</f>
        <v>0</v>
      </c>
      <c r="Q1906" s="7">
        <f>O1906+P1906</f>
        <v>0</v>
      </c>
      <c r="R1906" s="7">
        <v>0</v>
      </c>
      <c r="S1906" s="6" t="s">
        <v>1672</v>
      </c>
      <c r="T1906" s="6" t="s">
        <v>1637</v>
      </c>
      <c r="U1906" s="6"/>
      <c r="V1906" s="16"/>
      <c r="W1906" s="16"/>
      <c r="X1906" s="16"/>
      <c r="Y1906" s="6" t="s">
        <v>1655</v>
      </c>
      <c r="Z1906" s="15"/>
      <c r="AA1906" s="15" t="s">
        <v>1628</v>
      </c>
    </row>
    <row r="1907" spans="1:27" ht="33" customHeight="1">
      <c r="A1907" s="6" t="s">
        <v>6246</v>
      </c>
      <c r="B1907" s="7">
        <v>2055</v>
      </c>
      <c r="C1907" s="6" t="s">
        <v>6247</v>
      </c>
      <c r="D1907" s="6" t="s">
        <v>6248</v>
      </c>
      <c r="E1907" s="6" t="s">
        <v>1620</v>
      </c>
      <c r="F1907" s="6" t="s">
        <v>152</v>
      </c>
      <c r="G1907" s="6" t="s">
        <v>69</v>
      </c>
      <c r="H1907" s="6" t="s">
        <v>634</v>
      </c>
      <c r="I1907" s="14" t="s">
        <v>1642</v>
      </c>
      <c r="J1907" s="15"/>
      <c r="K1907" s="6" t="s">
        <v>1622</v>
      </c>
      <c r="L1907" s="6" t="s">
        <v>3828</v>
      </c>
      <c r="M1907" s="6" t="s">
        <v>1643</v>
      </c>
      <c r="N1907" s="6" t="s">
        <v>1624</v>
      </c>
      <c r="O1907" s="7">
        <f>SUMIFS('05_상품별배치367'!$K$7:$K$373,'05_상품별배치367'!$E$7:$E$373,A1907,'05_상품별배치367'!$H$7:$H$373,"본진")</f>
        <v>0</v>
      </c>
      <c r="P1907" s="7">
        <f>SUMIFS('05_상품별배치367'!$K$7:$K$373,'05_상품별배치367'!$E$7:$E$373,A1907,'05_상품별배치367'!$H$7:$H$373,"추가 진열")</f>
        <v>0</v>
      </c>
      <c r="Q1907" s="7">
        <f>O1907+P1907</f>
        <v>0</v>
      </c>
      <c r="R1907" s="7">
        <v>1</v>
      </c>
      <c r="S1907" s="6" t="s">
        <v>2056</v>
      </c>
      <c r="T1907" s="6" t="s">
        <v>6240</v>
      </c>
      <c r="U1907" s="6"/>
      <c r="V1907" s="16"/>
      <c r="W1907" s="16"/>
      <c r="X1907" s="16"/>
      <c r="Y1907" s="6" t="s">
        <v>1655</v>
      </c>
      <c r="Z1907" s="15"/>
      <c r="AA1907" s="15" t="s">
        <v>1628</v>
      </c>
    </row>
    <row r="1908" spans="1:27" ht="33" customHeight="1">
      <c r="A1908" s="8" t="s">
        <v>6256</v>
      </c>
      <c r="B1908" s="9">
        <v>2060</v>
      </c>
      <c r="C1908" s="8" t="s">
        <v>6257</v>
      </c>
      <c r="D1908" s="8" t="s">
        <v>6258</v>
      </c>
      <c r="E1908" s="8" t="s">
        <v>1620</v>
      </c>
      <c r="F1908" s="8" t="s">
        <v>152</v>
      </c>
      <c r="G1908" s="8" t="s">
        <v>69</v>
      </c>
      <c r="H1908" s="8"/>
      <c r="I1908" s="14" t="s">
        <v>1642</v>
      </c>
      <c r="J1908" s="15"/>
      <c r="K1908" s="8" t="s">
        <v>1622</v>
      </c>
      <c r="L1908" s="8" t="s">
        <v>3828</v>
      </c>
      <c r="M1908" s="6" t="s">
        <v>1643</v>
      </c>
      <c r="N1908" s="6" t="s">
        <v>1624</v>
      </c>
      <c r="O1908" s="7">
        <f>SUMIFS('05_상품별배치367'!$K$7:$K$373,'05_상품별배치367'!$E$7:$E$373,A1908,'05_상품별배치367'!$H$7:$H$373,"본진")</f>
        <v>0</v>
      </c>
      <c r="P1908" s="7">
        <f>SUMIFS('05_상품별배치367'!$K$7:$K$373,'05_상품별배치367'!$E$7:$E$373,A1908,'05_상품별배치367'!$H$7:$H$373,"추가 진열")</f>
        <v>0</v>
      </c>
      <c r="Q1908" s="7">
        <f>O1908+P1908</f>
        <v>0</v>
      </c>
      <c r="R1908" s="7">
        <v>1</v>
      </c>
      <c r="S1908" s="6" t="s">
        <v>2056</v>
      </c>
      <c r="T1908" s="6" t="s">
        <v>6240</v>
      </c>
      <c r="U1908" s="6"/>
      <c r="V1908" s="16"/>
      <c r="W1908" s="16"/>
      <c r="X1908" s="16"/>
      <c r="Y1908" s="6" t="s">
        <v>1627</v>
      </c>
      <c r="Z1908" s="15"/>
      <c r="AA1908" s="15" t="s">
        <v>1628</v>
      </c>
    </row>
    <row r="1909" spans="1:27" ht="33" customHeight="1">
      <c r="A1909" s="8" t="s">
        <v>6260</v>
      </c>
      <c r="B1909" s="9">
        <v>2062</v>
      </c>
      <c r="C1909" s="8" t="s">
        <v>6257</v>
      </c>
      <c r="D1909" s="8" t="s">
        <v>6261</v>
      </c>
      <c r="E1909" s="8" t="s">
        <v>1620</v>
      </c>
      <c r="F1909" s="8" t="s">
        <v>152</v>
      </c>
      <c r="G1909" s="8" t="s">
        <v>69</v>
      </c>
      <c r="H1909" s="8"/>
      <c r="I1909" s="14" t="s">
        <v>1642</v>
      </c>
      <c r="J1909" s="15"/>
      <c r="K1909" s="8" t="s">
        <v>1622</v>
      </c>
      <c r="L1909" s="8" t="s">
        <v>3828</v>
      </c>
      <c r="M1909" s="6" t="s">
        <v>1643</v>
      </c>
      <c r="N1909" s="6" t="s">
        <v>1624</v>
      </c>
      <c r="O1909" s="7">
        <f>SUMIFS('05_상품별배치367'!$K$7:$K$373,'05_상품별배치367'!$E$7:$E$373,A1909,'05_상품별배치367'!$H$7:$H$373,"본진")</f>
        <v>0</v>
      </c>
      <c r="P1909" s="7">
        <f>SUMIFS('05_상품별배치367'!$K$7:$K$373,'05_상품별배치367'!$E$7:$E$373,A1909,'05_상품별배치367'!$H$7:$H$373,"추가 진열")</f>
        <v>0</v>
      </c>
      <c r="Q1909" s="7">
        <f>O1909+P1909</f>
        <v>0</v>
      </c>
      <c r="R1909" s="7">
        <v>1</v>
      </c>
      <c r="S1909" s="6" t="s">
        <v>2056</v>
      </c>
      <c r="T1909" s="6" t="s">
        <v>6240</v>
      </c>
      <c r="U1909" s="6"/>
      <c r="V1909" s="16"/>
      <c r="W1909" s="16"/>
      <c r="X1909" s="16"/>
      <c r="Y1909" s="6" t="s">
        <v>1627</v>
      </c>
      <c r="Z1909" s="15"/>
      <c r="AA1909" s="15" t="s">
        <v>1628</v>
      </c>
    </row>
    <row r="1910" spans="1:27" ht="33" customHeight="1">
      <c r="A1910" s="8" t="s">
        <v>6237</v>
      </c>
      <c r="B1910" s="9">
        <v>2052</v>
      </c>
      <c r="C1910" s="8" t="s">
        <v>6238</v>
      </c>
      <c r="D1910" s="8" t="s">
        <v>6239</v>
      </c>
      <c r="E1910" s="8" t="s">
        <v>1620</v>
      </c>
      <c r="F1910" s="8" t="s">
        <v>152</v>
      </c>
      <c r="G1910" s="8" t="s">
        <v>69</v>
      </c>
      <c r="H1910" s="8" t="s">
        <v>634</v>
      </c>
      <c r="I1910" s="14" t="s">
        <v>1633</v>
      </c>
      <c r="J1910" s="15"/>
      <c r="K1910" s="8" t="s">
        <v>1622</v>
      </c>
      <c r="L1910" s="8" t="s">
        <v>3828</v>
      </c>
      <c r="M1910" s="6" t="s">
        <v>1635</v>
      </c>
      <c r="N1910" s="6" t="s">
        <v>1624</v>
      </c>
      <c r="O1910" s="7">
        <f>SUMIFS('05_상품별배치367'!$K$7:$K$373,'05_상품별배치367'!$E$7:$E$373,A1910,'05_상품별배치367'!$H$7:$H$373,"본진")</f>
        <v>1</v>
      </c>
      <c r="P1910" s="7">
        <f>SUMIFS('05_상품별배치367'!$K$7:$K$373,'05_상품별배치367'!$E$7:$E$373,A1910,'05_상품별배치367'!$H$7:$H$373,"추가 진열")</f>
        <v>0</v>
      </c>
      <c r="Q1910" s="7">
        <f>O1910+P1910</f>
        <v>1</v>
      </c>
      <c r="R1910" s="7">
        <v>1</v>
      </c>
      <c r="S1910" s="6" t="s">
        <v>1636</v>
      </c>
      <c r="T1910" s="6" t="s">
        <v>6240</v>
      </c>
      <c r="U1910" s="6"/>
      <c r="V1910" s="16"/>
      <c r="W1910" s="16"/>
      <c r="X1910" s="16"/>
      <c r="Y1910" s="6" t="s">
        <v>1655</v>
      </c>
      <c r="Z1910" s="15"/>
      <c r="AA1910" s="15" t="s">
        <v>1628</v>
      </c>
    </row>
    <row r="1911" spans="1:27" ht="33" customHeight="1">
      <c r="A1911" s="8" t="s">
        <v>809</v>
      </c>
      <c r="B1911" s="9">
        <v>2058</v>
      </c>
      <c r="C1911" s="8" t="s">
        <v>808</v>
      </c>
      <c r="D1911" s="8" t="s">
        <v>6239</v>
      </c>
      <c r="E1911" s="8" t="s">
        <v>1620</v>
      </c>
      <c r="F1911" s="8" t="s">
        <v>152</v>
      </c>
      <c r="G1911" s="8" t="s">
        <v>69</v>
      </c>
      <c r="H1911" s="8" t="s">
        <v>630</v>
      </c>
      <c r="I1911" s="14" t="s">
        <v>1621</v>
      </c>
      <c r="J1911" s="15"/>
      <c r="K1911" s="8" t="s">
        <v>1622</v>
      </c>
      <c r="L1911" s="8" t="s">
        <v>3828</v>
      </c>
      <c r="M1911" s="6" t="s">
        <v>1623</v>
      </c>
      <c r="N1911" s="6" t="s">
        <v>1624</v>
      </c>
      <c r="O1911" s="7">
        <f>SUMIFS('05_상품별배치367'!$K$7:$K$373,'05_상품별배치367'!$E$7:$E$373,A1911,'05_상품별배치367'!$H$7:$H$373,"본진")</f>
        <v>1</v>
      </c>
      <c r="P1911" s="7">
        <f>SUMIFS('05_상품별배치367'!$K$7:$K$373,'05_상품별배치367'!$E$7:$E$373,A1911,'05_상품별배치367'!$H$7:$H$373,"추가 진열")</f>
        <v>1</v>
      </c>
      <c r="Q1911" s="7">
        <f>O1911+P1911</f>
        <v>2</v>
      </c>
      <c r="R1911" s="7">
        <v>1</v>
      </c>
      <c r="S1911" s="6" t="s">
        <v>1625</v>
      </c>
      <c r="T1911" s="6" t="s">
        <v>6240</v>
      </c>
      <c r="U1911" s="6"/>
      <c r="V1911" s="16"/>
      <c r="W1911" s="16"/>
      <c r="X1911" s="16"/>
      <c r="Y1911" s="6" t="s">
        <v>1655</v>
      </c>
      <c r="Z1911" s="15"/>
      <c r="AA1911" s="15" t="s">
        <v>1628</v>
      </c>
    </row>
    <row r="1912" spans="1:27" ht="33" customHeight="1">
      <c r="A1912" s="8" t="s">
        <v>6249</v>
      </c>
      <c r="B1912" s="9">
        <v>2056</v>
      </c>
      <c r="C1912" s="8" t="s">
        <v>808</v>
      </c>
      <c r="D1912" s="8" t="s">
        <v>6250</v>
      </c>
      <c r="E1912" s="8" t="s">
        <v>1620</v>
      </c>
      <c r="F1912" s="8" t="s">
        <v>152</v>
      </c>
      <c r="G1912" s="8" t="s">
        <v>69</v>
      </c>
      <c r="H1912" s="8" t="s">
        <v>639</v>
      </c>
      <c r="I1912" s="14" t="s">
        <v>1633</v>
      </c>
      <c r="J1912" s="15"/>
      <c r="K1912" s="8" t="s">
        <v>1622</v>
      </c>
      <c r="L1912" s="8" t="s">
        <v>3828</v>
      </c>
      <c r="M1912" s="6" t="s">
        <v>1635</v>
      </c>
      <c r="N1912" s="6" t="s">
        <v>1624</v>
      </c>
      <c r="O1912" s="7">
        <f>SUMIFS('05_상품별배치367'!$K$7:$K$373,'05_상품별배치367'!$E$7:$E$373,A1912,'05_상품별배치367'!$H$7:$H$373,"본진")</f>
        <v>1</v>
      </c>
      <c r="P1912" s="7">
        <f>SUMIFS('05_상품별배치367'!$K$7:$K$373,'05_상품별배치367'!$E$7:$E$373,A1912,'05_상품별배치367'!$H$7:$H$373,"추가 진열")</f>
        <v>0</v>
      </c>
      <c r="Q1912" s="7">
        <f>O1912+P1912</f>
        <v>1</v>
      </c>
      <c r="R1912" s="7">
        <v>1</v>
      </c>
      <c r="S1912" s="6" t="s">
        <v>1636</v>
      </c>
      <c r="T1912" s="6" t="s">
        <v>6240</v>
      </c>
      <c r="U1912" s="6"/>
      <c r="V1912" s="16"/>
      <c r="W1912" s="16"/>
      <c r="X1912" s="16"/>
      <c r="Y1912" s="6" t="s">
        <v>1655</v>
      </c>
      <c r="Z1912" s="15"/>
      <c r="AA1912" s="15" t="s">
        <v>1628</v>
      </c>
    </row>
    <row r="1913" spans="1:27" ht="33" customHeight="1">
      <c r="A1913" s="6" t="s">
        <v>6241</v>
      </c>
      <c r="B1913" s="7">
        <v>2053</v>
      </c>
      <c r="C1913" s="6" t="s">
        <v>6242</v>
      </c>
      <c r="D1913" s="6" t="s">
        <v>6243</v>
      </c>
      <c r="E1913" s="6" t="s">
        <v>1620</v>
      </c>
      <c r="F1913" s="6" t="s">
        <v>2031</v>
      </c>
      <c r="G1913" s="6" t="s">
        <v>1668</v>
      </c>
      <c r="H1913" s="6"/>
      <c r="I1913" s="14" t="s">
        <v>1642</v>
      </c>
      <c r="J1913" s="15"/>
      <c r="K1913" s="6" t="s">
        <v>1622</v>
      </c>
      <c r="L1913" s="6" t="s">
        <v>6125</v>
      </c>
      <c r="M1913" s="6" t="s">
        <v>1643</v>
      </c>
      <c r="N1913" s="6" t="s">
        <v>1624</v>
      </c>
      <c r="O1913" s="7">
        <f>SUMIFS('05_상품별배치367'!$K$7:$K$373,'05_상품별배치367'!$E$7:$E$373,A1913,'05_상품별배치367'!$H$7:$H$373,"본진")</f>
        <v>0</v>
      </c>
      <c r="P1913" s="7">
        <f>SUMIFS('05_상품별배치367'!$K$7:$K$373,'05_상품별배치367'!$E$7:$E$373,A1913,'05_상품별배치367'!$H$7:$H$373,"추가 진열")</f>
        <v>0</v>
      </c>
      <c r="Q1913" s="7">
        <f>O1913+P1913</f>
        <v>0</v>
      </c>
      <c r="R1913" s="7">
        <v>1</v>
      </c>
      <c r="S1913" s="6" t="s">
        <v>2033</v>
      </c>
      <c r="T1913" s="6" t="s">
        <v>6240</v>
      </c>
      <c r="U1913" s="6"/>
      <c r="V1913" s="16"/>
      <c r="W1913" s="16"/>
      <c r="X1913" s="16"/>
      <c r="Y1913" s="6" t="s">
        <v>1627</v>
      </c>
      <c r="Z1913" s="15"/>
      <c r="AA1913" s="15" t="s">
        <v>1628</v>
      </c>
    </row>
    <row r="1914" spans="1:27" ht="33" customHeight="1">
      <c r="A1914" s="8" t="s">
        <v>6244</v>
      </c>
      <c r="B1914" s="9">
        <v>2054</v>
      </c>
      <c r="C1914" s="8" t="s">
        <v>6245</v>
      </c>
      <c r="D1914" s="8" t="s">
        <v>6239</v>
      </c>
      <c r="E1914" s="8" t="s">
        <v>1620</v>
      </c>
      <c r="F1914" s="8" t="s">
        <v>152</v>
      </c>
      <c r="G1914" s="8" t="s">
        <v>69</v>
      </c>
      <c r="H1914" s="8" t="s">
        <v>630</v>
      </c>
      <c r="I1914" s="14" t="s">
        <v>1633</v>
      </c>
      <c r="J1914" s="15"/>
      <c r="K1914" s="8" t="s">
        <v>1622</v>
      </c>
      <c r="L1914" s="8" t="s">
        <v>3828</v>
      </c>
      <c r="M1914" s="6" t="s">
        <v>1635</v>
      </c>
      <c r="N1914" s="6" t="s">
        <v>1624</v>
      </c>
      <c r="O1914" s="7">
        <f>SUMIFS('05_상품별배치367'!$K$7:$K$373,'05_상품별배치367'!$E$7:$E$373,A1914,'05_상품별배치367'!$H$7:$H$373,"본진")</f>
        <v>1</v>
      </c>
      <c r="P1914" s="7">
        <f>SUMIFS('05_상품별배치367'!$K$7:$K$373,'05_상품별배치367'!$E$7:$E$373,A1914,'05_상품별배치367'!$H$7:$H$373,"추가 진열")</f>
        <v>0</v>
      </c>
      <c r="Q1914" s="7">
        <f>O1914+P1914</f>
        <v>1</v>
      </c>
      <c r="R1914" s="7">
        <v>1</v>
      </c>
      <c r="S1914" s="6" t="s">
        <v>1636</v>
      </c>
      <c r="T1914" s="6" t="s">
        <v>6240</v>
      </c>
      <c r="U1914" s="6"/>
      <c r="V1914" s="16"/>
      <c r="W1914" s="16"/>
      <c r="X1914" s="16"/>
      <c r="Y1914" s="6" t="s">
        <v>1655</v>
      </c>
      <c r="Z1914" s="15"/>
      <c r="AA1914" s="15" t="s">
        <v>1628</v>
      </c>
    </row>
    <row r="1915" spans="1:27" ht="33" customHeight="1">
      <c r="A1915" s="8" t="s">
        <v>6264</v>
      </c>
      <c r="B1915" s="9">
        <v>2064</v>
      </c>
      <c r="C1915" s="8" t="s">
        <v>6265</v>
      </c>
      <c r="D1915" s="8" t="s">
        <v>6266</v>
      </c>
      <c r="E1915" s="8" t="s">
        <v>1620</v>
      </c>
      <c r="F1915" s="8" t="s">
        <v>152</v>
      </c>
      <c r="G1915" s="8" t="s">
        <v>69</v>
      </c>
      <c r="H1915" s="8"/>
      <c r="I1915" s="14" t="s">
        <v>1642</v>
      </c>
      <c r="J1915" s="15"/>
      <c r="K1915" s="8" t="s">
        <v>1622</v>
      </c>
      <c r="L1915" s="8" t="s">
        <v>3828</v>
      </c>
      <c r="M1915" s="6" t="s">
        <v>1643</v>
      </c>
      <c r="N1915" s="6" t="s">
        <v>1624</v>
      </c>
      <c r="O1915" s="7">
        <f>SUMIFS('05_상품별배치367'!$K$7:$K$373,'05_상품별배치367'!$E$7:$E$373,A1915,'05_상품별배치367'!$H$7:$H$373,"본진")</f>
        <v>0</v>
      </c>
      <c r="P1915" s="7">
        <f>SUMIFS('05_상품별배치367'!$K$7:$K$373,'05_상품별배치367'!$E$7:$E$373,A1915,'05_상품별배치367'!$H$7:$H$373,"추가 진열")</f>
        <v>0</v>
      </c>
      <c r="Q1915" s="7">
        <f>O1915+P1915</f>
        <v>0</v>
      </c>
      <c r="R1915" s="7">
        <v>1</v>
      </c>
      <c r="S1915" s="6" t="s">
        <v>2056</v>
      </c>
      <c r="T1915" s="6" t="s">
        <v>6240</v>
      </c>
      <c r="U1915" s="6"/>
      <c r="V1915" s="16"/>
      <c r="W1915" s="16"/>
      <c r="X1915" s="16"/>
      <c r="Y1915" s="6" t="s">
        <v>1655</v>
      </c>
      <c r="Z1915" s="15"/>
      <c r="AA1915" s="15" t="s">
        <v>1628</v>
      </c>
    </row>
    <row r="1916" spans="1:27" ht="33" customHeight="1">
      <c r="A1916" s="8" t="s">
        <v>6314</v>
      </c>
      <c r="B1916" s="9">
        <v>2082</v>
      </c>
      <c r="C1916" s="8" t="s">
        <v>6315</v>
      </c>
      <c r="D1916" s="8" t="s">
        <v>6316</v>
      </c>
      <c r="E1916" s="8" t="s">
        <v>1620</v>
      </c>
      <c r="F1916" s="8" t="s">
        <v>152</v>
      </c>
      <c r="G1916" s="8" t="s">
        <v>69</v>
      </c>
      <c r="H1916" s="8" t="s">
        <v>639</v>
      </c>
      <c r="I1916" s="14" t="s">
        <v>1633</v>
      </c>
      <c r="J1916" s="15"/>
      <c r="K1916" s="8" t="s">
        <v>1622</v>
      </c>
      <c r="L1916" s="8"/>
      <c r="M1916" s="6" t="s">
        <v>1635</v>
      </c>
      <c r="N1916" s="6" t="s">
        <v>1624</v>
      </c>
      <c r="O1916" s="7">
        <f>SUMIFS('05_상품별배치367'!$K$7:$K$373,'05_상품별배치367'!$E$7:$E$373,A1916,'05_상품별배치367'!$H$7:$H$373,"본진")</f>
        <v>1</v>
      </c>
      <c r="P1916" s="7">
        <f>SUMIFS('05_상품별배치367'!$K$7:$K$373,'05_상품별배치367'!$E$7:$E$373,A1916,'05_상품별배치367'!$H$7:$H$373,"추가 진열")</f>
        <v>0</v>
      </c>
      <c r="Q1916" s="7">
        <f>O1916+P1916</f>
        <v>1</v>
      </c>
      <c r="R1916" s="7">
        <v>1</v>
      </c>
      <c r="S1916" s="6" t="s">
        <v>1636</v>
      </c>
      <c r="T1916" s="6" t="s">
        <v>6240</v>
      </c>
      <c r="U1916" s="6"/>
      <c r="V1916" s="16"/>
      <c r="W1916" s="16"/>
      <c r="X1916" s="16"/>
      <c r="Y1916" s="6" t="s">
        <v>1655</v>
      </c>
      <c r="Z1916" s="15"/>
      <c r="AA1916" s="15" t="s">
        <v>1628</v>
      </c>
    </row>
    <row r="1917" spans="1:27" ht="33" customHeight="1">
      <c r="A1917" s="6" t="s">
        <v>6317</v>
      </c>
      <c r="B1917" s="7">
        <v>2083</v>
      </c>
      <c r="C1917" s="6" t="s">
        <v>6318</v>
      </c>
      <c r="D1917" s="6" t="s">
        <v>6319</v>
      </c>
      <c r="E1917" s="6" t="s">
        <v>1620</v>
      </c>
      <c r="F1917" s="6" t="s">
        <v>152</v>
      </c>
      <c r="G1917" s="6" t="s">
        <v>69</v>
      </c>
      <c r="H1917" s="6"/>
      <c r="I1917" s="14" t="s">
        <v>1642</v>
      </c>
      <c r="J1917" s="15"/>
      <c r="K1917" s="6" t="s">
        <v>1622</v>
      </c>
      <c r="L1917" s="6"/>
      <c r="M1917" s="6" t="s">
        <v>1643</v>
      </c>
      <c r="N1917" s="6" t="s">
        <v>1644</v>
      </c>
      <c r="O1917" s="7">
        <f>SUMIFS('05_상품별배치367'!$K$7:$K$373,'05_상품별배치367'!$E$7:$E$373,A1917,'05_상품별배치367'!$H$7:$H$373,"본진")</f>
        <v>0</v>
      </c>
      <c r="P1917" s="7">
        <f>SUMIFS('05_상품별배치367'!$K$7:$K$373,'05_상품별배치367'!$E$7:$E$373,A1917,'05_상품별배치367'!$H$7:$H$373,"추가 진열")</f>
        <v>0</v>
      </c>
      <c r="Q1917" s="7">
        <f>O1917+P1917</f>
        <v>0</v>
      </c>
      <c r="R1917" s="7">
        <v>1</v>
      </c>
      <c r="S1917" s="6" t="s">
        <v>2056</v>
      </c>
      <c r="T1917" s="6" t="s">
        <v>6240</v>
      </c>
      <c r="U1917" s="6"/>
      <c r="V1917" s="16"/>
      <c r="W1917" s="16"/>
      <c r="X1917" s="16"/>
      <c r="Y1917" s="6" t="s">
        <v>1655</v>
      </c>
      <c r="Z1917" s="15"/>
      <c r="AA1917" s="15" t="s">
        <v>1628</v>
      </c>
    </row>
    <row r="1918" spans="1:27" ht="33" customHeight="1">
      <c r="A1918" s="6" t="s">
        <v>6251</v>
      </c>
      <c r="B1918" s="7">
        <v>2057</v>
      </c>
      <c r="C1918" s="6" t="s">
        <v>6252</v>
      </c>
      <c r="D1918" s="6" t="s">
        <v>6250</v>
      </c>
      <c r="E1918" s="6" t="s">
        <v>1620</v>
      </c>
      <c r="F1918" s="6" t="s">
        <v>152</v>
      </c>
      <c r="G1918" s="6" t="s">
        <v>69</v>
      </c>
      <c r="H1918" s="6"/>
      <c r="I1918" s="14" t="s">
        <v>1642</v>
      </c>
      <c r="J1918" s="15"/>
      <c r="K1918" s="6" t="s">
        <v>1622</v>
      </c>
      <c r="L1918" s="6" t="s">
        <v>3828</v>
      </c>
      <c r="M1918" s="6" t="s">
        <v>1643</v>
      </c>
      <c r="N1918" s="6" t="s">
        <v>1624</v>
      </c>
      <c r="O1918" s="7">
        <f>SUMIFS('05_상품별배치367'!$K$7:$K$373,'05_상품별배치367'!$E$7:$E$373,A1918,'05_상품별배치367'!$H$7:$H$373,"본진")</f>
        <v>0</v>
      </c>
      <c r="P1918" s="7">
        <f>SUMIFS('05_상품별배치367'!$K$7:$K$373,'05_상품별배치367'!$E$7:$E$373,A1918,'05_상품별배치367'!$H$7:$H$373,"추가 진열")</f>
        <v>0</v>
      </c>
      <c r="Q1918" s="7">
        <f>O1918+P1918</f>
        <v>0</v>
      </c>
      <c r="R1918" s="7">
        <v>1</v>
      </c>
      <c r="S1918" s="6" t="s">
        <v>2056</v>
      </c>
      <c r="T1918" s="6" t="s">
        <v>6240</v>
      </c>
      <c r="U1918" s="6"/>
      <c r="V1918" s="16"/>
      <c r="W1918" s="16"/>
      <c r="X1918" s="16"/>
      <c r="Y1918" s="6" t="s">
        <v>1655</v>
      </c>
      <c r="Z1918" s="15"/>
      <c r="AA1918" s="15" t="s">
        <v>1628</v>
      </c>
    </row>
    <row r="1919" spans="1:27" ht="33" customHeight="1">
      <c r="A1919" s="6" t="s">
        <v>6275</v>
      </c>
      <c r="B1919" s="7">
        <v>2067</v>
      </c>
      <c r="C1919" s="6" t="s">
        <v>6276</v>
      </c>
      <c r="D1919" s="6" t="s">
        <v>6277</v>
      </c>
      <c r="E1919" s="6" t="s">
        <v>1620</v>
      </c>
      <c r="F1919" s="6" t="s">
        <v>6273</v>
      </c>
      <c r="G1919" s="6" t="s">
        <v>69</v>
      </c>
      <c r="H1919" s="6" t="s">
        <v>630</v>
      </c>
      <c r="I1919" s="14" t="s">
        <v>1642</v>
      </c>
      <c r="J1919" s="15"/>
      <c r="K1919" s="6" t="s">
        <v>1622</v>
      </c>
      <c r="L1919" s="6" t="s">
        <v>3828</v>
      </c>
      <c r="M1919" s="6" t="s">
        <v>1643</v>
      </c>
      <c r="N1919" s="6" t="s">
        <v>1624</v>
      </c>
      <c r="O1919" s="7">
        <f>SUMIFS('05_상품별배치367'!$K$7:$K$373,'05_상품별배치367'!$E$7:$E$373,A1919,'05_상품별배치367'!$H$7:$H$373,"본진")</f>
        <v>0</v>
      </c>
      <c r="P1919" s="7">
        <f>SUMIFS('05_상품별배치367'!$K$7:$K$373,'05_상품별배치367'!$E$7:$E$373,A1919,'05_상품별배치367'!$H$7:$H$373,"추가 진열")</f>
        <v>0</v>
      </c>
      <c r="Q1919" s="7">
        <f>O1919+P1919</f>
        <v>0</v>
      </c>
      <c r="R1919" s="7">
        <v>1</v>
      </c>
      <c r="S1919" s="6" t="s">
        <v>6274</v>
      </c>
      <c r="T1919" s="6" t="s">
        <v>6240</v>
      </c>
      <c r="U1919" s="6"/>
      <c r="V1919" s="16"/>
      <c r="W1919" s="16"/>
      <c r="X1919" s="16"/>
      <c r="Y1919" s="6" t="s">
        <v>1627</v>
      </c>
      <c r="Z1919" s="15"/>
      <c r="AA1919" s="15" t="s">
        <v>1628</v>
      </c>
    </row>
    <row r="1920" spans="1:27" ht="33" customHeight="1">
      <c r="A1920" s="8" t="s">
        <v>6270</v>
      </c>
      <c r="B1920" s="9">
        <v>2066</v>
      </c>
      <c r="C1920" s="8" t="s">
        <v>6271</v>
      </c>
      <c r="D1920" s="8" t="s">
        <v>6272</v>
      </c>
      <c r="E1920" s="8" t="s">
        <v>1620</v>
      </c>
      <c r="F1920" s="8" t="s">
        <v>6273</v>
      </c>
      <c r="G1920" s="8" t="s">
        <v>69</v>
      </c>
      <c r="H1920" s="8" t="s">
        <v>630</v>
      </c>
      <c r="I1920" s="14" t="s">
        <v>1642</v>
      </c>
      <c r="J1920" s="15"/>
      <c r="K1920" s="8" t="s">
        <v>1622</v>
      </c>
      <c r="L1920" s="8" t="s">
        <v>3828</v>
      </c>
      <c r="M1920" s="6" t="s">
        <v>1643</v>
      </c>
      <c r="N1920" s="6" t="s">
        <v>1624</v>
      </c>
      <c r="O1920" s="7">
        <f>SUMIFS('05_상품별배치367'!$K$7:$K$373,'05_상품별배치367'!$E$7:$E$373,A1920,'05_상품별배치367'!$H$7:$H$373,"본진")</f>
        <v>0</v>
      </c>
      <c r="P1920" s="7">
        <f>SUMIFS('05_상품별배치367'!$K$7:$K$373,'05_상품별배치367'!$E$7:$E$373,A1920,'05_상품별배치367'!$H$7:$H$373,"추가 진열")</f>
        <v>0</v>
      </c>
      <c r="Q1920" s="7">
        <f>O1920+P1920</f>
        <v>0</v>
      </c>
      <c r="R1920" s="7">
        <v>1</v>
      </c>
      <c r="S1920" s="6" t="s">
        <v>6274</v>
      </c>
      <c r="T1920" s="6" t="s">
        <v>6240</v>
      </c>
      <c r="U1920" s="6"/>
      <c r="V1920" s="16"/>
      <c r="W1920" s="16"/>
      <c r="X1920" s="16"/>
      <c r="Y1920" s="6" t="s">
        <v>1627</v>
      </c>
      <c r="Z1920" s="15"/>
      <c r="AA1920" s="15" t="s">
        <v>1628</v>
      </c>
    </row>
    <row r="1921" spans="1:27" ht="33" customHeight="1">
      <c r="A1921" s="6" t="s">
        <v>6007</v>
      </c>
      <c r="B1921" s="7">
        <v>1953</v>
      </c>
      <c r="C1921" s="6" t="s">
        <v>6008</v>
      </c>
      <c r="D1921" s="6" t="s">
        <v>1640</v>
      </c>
      <c r="E1921" s="6" t="s">
        <v>1641</v>
      </c>
      <c r="F1921" s="6" t="s">
        <v>694</v>
      </c>
      <c r="G1921" s="6" t="s">
        <v>99</v>
      </c>
      <c r="H1921" s="6"/>
      <c r="I1921" s="14" t="s">
        <v>1642</v>
      </c>
      <c r="J1921" s="15"/>
      <c r="K1921" s="6" t="s">
        <v>1634</v>
      </c>
      <c r="L1921" s="6" t="s">
        <v>3828</v>
      </c>
      <c r="M1921" s="6" t="s">
        <v>1643</v>
      </c>
      <c r="N1921" s="6" t="s">
        <v>1644</v>
      </c>
      <c r="O1921" s="7">
        <f>SUMIFS('05_상품별배치367'!$K$7:$K$373,'05_상품별배치367'!$E$7:$E$373,A1921,'05_상품별배치367'!$H$7:$H$373,"본진")</f>
        <v>0</v>
      </c>
      <c r="P1921" s="7">
        <f>SUMIFS('05_상품별배치367'!$K$7:$K$373,'05_상품별배치367'!$E$7:$E$373,A1921,'05_상품별배치367'!$H$7:$H$373,"추가 진열")</f>
        <v>0</v>
      </c>
      <c r="Q1921" s="7">
        <f>O1921+P1921</f>
        <v>0</v>
      </c>
      <c r="R1921" s="7">
        <v>1</v>
      </c>
      <c r="S1921" s="6" t="s">
        <v>5964</v>
      </c>
      <c r="T1921" s="6" t="s">
        <v>1637</v>
      </c>
      <c r="U1921" s="6"/>
      <c r="V1921" s="16"/>
      <c r="W1921" s="16"/>
      <c r="X1921" s="16"/>
      <c r="Y1921" s="6" t="s">
        <v>1627</v>
      </c>
      <c r="Z1921" s="15"/>
      <c r="AA1921" s="15" t="s">
        <v>1628</v>
      </c>
    </row>
    <row r="1922" spans="1:27" ht="33" customHeight="1">
      <c r="A1922" s="8" t="s">
        <v>5878</v>
      </c>
      <c r="B1922" s="9">
        <v>1894</v>
      </c>
      <c r="C1922" s="8" t="s">
        <v>5879</v>
      </c>
      <c r="D1922" s="8" t="s">
        <v>5618</v>
      </c>
      <c r="E1922" s="8" t="s">
        <v>1641</v>
      </c>
      <c r="F1922" s="8" t="s">
        <v>699</v>
      </c>
      <c r="G1922" s="8" t="s">
        <v>99</v>
      </c>
      <c r="H1922" s="8" t="s">
        <v>707</v>
      </c>
      <c r="I1922" s="14" t="s">
        <v>1633</v>
      </c>
      <c r="J1922" s="15"/>
      <c r="K1922" s="8" t="s">
        <v>1634</v>
      </c>
      <c r="L1922" s="8" t="s">
        <v>3828</v>
      </c>
      <c r="M1922" s="6" t="s">
        <v>1635</v>
      </c>
      <c r="N1922" s="6" t="s">
        <v>1624</v>
      </c>
      <c r="O1922" s="7">
        <f>SUMIFS('05_상품별배치367'!$K$7:$K$373,'05_상품별배치367'!$E$7:$E$373,A1922,'05_상품별배치367'!$H$7:$H$373,"본진")</f>
        <v>1</v>
      </c>
      <c r="P1922" s="7">
        <f>SUMIFS('05_상품별배치367'!$K$7:$K$373,'05_상품별배치367'!$E$7:$E$373,A1922,'05_상품별배치367'!$H$7:$H$373,"추가 진열")</f>
        <v>0</v>
      </c>
      <c r="Q1922" s="7">
        <f>O1922+P1922</f>
        <v>1</v>
      </c>
      <c r="R1922" s="7">
        <v>1</v>
      </c>
      <c r="S1922" s="6" t="s">
        <v>1636</v>
      </c>
      <c r="T1922" s="6" t="s">
        <v>1637</v>
      </c>
      <c r="U1922" s="6"/>
      <c r="V1922" s="16"/>
      <c r="W1922" s="16"/>
      <c r="X1922" s="16"/>
      <c r="Y1922" s="6" t="s">
        <v>1627</v>
      </c>
      <c r="Z1922" s="15"/>
      <c r="AA1922" s="15" t="s">
        <v>1628</v>
      </c>
    </row>
    <row r="1923" spans="1:27" ht="33" customHeight="1">
      <c r="A1923" s="8" t="s">
        <v>6665</v>
      </c>
      <c r="B1923" s="9">
        <v>2244</v>
      </c>
      <c r="C1923" s="8" t="s">
        <v>6666</v>
      </c>
      <c r="D1923" s="8" t="s">
        <v>2612</v>
      </c>
      <c r="E1923" s="8" t="s">
        <v>1695</v>
      </c>
      <c r="F1923" s="8" t="s">
        <v>1129</v>
      </c>
      <c r="G1923" s="8" t="s">
        <v>307</v>
      </c>
      <c r="H1923" s="8"/>
      <c r="I1923" s="14" t="s">
        <v>1642</v>
      </c>
      <c r="J1923" s="15"/>
      <c r="K1923" s="8" t="s">
        <v>1696</v>
      </c>
      <c r="L1923" s="8"/>
      <c r="M1923" s="6" t="s">
        <v>1643</v>
      </c>
      <c r="N1923" s="6" t="s">
        <v>1644</v>
      </c>
      <c r="O1923" s="7">
        <f>SUMIFS('05_상품별배치367'!$K$7:$K$373,'05_상품별배치367'!$E$7:$E$373,A1923,'05_상품별배치367'!$H$7:$H$373,"본진")</f>
        <v>0</v>
      </c>
      <c r="P1923" s="7">
        <f>SUMIFS('05_상품별배치367'!$K$7:$K$373,'05_상품별배치367'!$E$7:$E$373,A1923,'05_상품별배치367'!$H$7:$H$373,"추가 진열")</f>
        <v>0</v>
      </c>
      <c r="Q1923" s="7">
        <f>O1923+P1923</f>
        <v>0</v>
      </c>
      <c r="R1923" s="7">
        <v>1</v>
      </c>
      <c r="S1923" s="6" t="s">
        <v>2850</v>
      </c>
      <c r="T1923" s="6" t="s">
        <v>1637</v>
      </c>
      <c r="U1923" s="6"/>
      <c r="V1923" s="16"/>
      <c r="W1923" s="16"/>
      <c r="X1923" s="16"/>
      <c r="Y1923" s="6" t="s">
        <v>1627</v>
      </c>
      <c r="Z1923" s="15"/>
      <c r="AA1923" s="15" t="s">
        <v>1628</v>
      </c>
    </row>
    <row r="1924" spans="1:27" ht="33" customHeight="1">
      <c r="A1924" s="6" t="s">
        <v>6667</v>
      </c>
      <c r="B1924" s="7">
        <v>2245</v>
      </c>
      <c r="C1924" s="6" t="s">
        <v>6668</v>
      </c>
      <c r="D1924" s="6" t="s">
        <v>6669</v>
      </c>
      <c r="E1924" s="6" t="s">
        <v>1695</v>
      </c>
      <c r="F1924" s="6" t="s">
        <v>497</v>
      </c>
      <c r="G1924" s="6" t="s">
        <v>307</v>
      </c>
      <c r="H1924" s="6"/>
      <c r="I1924" s="14" t="s">
        <v>1642</v>
      </c>
      <c r="J1924" s="15"/>
      <c r="K1924" s="6" t="s">
        <v>1696</v>
      </c>
      <c r="L1924" s="6"/>
      <c r="M1924" s="6" t="s">
        <v>1643</v>
      </c>
      <c r="N1924" s="6" t="s">
        <v>1644</v>
      </c>
      <c r="O1924" s="7">
        <f>SUMIFS('05_상품별배치367'!$K$7:$K$373,'05_상품별배치367'!$E$7:$E$373,A1924,'05_상품별배치367'!$H$7:$H$373,"본진")</f>
        <v>0</v>
      </c>
      <c r="P1924" s="7">
        <f>SUMIFS('05_상품별배치367'!$K$7:$K$373,'05_상품별배치367'!$E$7:$E$373,A1924,'05_상품별배치367'!$H$7:$H$373,"추가 진열")</f>
        <v>0</v>
      </c>
      <c r="Q1924" s="7">
        <f>O1924+P1924</f>
        <v>0</v>
      </c>
      <c r="R1924" s="7">
        <v>1</v>
      </c>
      <c r="S1924" s="6" t="s">
        <v>2857</v>
      </c>
      <c r="T1924" s="6" t="s">
        <v>1637</v>
      </c>
      <c r="U1924" s="6"/>
      <c r="V1924" s="16"/>
      <c r="W1924" s="16"/>
      <c r="X1924" s="16"/>
      <c r="Y1924" s="6" t="s">
        <v>1627</v>
      </c>
      <c r="Z1924" s="15"/>
      <c r="AA1924" s="15" t="s">
        <v>1628</v>
      </c>
    </row>
    <row r="1925" spans="1:27" ht="33" customHeight="1">
      <c r="A1925" s="8" t="s">
        <v>6670</v>
      </c>
      <c r="B1925" s="9">
        <v>2246</v>
      </c>
      <c r="C1925" s="8" t="s">
        <v>6671</v>
      </c>
      <c r="D1925" s="8" t="s">
        <v>6672</v>
      </c>
      <c r="E1925" s="8" t="s">
        <v>1695</v>
      </c>
      <c r="F1925" s="8" t="s">
        <v>497</v>
      </c>
      <c r="G1925" s="8" t="s">
        <v>307</v>
      </c>
      <c r="H1925" s="8"/>
      <c r="I1925" s="14" t="s">
        <v>1642</v>
      </c>
      <c r="J1925" s="15"/>
      <c r="K1925" s="8" t="s">
        <v>1696</v>
      </c>
      <c r="L1925" s="8"/>
      <c r="M1925" s="6" t="s">
        <v>1643</v>
      </c>
      <c r="N1925" s="6" t="s">
        <v>1644</v>
      </c>
      <c r="O1925" s="7">
        <f>SUMIFS('05_상품별배치367'!$K$7:$K$373,'05_상품별배치367'!$E$7:$E$373,A1925,'05_상품별배치367'!$H$7:$H$373,"본진")</f>
        <v>0</v>
      </c>
      <c r="P1925" s="7">
        <f>SUMIFS('05_상품별배치367'!$K$7:$K$373,'05_상품별배치367'!$E$7:$E$373,A1925,'05_상품별배치367'!$H$7:$H$373,"추가 진열")</f>
        <v>0</v>
      </c>
      <c r="Q1925" s="7">
        <f>O1925+P1925</f>
        <v>0</v>
      </c>
      <c r="R1925" s="7">
        <v>1</v>
      </c>
      <c r="S1925" s="6" t="s">
        <v>2857</v>
      </c>
      <c r="T1925" s="6" t="s">
        <v>1637</v>
      </c>
      <c r="U1925" s="6"/>
      <c r="V1925" s="16"/>
      <c r="W1925" s="16"/>
      <c r="X1925" s="16"/>
      <c r="Y1925" s="6" t="s">
        <v>1627</v>
      </c>
      <c r="Z1925" s="15"/>
      <c r="AA1925" s="15" t="s">
        <v>1628</v>
      </c>
    </row>
    <row r="1926" spans="1:27" ht="33" customHeight="1">
      <c r="A1926" s="6" t="s">
        <v>4440</v>
      </c>
      <c r="B1926" s="7">
        <v>1209</v>
      </c>
      <c r="C1926" s="6" t="s">
        <v>4441</v>
      </c>
      <c r="D1926" s="6" t="s">
        <v>1937</v>
      </c>
      <c r="E1926" s="6" t="s">
        <v>1986</v>
      </c>
      <c r="F1926" s="6" t="s">
        <v>913</v>
      </c>
      <c r="G1926" s="6" t="s">
        <v>201</v>
      </c>
      <c r="H1926" s="6"/>
      <c r="I1926" s="14" t="s">
        <v>1642</v>
      </c>
      <c r="J1926" s="15"/>
      <c r="K1926" s="6" t="s">
        <v>1976</v>
      </c>
      <c r="L1926" s="6"/>
      <c r="M1926" s="6" t="s">
        <v>1643</v>
      </c>
      <c r="N1926" s="6" t="s">
        <v>1644</v>
      </c>
      <c r="O1926" s="7">
        <f>SUMIFS('05_상품별배치367'!$K$7:$K$373,'05_상품별배치367'!$E$7:$E$373,A1926,'05_상품별배치367'!$H$7:$H$373,"본진")</f>
        <v>0</v>
      </c>
      <c r="P1926" s="7">
        <f>SUMIFS('05_상품별배치367'!$K$7:$K$373,'05_상품별배치367'!$E$7:$E$373,A1926,'05_상품별배치367'!$H$7:$H$373,"추가 진열")</f>
        <v>0</v>
      </c>
      <c r="Q1926" s="7">
        <f>O1926+P1926</f>
        <v>0</v>
      </c>
      <c r="R1926" s="7">
        <v>1</v>
      </c>
      <c r="S1926" s="6" t="s">
        <v>2907</v>
      </c>
      <c r="T1926" s="6" t="s">
        <v>1637</v>
      </c>
      <c r="U1926" s="6"/>
      <c r="V1926" s="16"/>
      <c r="W1926" s="16"/>
      <c r="X1926" s="16"/>
      <c r="Y1926" s="6" t="s">
        <v>1627</v>
      </c>
      <c r="Z1926" s="15"/>
      <c r="AA1926" s="15" t="s">
        <v>1628</v>
      </c>
    </row>
    <row r="1927" spans="1:27" ht="33" customHeight="1">
      <c r="A1927" s="6" t="s">
        <v>4435</v>
      </c>
      <c r="B1927" s="7">
        <v>1207</v>
      </c>
      <c r="C1927" s="6" t="s">
        <v>4436</v>
      </c>
      <c r="D1927" s="6" t="s">
        <v>4437</v>
      </c>
      <c r="E1927" s="6" t="s">
        <v>2134</v>
      </c>
      <c r="F1927" s="6" t="s">
        <v>1263</v>
      </c>
      <c r="G1927" s="6" t="s">
        <v>376</v>
      </c>
      <c r="H1927" s="6"/>
      <c r="I1927" s="14" t="s">
        <v>1642</v>
      </c>
      <c r="J1927" s="15"/>
      <c r="K1927" s="6" t="s">
        <v>1976</v>
      </c>
      <c r="L1927" s="6"/>
      <c r="M1927" s="6" t="s">
        <v>1643</v>
      </c>
      <c r="N1927" s="6" t="s">
        <v>1644</v>
      </c>
      <c r="O1927" s="7">
        <f>SUMIFS('05_상품별배치367'!$K$7:$K$373,'05_상품별배치367'!$E$7:$E$373,A1927,'05_상품별배치367'!$H$7:$H$373,"본진")</f>
        <v>0</v>
      </c>
      <c r="P1927" s="7">
        <f>SUMIFS('05_상품별배치367'!$K$7:$K$373,'05_상품별배치367'!$E$7:$E$373,A1927,'05_상품별배치367'!$H$7:$H$373,"추가 진열")</f>
        <v>0</v>
      </c>
      <c r="Q1927" s="7">
        <f>O1927+P1927</f>
        <v>0</v>
      </c>
      <c r="R1927" s="7">
        <v>1</v>
      </c>
      <c r="S1927" s="6" t="s">
        <v>3016</v>
      </c>
      <c r="T1927" s="6" t="s">
        <v>1637</v>
      </c>
      <c r="U1927" s="6"/>
      <c r="V1927" s="16"/>
      <c r="W1927" s="16"/>
      <c r="X1927" s="16"/>
      <c r="Y1927" s="6" t="s">
        <v>1627</v>
      </c>
      <c r="Z1927" s="15"/>
      <c r="AA1927" s="15" t="s">
        <v>1628</v>
      </c>
    </row>
    <row r="1928" spans="1:27" ht="33" customHeight="1">
      <c r="A1928" s="8" t="s">
        <v>4438</v>
      </c>
      <c r="B1928" s="9">
        <v>1208</v>
      </c>
      <c r="C1928" s="8" t="s">
        <v>4439</v>
      </c>
      <c r="D1928" s="8" t="s">
        <v>2572</v>
      </c>
      <c r="E1928" s="8" t="s">
        <v>2134</v>
      </c>
      <c r="F1928" s="8" t="s">
        <v>1263</v>
      </c>
      <c r="G1928" s="8" t="s">
        <v>376</v>
      </c>
      <c r="H1928" s="8"/>
      <c r="I1928" s="14" t="s">
        <v>1642</v>
      </c>
      <c r="J1928" s="15"/>
      <c r="K1928" s="8" t="s">
        <v>1976</v>
      </c>
      <c r="L1928" s="8"/>
      <c r="M1928" s="6" t="s">
        <v>1643</v>
      </c>
      <c r="N1928" s="6" t="s">
        <v>1644</v>
      </c>
      <c r="O1928" s="7">
        <f>SUMIFS('05_상품별배치367'!$K$7:$K$373,'05_상품별배치367'!$E$7:$E$373,A1928,'05_상품별배치367'!$H$7:$H$373,"본진")</f>
        <v>0</v>
      </c>
      <c r="P1928" s="7">
        <f>SUMIFS('05_상품별배치367'!$K$7:$K$373,'05_상품별배치367'!$E$7:$E$373,A1928,'05_상품별배치367'!$H$7:$H$373,"추가 진열")</f>
        <v>0</v>
      </c>
      <c r="Q1928" s="7">
        <f>O1928+P1928</f>
        <v>0</v>
      </c>
      <c r="R1928" s="7">
        <v>1</v>
      </c>
      <c r="S1928" s="6" t="s">
        <v>3016</v>
      </c>
      <c r="T1928" s="6" t="s">
        <v>1637</v>
      </c>
      <c r="U1928" s="6"/>
      <c r="V1928" s="16"/>
      <c r="W1928" s="16"/>
      <c r="X1928" s="16"/>
      <c r="Y1928" s="6" t="s">
        <v>1627</v>
      </c>
      <c r="Z1928" s="15"/>
      <c r="AA1928" s="15" t="s">
        <v>1628</v>
      </c>
    </row>
    <row r="1929" spans="1:27" ht="33" customHeight="1">
      <c r="A1929" s="8" t="s">
        <v>2920</v>
      </c>
      <c r="B1929" s="9">
        <v>512</v>
      </c>
      <c r="C1929" s="8" t="s">
        <v>2921</v>
      </c>
      <c r="D1929" s="8" t="s">
        <v>1851</v>
      </c>
      <c r="E1929" s="8" t="s">
        <v>1695</v>
      </c>
      <c r="F1929" s="8" t="s">
        <v>2846</v>
      </c>
      <c r="G1929" s="8" t="s">
        <v>1668</v>
      </c>
      <c r="H1929" s="8"/>
      <c r="I1929" s="14" t="s">
        <v>1669</v>
      </c>
      <c r="J1929" s="15"/>
      <c r="K1929" s="8" t="s">
        <v>1696</v>
      </c>
      <c r="L1929" s="8"/>
      <c r="M1929" s="6" t="s">
        <v>1671</v>
      </c>
      <c r="N1929" s="6" t="s">
        <v>1644</v>
      </c>
      <c r="O1929" s="7">
        <f>SUMIFS('05_상품별배치367'!$K$7:$K$373,'05_상품별배치367'!$E$7:$E$373,A1929,'05_상품별배치367'!$H$7:$H$373,"본진")</f>
        <v>0</v>
      </c>
      <c r="P1929" s="7">
        <f>SUMIFS('05_상품별배치367'!$K$7:$K$373,'05_상품별배치367'!$E$7:$E$373,A1929,'05_상품별배치367'!$H$7:$H$373,"추가 진열")</f>
        <v>0</v>
      </c>
      <c r="Q1929" s="7">
        <f>O1929+P1929</f>
        <v>0</v>
      </c>
      <c r="R1929" s="7">
        <v>0</v>
      </c>
      <c r="S1929" s="6" t="s">
        <v>1672</v>
      </c>
      <c r="T1929" s="6" t="s">
        <v>1637</v>
      </c>
      <c r="U1929" s="6"/>
      <c r="V1929" s="16"/>
      <c r="W1929" s="16"/>
      <c r="X1929" s="16"/>
      <c r="Y1929" s="6" t="s">
        <v>1627</v>
      </c>
      <c r="Z1929" s="15"/>
      <c r="AA1929" s="15" t="s">
        <v>1628</v>
      </c>
    </row>
    <row r="1930" spans="1:27" ht="33" customHeight="1">
      <c r="A1930" s="6" t="s">
        <v>1918</v>
      </c>
      <c r="B1930" s="7">
        <v>105</v>
      </c>
      <c r="C1930" s="6" t="s">
        <v>1919</v>
      </c>
      <c r="D1930" s="6" t="s">
        <v>1905</v>
      </c>
      <c r="E1930" s="6" t="s">
        <v>1666</v>
      </c>
      <c r="F1930" s="6" t="s">
        <v>1852</v>
      </c>
      <c r="G1930" s="6" t="s">
        <v>1853</v>
      </c>
      <c r="H1930" s="6"/>
      <c r="I1930" s="14" t="s">
        <v>1669</v>
      </c>
      <c r="J1930" s="15"/>
      <c r="K1930" s="6" t="s">
        <v>1670</v>
      </c>
      <c r="L1930" s="6"/>
      <c r="M1930" s="6" t="s">
        <v>1671</v>
      </c>
      <c r="N1930" s="6" t="s">
        <v>1624</v>
      </c>
      <c r="O1930" s="7">
        <f>SUMIFS('05_상품별배치367'!$K$7:$K$373,'05_상품별배치367'!$E$7:$E$373,A1930,'05_상품별배치367'!$H$7:$H$373,"본진")</f>
        <v>0</v>
      </c>
      <c r="P1930" s="7">
        <f>SUMIFS('05_상품별배치367'!$K$7:$K$373,'05_상품별배치367'!$E$7:$E$373,A1930,'05_상품별배치367'!$H$7:$H$373,"추가 진열")</f>
        <v>0</v>
      </c>
      <c r="Q1930" s="7">
        <f>O1930+P1930</f>
        <v>0</v>
      </c>
      <c r="R1930" s="7">
        <v>0</v>
      </c>
      <c r="S1930" s="6" t="s">
        <v>1672</v>
      </c>
      <c r="T1930" s="6" t="s">
        <v>1637</v>
      </c>
      <c r="U1930" s="6"/>
      <c r="V1930" s="16"/>
      <c r="W1930" s="16"/>
      <c r="X1930" s="16"/>
      <c r="Y1930" s="6" t="s">
        <v>1655</v>
      </c>
      <c r="Z1930" s="15"/>
      <c r="AA1930" s="15" t="s">
        <v>1628</v>
      </c>
    </row>
    <row r="1931" spans="1:27" ht="33" customHeight="1">
      <c r="A1931" s="6" t="s">
        <v>1906</v>
      </c>
      <c r="B1931" s="7">
        <v>99</v>
      </c>
      <c r="C1931" s="6" t="s">
        <v>1907</v>
      </c>
      <c r="D1931" s="6" t="s">
        <v>1905</v>
      </c>
      <c r="E1931" s="6" t="s">
        <v>1666</v>
      </c>
      <c r="F1931" s="6" t="s">
        <v>1852</v>
      </c>
      <c r="G1931" s="6" t="s">
        <v>1853</v>
      </c>
      <c r="H1931" s="6"/>
      <c r="I1931" s="14" t="s">
        <v>1669</v>
      </c>
      <c r="J1931" s="15"/>
      <c r="K1931" s="6" t="s">
        <v>1670</v>
      </c>
      <c r="L1931" s="6"/>
      <c r="M1931" s="6" t="s">
        <v>1671</v>
      </c>
      <c r="N1931" s="6" t="s">
        <v>1624</v>
      </c>
      <c r="O1931" s="7">
        <f>SUMIFS('05_상품별배치367'!$K$7:$K$373,'05_상품별배치367'!$E$7:$E$373,A1931,'05_상품별배치367'!$H$7:$H$373,"본진")</f>
        <v>0</v>
      </c>
      <c r="P1931" s="7">
        <f>SUMIFS('05_상품별배치367'!$K$7:$K$373,'05_상품별배치367'!$E$7:$E$373,A1931,'05_상품별배치367'!$H$7:$H$373,"추가 진열")</f>
        <v>0</v>
      </c>
      <c r="Q1931" s="7">
        <f>O1931+P1931</f>
        <v>0</v>
      </c>
      <c r="R1931" s="7">
        <v>0</v>
      </c>
      <c r="S1931" s="6" t="s">
        <v>1672</v>
      </c>
      <c r="T1931" s="6" t="s">
        <v>1637</v>
      </c>
      <c r="U1931" s="6"/>
      <c r="V1931" s="16"/>
      <c r="W1931" s="16"/>
      <c r="X1931" s="16"/>
      <c r="Y1931" s="6" t="s">
        <v>1655</v>
      </c>
      <c r="Z1931" s="15"/>
      <c r="AA1931" s="15" t="s">
        <v>1628</v>
      </c>
    </row>
    <row r="1932" spans="1:27" ht="33" customHeight="1">
      <c r="A1932" s="6" t="s">
        <v>1914</v>
      </c>
      <c r="B1932" s="7">
        <v>103</v>
      </c>
      <c r="C1932" s="6" t="s">
        <v>1915</v>
      </c>
      <c r="D1932" s="6" t="s">
        <v>1905</v>
      </c>
      <c r="E1932" s="6" t="s">
        <v>1666</v>
      </c>
      <c r="F1932" s="6" t="s">
        <v>1852</v>
      </c>
      <c r="G1932" s="6" t="s">
        <v>1853</v>
      </c>
      <c r="H1932" s="6"/>
      <c r="I1932" s="14" t="s">
        <v>1669</v>
      </c>
      <c r="J1932" s="15"/>
      <c r="K1932" s="6" t="s">
        <v>1670</v>
      </c>
      <c r="L1932" s="6"/>
      <c r="M1932" s="6" t="s">
        <v>1671</v>
      </c>
      <c r="N1932" s="6" t="s">
        <v>1624</v>
      </c>
      <c r="O1932" s="7">
        <f>SUMIFS('05_상품별배치367'!$K$7:$K$373,'05_상품별배치367'!$E$7:$E$373,A1932,'05_상품별배치367'!$H$7:$H$373,"본진")</f>
        <v>0</v>
      </c>
      <c r="P1932" s="7">
        <f>SUMIFS('05_상품별배치367'!$K$7:$K$373,'05_상품별배치367'!$E$7:$E$373,A1932,'05_상품별배치367'!$H$7:$H$373,"추가 진열")</f>
        <v>0</v>
      </c>
      <c r="Q1932" s="7">
        <f>O1932+P1932</f>
        <v>0</v>
      </c>
      <c r="R1932" s="7">
        <v>0</v>
      </c>
      <c r="S1932" s="6" t="s">
        <v>1672</v>
      </c>
      <c r="T1932" s="6" t="s">
        <v>1637</v>
      </c>
      <c r="U1932" s="6"/>
      <c r="V1932" s="16"/>
      <c r="W1932" s="16"/>
      <c r="X1932" s="16"/>
      <c r="Y1932" s="6" t="s">
        <v>1655</v>
      </c>
      <c r="Z1932" s="15"/>
      <c r="AA1932" s="15" t="s">
        <v>1628</v>
      </c>
    </row>
    <row r="1933" spans="1:27" ht="33" customHeight="1">
      <c r="A1933" s="8" t="s">
        <v>1908</v>
      </c>
      <c r="B1933" s="9">
        <v>100</v>
      </c>
      <c r="C1933" s="8" t="s">
        <v>1909</v>
      </c>
      <c r="D1933" s="8" t="s">
        <v>1905</v>
      </c>
      <c r="E1933" s="8" t="s">
        <v>1666</v>
      </c>
      <c r="F1933" s="8" t="s">
        <v>1852</v>
      </c>
      <c r="G1933" s="8" t="s">
        <v>1853</v>
      </c>
      <c r="H1933" s="8"/>
      <c r="I1933" s="14" t="s">
        <v>1669</v>
      </c>
      <c r="J1933" s="15"/>
      <c r="K1933" s="8" t="s">
        <v>1670</v>
      </c>
      <c r="L1933" s="8"/>
      <c r="M1933" s="6" t="s">
        <v>1671</v>
      </c>
      <c r="N1933" s="6" t="s">
        <v>1624</v>
      </c>
      <c r="O1933" s="7">
        <f>SUMIFS('05_상품별배치367'!$K$7:$K$373,'05_상품별배치367'!$E$7:$E$373,A1933,'05_상품별배치367'!$H$7:$H$373,"본진")</f>
        <v>0</v>
      </c>
      <c r="P1933" s="7">
        <f>SUMIFS('05_상품별배치367'!$K$7:$K$373,'05_상품별배치367'!$E$7:$E$373,A1933,'05_상품별배치367'!$H$7:$H$373,"추가 진열")</f>
        <v>0</v>
      </c>
      <c r="Q1933" s="7">
        <f>O1933+P1933</f>
        <v>0</v>
      </c>
      <c r="R1933" s="7">
        <v>0</v>
      </c>
      <c r="S1933" s="6" t="s">
        <v>1672</v>
      </c>
      <c r="T1933" s="6" t="s">
        <v>1637</v>
      </c>
      <c r="U1933" s="6"/>
      <c r="V1933" s="16"/>
      <c r="W1933" s="16"/>
      <c r="X1933" s="16"/>
      <c r="Y1933" s="6" t="s">
        <v>1655</v>
      </c>
      <c r="Z1933" s="15"/>
      <c r="AA1933" s="15" t="s">
        <v>1628</v>
      </c>
    </row>
    <row r="1934" spans="1:27" ht="33" customHeight="1">
      <c r="A1934" s="8" t="s">
        <v>1916</v>
      </c>
      <c r="B1934" s="9">
        <v>104</v>
      </c>
      <c r="C1934" s="8" t="s">
        <v>1917</v>
      </c>
      <c r="D1934" s="8" t="s">
        <v>1905</v>
      </c>
      <c r="E1934" s="8" t="s">
        <v>1666</v>
      </c>
      <c r="F1934" s="8" t="s">
        <v>1852</v>
      </c>
      <c r="G1934" s="8" t="s">
        <v>1853</v>
      </c>
      <c r="H1934" s="8"/>
      <c r="I1934" s="14" t="s">
        <v>1669</v>
      </c>
      <c r="J1934" s="15"/>
      <c r="K1934" s="8" t="s">
        <v>1670</v>
      </c>
      <c r="L1934" s="8"/>
      <c r="M1934" s="6" t="s">
        <v>1671</v>
      </c>
      <c r="N1934" s="6" t="s">
        <v>1624</v>
      </c>
      <c r="O1934" s="7">
        <f>SUMIFS('05_상품별배치367'!$K$7:$K$373,'05_상품별배치367'!$E$7:$E$373,A1934,'05_상품별배치367'!$H$7:$H$373,"본진")</f>
        <v>0</v>
      </c>
      <c r="P1934" s="7">
        <f>SUMIFS('05_상품별배치367'!$K$7:$K$373,'05_상품별배치367'!$E$7:$E$373,A1934,'05_상품별배치367'!$H$7:$H$373,"추가 진열")</f>
        <v>0</v>
      </c>
      <c r="Q1934" s="7">
        <f>O1934+P1934</f>
        <v>0</v>
      </c>
      <c r="R1934" s="7">
        <v>0</v>
      </c>
      <c r="S1934" s="6" t="s">
        <v>1672</v>
      </c>
      <c r="T1934" s="6" t="s">
        <v>1637</v>
      </c>
      <c r="U1934" s="6"/>
      <c r="V1934" s="16"/>
      <c r="W1934" s="16"/>
      <c r="X1934" s="16"/>
      <c r="Y1934" s="6" t="s">
        <v>1655</v>
      </c>
      <c r="Z1934" s="15"/>
      <c r="AA1934" s="15" t="s">
        <v>1628</v>
      </c>
    </row>
    <row r="1935" spans="1:27" ht="33" customHeight="1">
      <c r="A1935" s="8" t="s">
        <v>1920</v>
      </c>
      <c r="B1935" s="9">
        <v>106</v>
      </c>
      <c r="C1935" s="8" t="s">
        <v>1921</v>
      </c>
      <c r="D1935" s="8" t="s">
        <v>1905</v>
      </c>
      <c r="E1935" s="8" t="s">
        <v>1666</v>
      </c>
      <c r="F1935" s="8" t="s">
        <v>1852</v>
      </c>
      <c r="G1935" s="8" t="s">
        <v>1853</v>
      </c>
      <c r="H1935" s="8"/>
      <c r="I1935" s="14" t="s">
        <v>1669</v>
      </c>
      <c r="J1935" s="15"/>
      <c r="K1935" s="8" t="s">
        <v>1670</v>
      </c>
      <c r="L1935" s="8"/>
      <c r="M1935" s="6" t="s">
        <v>1671</v>
      </c>
      <c r="N1935" s="6" t="s">
        <v>1624</v>
      </c>
      <c r="O1935" s="7">
        <f>SUMIFS('05_상품별배치367'!$K$7:$K$373,'05_상품별배치367'!$E$7:$E$373,A1935,'05_상품별배치367'!$H$7:$H$373,"본진")</f>
        <v>0</v>
      </c>
      <c r="P1935" s="7">
        <f>SUMIFS('05_상품별배치367'!$K$7:$K$373,'05_상품별배치367'!$E$7:$E$373,A1935,'05_상품별배치367'!$H$7:$H$373,"추가 진열")</f>
        <v>0</v>
      </c>
      <c r="Q1935" s="7">
        <f>O1935+P1935</f>
        <v>0</v>
      </c>
      <c r="R1935" s="7">
        <v>0</v>
      </c>
      <c r="S1935" s="6" t="s">
        <v>1672</v>
      </c>
      <c r="T1935" s="6" t="s">
        <v>1637</v>
      </c>
      <c r="U1935" s="6"/>
      <c r="V1935" s="16"/>
      <c r="W1935" s="16"/>
      <c r="X1935" s="16"/>
      <c r="Y1935" s="6" t="s">
        <v>1655</v>
      </c>
      <c r="Z1935" s="15"/>
      <c r="AA1935" s="15" t="s">
        <v>1628</v>
      </c>
    </row>
    <row r="1936" spans="1:27" ht="33" customHeight="1">
      <c r="A1936" s="6" t="s">
        <v>1910</v>
      </c>
      <c r="B1936" s="7">
        <v>101</v>
      </c>
      <c r="C1936" s="6" t="s">
        <v>1911</v>
      </c>
      <c r="D1936" s="6" t="s">
        <v>1905</v>
      </c>
      <c r="E1936" s="6" t="s">
        <v>1666</v>
      </c>
      <c r="F1936" s="6" t="s">
        <v>1852</v>
      </c>
      <c r="G1936" s="6" t="s">
        <v>1853</v>
      </c>
      <c r="H1936" s="6"/>
      <c r="I1936" s="14" t="s">
        <v>1669</v>
      </c>
      <c r="J1936" s="15"/>
      <c r="K1936" s="6" t="s">
        <v>1670</v>
      </c>
      <c r="L1936" s="6"/>
      <c r="M1936" s="6" t="s">
        <v>1671</v>
      </c>
      <c r="N1936" s="6" t="s">
        <v>1624</v>
      </c>
      <c r="O1936" s="7">
        <f>SUMIFS('05_상품별배치367'!$K$7:$K$373,'05_상품별배치367'!$E$7:$E$373,A1936,'05_상품별배치367'!$H$7:$H$373,"본진")</f>
        <v>0</v>
      </c>
      <c r="P1936" s="7">
        <f>SUMIFS('05_상품별배치367'!$K$7:$K$373,'05_상품별배치367'!$E$7:$E$373,A1936,'05_상품별배치367'!$H$7:$H$373,"추가 진열")</f>
        <v>0</v>
      </c>
      <c r="Q1936" s="7">
        <f>O1936+P1936</f>
        <v>0</v>
      </c>
      <c r="R1936" s="7">
        <v>0</v>
      </c>
      <c r="S1936" s="6" t="s">
        <v>1672</v>
      </c>
      <c r="T1936" s="6" t="s">
        <v>1637</v>
      </c>
      <c r="U1936" s="6"/>
      <c r="V1936" s="16"/>
      <c r="W1936" s="16"/>
      <c r="X1936" s="16"/>
      <c r="Y1936" s="6" t="s">
        <v>1655</v>
      </c>
      <c r="Z1936" s="15"/>
      <c r="AA1936" s="15" t="s">
        <v>1628</v>
      </c>
    </row>
    <row r="1937" spans="1:27" ht="33" customHeight="1">
      <c r="A1937" s="8" t="s">
        <v>1903</v>
      </c>
      <c r="B1937" s="9">
        <v>98</v>
      </c>
      <c r="C1937" s="8" t="s">
        <v>1904</v>
      </c>
      <c r="D1937" s="8" t="s">
        <v>1905</v>
      </c>
      <c r="E1937" s="8" t="s">
        <v>1666</v>
      </c>
      <c r="F1937" s="8" t="s">
        <v>1852</v>
      </c>
      <c r="G1937" s="8" t="s">
        <v>1853</v>
      </c>
      <c r="H1937" s="8"/>
      <c r="I1937" s="14" t="s">
        <v>1669</v>
      </c>
      <c r="J1937" s="15"/>
      <c r="K1937" s="8" t="s">
        <v>1670</v>
      </c>
      <c r="L1937" s="8"/>
      <c r="M1937" s="6" t="s">
        <v>1671</v>
      </c>
      <c r="N1937" s="6" t="s">
        <v>1624</v>
      </c>
      <c r="O1937" s="7">
        <f>SUMIFS('05_상품별배치367'!$K$7:$K$373,'05_상품별배치367'!$E$7:$E$373,A1937,'05_상품별배치367'!$H$7:$H$373,"본진")</f>
        <v>0</v>
      </c>
      <c r="P1937" s="7">
        <f>SUMIFS('05_상품별배치367'!$K$7:$K$373,'05_상품별배치367'!$E$7:$E$373,A1937,'05_상품별배치367'!$H$7:$H$373,"추가 진열")</f>
        <v>0</v>
      </c>
      <c r="Q1937" s="7">
        <f>O1937+P1937</f>
        <v>0</v>
      </c>
      <c r="R1937" s="7">
        <v>0</v>
      </c>
      <c r="S1937" s="6" t="s">
        <v>1672</v>
      </c>
      <c r="T1937" s="6" t="s">
        <v>1637</v>
      </c>
      <c r="U1937" s="6"/>
      <c r="V1937" s="16"/>
      <c r="W1937" s="16"/>
      <c r="X1937" s="16"/>
      <c r="Y1937" s="6" t="s">
        <v>1655</v>
      </c>
      <c r="Z1937" s="15"/>
      <c r="AA1937" s="15" t="s">
        <v>1628</v>
      </c>
    </row>
    <row r="1938" spans="1:27" ht="33" customHeight="1">
      <c r="A1938" s="6" t="s">
        <v>1922</v>
      </c>
      <c r="B1938" s="7">
        <v>107</v>
      </c>
      <c r="C1938" s="6" t="s">
        <v>1923</v>
      </c>
      <c r="D1938" s="6" t="s">
        <v>1905</v>
      </c>
      <c r="E1938" s="6" t="s">
        <v>1666</v>
      </c>
      <c r="F1938" s="6" t="s">
        <v>1852</v>
      </c>
      <c r="G1938" s="6" t="s">
        <v>1853</v>
      </c>
      <c r="H1938" s="6"/>
      <c r="I1938" s="14" t="s">
        <v>1669</v>
      </c>
      <c r="J1938" s="15"/>
      <c r="K1938" s="6" t="s">
        <v>1670</v>
      </c>
      <c r="L1938" s="6"/>
      <c r="M1938" s="6" t="s">
        <v>1671</v>
      </c>
      <c r="N1938" s="6" t="s">
        <v>1624</v>
      </c>
      <c r="O1938" s="7">
        <f>SUMIFS('05_상품별배치367'!$K$7:$K$373,'05_상품별배치367'!$E$7:$E$373,A1938,'05_상품별배치367'!$H$7:$H$373,"본진")</f>
        <v>0</v>
      </c>
      <c r="P1938" s="7">
        <f>SUMIFS('05_상품별배치367'!$K$7:$K$373,'05_상품별배치367'!$E$7:$E$373,A1938,'05_상품별배치367'!$H$7:$H$373,"추가 진열")</f>
        <v>0</v>
      </c>
      <c r="Q1938" s="7">
        <f>O1938+P1938</f>
        <v>0</v>
      </c>
      <c r="R1938" s="7">
        <v>0</v>
      </c>
      <c r="S1938" s="6" t="s">
        <v>1672</v>
      </c>
      <c r="T1938" s="6" t="s">
        <v>1637</v>
      </c>
      <c r="U1938" s="6"/>
      <c r="V1938" s="16"/>
      <c r="W1938" s="16"/>
      <c r="X1938" s="16"/>
      <c r="Y1938" s="6" t="s">
        <v>1655</v>
      </c>
      <c r="Z1938" s="15"/>
      <c r="AA1938" s="15" t="s">
        <v>1628</v>
      </c>
    </row>
    <row r="1939" spans="1:27" ht="33" customHeight="1">
      <c r="A1939" s="8" t="s">
        <v>1912</v>
      </c>
      <c r="B1939" s="9">
        <v>102</v>
      </c>
      <c r="C1939" s="8" t="s">
        <v>1913</v>
      </c>
      <c r="D1939" s="8" t="s">
        <v>1905</v>
      </c>
      <c r="E1939" s="8" t="s">
        <v>1666</v>
      </c>
      <c r="F1939" s="8" t="s">
        <v>1852</v>
      </c>
      <c r="G1939" s="8" t="s">
        <v>1853</v>
      </c>
      <c r="H1939" s="8"/>
      <c r="I1939" s="14" t="s">
        <v>1669</v>
      </c>
      <c r="J1939" s="15"/>
      <c r="K1939" s="8" t="s">
        <v>1670</v>
      </c>
      <c r="L1939" s="8"/>
      <c r="M1939" s="6" t="s">
        <v>1671</v>
      </c>
      <c r="N1939" s="6" t="s">
        <v>1624</v>
      </c>
      <c r="O1939" s="7">
        <f>SUMIFS('05_상품별배치367'!$K$7:$K$373,'05_상품별배치367'!$E$7:$E$373,A1939,'05_상품별배치367'!$H$7:$H$373,"본진")</f>
        <v>0</v>
      </c>
      <c r="P1939" s="7">
        <f>SUMIFS('05_상품별배치367'!$K$7:$K$373,'05_상품별배치367'!$E$7:$E$373,A1939,'05_상품별배치367'!$H$7:$H$373,"추가 진열")</f>
        <v>0</v>
      </c>
      <c r="Q1939" s="7">
        <f>O1939+P1939</f>
        <v>0</v>
      </c>
      <c r="R1939" s="7">
        <v>0</v>
      </c>
      <c r="S1939" s="6" t="s">
        <v>1672</v>
      </c>
      <c r="T1939" s="6" t="s">
        <v>1637</v>
      </c>
      <c r="U1939" s="6"/>
      <c r="V1939" s="16"/>
      <c r="W1939" s="16"/>
      <c r="X1939" s="16"/>
      <c r="Y1939" s="6" t="s">
        <v>1655</v>
      </c>
      <c r="Z1939" s="15"/>
      <c r="AA1939" s="15" t="s">
        <v>1628</v>
      </c>
    </row>
    <row r="1940" spans="1:27" ht="33" customHeight="1">
      <c r="A1940" s="8" t="s">
        <v>4858</v>
      </c>
      <c r="B1940" s="9">
        <v>1412</v>
      </c>
      <c r="C1940" s="8" t="s">
        <v>4859</v>
      </c>
      <c r="D1940" s="8" t="s">
        <v>2572</v>
      </c>
      <c r="E1940" s="8" t="s">
        <v>2134</v>
      </c>
      <c r="F1940" s="8" t="s">
        <v>2933</v>
      </c>
      <c r="G1940" s="8" t="s">
        <v>1668</v>
      </c>
      <c r="H1940" s="8"/>
      <c r="I1940" s="14" t="s">
        <v>1807</v>
      </c>
      <c r="J1940" s="15"/>
      <c r="K1940" s="8" t="s">
        <v>1976</v>
      </c>
      <c r="L1940" s="8" t="s">
        <v>2032</v>
      </c>
      <c r="M1940" s="6" t="s">
        <v>1809</v>
      </c>
      <c r="N1940" s="6" t="s">
        <v>1644</v>
      </c>
      <c r="O1940" s="7">
        <f>SUMIFS('05_상품별배치367'!$K$7:$K$373,'05_상품별배치367'!$E$7:$E$373,A1940,'05_상품별배치367'!$H$7:$H$373,"본진")</f>
        <v>0</v>
      </c>
      <c r="P1940" s="7">
        <f>SUMIFS('05_상품별배치367'!$K$7:$K$373,'05_상품별배치367'!$E$7:$E$373,A1940,'05_상품별배치367'!$H$7:$H$373,"추가 진열")</f>
        <v>0</v>
      </c>
      <c r="Q1940" s="7">
        <f>O1940+P1940</f>
        <v>0</v>
      </c>
      <c r="R1940" s="7">
        <v>0</v>
      </c>
      <c r="S1940" s="6" t="s">
        <v>1810</v>
      </c>
      <c r="T1940" s="6" t="s">
        <v>1637</v>
      </c>
      <c r="U1940" s="6"/>
      <c r="V1940" s="16"/>
      <c r="W1940" s="16"/>
      <c r="X1940" s="16"/>
      <c r="Y1940" s="6" t="s">
        <v>1627</v>
      </c>
      <c r="Z1940" s="15"/>
      <c r="AA1940" s="15" t="s">
        <v>1628</v>
      </c>
    </row>
    <row r="1941" spans="1:27" ht="33" customHeight="1">
      <c r="A1941" s="6" t="s">
        <v>4856</v>
      </c>
      <c r="B1941" s="7">
        <v>1411</v>
      </c>
      <c r="C1941" s="6" t="s">
        <v>4857</v>
      </c>
      <c r="D1941" s="6" t="s">
        <v>1851</v>
      </c>
      <c r="E1941" s="6" t="s">
        <v>2134</v>
      </c>
      <c r="F1941" s="6" t="s">
        <v>2933</v>
      </c>
      <c r="G1941" s="6" t="s">
        <v>1668</v>
      </c>
      <c r="H1941" s="6"/>
      <c r="I1941" s="14" t="s">
        <v>1807</v>
      </c>
      <c r="J1941" s="15"/>
      <c r="K1941" s="6" t="s">
        <v>1976</v>
      </c>
      <c r="L1941" s="6" t="s">
        <v>2032</v>
      </c>
      <c r="M1941" s="6" t="s">
        <v>1809</v>
      </c>
      <c r="N1941" s="6" t="s">
        <v>1644</v>
      </c>
      <c r="O1941" s="7">
        <f>SUMIFS('05_상품별배치367'!$K$7:$K$373,'05_상품별배치367'!$E$7:$E$373,A1941,'05_상품별배치367'!$H$7:$H$373,"본진")</f>
        <v>0</v>
      </c>
      <c r="P1941" s="7">
        <f>SUMIFS('05_상품별배치367'!$K$7:$K$373,'05_상품별배치367'!$E$7:$E$373,A1941,'05_상품별배치367'!$H$7:$H$373,"추가 진열")</f>
        <v>0</v>
      </c>
      <c r="Q1941" s="7">
        <f>O1941+P1941</f>
        <v>0</v>
      </c>
      <c r="R1941" s="7">
        <v>0</v>
      </c>
      <c r="S1941" s="6" t="s">
        <v>1810</v>
      </c>
      <c r="T1941" s="6" t="s">
        <v>1637</v>
      </c>
      <c r="U1941" s="6"/>
      <c r="V1941" s="16"/>
      <c r="W1941" s="16"/>
      <c r="X1941" s="16"/>
      <c r="Y1941" s="6" t="s">
        <v>1627</v>
      </c>
      <c r="Z1941" s="15"/>
      <c r="AA1941" s="15" t="s">
        <v>1628</v>
      </c>
    </row>
    <row r="1942" spans="1:27" ht="33" customHeight="1">
      <c r="A1942" s="8" t="s">
        <v>4862</v>
      </c>
      <c r="B1942" s="9">
        <v>1414</v>
      </c>
      <c r="C1942" s="8" t="s">
        <v>4863</v>
      </c>
      <c r="D1942" s="8" t="s">
        <v>2133</v>
      </c>
      <c r="E1942" s="8" t="s">
        <v>2134</v>
      </c>
      <c r="F1942" s="8" t="s">
        <v>2933</v>
      </c>
      <c r="G1942" s="8" t="s">
        <v>1668</v>
      </c>
      <c r="H1942" s="8"/>
      <c r="I1942" s="14" t="s">
        <v>1807</v>
      </c>
      <c r="J1942" s="15"/>
      <c r="K1942" s="8" t="s">
        <v>1976</v>
      </c>
      <c r="L1942" s="8" t="s">
        <v>2032</v>
      </c>
      <c r="M1942" s="6" t="s">
        <v>1809</v>
      </c>
      <c r="N1942" s="6" t="s">
        <v>1644</v>
      </c>
      <c r="O1942" s="7">
        <f>SUMIFS('05_상품별배치367'!$K$7:$K$373,'05_상품별배치367'!$E$7:$E$373,A1942,'05_상품별배치367'!$H$7:$H$373,"본진")</f>
        <v>0</v>
      </c>
      <c r="P1942" s="7">
        <f>SUMIFS('05_상품별배치367'!$K$7:$K$373,'05_상품별배치367'!$E$7:$E$373,A1942,'05_상품별배치367'!$H$7:$H$373,"추가 진열")</f>
        <v>0</v>
      </c>
      <c r="Q1942" s="7">
        <f>O1942+P1942</f>
        <v>0</v>
      </c>
      <c r="R1942" s="7">
        <v>0</v>
      </c>
      <c r="S1942" s="6" t="s">
        <v>1810</v>
      </c>
      <c r="T1942" s="6" t="s">
        <v>1637</v>
      </c>
      <c r="U1942" s="6"/>
      <c r="V1942" s="16"/>
      <c r="W1942" s="16"/>
      <c r="X1942" s="16"/>
      <c r="Y1942" s="6" t="s">
        <v>1627</v>
      </c>
      <c r="Z1942" s="15"/>
      <c r="AA1942" s="15" t="s">
        <v>1628</v>
      </c>
    </row>
    <row r="1943" spans="1:27" ht="33" customHeight="1">
      <c r="A1943" s="8" t="s">
        <v>4866</v>
      </c>
      <c r="B1943" s="9">
        <v>1416</v>
      </c>
      <c r="C1943" s="8" t="s">
        <v>4867</v>
      </c>
      <c r="D1943" s="8" t="s">
        <v>2133</v>
      </c>
      <c r="E1943" s="8" t="s">
        <v>2134</v>
      </c>
      <c r="F1943" s="8" t="s">
        <v>2933</v>
      </c>
      <c r="G1943" s="8" t="s">
        <v>1668</v>
      </c>
      <c r="H1943" s="8"/>
      <c r="I1943" s="14" t="s">
        <v>1807</v>
      </c>
      <c r="J1943" s="15"/>
      <c r="K1943" s="8" t="s">
        <v>1976</v>
      </c>
      <c r="L1943" s="8" t="s">
        <v>2032</v>
      </c>
      <c r="M1943" s="6" t="s">
        <v>1809</v>
      </c>
      <c r="N1943" s="6" t="s">
        <v>1644</v>
      </c>
      <c r="O1943" s="7">
        <f>SUMIFS('05_상품별배치367'!$K$7:$K$373,'05_상품별배치367'!$E$7:$E$373,A1943,'05_상품별배치367'!$H$7:$H$373,"본진")</f>
        <v>0</v>
      </c>
      <c r="P1943" s="7">
        <f>SUMIFS('05_상품별배치367'!$K$7:$K$373,'05_상품별배치367'!$E$7:$E$373,A1943,'05_상품별배치367'!$H$7:$H$373,"추가 진열")</f>
        <v>0</v>
      </c>
      <c r="Q1943" s="7">
        <f>O1943+P1943</f>
        <v>0</v>
      </c>
      <c r="R1943" s="7">
        <v>0</v>
      </c>
      <c r="S1943" s="6" t="s">
        <v>1810</v>
      </c>
      <c r="T1943" s="6" t="s">
        <v>1637</v>
      </c>
      <c r="U1943" s="6"/>
      <c r="V1943" s="16"/>
      <c r="W1943" s="16"/>
      <c r="X1943" s="16"/>
      <c r="Y1943" s="6" t="s">
        <v>1627</v>
      </c>
      <c r="Z1943" s="15"/>
      <c r="AA1943" s="15" t="s">
        <v>1628</v>
      </c>
    </row>
    <row r="1944" spans="1:27" ht="33" customHeight="1">
      <c r="A1944" s="6" t="s">
        <v>4860</v>
      </c>
      <c r="B1944" s="7">
        <v>1413</v>
      </c>
      <c r="C1944" s="6" t="s">
        <v>4861</v>
      </c>
      <c r="D1944" s="6" t="s">
        <v>1851</v>
      </c>
      <c r="E1944" s="6" t="s">
        <v>2134</v>
      </c>
      <c r="F1944" s="6" t="s">
        <v>2933</v>
      </c>
      <c r="G1944" s="6" t="s">
        <v>1668</v>
      </c>
      <c r="H1944" s="6"/>
      <c r="I1944" s="14" t="s">
        <v>1807</v>
      </c>
      <c r="J1944" s="15"/>
      <c r="K1944" s="6" t="s">
        <v>1976</v>
      </c>
      <c r="L1944" s="6" t="s">
        <v>2032</v>
      </c>
      <c r="M1944" s="6" t="s">
        <v>1809</v>
      </c>
      <c r="N1944" s="6" t="s">
        <v>1644</v>
      </c>
      <c r="O1944" s="7">
        <f>SUMIFS('05_상품별배치367'!$K$7:$K$373,'05_상품별배치367'!$E$7:$E$373,A1944,'05_상품별배치367'!$H$7:$H$373,"본진")</f>
        <v>0</v>
      </c>
      <c r="P1944" s="7">
        <f>SUMIFS('05_상품별배치367'!$K$7:$K$373,'05_상품별배치367'!$E$7:$E$373,A1944,'05_상품별배치367'!$H$7:$H$373,"추가 진열")</f>
        <v>0</v>
      </c>
      <c r="Q1944" s="7">
        <f>O1944+P1944</f>
        <v>0</v>
      </c>
      <c r="R1944" s="7">
        <v>0</v>
      </c>
      <c r="S1944" s="6" t="s">
        <v>1810</v>
      </c>
      <c r="T1944" s="6" t="s">
        <v>1637</v>
      </c>
      <c r="U1944" s="6"/>
      <c r="V1944" s="16"/>
      <c r="W1944" s="16"/>
      <c r="X1944" s="16"/>
      <c r="Y1944" s="6" t="s">
        <v>1627</v>
      </c>
      <c r="Z1944" s="15"/>
      <c r="AA1944" s="15" t="s">
        <v>1628</v>
      </c>
    </row>
    <row r="1945" spans="1:27" ht="33" customHeight="1">
      <c r="A1945" s="8" t="s">
        <v>4854</v>
      </c>
      <c r="B1945" s="9">
        <v>1410</v>
      </c>
      <c r="C1945" s="8" t="s">
        <v>4855</v>
      </c>
      <c r="D1945" s="8" t="s">
        <v>2588</v>
      </c>
      <c r="E1945" s="8" t="s">
        <v>2134</v>
      </c>
      <c r="F1945" s="8" t="s">
        <v>2933</v>
      </c>
      <c r="G1945" s="8" t="s">
        <v>1668</v>
      </c>
      <c r="H1945" s="8"/>
      <c r="I1945" s="14" t="s">
        <v>1807</v>
      </c>
      <c r="J1945" s="15"/>
      <c r="K1945" s="8" t="s">
        <v>1976</v>
      </c>
      <c r="L1945" s="8" t="s">
        <v>2032</v>
      </c>
      <c r="M1945" s="6" t="s">
        <v>1809</v>
      </c>
      <c r="N1945" s="6" t="s">
        <v>1644</v>
      </c>
      <c r="O1945" s="7">
        <f>SUMIFS('05_상품별배치367'!$K$7:$K$373,'05_상품별배치367'!$E$7:$E$373,A1945,'05_상품별배치367'!$H$7:$H$373,"본진")</f>
        <v>0</v>
      </c>
      <c r="P1945" s="7">
        <f>SUMIFS('05_상품별배치367'!$K$7:$K$373,'05_상품별배치367'!$E$7:$E$373,A1945,'05_상품별배치367'!$H$7:$H$373,"추가 진열")</f>
        <v>0</v>
      </c>
      <c r="Q1945" s="7">
        <f>O1945+P1945</f>
        <v>0</v>
      </c>
      <c r="R1945" s="7">
        <v>0</v>
      </c>
      <c r="S1945" s="6" t="s">
        <v>1810</v>
      </c>
      <c r="T1945" s="6" t="s">
        <v>1637</v>
      </c>
      <c r="U1945" s="6"/>
      <c r="V1945" s="16"/>
      <c r="W1945" s="16"/>
      <c r="X1945" s="16"/>
      <c r="Y1945" s="6" t="s">
        <v>1627</v>
      </c>
      <c r="Z1945" s="15"/>
      <c r="AA1945" s="15" t="s">
        <v>1628</v>
      </c>
    </row>
    <row r="1946" spans="1:27" ht="33" customHeight="1">
      <c r="A1946" s="6" t="s">
        <v>4864</v>
      </c>
      <c r="B1946" s="7">
        <v>1415</v>
      </c>
      <c r="C1946" s="6" t="s">
        <v>4865</v>
      </c>
      <c r="D1946" s="6" t="s">
        <v>2133</v>
      </c>
      <c r="E1946" s="6" t="s">
        <v>2134</v>
      </c>
      <c r="F1946" s="6" t="s">
        <v>1081</v>
      </c>
      <c r="G1946" s="6" t="s">
        <v>290</v>
      </c>
      <c r="H1946" s="6"/>
      <c r="I1946" s="14" t="s">
        <v>1642</v>
      </c>
      <c r="J1946" s="15"/>
      <c r="K1946" s="6" t="s">
        <v>1976</v>
      </c>
      <c r="L1946" s="6"/>
      <c r="M1946" s="6" t="s">
        <v>1643</v>
      </c>
      <c r="N1946" s="6" t="s">
        <v>1644</v>
      </c>
      <c r="O1946" s="7">
        <f>SUMIFS('05_상품별배치367'!$K$7:$K$373,'05_상품별배치367'!$E$7:$E$373,A1946,'05_상품별배치367'!$H$7:$H$373,"본진")</f>
        <v>0</v>
      </c>
      <c r="P1946" s="7">
        <f>SUMIFS('05_상품별배치367'!$K$7:$K$373,'05_상품별배치367'!$E$7:$E$373,A1946,'05_상품별배치367'!$H$7:$H$373,"추가 진열")</f>
        <v>0</v>
      </c>
      <c r="Q1946" s="7">
        <f>O1946+P1946</f>
        <v>0</v>
      </c>
      <c r="R1946" s="7">
        <v>1</v>
      </c>
      <c r="S1946" s="6" t="s">
        <v>2135</v>
      </c>
      <c r="T1946" s="6" t="s">
        <v>1637</v>
      </c>
      <c r="U1946" s="6"/>
      <c r="V1946" s="16"/>
      <c r="W1946" s="16"/>
      <c r="X1946" s="16"/>
      <c r="Y1946" s="6" t="s">
        <v>1627</v>
      </c>
      <c r="Z1946" s="15"/>
      <c r="AA1946" s="15" t="s">
        <v>1628</v>
      </c>
    </row>
    <row r="1947" spans="1:27" ht="33" customHeight="1">
      <c r="A1947" s="8" t="s">
        <v>6053</v>
      </c>
      <c r="B1947" s="9">
        <v>1974</v>
      </c>
      <c r="C1947" s="8" t="s">
        <v>6054</v>
      </c>
      <c r="D1947" s="8" t="s">
        <v>2631</v>
      </c>
      <c r="E1947" s="8" t="s">
        <v>1641</v>
      </c>
      <c r="F1947" s="8" t="s">
        <v>1134</v>
      </c>
      <c r="G1947" s="8" t="s">
        <v>315</v>
      </c>
      <c r="H1947" s="8"/>
      <c r="I1947" s="14" t="s">
        <v>1642</v>
      </c>
      <c r="J1947" s="15"/>
      <c r="K1947" s="8" t="s">
        <v>1634</v>
      </c>
      <c r="L1947" s="8" t="s">
        <v>3828</v>
      </c>
      <c r="M1947" s="6" t="s">
        <v>1643</v>
      </c>
      <c r="N1947" s="6" t="s">
        <v>1624</v>
      </c>
      <c r="O1947" s="7">
        <f>SUMIFS('05_상품별배치367'!$K$7:$K$373,'05_상품별배치367'!$E$7:$E$373,A1947,'05_상품별배치367'!$H$7:$H$373,"본진")</f>
        <v>0</v>
      </c>
      <c r="P1947" s="7">
        <f>SUMIFS('05_상품별배치367'!$K$7:$K$373,'05_상품별배치367'!$E$7:$E$373,A1947,'05_상품별배치367'!$H$7:$H$373,"추가 진열")</f>
        <v>0</v>
      </c>
      <c r="Q1947" s="7">
        <f>O1947+P1947</f>
        <v>0</v>
      </c>
      <c r="R1947" s="7">
        <v>1</v>
      </c>
      <c r="S1947" s="6" t="s">
        <v>6055</v>
      </c>
      <c r="T1947" s="6" t="s">
        <v>1637</v>
      </c>
      <c r="U1947" s="6"/>
      <c r="V1947" s="16"/>
      <c r="W1947" s="16"/>
      <c r="X1947" s="16"/>
      <c r="Y1947" s="6" t="s">
        <v>1655</v>
      </c>
      <c r="Z1947" s="15"/>
      <c r="AA1947" s="15" t="s">
        <v>1628</v>
      </c>
    </row>
    <row r="1948" spans="1:27" ht="33" customHeight="1">
      <c r="A1948" s="8" t="s">
        <v>4528</v>
      </c>
      <c r="B1948" s="9">
        <v>1252</v>
      </c>
      <c r="C1948" s="8" t="s">
        <v>4529</v>
      </c>
      <c r="D1948" s="8" t="s">
        <v>1773</v>
      </c>
      <c r="E1948" s="8" t="s">
        <v>1986</v>
      </c>
      <c r="F1948" s="8" t="s">
        <v>1276</v>
      </c>
      <c r="G1948" s="8" t="s">
        <v>1987</v>
      </c>
      <c r="H1948" s="8"/>
      <c r="I1948" s="14" t="s">
        <v>1642</v>
      </c>
      <c r="J1948" s="15"/>
      <c r="K1948" s="8" t="s">
        <v>1976</v>
      </c>
      <c r="L1948" s="8"/>
      <c r="M1948" s="6" t="s">
        <v>1643</v>
      </c>
      <c r="N1948" s="6" t="s">
        <v>1644</v>
      </c>
      <c r="O1948" s="7">
        <f>SUMIFS('05_상품별배치367'!$K$7:$K$373,'05_상품별배치367'!$E$7:$E$373,A1948,'05_상품별배치367'!$H$7:$H$373,"본진")</f>
        <v>0</v>
      </c>
      <c r="P1948" s="7">
        <f>SUMIFS('05_상품별배치367'!$K$7:$K$373,'05_상품별배치367'!$E$7:$E$373,A1948,'05_상품별배치367'!$H$7:$H$373,"추가 진열")</f>
        <v>0</v>
      </c>
      <c r="Q1948" s="7">
        <f>O1948+P1948</f>
        <v>0</v>
      </c>
      <c r="R1948" s="7">
        <v>1</v>
      </c>
      <c r="S1948" s="6" t="s">
        <v>1988</v>
      </c>
      <c r="T1948" s="6" t="s">
        <v>1637</v>
      </c>
      <c r="U1948" s="6"/>
      <c r="V1948" s="16"/>
      <c r="W1948" s="16"/>
      <c r="X1948" s="16"/>
      <c r="Y1948" s="6" t="s">
        <v>1627</v>
      </c>
      <c r="Z1948" s="15"/>
      <c r="AA1948" s="15" t="s">
        <v>1628</v>
      </c>
    </row>
    <row r="1949" spans="1:27" ht="33" customHeight="1">
      <c r="A1949" s="8" t="s">
        <v>4523</v>
      </c>
      <c r="B1949" s="9">
        <v>1250</v>
      </c>
      <c r="C1949" s="8" t="s">
        <v>4524</v>
      </c>
      <c r="D1949" s="8" t="s">
        <v>2078</v>
      </c>
      <c r="E1949" s="8" t="s">
        <v>2134</v>
      </c>
      <c r="F1949" s="8" t="s">
        <v>2933</v>
      </c>
      <c r="G1949" s="8" t="s">
        <v>1668</v>
      </c>
      <c r="H1949" s="8"/>
      <c r="I1949" s="14" t="s">
        <v>1807</v>
      </c>
      <c r="J1949" s="15"/>
      <c r="K1949" s="8" t="s">
        <v>1976</v>
      </c>
      <c r="L1949" s="8" t="s">
        <v>4525</v>
      </c>
      <c r="M1949" s="6" t="s">
        <v>1809</v>
      </c>
      <c r="N1949" s="6" t="s">
        <v>1644</v>
      </c>
      <c r="O1949" s="7">
        <f>SUMIFS('05_상품별배치367'!$K$7:$K$373,'05_상품별배치367'!$E$7:$E$373,A1949,'05_상품별배치367'!$H$7:$H$373,"본진")</f>
        <v>0</v>
      </c>
      <c r="P1949" s="7">
        <f>SUMIFS('05_상품별배치367'!$K$7:$K$373,'05_상품별배치367'!$E$7:$E$373,A1949,'05_상품별배치367'!$H$7:$H$373,"추가 진열")</f>
        <v>0</v>
      </c>
      <c r="Q1949" s="7">
        <f>O1949+P1949</f>
        <v>0</v>
      </c>
      <c r="R1949" s="7">
        <v>0</v>
      </c>
      <c r="S1949" s="6" t="s">
        <v>1810</v>
      </c>
      <c r="T1949" s="6" t="s">
        <v>1637</v>
      </c>
      <c r="U1949" s="6"/>
      <c r="V1949" s="16"/>
      <c r="W1949" s="16"/>
      <c r="X1949" s="16"/>
      <c r="Y1949" s="6" t="s">
        <v>1655</v>
      </c>
      <c r="Z1949" s="15"/>
      <c r="AA1949" s="15" t="s">
        <v>1628</v>
      </c>
    </row>
    <row r="1950" spans="1:27" ht="33" customHeight="1">
      <c r="A1950" s="6" t="s">
        <v>4526</v>
      </c>
      <c r="B1950" s="7">
        <v>1251</v>
      </c>
      <c r="C1950" s="6" t="s">
        <v>4527</v>
      </c>
      <c r="D1950" s="6" t="s">
        <v>2078</v>
      </c>
      <c r="E1950" s="6" t="s">
        <v>2134</v>
      </c>
      <c r="F1950" s="6" t="s">
        <v>2933</v>
      </c>
      <c r="G1950" s="6" t="s">
        <v>1668</v>
      </c>
      <c r="H1950" s="6"/>
      <c r="I1950" s="14" t="s">
        <v>1807</v>
      </c>
      <c r="J1950" s="15"/>
      <c r="K1950" s="6" t="s">
        <v>1976</v>
      </c>
      <c r="L1950" s="6" t="s">
        <v>4525</v>
      </c>
      <c r="M1950" s="6" t="s">
        <v>1809</v>
      </c>
      <c r="N1950" s="6" t="s">
        <v>1644</v>
      </c>
      <c r="O1950" s="7">
        <f>SUMIFS('05_상품별배치367'!$K$7:$K$373,'05_상품별배치367'!$E$7:$E$373,A1950,'05_상품별배치367'!$H$7:$H$373,"본진")</f>
        <v>0</v>
      </c>
      <c r="P1950" s="7">
        <f>SUMIFS('05_상품별배치367'!$K$7:$K$373,'05_상품별배치367'!$E$7:$E$373,A1950,'05_상품별배치367'!$H$7:$H$373,"추가 진열")</f>
        <v>0</v>
      </c>
      <c r="Q1950" s="7">
        <f>O1950+P1950</f>
        <v>0</v>
      </c>
      <c r="R1950" s="7">
        <v>0</v>
      </c>
      <c r="S1950" s="6" t="s">
        <v>1810</v>
      </c>
      <c r="T1950" s="6" t="s">
        <v>1637</v>
      </c>
      <c r="U1950" s="6"/>
      <c r="V1950" s="16"/>
      <c r="W1950" s="16"/>
      <c r="X1950" s="16"/>
      <c r="Y1950" s="6" t="s">
        <v>1655</v>
      </c>
      <c r="Z1950" s="15"/>
      <c r="AA1950" s="15" t="s">
        <v>1628</v>
      </c>
    </row>
    <row r="1951" spans="1:27" ht="33" customHeight="1">
      <c r="A1951" s="8" t="s">
        <v>6013</v>
      </c>
      <c r="B1951" s="9">
        <v>1956</v>
      </c>
      <c r="C1951" s="8" t="s">
        <v>6014</v>
      </c>
      <c r="D1951" s="8" t="s">
        <v>1640</v>
      </c>
      <c r="E1951" s="8" t="s">
        <v>1641</v>
      </c>
      <c r="F1951" s="8" t="s">
        <v>644</v>
      </c>
      <c r="G1951" s="8" t="s">
        <v>79</v>
      </c>
      <c r="H1951" s="8" t="s">
        <v>643</v>
      </c>
      <c r="I1951" s="14" t="s">
        <v>1621</v>
      </c>
      <c r="J1951" s="15"/>
      <c r="K1951" s="8" t="s">
        <v>1634</v>
      </c>
      <c r="L1951" s="8" t="s">
        <v>3828</v>
      </c>
      <c r="M1951" s="6" t="s">
        <v>1623</v>
      </c>
      <c r="N1951" s="6" t="s">
        <v>1624</v>
      </c>
      <c r="O1951" s="7">
        <f>SUMIFS('05_상품별배치367'!$K$7:$K$373,'05_상품별배치367'!$E$7:$E$373,A1951,'05_상품별배치367'!$H$7:$H$373,"본진")</f>
        <v>1</v>
      </c>
      <c r="P1951" s="7">
        <f>SUMIFS('05_상품별배치367'!$K$7:$K$373,'05_상품별배치367'!$E$7:$E$373,A1951,'05_상품별배치367'!$H$7:$H$373,"추가 진열")</f>
        <v>0</v>
      </c>
      <c r="Q1951" s="7">
        <f>O1951+P1951</f>
        <v>1</v>
      </c>
      <c r="R1951" s="7">
        <v>1</v>
      </c>
      <c r="S1951" s="6" t="s">
        <v>1625</v>
      </c>
      <c r="T1951" s="6" t="s">
        <v>1637</v>
      </c>
      <c r="U1951" s="6"/>
      <c r="V1951" s="16"/>
      <c r="W1951" s="16"/>
      <c r="X1951" s="16"/>
      <c r="Y1951" s="6" t="s">
        <v>1627</v>
      </c>
      <c r="Z1951" s="15"/>
      <c r="AA1951" s="15" t="s">
        <v>1628</v>
      </c>
    </row>
    <row r="1952" spans="1:27" ht="33" customHeight="1">
      <c r="A1952" s="6" t="s">
        <v>7021</v>
      </c>
      <c r="B1952" s="7">
        <v>2417</v>
      </c>
      <c r="C1952" s="6" t="s">
        <v>7022</v>
      </c>
      <c r="D1952" s="6" t="s">
        <v>1640</v>
      </c>
      <c r="E1952" s="6" t="s">
        <v>1641</v>
      </c>
      <c r="F1952" s="6" t="s">
        <v>1806</v>
      </c>
      <c r="G1952" s="6" t="s">
        <v>1668</v>
      </c>
      <c r="H1952" s="6"/>
      <c r="I1952" s="14" t="s">
        <v>1807</v>
      </c>
      <c r="J1952" s="15"/>
      <c r="K1952" s="6" t="s">
        <v>1634</v>
      </c>
      <c r="L1952" s="6" t="s">
        <v>2001</v>
      </c>
      <c r="M1952" s="6" t="s">
        <v>1809</v>
      </c>
      <c r="N1952" s="6" t="s">
        <v>1644</v>
      </c>
      <c r="O1952" s="7">
        <f>SUMIFS('05_상품별배치367'!$K$7:$K$373,'05_상품별배치367'!$E$7:$E$373,A1952,'05_상품별배치367'!$H$7:$H$373,"본진")</f>
        <v>0</v>
      </c>
      <c r="P1952" s="7">
        <f>SUMIFS('05_상품별배치367'!$K$7:$K$373,'05_상품별배치367'!$E$7:$E$373,A1952,'05_상품별배치367'!$H$7:$H$373,"추가 진열")</f>
        <v>0</v>
      </c>
      <c r="Q1952" s="7">
        <f>O1952+P1952</f>
        <v>0</v>
      </c>
      <c r="R1952" s="7">
        <v>0</v>
      </c>
      <c r="S1952" s="6" t="s">
        <v>1810</v>
      </c>
      <c r="T1952" s="6" t="s">
        <v>1637</v>
      </c>
      <c r="U1952" s="6"/>
      <c r="V1952" s="16"/>
      <c r="W1952" s="16"/>
      <c r="X1952" s="16"/>
      <c r="Y1952" s="6" t="s">
        <v>1627</v>
      </c>
      <c r="Z1952" s="15"/>
      <c r="AA1952" s="15" t="s">
        <v>1628</v>
      </c>
    </row>
    <row r="1953" spans="1:27" ht="33" customHeight="1">
      <c r="A1953" s="8" t="s">
        <v>6890</v>
      </c>
      <c r="B1953" s="9">
        <v>2356</v>
      </c>
      <c r="C1953" s="8" t="s">
        <v>6891</v>
      </c>
      <c r="D1953" s="8" t="s">
        <v>2078</v>
      </c>
      <c r="E1953" s="8" t="s">
        <v>1666</v>
      </c>
      <c r="F1953" s="8" t="s">
        <v>1667</v>
      </c>
      <c r="G1953" s="8" t="s">
        <v>1668</v>
      </c>
      <c r="H1953" s="8"/>
      <c r="I1953" s="14" t="s">
        <v>1669</v>
      </c>
      <c r="J1953" s="15"/>
      <c r="K1953" s="8" t="s">
        <v>1670</v>
      </c>
      <c r="L1953" s="8" t="s">
        <v>5771</v>
      </c>
      <c r="M1953" s="6" t="s">
        <v>1671</v>
      </c>
      <c r="N1953" s="6" t="s">
        <v>1644</v>
      </c>
      <c r="O1953" s="7">
        <f>SUMIFS('05_상품별배치367'!$K$7:$K$373,'05_상품별배치367'!$E$7:$E$373,A1953,'05_상품별배치367'!$H$7:$H$373,"본진")</f>
        <v>0</v>
      </c>
      <c r="P1953" s="7">
        <f>SUMIFS('05_상품별배치367'!$K$7:$K$373,'05_상품별배치367'!$E$7:$E$373,A1953,'05_상품별배치367'!$H$7:$H$373,"추가 진열")</f>
        <v>0</v>
      </c>
      <c r="Q1953" s="7">
        <f>O1953+P1953</f>
        <v>0</v>
      </c>
      <c r="R1953" s="7">
        <v>0</v>
      </c>
      <c r="S1953" s="6" t="s">
        <v>1672</v>
      </c>
      <c r="T1953" s="6" t="s">
        <v>1637</v>
      </c>
      <c r="U1953" s="6"/>
      <c r="V1953" s="16"/>
      <c r="W1953" s="16"/>
      <c r="X1953" s="16"/>
      <c r="Y1953" s="6" t="s">
        <v>1655</v>
      </c>
      <c r="Z1953" s="15"/>
      <c r="AA1953" s="15" t="s">
        <v>1628</v>
      </c>
    </row>
    <row r="1954" spans="1:27" ht="33" customHeight="1">
      <c r="A1954" s="8" t="s">
        <v>6226</v>
      </c>
      <c r="B1954" s="9">
        <v>2046</v>
      </c>
      <c r="C1954" s="8" t="s">
        <v>6227</v>
      </c>
      <c r="D1954" s="8" t="s">
        <v>1948</v>
      </c>
      <c r="E1954" s="8" t="s">
        <v>1641</v>
      </c>
      <c r="F1954" s="8" t="s">
        <v>644</v>
      </c>
      <c r="G1954" s="8" t="s">
        <v>79</v>
      </c>
      <c r="H1954" s="8" t="s">
        <v>664</v>
      </c>
      <c r="I1954" s="14" t="s">
        <v>1633</v>
      </c>
      <c r="J1954" s="15"/>
      <c r="K1954" s="8" t="s">
        <v>1634</v>
      </c>
      <c r="L1954" s="8" t="s">
        <v>3828</v>
      </c>
      <c r="M1954" s="6" t="s">
        <v>1635</v>
      </c>
      <c r="N1954" s="6" t="s">
        <v>1624</v>
      </c>
      <c r="O1954" s="7">
        <f>SUMIFS('05_상품별배치367'!$K$7:$K$373,'05_상품별배치367'!$E$7:$E$373,A1954,'05_상품별배치367'!$H$7:$H$373,"본진")</f>
        <v>1</v>
      </c>
      <c r="P1954" s="7">
        <f>SUMIFS('05_상품별배치367'!$K$7:$K$373,'05_상품별배치367'!$E$7:$E$373,A1954,'05_상품별배치367'!$H$7:$H$373,"추가 진열")</f>
        <v>0</v>
      </c>
      <c r="Q1954" s="7">
        <f>O1954+P1954</f>
        <v>1</v>
      </c>
      <c r="R1954" s="7">
        <v>1</v>
      </c>
      <c r="S1954" s="6" t="s">
        <v>1636</v>
      </c>
      <c r="T1954" s="6" t="s">
        <v>1637</v>
      </c>
      <c r="U1954" s="6"/>
      <c r="V1954" s="16"/>
      <c r="W1954" s="16"/>
      <c r="X1954" s="16"/>
      <c r="Y1954" s="6" t="s">
        <v>1627</v>
      </c>
      <c r="Z1954" s="15"/>
      <c r="AA1954" s="15" t="s">
        <v>1628</v>
      </c>
    </row>
    <row r="1955" spans="1:27" ht="33" customHeight="1">
      <c r="A1955" s="8" t="s">
        <v>6224</v>
      </c>
      <c r="B1955" s="9">
        <v>2044</v>
      </c>
      <c r="C1955" s="8" t="s">
        <v>6225</v>
      </c>
      <c r="D1955" s="8" t="s">
        <v>1948</v>
      </c>
      <c r="E1955" s="8" t="s">
        <v>1641</v>
      </c>
      <c r="F1955" s="8" t="s">
        <v>694</v>
      </c>
      <c r="G1955" s="8" t="s">
        <v>99</v>
      </c>
      <c r="H1955" s="8"/>
      <c r="I1955" s="14" t="s">
        <v>1642</v>
      </c>
      <c r="J1955" s="15"/>
      <c r="K1955" s="8" t="s">
        <v>1634</v>
      </c>
      <c r="L1955" s="8" t="s">
        <v>3828</v>
      </c>
      <c r="M1955" s="6" t="s">
        <v>1643</v>
      </c>
      <c r="N1955" s="6" t="s">
        <v>1624</v>
      </c>
      <c r="O1955" s="7">
        <f>SUMIFS('05_상품별배치367'!$K$7:$K$373,'05_상품별배치367'!$E$7:$E$373,A1955,'05_상품별배치367'!$H$7:$H$373,"본진")</f>
        <v>0</v>
      </c>
      <c r="P1955" s="7">
        <f>SUMIFS('05_상품별배치367'!$K$7:$K$373,'05_상품별배치367'!$E$7:$E$373,A1955,'05_상품별배치367'!$H$7:$H$373,"추가 진열")</f>
        <v>0</v>
      </c>
      <c r="Q1955" s="7">
        <f>O1955+P1955</f>
        <v>0</v>
      </c>
      <c r="R1955" s="7">
        <v>1</v>
      </c>
      <c r="S1955" s="6" t="s">
        <v>5964</v>
      </c>
      <c r="T1955" s="6" t="s">
        <v>1637</v>
      </c>
      <c r="U1955" s="6"/>
      <c r="V1955" s="16"/>
      <c r="W1955" s="16"/>
      <c r="X1955" s="16"/>
      <c r="Y1955" s="6" t="s">
        <v>1627</v>
      </c>
      <c r="Z1955" s="15"/>
      <c r="AA1955" s="15" t="s">
        <v>1628</v>
      </c>
    </row>
    <row r="1956" spans="1:27" ht="33" customHeight="1">
      <c r="A1956" s="6" t="s">
        <v>6214</v>
      </c>
      <c r="B1956" s="7">
        <v>2039</v>
      </c>
      <c r="C1956" s="6" t="s">
        <v>6215</v>
      </c>
      <c r="D1956" s="6" t="s">
        <v>1948</v>
      </c>
      <c r="E1956" s="6" t="s">
        <v>1641</v>
      </c>
      <c r="F1956" s="6" t="s">
        <v>694</v>
      </c>
      <c r="G1956" s="6" t="s">
        <v>99</v>
      </c>
      <c r="H1956" s="6"/>
      <c r="I1956" s="14" t="s">
        <v>1642</v>
      </c>
      <c r="J1956" s="15"/>
      <c r="K1956" s="6" t="s">
        <v>1634</v>
      </c>
      <c r="L1956" s="6" t="s">
        <v>3828</v>
      </c>
      <c r="M1956" s="6" t="s">
        <v>1643</v>
      </c>
      <c r="N1956" s="6" t="s">
        <v>1624</v>
      </c>
      <c r="O1956" s="7">
        <f>SUMIFS('05_상품별배치367'!$K$7:$K$373,'05_상품별배치367'!$E$7:$E$373,A1956,'05_상품별배치367'!$H$7:$H$373,"본진")</f>
        <v>0</v>
      </c>
      <c r="P1956" s="7">
        <f>SUMIFS('05_상품별배치367'!$K$7:$K$373,'05_상품별배치367'!$E$7:$E$373,A1956,'05_상품별배치367'!$H$7:$H$373,"추가 진열")</f>
        <v>0</v>
      </c>
      <c r="Q1956" s="7">
        <f>O1956+P1956</f>
        <v>0</v>
      </c>
      <c r="R1956" s="7">
        <v>1</v>
      </c>
      <c r="S1956" s="6" t="s">
        <v>5964</v>
      </c>
      <c r="T1956" s="6" t="s">
        <v>1637</v>
      </c>
      <c r="U1956" s="6"/>
      <c r="V1956" s="16"/>
      <c r="W1956" s="16"/>
      <c r="X1956" s="16"/>
      <c r="Y1956" s="6" t="s">
        <v>1627</v>
      </c>
      <c r="Z1956" s="15"/>
      <c r="AA1956" s="15" t="s">
        <v>1628</v>
      </c>
    </row>
    <row r="1957" spans="1:27" ht="33" customHeight="1">
      <c r="A1957" s="8" t="s">
        <v>6220</v>
      </c>
      <c r="B1957" s="9">
        <v>2042</v>
      </c>
      <c r="C1957" s="8" t="s">
        <v>6221</v>
      </c>
      <c r="D1957" s="8" t="s">
        <v>1948</v>
      </c>
      <c r="E1957" s="8" t="s">
        <v>1641</v>
      </c>
      <c r="F1957" s="8" t="s">
        <v>656</v>
      </c>
      <c r="G1957" s="8" t="s">
        <v>79</v>
      </c>
      <c r="H1957" s="8" t="s">
        <v>664</v>
      </c>
      <c r="I1957" s="14" t="s">
        <v>1633</v>
      </c>
      <c r="J1957" s="15"/>
      <c r="K1957" s="8" t="s">
        <v>1634</v>
      </c>
      <c r="L1957" s="8" t="s">
        <v>3828</v>
      </c>
      <c r="M1957" s="6" t="s">
        <v>1635</v>
      </c>
      <c r="N1957" s="6" t="s">
        <v>1624</v>
      </c>
      <c r="O1957" s="7">
        <f>SUMIFS('05_상품별배치367'!$K$7:$K$373,'05_상품별배치367'!$E$7:$E$373,A1957,'05_상품별배치367'!$H$7:$H$373,"본진")</f>
        <v>1</v>
      </c>
      <c r="P1957" s="7">
        <f>SUMIFS('05_상품별배치367'!$K$7:$K$373,'05_상품별배치367'!$E$7:$E$373,A1957,'05_상품별배치367'!$H$7:$H$373,"추가 진열")</f>
        <v>0</v>
      </c>
      <c r="Q1957" s="7">
        <f>O1957+P1957</f>
        <v>1</v>
      </c>
      <c r="R1957" s="7">
        <v>1</v>
      </c>
      <c r="S1957" s="6" t="s">
        <v>1636</v>
      </c>
      <c r="T1957" s="6" t="s">
        <v>1637</v>
      </c>
      <c r="U1957" s="6"/>
      <c r="V1957" s="16"/>
      <c r="W1957" s="16"/>
      <c r="X1957" s="16"/>
      <c r="Y1957" s="6" t="s">
        <v>1627</v>
      </c>
      <c r="Z1957" s="15"/>
      <c r="AA1957" s="15" t="s">
        <v>1628</v>
      </c>
    </row>
    <row r="1958" spans="1:27" ht="33" customHeight="1">
      <c r="A1958" s="6" t="s">
        <v>6218</v>
      </c>
      <c r="B1958" s="7">
        <v>2041</v>
      </c>
      <c r="C1958" s="6" t="s">
        <v>6219</v>
      </c>
      <c r="D1958" s="6" t="s">
        <v>1948</v>
      </c>
      <c r="E1958" s="6" t="s">
        <v>1641</v>
      </c>
      <c r="F1958" s="6" t="s">
        <v>651</v>
      </c>
      <c r="G1958" s="6" t="s">
        <v>79</v>
      </c>
      <c r="H1958" s="6" t="s">
        <v>664</v>
      </c>
      <c r="I1958" s="14" t="s">
        <v>1633</v>
      </c>
      <c r="J1958" s="15"/>
      <c r="K1958" s="6" t="s">
        <v>1634</v>
      </c>
      <c r="L1958" s="6" t="s">
        <v>3828</v>
      </c>
      <c r="M1958" s="6" t="s">
        <v>1635</v>
      </c>
      <c r="N1958" s="6" t="s">
        <v>1624</v>
      </c>
      <c r="O1958" s="7">
        <f>SUMIFS('05_상품별배치367'!$K$7:$K$373,'05_상품별배치367'!$E$7:$E$373,A1958,'05_상품별배치367'!$H$7:$H$373,"본진")</f>
        <v>1</v>
      </c>
      <c r="P1958" s="7">
        <f>SUMIFS('05_상품별배치367'!$K$7:$K$373,'05_상품별배치367'!$E$7:$E$373,A1958,'05_상품별배치367'!$H$7:$H$373,"추가 진열")</f>
        <v>0</v>
      </c>
      <c r="Q1958" s="7">
        <f>O1958+P1958</f>
        <v>1</v>
      </c>
      <c r="R1958" s="7">
        <v>1</v>
      </c>
      <c r="S1958" s="6" t="s">
        <v>1636</v>
      </c>
      <c r="T1958" s="6" t="s">
        <v>1637</v>
      </c>
      <c r="U1958" s="6"/>
      <c r="V1958" s="16"/>
      <c r="W1958" s="16"/>
      <c r="X1958" s="16"/>
      <c r="Y1958" s="6" t="s">
        <v>1627</v>
      </c>
      <c r="Z1958" s="15"/>
      <c r="AA1958" s="15" t="s">
        <v>1628</v>
      </c>
    </row>
    <row r="1959" spans="1:27" ht="33" customHeight="1">
      <c r="A1959" s="8" t="s">
        <v>6212</v>
      </c>
      <c r="B1959" s="9">
        <v>2038</v>
      </c>
      <c r="C1959" s="8" t="s">
        <v>6213</v>
      </c>
      <c r="D1959" s="8" t="s">
        <v>1948</v>
      </c>
      <c r="E1959" s="8" t="s">
        <v>1641</v>
      </c>
      <c r="F1959" s="8" t="s">
        <v>651</v>
      </c>
      <c r="G1959" s="8" t="s">
        <v>79</v>
      </c>
      <c r="H1959" s="8"/>
      <c r="I1959" s="14" t="s">
        <v>1642</v>
      </c>
      <c r="J1959" s="15"/>
      <c r="K1959" s="8" t="s">
        <v>1634</v>
      </c>
      <c r="L1959" s="8" t="s">
        <v>3828</v>
      </c>
      <c r="M1959" s="6" t="s">
        <v>1643</v>
      </c>
      <c r="N1959" s="6" t="s">
        <v>1624</v>
      </c>
      <c r="O1959" s="7">
        <f>SUMIFS('05_상품별배치367'!$K$7:$K$373,'05_상품별배치367'!$E$7:$E$373,A1959,'05_상품별배치367'!$H$7:$H$373,"본진")</f>
        <v>0</v>
      </c>
      <c r="P1959" s="7">
        <f>SUMIFS('05_상품별배치367'!$K$7:$K$373,'05_상품별배치367'!$E$7:$E$373,A1959,'05_상품별배치367'!$H$7:$H$373,"추가 진열")</f>
        <v>0</v>
      </c>
      <c r="Q1959" s="7">
        <f>O1959+P1959</f>
        <v>0</v>
      </c>
      <c r="R1959" s="7">
        <v>1</v>
      </c>
      <c r="S1959" s="6" t="s">
        <v>6023</v>
      </c>
      <c r="T1959" s="6" t="s">
        <v>1637</v>
      </c>
      <c r="U1959" s="6"/>
      <c r="V1959" s="16"/>
      <c r="W1959" s="16"/>
      <c r="X1959" s="16"/>
      <c r="Y1959" s="6" t="s">
        <v>1627</v>
      </c>
      <c r="Z1959" s="15"/>
      <c r="AA1959" s="15" t="s">
        <v>1628</v>
      </c>
    </row>
    <row r="1960" spans="1:27" ht="33" customHeight="1">
      <c r="A1960" s="6" t="s">
        <v>2043</v>
      </c>
      <c r="B1960" s="7">
        <v>147</v>
      </c>
      <c r="C1960" s="6" t="s">
        <v>2044</v>
      </c>
      <c r="D1960" s="6" t="s">
        <v>1619</v>
      </c>
      <c r="E1960" s="6" t="s">
        <v>1666</v>
      </c>
      <c r="F1960" s="6" t="s">
        <v>348</v>
      </c>
      <c r="G1960" s="6" t="s">
        <v>341</v>
      </c>
      <c r="H1960" s="6"/>
      <c r="I1960" s="14" t="s">
        <v>1642</v>
      </c>
      <c r="J1960" s="15"/>
      <c r="K1960" s="6" t="s">
        <v>1670</v>
      </c>
      <c r="L1960" s="6"/>
      <c r="M1960" s="6" t="s">
        <v>1643</v>
      </c>
      <c r="N1960" s="6" t="s">
        <v>1644</v>
      </c>
      <c r="O1960" s="7">
        <f>SUMIFS('05_상품별배치367'!$K$7:$K$373,'05_상품별배치367'!$E$7:$E$373,A1960,'05_상품별배치367'!$H$7:$H$373,"본진")</f>
        <v>0</v>
      </c>
      <c r="P1960" s="7">
        <f>SUMIFS('05_상품별배치367'!$K$7:$K$373,'05_상품별배치367'!$E$7:$E$373,A1960,'05_상품별배치367'!$H$7:$H$373,"추가 진열")</f>
        <v>0</v>
      </c>
      <c r="Q1960" s="7">
        <f>O1960+P1960</f>
        <v>0</v>
      </c>
      <c r="R1960" s="7">
        <v>1</v>
      </c>
      <c r="S1960" s="6" t="s">
        <v>2040</v>
      </c>
      <c r="T1960" s="6" t="s">
        <v>1637</v>
      </c>
      <c r="U1960" s="6"/>
      <c r="V1960" s="16"/>
      <c r="W1960" s="16"/>
      <c r="X1960" s="16"/>
      <c r="Y1960" s="6" t="s">
        <v>1627</v>
      </c>
      <c r="Z1960" s="15"/>
      <c r="AA1960" s="15" t="s">
        <v>1628</v>
      </c>
    </row>
    <row r="1961" spans="1:27" ht="33" customHeight="1">
      <c r="A1961" s="8" t="s">
        <v>2045</v>
      </c>
      <c r="B1961" s="9">
        <v>148</v>
      </c>
      <c r="C1961" s="8" t="s">
        <v>2046</v>
      </c>
      <c r="D1961" s="8" t="s">
        <v>2047</v>
      </c>
      <c r="E1961" s="8" t="s">
        <v>1620</v>
      </c>
      <c r="F1961" s="8" t="s">
        <v>2048</v>
      </c>
      <c r="G1961" s="8" t="s">
        <v>1668</v>
      </c>
      <c r="H1961" s="8"/>
      <c r="I1961" s="14" t="s">
        <v>1669</v>
      </c>
      <c r="J1961" s="15"/>
      <c r="K1961" s="8" t="s">
        <v>1622</v>
      </c>
      <c r="L1961" s="8"/>
      <c r="M1961" s="6" t="s">
        <v>1671</v>
      </c>
      <c r="N1961" s="6" t="s">
        <v>1644</v>
      </c>
      <c r="O1961" s="7">
        <f>SUMIFS('05_상품별배치367'!$K$7:$K$373,'05_상품별배치367'!$E$7:$E$373,A1961,'05_상품별배치367'!$H$7:$H$373,"본진")</f>
        <v>0</v>
      </c>
      <c r="P1961" s="7">
        <f>SUMIFS('05_상품별배치367'!$K$7:$K$373,'05_상품별배치367'!$E$7:$E$373,A1961,'05_상품별배치367'!$H$7:$H$373,"추가 진열")</f>
        <v>0</v>
      </c>
      <c r="Q1961" s="7">
        <f>O1961+P1961</f>
        <v>0</v>
      </c>
      <c r="R1961" s="7">
        <v>0</v>
      </c>
      <c r="S1961" s="6" t="s">
        <v>1672</v>
      </c>
      <c r="T1961" s="6" t="s">
        <v>1637</v>
      </c>
      <c r="U1961" s="6"/>
      <c r="V1961" s="16"/>
      <c r="W1961" s="16"/>
      <c r="X1961" s="16"/>
      <c r="Y1961" s="6" t="s">
        <v>1627</v>
      </c>
      <c r="Z1961" s="15"/>
      <c r="AA1961" s="15" t="s">
        <v>1628</v>
      </c>
    </row>
    <row r="1962" spans="1:27" ht="33" customHeight="1">
      <c r="A1962" s="8" t="s">
        <v>2034</v>
      </c>
      <c r="B1962" s="9">
        <v>144</v>
      </c>
      <c r="C1962" s="8" t="s">
        <v>2035</v>
      </c>
      <c r="D1962" s="8" t="s">
        <v>2036</v>
      </c>
      <c r="E1962" s="8" t="s">
        <v>1620</v>
      </c>
      <c r="F1962" s="8" t="s">
        <v>150</v>
      </c>
      <c r="G1962" s="8" t="s">
        <v>332</v>
      </c>
      <c r="H1962" s="8"/>
      <c r="I1962" s="14" t="s">
        <v>1642</v>
      </c>
      <c r="J1962" s="15"/>
      <c r="K1962" s="8" t="s">
        <v>1622</v>
      </c>
      <c r="L1962" s="8"/>
      <c r="M1962" s="6" t="s">
        <v>1643</v>
      </c>
      <c r="N1962" s="6" t="s">
        <v>1644</v>
      </c>
      <c r="O1962" s="7">
        <f>SUMIFS('05_상품별배치367'!$K$7:$K$373,'05_상품별배치367'!$E$7:$E$373,A1962,'05_상품별배치367'!$H$7:$H$373,"본진")</f>
        <v>0</v>
      </c>
      <c r="P1962" s="7">
        <f>SUMIFS('05_상품별배치367'!$K$7:$K$373,'05_상품별배치367'!$E$7:$E$373,A1962,'05_상품별배치367'!$H$7:$H$373,"추가 진열")</f>
        <v>0</v>
      </c>
      <c r="Q1962" s="7">
        <f>O1962+P1962</f>
        <v>0</v>
      </c>
      <c r="R1962" s="7">
        <v>1</v>
      </c>
      <c r="S1962" s="6" t="s">
        <v>2037</v>
      </c>
      <c r="T1962" s="6" t="s">
        <v>1637</v>
      </c>
      <c r="U1962" s="6"/>
      <c r="V1962" s="16"/>
      <c r="W1962" s="16"/>
      <c r="X1962" s="16"/>
      <c r="Y1962" s="6" t="s">
        <v>1627</v>
      </c>
      <c r="Z1962" s="15"/>
      <c r="AA1962" s="15" t="s">
        <v>1628</v>
      </c>
    </row>
    <row r="1963" spans="1:27" ht="33" customHeight="1">
      <c r="A1963" s="8" t="s">
        <v>2062</v>
      </c>
      <c r="B1963" s="9">
        <v>154</v>
      </c>
      <c r="C1963" s="8" t="s">
        <v>2063</v>
      </c>
      <c r="D1963" s="8" t="s">
        <v>1619</v>
      </c>
      <c r="E1963" s="8" t="s">
        <v>1666</v>
      </c>
      <c r="F1963" s="8" t="s">
        <v>1852</v>
      </c>
      <c r="G1963" s="8" t="s">
        <v>1853</v>
      </c>
      <c r="H1963" s="8"/>
      <c r="I1963" s="14" t="s">
        <v>1669</v>
      </c>
      <c r="J1963" s="15"/>
      <c r="K1963" s="8" t="s">
        <v>1670</v>
      </c>
      <c r="L1963" s="8"/>
      <c r="M1963" s="6" t="s">
        <v>1671</v>
      </c>
      <c r="N1963" s="6" t="s">
        <v>1644</v>
      </c>
      <c r="O1963" s="7">
        <f>SUMIFS('05_상품별배치367'!$K$7:$K$373,'05_상품별배치367'!$E$7:$E$373,A1963,'05_상품별배치367'!$H$7:$H$373,"본진")</f>
        <v>0</v>
      </c>
      <c r="P1963" s="7">
        <f>SUMIFS('05_상품별배치367'!$K$7:$K$373,'05_상품별배치367'!$E$7:$E$373,A1963,'05_상품별배치367'!$H$7:$H$373,"추가 진열")</f>
        <v>0</v>
      </c>
      <c r="Q1963" s="7">
        <f>O1963+P1963</f>
        <v>0</v>
      </c>
      <c r="R1963" s="7">
        <v>0</v>
      </c>
      <c r="S1963" s="6" t="s">
        <v>1672</v>
      </c>
      <c r="T1963" s="6" t="s">
        <v>1637</v>
      </c>
      <c r="U1963" s="6"/>
      <c r="V1963" s="16"/>
      <c r="W1963" s="16"/>
      <c r="X1963" s="16"/>
      <c r="Y1963" s="6" t="s">
        <v>1627</v>
      </c>
      <c r="Z1963" s="15"/>
      <c r="AA1963" s="15" t="s">
        <v>1628</v>
      </c>
    </row>
    <row r="1964" spans="1:27" ht="33" customHeight="1">
      <c r="A1964" s="6" t="s">
        <v>2025</v>
      </c>
      <c r="B1964" s="7">
        <v>141</v>
      </c>
      <c r="C1964" s="6" t="s">
        <v>2026</v>
      </c>
      <c r="D1964" s="6" t="s">
        <v>2013</v>
      </c>
      <c r="E1964" s="6" t="s">
        <v>1620</v>
      </c>
      <c r="F1964" s="6" t="s">
        <v>151</v>
      </c>
      <c r="G1964" s="6" t="s">
        <v>349</v>
      </c>
      <c r="H1964" s="6"/>
      <c r="I1964" s="14" t="s">
        <v>1642</v>
      </c>
      <c r="J1964" s="15"/>
      <c r="K1964" s="6" t="s">
        <v>1622</v>
      </c>
      <c r="L1964" s="6"/>
      <c r="M1964" s="6" t="s">
        <v>1643</v>
      </c>
      <c r="N1964" s="6" t="s">
        <v>1644</v>
      </c>
      <c r="O1964" s="7">
        <f>SUMIFS('05_상품별배치367'!$K$7:$K$373,'05_상품별배치367'!$E$7:$E$373,A1964,'05_상품별배치367'!$H$7:$H$373,"본진")</f>
        <v>0</v>
      </c>
      <c r="P1964" s="7">
        <f>SUMIFS('05_상품별배치367'!$K$7:$K$373,'05_상품별배치367'!$E$7:$E$373,A1964,'05_상품별배치367'!$H$7:$H$373,"추가 진열")</f>
        <v>0</v>
      </c>
      <c r="Q1964" s="7">
        <f>O1964+P1964</f>
        <v>0</v>
      </c>
      <c r="R1964" s="7">
        <v>1</v>
      </c>
      <c r="S1964" s="6" t="s">
        <v>1676</v>
      </c>
      <c r="T1964" s="6" t="s">
        <v>1637</v>
      </c>
      <c r="U1964" s="6"/>
      <c r="V1964" s="16"/>
      <c r="W1964" s="16"/>
      <c r="X1964" s="16"/>
      <c r="Y1964" s="6" t="s">
        <v>1627</v>
      </c>
      <c r="Z1964" s="15"/>
      <c r="AA1964" s="15" t="s">
        <v>1628</v>
      </c>
    </row>
    <row r="1965" spans="1:27" ht="33" customHeight="1">
      <c r="A1965" s="6" t="s">
        <v>2060</v>
      </c>
      <c r="B1965" s="7">
        <v>153</v>
      </c>
      <c r="C1965" s="6" t="s">
        <v>2061</v>
      </c>
      <c r="D1965" s="6" t="s">
        <v>1619</v>
      </c>
      <c r="E1965" s="6" t="s">
        <v>1666</v>
      </c>
      <c r="F1965" s="6" t="s">
        <v>1852</v>
      </c>
      <c r="G1965" s="6" t="s">
        <v>1853</v>
      </c>
      <c r="H1965" s="6"/>
      <c r="I1965" s="14" t="s">
        <v>1669</v>
      </c>
      <c r="J1965" s="15"/>
      <c r="K1965" s="6" t="s">
        <v>1670</v>
      </c>
      <c r="L1965" s="6"/>
      <c r="M1965" s="6" t="s">
        <v>1671</v>
      </c>
      <c r="N1965" s="6" t="s">
        <v>1644</v>
      </c>
      <c r="O1965" s="7">
        <f>SUMIFS('05_상품별배치367'!$K$7:$K$373,'05_상품별배치367'!$E$7:$E$373,A1965,'05_상품별배치367'!$H$7:$H$373,"본진")</f>
        <v>0</v>
      </c>
      <c r="P1965" s="7">
        <f>SUMIFS('05_상품별배치367'!$K$7:$K$373,'05_상품별배치367'!$E$7:$E$373,A1965,'05_상품별배치367'!$H$7:$H$373,"추가 진열")</f>
        <v>0</v>
      </c>
      <c r="Q1965" s="7">
        <f>O1965+P1965</f>
        <v>0</v>
      </c>
      <c r="R1965" s="7">
        <v>0</v>
      </c>
      <c r="S1965" s="6" t="s">
        <v>1672</v>
      </c>
      <c r="T1965" s="6" t="s">
        <v>1637</v>
      </c>
      <c r="U1965" s="6"/>
      <c r="V1965" s="16"/>
      <c r="W1965" s="16"/>
      <c r="X1965" s="16"/>
      <c r="Y1965" s="6" t="s">
        <v>1627</v>
      </c>
      <c r="Z1965" s="15"/>
      <c r="AA1965" s="15" t="s">
        <v>1628</v>
      </c>
    </row>
    <row r="1966" spans="1:27" ht="33" customHeight="1">
      <c r="A1966" s="6" t="s">
        <v>2064</v>
      </c>
      <c r="B1966" s="7">
        <v>155</v>
      </c>
      <c r="C1966" s="6" t="s">
        <v>2065</v>
      </c>
      <c r="D1966" s="6" t="s">
        <v>1619</v>
      </c>
      <c r="E1966" s="6" t="s">
        <v>1666</v>
      </c>
      <c r="F1966" s="6" t="s">
        <v>1852</v>
      </c>
      <c r="G1966" s="6" t="s">
        <v>1853</v>
      </c>
      <c r="H1966" s="6"/>
      <c r="I1966" s="14" t="s">
        <v>1669</v>
      </c>
      <c r="J1966" s="15"/>
      <c r="K1966" s="6" t="s">
        <v>1670</v>
      </c>
      <c r="L1966" s="6"/>
      <c r="M1966" s="6" t="s">
        <v>1671</v>
      </c>
      <c r="N1966" s="6" t="s">
        <v>1644</v>
      </c>
      <c r="O1966" s="7">
        <f>SUMIFS('05_상품별배치367'!$K$7:$K$373,'05_상품별배치367'!$E$7:$E$373,A1966,'05_상품별배치367'!$H$7:$H$373,"본진")</f>
        <v>0</v>
      </c>
      <c r="P1966" s="7">
        <f>SUMIFS('05_상품별배치367'!$K$7:$K$373,'05_상품별배치367'!$E$7:$E$373,A1966,'05_상품별배치367'!$H$7:$H$373,"추가 진열")</f>
        <v>0</v>
      </c>
      <c r="Q1966" s="7">
        <f>O1966+P1966</f>
        <v>0</v>
      </c>
      <c r="R1966" s="7">
        <v>0</v>
      </c>
      <c r="S1966" s="6" t="s">
        <v>1672</v>
      </c>
      <c r="T1966" s="6" t="s">
        <v>1637</v>
      </c>
      <c r="U1966" s="6"/>
      <c r="V1966" s="16"/>
      <c r="W1966" s="16"/>
      <c r="X1966" s="16"/>
      <c r="Y1966" s="6" t="s">
        <v>1627</v>
      </c>
      <c r="Z1966" s="15"/>
      <c r="AA1966" s="15" t="s">
        <v>1628</v>
      </c>
    </row>
    <row r="1967" spans="1:27" ht="33" customHeight="1">
      <c r="A1967" s="6" t="s">
        <v>2049</v>
      </c>
      <c r="B1967" s="7">
        <v>149</v>
      </c>
      <c r="C1967" s="6" t="s">
        <v>2050</v>
      </c>
      <c r="D1967" s="6" t="s">
        <v>2051</v>
      </c>
      <c r="E1967" s="6" t="s">
        <v>1620</v>
      </c>
      <c r="F1967" s="6" t="s">
        <v>151</v>
      </c>
      <c r="G1967" s="6" t="s">
        <v>349</v>
      </c>
      <c r="H1967" s="6"/>
      <c r="I1967" s="14" t="s">
        <v>1642</v>
      </c>
      <c r="J1967" s="15"/>
      <c r="K1967" s="6" t="s">
        <v>1622</v>
      </c>
      <c r="L1967" s="6"/>
      <c r="M1967" s="6" t="s">
        <v>1643</v>
      </c>
      <c r="N1967" s="6" t="s">
        <v>1644</v>
      </c>
      <c r="O1967" s="7">
        <f>SUMIFS('05_상품별배치367'!$K$7:$K$373,'05_상품별배치367'!$E$7:$E$373,A1967,'05_상품별배치367'!$H$7:$H$373,"본진")</f>
        <v>0</v>
      </c>
      <c r="P1967" s="7">
        <f>SUMIFS('05_상품별배치367'!$K$7:$K$373,'05_상품별배치367'!$E$7:$E$373,A1967,'05_상품별배치367'!$H$7:$H$373,"추가 진열")</f>
        <v>0</v>
      </c>
      <c r="Q1967" s="7">
        <f>O1967+P1967</f>
        <v>0</v>
      </c>
      <c r="R1967" s="7">
        <v>1</v>
      </c>
      <c r="S1967" s="6" t="s">
        <v>1676</v>
      </c>
      <c r="T1967" s="6" t="s">
        <v>1637</v>
      </c>
      <c r="U1967" s="6"/>
      <c r="V1967" s="16"/>
      <c r="W1967" s="16"/>
      <c r="X1967" s="16"/>
      <c r="Y1967" s="6" t="s">
        <v>1655</v>
      </c>
      <c r="Z1967" s="15"/>
      <c r="AA1967" s="15" t="s">
        <v>1628</v>
      </c>
    </row>
    <row r="1968" spans="1:27" ht="33" customHeight="1">
      <c r="A1968" s="8" t="s">
        <v>2066</v>
      </c>
      <c r="B1968" s="9">
        <v>156</v>
      </c>
      <c r="C1968" s="8" t="s">
        <v>2067</v>
      </c>
      <c r="D1968" s="8" t="s">
        <v>1619</v>
      </c>
      <c r="E1968" s="8" t="s">
        <v>1666</v>
      </c>
      <c r="F1968" s="8" t="s">
        <v>1852</v>
      </c>
      <c r="G1968" s="8" t="s">
        <v>1853</v>
      </c>
      <c r="H1968" s="8"/>
      <c r="I1968" s="14" t="s">
        <v>1669</v>
      </c>
      <c r="J1968" s="15"/>
      <c r="K1968" s="8" t="s">
        <v>1670</v>
      </c>
      <c r="L1968" s="8"/>
      <c r="M1968" s="6" t="s">
        <v>1671</v>
      </c>
      <c r="N1968" s="6" t="s">
        <v>1644</v>
      </c>
      <c r="O1968" s="7">
        <f>SUMIFS('05_상품별배치367'!$K$7:$K$373,'05_상품별배치367'!$E$7:$E$373,A1968,'05_상품별배치367'!$H$7:$H$373,"본진")</f>
        <v>0</v>
      </c>
      <c r="P1968" s="7">
        <f>SUMIFS('05_상품별배치367'!$K$7:$K$373,'05_상품별배치367'!$E$7:$E$373,A1968,'05_상품별배치367'!$H$7:$H$373,"추가 진열")</f>
        <v>0</v>
      </c>
      <c r="Q1968" s="7">
        <f>O1968+P1968</f>
        <v>0</v>
      </c>
      <c r="R1968" s="7">
        <v>0</v>
      </c>
      <c r="S1968" s="6" t="s">
        <v>1672</v>
      </c>
      <c r="T1968" s="6" t="s">
        <v>1637</v>
      </c>
      <c r="U1968" s="6"/>
      <c r="V1968" s="16"/>
      <c r="W1968" s="16"/>
      <c r="X1968" s="16"/>
      <c r="Y1968" s="6" t="s">
        <v>1627</v>
      </c>
      <c r="Z1968" s="15"/>
      <c r="AA1968" s="15" t="s">
        <v>1628</v>
      </c>
    </row>
    <row r="1969" spans="1:27" ht="33" customHeight="1">
      <c r="A1969" s="8" t="s">
        <v>2027</v>
      </c>
      <c r="B1969" s="9">
        <v>142</v>
      </c>
      <c r="C1969" s="8" t="s">
        <v>2028</v>
      </c>
      <c r="D1969" s="8" t="s">
        <v>2013</v>
      </c>
      <c r="E1969" s="8" t="s">
        <v>1666</v>
      </c>
      <c r="F1969" s="8" t="s">
        <v>1852</v>
      </c>
      <c r="G1969" s="8" t="s">
        <v>1853</v>
      </c>
      <c r="H1969" s="8"/>
      <c r="I1969" s="14" t="s">
        <v>1669</v>
      </c>
      <c r="J1969" s="15"/>
      <c r="K1969" s="8" t="s">
        <v>1670</v>
      </c>
      <c r="L1969" s="8"/>
      <c r="M1969" s="6" t="s">
        <v>1671</v>
      </c>
      <c r="N1969" s="6" t="s">
        <v>1644</v>
      </c>
      <c r="O1969" s="7">
        <f>SUMIFS('05_상품별배치367'!$K$7:$K$373,'05_상품별배치367'!$E$7:$E$373,A1969,'05_상품별배치367'!$H$7:$H$373,"본진")</f>
        <v>0</v>
      </c>
      <c r="P1969" s="7">
        <f>SUMIFS('05_상품별배치367'!$K$7:$K$373,'05_상품별배치367'!$E$7:$E$373,A1969,'05_상품별배치367'!$H$7:$H$373,"추가 진열")</f>
        <v>0</v>
      </c>
      <c r="Q1969" s="7">
        <f>O1969+P1969</f>
        <v>0</v>
      </c>
      <c r="R1969" s="7">
        <v>0</v>
      </c>
      <c r="S1969" s="6" t="s">
        <v>1672</v>
      </c>
      <c r="T1969" s="6" t="s">
        <v>1637</v>
      </c>
      <c r="U1969" s="6"/>
      <c r="V1969" s="16"/>
      <c r="W1969" s="16"/>
      <c r="X1969" s="16"/>
      <c r="Y1969" s="6" t="s">
        <v>1627</v>
      </c>
      <c r="Z1969" s="15"/>
      <c r="AA1969" s="15" t="s">
        <v>1628</v>
      </c>
    </row>
    <row r="1970" spans="1:27" ht="33" customHeight="1">
      <c r="A1970" s="8" t="s">
        <v>2041</v>
      </c>
      <c r="B1970" s="9">
        <v>146</v>
      </c>
      <c r="C1970" s="8" t="s">
        <v>2042</v>
      </c>
      <c r="D1970" s="8" t="s">
        <v>1619</v>
      </c>
      <c r="E1970" s="8" t="s">
        <v>1666</v>
      </c>
      <c r="F1970" s="8" t="s">
        <v>348</v>
      </c>
      <c r="G1970" s="8" t="s">
        <v>341</v>
      </c>
      <c r="H1970" s="8"/>
      <c r="I1970" s="14" t="s">
        <v>1642</v>
      </c>
      <c r="J1970" s="15"/>
      <c r="K1970" s="8" t="s">
        <v>1670</v>
      </c>
      <c r="L1970" s="8"/>
      <c r="M1970" s="6" t="s">
        <v>1643</v>
      </c>
      <c r="N1970" s="6" t="s">
        <v>1644</v>
      </c>
      <c r="O1970" s="7">
        <f>SUMIFS('05_상품별배치367'!$K$7:$K$373,'05_상품별배치367'!$E$7:$E$373,A1970,'05_상품별배치367'!$H$7:$H$373,"본진")</f>
        <v>0</v>
      </c>
      <c r="P1970" s="7">
        <f>SUMIFS('05_상품별배치367'!$K$7:$K$373,'05_상품별배치367'!$E$7:$E$373,A1970,'05_상품별배치367'!$H$7:$H$373,"추가 진열")</f>
        <v>0</v>
      </c>
      <c r="Q1970" s="7">
        <f>O1970+P1970</f>
        <v>0</v>
      </c>
      <c r="R1970" s="7">
        <v>1</v>
      </c>
      <c r="S1970" s="6" t="s">
        <v>2040</v>
      </c>
      <c r="T1970" s="6" t="s">
        <v>1637</v>
      </c>
      <c r="U1970" s="6"/>
      <c r="V1970" s="16"/>
      <c r="W1970" s="16"/>
      <c r="X1970" s="16"/>
      <c r="Y1970" s="6" t="s">
        <v>1627</v>
      </c>
      <c r="Z1970" s="15"/>
      <c r="AA1970" s="15" t="s">
        <v>1628</v>
      </c>
    </row>
    <row r="1971" spans="1:27" ht="33" customHeight="1">
      <c r="A1971" s="6" t="s">
        <v>2038</v>
      </c>
      <c r="B1971" s="7">
        <v>145</v>
      </c>
      <c r="C1971" s="6" t="s">
        <v>2039</v>
      </c>
      <c r="D1971" s="6" t="s">
        <v>1619</v>
      </c>
      <c r="E1971" s="6" t="s">
        <v>1666</v>
      </c>
      <c r="F1971" s="6" t="s">
        <v>348</v>
      </c>
      <c r="G1971" s="6" t="s">
        <v>341</v>
      </c>
      <c r="H1971" s="6"/>
      <c r="I1971" s="14" t="s">
        <v>1642</v>
      </c>
      <c r="J1971" s="15"/>
      <c r="K1971" s="6" t="s">
        <v>1670</v>
      </c>
      <c r="L1971" s="6"/>
      <c r="M1971" s="6" t="s">
        <v>1643</v>
      </c>
      <c r="N1971" s="6" t="s">
        <v>1644</v>
      </c>
      <c r="O1971" s="7">
        <f>SUMIFS('05_상품별배치367'!$K$7:$K$373,'05_상품별배치367'!$E$7:$E$373,A1971,'05_상품별배치367'!$H$7:$H$373,"본진")</f>
        <v>0</v>
      </c>
      <c r="P1971" s="7">
        <f>SUMIFS('05_상품별배치367'!$K$7:$K$373,'05_상품별배치367'!$E$7:$E$373,A1971,'05_상품별배치367'!$H$7:$H$373,"추가 진열")</f>
        <v>0</v>
      </c>
      <c r="Q1971" s="7">
        <f>O1971+P1971</f>
        <v>0</v>
      </c>
      <c r="R1971" s="7">
        <v>1</v>
      </c>
      <c r="S1971" s="6" t="s">
        <v>2040</v>
      </c>
      <c r="T1971" s="6" t="s">
        <v>1637</v>
      </c>
      <c r="U1971" s="6"/>
      <c r="V1971" s="16"/>
      <c r="W1971" s="16"/>
      <c r="X1971" s="16"/>
      <c r="Y1971" s="6" t="s">
        <v>1627</v>
      </c>
      <c r="Z1971" s="15"/>
      <c r="AA1971" s="15" t="s">
        <v>1628</v>
      </c>
    </row>
    <row r="1972" spans="1:27" ht="33" customHeight="1">
      <c r="A1972" s="8" t="s">
        <v>2052</v>
      </c>
      <c r="B1972" s="9">
        <v>150</v>
      </c>
      <c r="C1972" s="8" t="s">
        <v>2053</v>
      </c>
      <c r="D1972" s="8" t="s">
        <v>2013</v>
      </c>
      <c r="E1972" s="8" t="s">
        <v>1620</v>
      </c>
      <c r="F1972" s="8" t="s">
        <v>151</v>
      </c>
      <c r="G1972" s="8" t="s">
        <v>349</v>
      </c>
      <c r="H1972" s="8"/>
      <c r="I1972" s="14" t="s">
        <v>1642</v>
      </c>
      <c r="J1972" s="15"/>
      <c r="K1972" s="8" t="s">
        <v>1622</v>
      </c>
      <c r="L1972" s="8"/>
      <c r="M1972" s="6" t="s">
        <v>1643</v>
      </c>
      <c r="N1972" s="6" t="s">
        <v>1644</v>
      </c>
      <c r="O1972" s="7">
        <f>SUMIFS('05_상품별배치367'!$K$7:$K$373,'05_상품별배치367'!$E$7:$E$373,A1972,'05_상품별배치367'!$H$7:$H$373,"본진")</f>
        <v>0</v>
      </c>
      <c r="P1972" s="7">
        <f>SUMIFS('05_상품별배치367'!$K$7:$K$373,'05_상품별배치367'!$E$7:$E$373,A1972,'05_상품별배치367'!$H$7:$H$373,"추가 진열")</f>
        <v>0</v>
      </c>
      <c r="Q1972" s="7">
        <f>O1972+P1972</f>
        <v>0</v>
      </c>
      <c r="R1972" s="7">
        <v>1</v>
      </c>
      <c r="S1972" s="6" t="s">
        <v>1676</v>
      </c>
      <c r="T1972" s="6" t="s">
        <v>1637</v>
      </c>
      <c r="U1972" s="6"/>
      <c r="V1972" s="16"/>
      <c r="W1972" s="16"/>
      <c r="X1972" s="16"/>
      <c r="Y1972" s="6" t="s">
        <v>1627</v>
      </c>
      <c r="Z1972" s="15"/>
      <c r="AA1972" s="15" t="s">
        <v>1628</v>
      </c>
    </row>
    <row r="1973" spans="1:27" ht="33" customHeight="1">
      <c r="A1973" s="8" t="s">
        <v>2008</v>
      </c>
      <c r="B1973" s="9">
        <v>134</v>
      </c>
      <c r="C1973" s="8" t="s">
        <v>2009</v>
      </c>
      <c r="D1973" s="8" t="s">
        <v>2010</v>
      </c>
      <c r="E1973" s="8" t="s">
        <v>1666</v>
      </c>
      <c r="F1973" s="8" t="s">
        <v>1852</v>
      </c>
      <c r="G1973" s="8" t="s">
        <v>1853</v>
      </c>
      <c r="H1973" s="8"/>
      <c r="I1973" s="14" t="s">
        <v>1669</v>
      </c>
      <c r="J1973" s="15"/>
      <c r="K1973" s="8" t="s">
        <v>1670</v>
      </c>
      <c r="L1973" s="8"/>
      <c r="M1973" s="6" t="s">
        <v>1671</v>
      </c>
      <c r="N1973" s="6" t="s">
        <v>1644</v>
      </c>
      <c r="O1973" s="7">
        <f>SUMIFS('05_상품별배치367'!$K$7:$K$373,'05_상품별배치367'!$E$7:$E$373,A1973,'05_상품별배치367'!$H$7:$H$373,"본진")</f>
        <v>0</v>
      </c>
      <c r="P1973" s="7">
        <f>SUMIFS('05_상품별배치367'!$K$7:$K$373,'05_상품별배치367'!$E$7:$E$373,A1973,'05_상품별배치367'!$H$7:$H$373,"추가 진열")</f>
        <v>0</v>
      </c>
      <c r="Q1973" s="7">
        <f>O1973+P1973</f>
        <v>0</v>
      </c>
      <c r="R1973" s="7">
        <v>0</v>
      </c>
      <c r="S1973" s="6" t="s">
        <v>1672</v>
      </c>
      <c r="T1973" s="6" t="s">
        <v>1637</v>
      </c>
      <c r="U1973" s="6"/>
      <c r="V1973" s="16"/>
      <c r="W1973" s="16"/>
      <c r="X1973" s="16"/>
      <c r="Y1973" s="6" t="s">
        <v>1627</v>
      </c>
      <c r="Z1973" s="15"/>
      <c r="AA1973" s="15" t="s">
        <v>1628</v>
      </c>
    </row>
    <row r="1974" spans="1:27" ht="33" customHeight="1">
      <c r="A1974" s="8" t="s">
        <v>2019</v>
      </c>
      <c r="B1974" s="9">
        <v>138</v>
      </c>
      <c r="C1974" s="8" t="s">
        <v>2020</v>
      </c>
      <c r="D1974" s="8" t="s">
        <v>2013</v>
      </c>
      <c r="E1974" s="8" t="s">
        <v>1666</v>
      </c>
      <c r="F1974" s="8" t="s">
        <v>1852</v>
      </c>
      <c r="G1974" s="8" t="s">
        <v>1853</v>
      </c>
      <c r="H1974" s="8"/>
      <c r="I1974" s="14" t="s">
        <v>1669</v>
      </c>
      <c r="J1974" s="15"/>
      <c r="K1974" s="8" t="s">
        <v>1670</v>
      </c>
      <c r="L1974" s="8"/>
      <c r="M1974" s="6" t="s">
        <v>1671</v>
      </c>
      <c r="N1974" s="6" t="s">
        <v>1644</v>
      </c>
      <c r="O1974" s="7">
        <f>SUMIFS('05_상품별배치367'!$K$7:$K$373,'05_상품별배치367'!$E$7:$E$373,A1974,'05_상품별배치367'!$H$7:$H$373,"본진")</f>
        <v>0</v>
      </c>
      <c r="P1974" s="7">
        <f>SUMIFS('05_상품별배치367'!$K$7:$K$373,'05_상품별배치367'!$E$7:$E$373,A1974,'05_상품별배치367'!$H$7:$H$373,"추가 진열")</f>
        <v>0</v>
      </c>
      <c r="Q1974" s="7">
        <f>O1974+P1974</f>
        <v>0</v>
      </c>
      <c r="R1974" s="7">
        <v>0</v>
      </c>
      <c r="S1974" s="6" t="s">
        <v>1672</v>
      </c>
      <c r="T1974" s="6" t="s">
        <v>1637</v>
      </c>
      <c r="U1974" s="6"/>
      <c r="V1974" s="16"/>
      <c r="W1974" s="16"/>
      <c r="X1974" s="16"/>
      <c r="Y1974" s="6" t="s">
        <v>1627</v>
      </c>
      <c r="Z1974" s="15"/>
      <c r="AA1974" s="15" t="s">
        <v>1628</v>
      </c>
    </row>
    <row r="1975" spans="1:27" ht="33" customHeight="1">
      <c r="A1975" s="8" t="s">
        <v>2014</v>
      </c>
      <c r="B1975" s="9">
        <v>136</v>
      </c>
      <c r="C1975" s="8" t="s">
        <v>2015</v>
      </c>
      <c r="D1975" s="8" t="s">
        <v>1619</v>
      </c>
      <c r="E1975" s="8" t="s">
        <v>1666</v>
      </c>
      <c r="F1975" s="8" t="s">
        <v>1852</v>
      </c>
      <c r="G1975" s="8" t="s">
        <v>1853</v>
      </c>
      <c r="H1975" s="8"/>
      <c r="I1975" s="14" t="s">
        <v>1669</v>
      </c>
      <c r="J1975" s="15"/>
      <c r="K1975" s="8" t="s">
        <v>1670</v>
      </c>
      <c r="L1975" s="8"/>
      <c r="M1975" s="6" t="s">
        <v>1671</v>
      </c>
      <c r="N1975" s="6" t="s">
        <v>1644</v>
      </c>
      <c r="O1975" s="7">
        <f>SUMIFS('05_상품별배치367'!$K$7:$K$373,'05_상품별배치367'!$E$7:$E$373,A1975,'05_상품별배치367'!$H$7:$H$373,"본진")</f>
        <v>0</v>
      </c>
      <c r="P1975" s="7">
        <f>SUMIFS('05_상품별배치367'!$K$7:$K$373,'05_상품별배치367'!$E$7:$E$373,A1975,'05_상품별배치367'!$H$7:$H$373,"추가 진열")</f>
        <v>0</v>
      </c>
      <c r="Q1975" s="7">
        <f>O1975+P1975</f>
        <v>0</v>
      </c>
      <c r="R1975" s="7">
        <v>0</v>
      </c>
      <c r="S1975" s="6" t="s">
        <v>1672</v>
      </c>
      <c r="T1975" s="6" t="s">
        <v>1637</v>
      </c>
      <c r="U1975" s="6"/>
      <c r="V1975" s="16"/>
      <c r="W1975" s="16"/>
      <c r="X1975" s="16"/>
      <c r="Y1975" s="6" t="s">
        <v>1627</v>
      </c>
      <c r="Z1975" s="15"/>
      <c r="AA1975" s="15" t="s">
        <v>1628</v>
      </c>
    </row>
    <row r="1976" spans="1:27" ht="33" customHeight="1">
      <c r="A1976" s="6" t="s">
        <v>2021</v>
      </c>
      <c r="B1976" s="7">
        <v>139</v>
      </c>
      <c r="C1976" s="6" t="s">
        <v>2022</v>
      </c>
      <c r="D1976" s="6" t="s">
        <v>2013</v>
      </c>
      <c r="E1976" s="6" t="s">
        <v>1666</v>
      </c>
      <c r="F1976" s="6" t="s">
        <v>1852</v>
      </c>
      <c r="G1976" s="6" t="s">
        <v>1853</v>
      </c>
      <c r="H1976" s="6"/>
      <c r="I1976" s="14" t="s">
        <v>1669</v>
      </c>
      <c r="J1976" s="15"/>
      <c r="K1976" s="6" t="s">
        <v>1670</v>
      </c>
      <c r="L1976" s="6"/>
      <c r="M1976" s="6" t="s">
        <v>1671</v>
      </c>
      <c r="N1976" s="6" t="s">
        <v>1644</v>
      </c>
      <c r="O1976" s="7">
        <f>SUMIFS('05_상품별배치367'!$K$7:$K$373,'05_상품별배치367'!$E$7:$E$373,A1976,'05_상품별배치367'!$H$7:$H$373,"본진")</f>
        <v>0</v>
      </c>
      <c r="P1976" s="7">
        <f>SUMIFS('05_상품별배치367'!$K$7:$K$373,'05_상품별배치367'!$E$7:$E$373,A1976,'05_상품별배치367'!$H$7:$H$373,"추가 진열")</f>
        <v>0</v>
      </c>
      <c r="Q1976" s="7">
        <f>O1976+P1976</f>
        <v>0</v>
      </c>
      <c r="R1976" s="7">
        <v>0</v>
      </c>
      <c r="S1976" s="6" t="s">
        <v>1672</v>
      </c>
      <c r="T1976" s="6" t="s">
        <v>1637</v>
      </c>
      <c r="U1976" s="6"/>
      <c r="V1976" s="16"/>
      <c r="W1976" s="16"/>
      <c r="X1976" s="16"/>
      <c r="Y1976" s="6" t="s">
        <v>1627</v>
      </c>
      <c r="Z1976" s="15"/>
      <c r="AA1976" s="15" t="s">
        <v>1628</v>
      </c>
    </row>
    <row r="1977" spans="1:27" ht="33" customHeight="1">
      <c r="A1977" s="6" t="s">
        <v>2011</v>
      </c>
      <c r="B1977" s="7">
        <v>135</v>
      </c>
      <c r="C1977" s="6" t="s">
        <v>2012</v>
      </c>
      <c r="D1977" s="6" t="s">
        <v>2013</v>
      </c>
      <c r="E1977" s="6" t="s">
        <v>1666</v>
      </c>
      <c r="F1977" s="6" t="s">
        <v>1852</v>
      </c>
      <c r="G1977" s="6" t="s">
        <v>1853</v>
      </c>
      <c r="H1977" s="6"/>
      <c r="I1977" s="14" t="s">
        <v>1669</v>
      </c>
      <c r="J1977" s="15"/>
      <c r="K1977" s="6" t="s">
        <v>1670</v>
      </c>
      <c r="L1977" s="6"/>
      <c r="M1977" s="6" t="s">
        <v>1671</v>
      </c>
      <c r="N1977" s="6" t="s">
        <v>1644</v>
      </c>
      <c r="O1977" s="7">
        <f>SUMIFS('05_상품별배치367'!$K$7:$K$373,'05_상품별배치367'!$E$7:$E$373,A1977,'05_상품별배치367'!$H$7:$H$373,"본진")</f>
        <v>0</v>
      </c>
      <c r="P1977" s="7">
        <f>SUMIFS('05_상품별배치367'!$K$7:$K$373,'05_상품별배치367'!$E$7:$E$373,A1977,'05_상품별배치367'!$H$7:$H$373,"추가 진열")</f>
        <v>0</v>
      </c>
      <c r="Q1977" s="7">
        <f>O1977+P1977</f>
        <v>0</v>
      </c>
      <c r="R1977" s="7">
        <v>0</v>
      </c>
      <c r="S1977" s="6" t="s">
        <v>1672</v>
      </c>
      <c r="T1977" s="6" t="s">
        <v>1637</v>
      </c>
      <c r="U1977" s="6"/>
      <c r="V1977" s="16"/>
      <c r="W1977" s="16"/>
      <c r="X1977" s="16"/>
      <c r="Y1977" s="6" t="s">
        <v>1627</v>
      </c>
      <c r="Z1977" s="15"/>
      <c r="AA1977" s="15" t="s">
        <v>1628</v>
      </c>
    </row>
    <row r="1978" spans="1:27" ht="33" customHeight="1">
      <c r="A1978" s="8" t="s">
        <v>2023</v>
      </c>
      <c r="B1978" s="9">
        <v>140</v>
      </c>
      <c r="C1978" s="8" t="s">
        <v>2024</v>
      </c>
      <c r="D1978" s="8" t="s">
        <v>2013</v>
      </c>
      <c r="E1978" s="8" t="s">
        <v>1666</v>
      </c>
      <c r="F1978" s="8" t="s">
        <v>1852</v>
      </c>
      <c r="G1978" s="8" t="s">
        <v>1853</v>
      </c>
      <c r="H1978" s="8"/>
      <c r="I1978" s="14" t="s">
        <v>1669</v>
      </c>
      <c r="J1978" s="15"/>
      <c r="K1978" s="8" t="s">
        <v>1670</v>
      </c>
      <c r="L1978" s="8"/>
      <c r="M1978" s="6" t="s">
        <v>1671</v>
      </c>
      <c r="N1978" s="6" t="s">
        <v>1644</v>
      </c>
      <c r="O1978" s="7">
        <f>SUMIFS('05_상품별배치367'!$K$7:$K$373,'05_상품별배치367'!$E$7:$E$373,A1978,'05_상품별배치367'!$H$7:$H$373,"본진")</f>
        <v>0</v>
      </c>
      <c r="P1978" s="7">
        <f>SUMIFS('05_상품별배치367'!$K$7:$K$373,'05_상품별배치367'!$E$7:$E$373,A1978,'05_상품별배치367'!$H$7:$H$373,"추가 진열")</f>
        <v>0</v>
      </c>
      <c r="Q1978" s="7">
        <f>O1978+P1978</f>
        <v>0</v>
      </c>
      <c r="R1978" s="7">
        <v>0</v>
      </c>
      <c r="S1978" s="6" t="s">
        <v>1672</v>
      </c>
      <c r="T1978" s="6" t="s">
        <v>1637</v>
      </c>
      <c r="U1978" s="6"/>
      <c r="V1978" s="16"/>
      <c r="W1978" s="16"/>
      <c r="X1978" s="16"/>
      <c r="Y1978" s="6" t="s">
        <v>1627</v>
      </c>
      <c r="Z1978" s="15"/>
      <c r="AA1978" s="15" t="s">
        <v>1628</v>
      </c>
    </row>
    <row r="1979" spans="1:27" ht="33" customHeight="1">
      <c r="A1979" s="6" t="s">
        <v>2016</v>
      </c>
      <c r="B1979" s="7">
        <v>137</v>
      </c>
      <c r="C1979" s="6" t="s">
        <v>2017</v>
      </c>
      <c r="D1979" s="6" t="s">
        <v>2013</v>
      </c>
      <c r="E1979" s="6" t="s">
        <v>1666</v>
      </c>
      <c r="F1979" s="6" t="s">
        <v>347</v>
      </c>
      <c r="G1979" s="6" t="s">
        <v>341</v>
      </c>
      <c r="H1979" s="6"/>
      <c r="I1979" s="14" t="s">
        <v>1642</v>
      </c>
      <c r="J1979" s="15"/>
      <c r="K1979" s="6" t="s">
        <v>1670</v>
      </c>
      <c r="L1979" s="6"/>
      <c r="M1979" s="6" t="s">
        <v>1643</v>
      </c>
      <c r="N1979" s="6" t="s">
        <v>1644</v>
      </c>
      <c r="O1979" s="7">
        <f>SUMIFS('05_상품별배치367'!$K$7:$K$373,'05_상품별배치367'!$E$7:$E$373,A1979,'05_상품별배치367'!$H$7:$H$373,"본진")</f>
        <v>0</v>
      </c>
      <c r="P1979" s="7">
        <f>SUMIFS('05_상품별배치367'!$K$7:$K$373,'05_상품별배치367'!$E$7:$E$373,A1979,'05_상품별배치367'!$H$7:$H$373,"추가 진열")</f>
        <v>0</v>
      </c>
      <c r="Q1979" s="7">
        <f>O1979+P1979</f>
        <v>0</v>
      </c>
      <c r="R1979" s="7">
        <v>1</v>
      </c>
      <c r="S1979" s="6" t="s">
        <v>2018</v>
      </c>
      <c r="T1979" s="6" t="s">
        <v>1637</v>
      </c>
      <c r="U1979" s="6"/>
      <c r="V1979" s="16"/>
      <c r="W1979" s="16"/>
      <c r="X1979" s="16"/>
      <c r="Y1979" s="6" t="s">
        <v>1627</v>
      </c>
      <c r="Z1979" s="15"/>
      <c r="AA1979" s="15" t="s">
        <v>1628</v>
      </c>
    </row>
    <row r="1980" spans="1:27" ht="33" customHeight="1">
      <c r="A1980" s="8" t="s">
        <v>2057</v>
      </c>
      <c r="B1980" s="9">
        <v>152</v>
      </c>
      <c r="C1980" s="8" t="s">
        <v>2058</v>
      </c>
      <c r="D1980" s="8" t="s">
        <v>2059</v>
      </c>
      <c r="E1980" s="8" t="s">
        <v>1620</v>
      </c>
      <c r="F1980" s="8" t="s">
        <v>152</v>
      </c>
      <c r="G1980" s="8" t="s">
        <v>69</v>
      </c>
      <c r="H1980" s="8"/>
      <c r="I1980" s="14" t="s">
        <v>1642</v>
      </c>
      <c r="J1980" s="15"/>
      <c r="K1980" s="8" t="s">
        <v>1622</v>
      </c>
      <c r="L1980" s="8"/>
      <c r="M1980" s="6" t="s">
        <v>1643</v>
      </c>
      <c r="N1980" s="6" t="s">
        <v>1644</v>
      </c>
      <c r="O1980" s="7">
        <f>SUMIFS('05_상품별배치367'!$K$7:$K$373,'05_상품별배치367'!$E$7:$E$373,A1980,'05_상품별배치367'!$H$7:$H$373,"본진")</f>
        <v>0</v>
      </c>
      <c r="P1980" s="7">
        <f>SUMIFS('05_상품별배치367'!$K$7:$K$373,'05_상품별배치367'!$E$7:$E$373,A1980,'05_상품별배치367'!$H$7:$H$373,"추가 진열")</f>
        <v>0</v>
      </c>
      <c r="Q1980" s="7">
        <f>O1980+P1980</f>
        <v>0</v>
      </c>
      <c r="R1980" s="7">
        <v>1</v>
      </c>
      <c r="S1980" s="6" t="s">
        <v>2056</v>
      </c>
      <c r="T1980" s="6" t="s">
        <v>1637</v>
      </c>
      <c r="U1980" s="6"/>
      <c r="V1980" s="16"/>
      <c r="W1980" s="16"/>
      <c r="X1980" s="16"/>
      <c r="Y1980" s="6" t="s">
        <v>1627</v>
      </c>
      <c r="Z1980" s="15"/>
      <c r="AA1980" s="15" t="s">
        <v>1628</v>
      </c>
    </row>
    <row r="1981" spans="1:27" ht="33" customHeight="1">
      <c r="A1981" s="6" t="s">
        <v>2054</v>
      </c>
      <c r="B1981" s="7">
        <v>151</v>
      </c>
      <c r="C1981" s="6" t="s">
        <v>2055</v>
      </c>
      <c r="D1981" s="6" t="s">
        <v>1948</v>
      </c>
      <c r="E1981" s="6" t="s">
        <v>1620</v>
      </c>
      <c r="F1981" s="6" t="s">
        <v>152</v>
      </c>
      <c r="G1981" s="6" t="s">
        <v>69</v>
      </c>
      <c r="H1981" s="6"/>
      <c r="I1981" s="14" t="s">
        <v>1642</v>
      </c>
      <c r="J1981" s="15"/>
      <c r="K1981" s="6" t="s">
        <v>1622</v>
      </c>
      <c r="L1981" s="6"/>
      <c r="M1981" s="6" t="s">
        <v>1643</v>
      </c>
      <c r="N1981" s="6" t="s">
        <v>1644</v>
      </c>
      <c r="O1981" s="7">
        <f>SUMIFS('05_상품별배치367'!$K$7:$K$373,'05_상품별배치367'!$E$7:$E$373,A1981,'05_상품별배치367'!$H$7:$H$373,"본진")</f>
        <v>0</v>
      </c>
      <c r="P1981" s="7">
        <f>SUMIFS('05_상품별배치367'!$K$7:$K$373,'05_상품별배치367'!$E$7:$E$373,A1981,'05_상품별배치367'!$H$7:$H$373,"추가 진열")</f>
        <v>0</v>
      </c>
      <c r="Q1981" s="7">
        <f>O1981+P1981</f>
        <v>0</v>
      </c>
      <c r="R1981" s="7">
        <v>1</v>
      </c>
      <c r="S1981" s="6" t="s">
        <v>2056</v>
      </c>
      <c r="T1981" s="6" t="s">
        <v>1637</v>
      </c>
      <c r="U1981" s="6"/>
      <c r="V1981" s="16"/>
      <c r="W1981" s="16"/>
      <c r="X1981" s="16"/>
      <c r="Y1981" s="6" t="s">
        <v>1627</v>
      </c>
      <c r="Z1981" s="15"/>
      <c r="AA1981" s="15" t="s">
        <v>1628</v>
      </c>
    </row>
    <row r="1982" spans="1:27" ht="33" customHeight="1">
      <c r="A1982" s="8" t="s">
        <v>2070</v>
      </c>
      <c r="B1982" s="9">
        <v>158</v>
      </c>
      <c r="C1982" s="8" t="s">
        <v>2071</v>
      </c>
      <c r="D1982" s="8" t="s">
        <v>1619</v>
      </c>
      <c r="E1982" s="8" t="s">
        <v>1620</v>
      </c>
      <c r="F1982" s="8" t="s">
        <v>152</v>
      </c>
      <c r="G1982" s="8" t="s">
        <v>69</v>
      </c>
      <c r="H1982" s="8"/>
      <c r="I1982" s="14" t="s">
        <v>1642</v>
      </c>
      <c r="J1982" s="15"/>
      <c r="K1982" s="8" t="s">
        <v>1622</v>
      </c>
      <c r="L1982" s="8"/>
      <c r="M1982" s="6" t="s">
        <v>1643</v>
      </c>
      <c r="N1982" s="6" t="s">
        <v>1644</v>
      </c>
      <c r="O1982" s="7">
        <f>SUMIFS('05_상품별배치367'!$K$7:$K$373,'05_상품별배치367'!$E$7:$E$373,A1982,'05_상품별배치367'!$H$7:$H$373,"본진")</f>
        <v>0</v>
      </c>
      <c r="P1982" s="7">
        <f>SUMIFS('05_상품별배치367'!$K$7:$K$373,'05_상품별배치367'!$E$7:$E$373,A1982,'05_상품별배치367'!$H$7:$H$373,"추가 진열")</f>
        <v>0</v>
      </c>
      <c r="Q1982" s="7">
        <f>O1982+P1982</f>
        <v>0</v>
      </c>
      <c r="R1982" s="7">
        <v>1</v>
      </c>
      <c r="S1982" s="6" t="s">
        <v>2056</v>
      </c>
      <c r="T1982" s="6" t="s">
        <v>1637</v>
      </c>
      <c r="U1982" s="6"/>
      <c r="V1982" s="16"/>
      <c r="W1982" s="16"/>
      <c r="X1982" s="16"/>
      <c r="Y1982" s="6" t="s">
        <v>1627</v>
      </c>
      <c r="Z1982" s="15"/>
      <c r="AA1982" s="15" t="s">
        <v>1628</v>
      </c>
    </row>
    <row r="1983" spans="1:27" ht="33" customHeight="1">
      <c r="A1983" s="6" t="s">
        <v>2029</v>
      </c>
      <c r="B1983" s="7">
        <v>143</v>
      </c>
      <c r="C1983" s="6" t="s">
        <v>2030</v>
      </c>
      <c r="D1983" s="6" t="s">
        <v>1619</v>
      </c>
      <c r="E1983" s="6" t="s">
        <v>1620</v>
      </c>
      <c r="F1983" s="6" t="s">
        <v>2031</v>
      </c>
      <c r="G1983" s="6" t="s">
        <v>1668</v>
      </c>
      <c r="H1983" s="6"/>
      <c r="I1983" s="14" t="s">
        <v>1642</v>
      </c>
      <c r="J1983" s="15"/>
      <c r="K1983" s="6" t="s">
        <v>1622</v>
      </c>
      <c r="L1983" s="6" t="s">
        <v>2032</v>
      </c>
      <c r="M1983" s="6" t="s">
        <v>1643</v>
      </c>
      <c r="N1983" s="6" t="s">
        <v>1644</v>
      </c>
      <c r="O1983" s="7">
        <f>SUMIFS('05_상품별배치367'!$K$7:$K$373,'05_상품별배치367'!$E$7:$E$373,A1983,'05_상품별배치367'!$H$7:$H$373,"본진")</f>
        <v>0</v>
      </c>
      <c r="P1983" s="7">
        <f>SUMIFS('05_상품별배치367'!$K$7:$K$373,'05_상품별배치367'!$E$7:$E$373,A1983,'05_상품별배치367'!$H$7:$H$373,"추가 진열")</f>
        <v>0</v>
      </c>
      <c r="Q1983" s="7">
        <f>O1983+P1983</f>
        <v>0</v>
      </c>
      <c r="R1983" s="7">
        <v>1</v>
      </c>
      <c r="S1983" s="6" t="s">
        <v>2033</v>
      </c>
      <c r="T1983" s="6" t="s">
        <v>1637</v>
      </c>
      <c r="U1983" s="6"/>
      <c r="V1983" s="16"/>
      <c r="W1983" s="16"/>
      <c r="X1983" s="16"/>
      <c r="Y1983" s="6" t="s">
        <v>1627</v>
      </c>
      <c r="Z1983" s="15"/>
      <c r="AA1983" s="15" t="s">
        <v>1628</v>
      </c>
    </row>
    <row r="1984" spans="1:27" ht="33" customHeight="1">
      <c r="A1984" s="6" t="s">
        <v>2068</v>
      </c>
      <c r="B1984" s="7">
        <v>157</v>
      </c>
      <c r="C1984" s="6" t="s">
        <v>2069</v>
      </c>
      <c r="D1984" s="6" t="s">
        <v>1619</v>
      </c>
      <c r="E1984" s="6" t="s">
        <v>1666</v>
      </c>
      <c r="F1984" s="6" t="s">
        <v>1852</v>
      </c>
      <c r="G1984" s="6" t="s">
        <v>1853</v>
      </c>
      <c r="H1984" s="6"/>
      <c r="I1984" s="14" t="s">
        <v>1669</v>
      </c>
      <c r="J1984" s="15"/>
      <c r="K1984" s="6" t="s">
        <v>1670</v>
      </c>
      <c r="L1984" s="6"/>
      <c r="M1984" s="6" t="s">
        <v>1671</v>
      </c>
      <c r="N1984" s="6" t="s">
        <v>1644</v>
      </c>
      <c r="O1984" s="7">
        <f>SUMIFS('05_상품별배치367'!$K$7:$K$373,'05_상품별배치367'!$E$7:$E$373,A1984,'05_상품별배치367'!$H$7:$H$373,"본진")</f>
        <v>0</v>
      </c>
      <c r="P1984" s="7">
        <f>SUMIFS('05_상품별배치367'!$K$7:$K$373,'05_상품별배치367'!$E$7:$E$373,A1984,'05_상품별배치367'!$H$7:$H$373,"추가 진열")</f>
        <v>0</v>
      </c>
      <c r="Q1984" s="7">
        <f>O1984+P1984</f>
        <v>0</v>
      </c>
      <c r="R1984" s="7">
        <v>0</v>
      </c>
      <c r="S1984" s="6" t="s">
        <v>1672</v>
      </c>
      <c r="T1984" s="6" t="s">
        <v>1637</v>
      </c>
      <c r="U1984" s="6"/>
      <c r="V1984" s="16"/>
      <c r="W1984" s="16"/>
      <c r="X1984" s="16"/>
      <c r="Y1984" s="6" t="s">
        <v>1627</v>
      </c>
      <c r="Z1984" s="15"/>
      <c r="AA1984" s="15" t="s">
        <v>1628</v>
      </c>
    </row>
    <row r="1985" spans="1:27" ht="33" customHeight="1">
      <c r="A1985" s="6" t="s">
        <v>6210</v>
      </c>
      <c r="B1985" s="7">
        <v>2037</v>
      </c>
      <c r="C1985" s="6" t="s">
        <v>6211</v>
      </c>
      <c r="D1985" s="6" t="s">
        <v>1786</v>
      </c>
      <c r="E1985" s="6" t="s">
        <v>1641</v>
      </c>
      <c r="F1985" s="6" t="s">
        <v>1172</v>
      </c>
      <c r="G1985" s="6" t="s">
        <v>315</v>
      </c>
      <c r="H1985" s="6"/>
      <c r="I1985" s="14" t="s">
        <v>1642</v>
      </c>
      <c r="J1985" s="15"/>
      <c r="K1985" s="6" t="s">
        <v>1634</v>
      </c>
      <c r="L1985" s="6" t="s">
        <v>3828</v>
      </c>
      <c r="M1985" s="6" t="s">
        <v>1643</v>
      </c>
      <c r="N1985" s="6" t="s">
        <v>1624</v>
      </c>
      <c r="O1985" s="7">
        <f>SUMIFS('05_상품별배치367'!$K$7:$K$373,'05_상품별배치367'!$E$7:$E$373,A1985,'05_상품별배치367'!$H$7:$H$373,"본진")</f>
        <v>0</v>
      </c>
      <c r="P1985" s="7">
        <f>SUMIFS('05_상품별배치367'!$K$7:$K$373,'05_상품별배치367'!$E$7:$E$373,A1985,'05_상품별배치367'!$H$7:$H$373,"추가 진열")</f>
        <v>0</v>
      </c>
      <c r="Q1985" s="7">
        <f>O1985+P1985</f>
        <v>0</v>
      </c>
      <c r="R1985" s="7">
        <v>1</v>
      </c>
      <c r="S1985" s="6" t="s">
        <v>5942</v>
      </c>
      <c r="T1985" s="6" t="s">
        <v>1637</v>
      </c>
      <c r="U1985" s="6"/>
      <c r="V1985" s="16"/>
      <c r="W1985" s="16"/>
      <c r="X1985" s="16"/>
      <c r="Y1985" s="6" t="s">
        <v>1627</v>
      </c>
      <c r="Z1985" s="15"/>
      <c r="AA1985" s="15" t="s">
        <v>1628</v>
      </c>
    </row>
    <row r="1986" spans="1:27" ht="33" customHeight="1">
      <c r="A1986" s="8" t="s">
        <v>6208</v>
      </c>
      <c r="B1986" s="9">
        <v>2036</v>
      </c>
      <c r="C1986" s="8" t="s">
        <v>6209</v>
      </c>
      <c r="D1986" s="8" t="s">
        <v>1631</v>
      </c>
      <c r="E1986" s="8" t="s">
        <v>1641</v>
      </c>
      <c r="F1986" s="8" t="s">
        <v>1172</v>
      </c>
      <c r="G1986" s="8" t="s">
        <v>323</v>
      </c>
      <c r="H1986" s="8" t="s">
        <v>1171</v>
      </c>
      <c r="I1986" s="14" t="s">
        <v>1633</v>
      </c>
      <c r="J1986" s="15"/>
      <c r="K1986" s="8" t="s">
        <v>1634</v>
      </c>
      <c r="L1986" s="8" t="s">
        <v>3828</v>
      </c>
      <c r="M1986" s="6" t="s">
        <v>1635</v>
      </c>
      <c r="N1986" s="6" t="s">
        <v>1624</v>
      </c>
      <c r="O1986" s="7">
        <f>SUMIFS('05_상품별배치367'!$K$7:$K$373,'05_상품별배치367'!$E$7:$E$373,A1986,'05_상품별배치367'!$H$7:$H$373,"본진")</f>
        <v>1</v>
      </c>
      <c r="P1986" s="7">
        <f>SUMIFS('05_상품별배치367'!$K$7:$K$373,'05_상품별배치367'!$E$7:$E$373,A1986,'05_상품별배치367'!$H$7:$H$373,"추가 진열")</f>
        <v>0</v>
      </c>
      <c r="Q1986" s="7">
        <f>O1986+P1986</f>
        <v>1</v>
      </c>
      <c r="R1986" s="7">
        <v>1</v>
      </c>
      <c r="S1986" s="6" t="s">
        <v>1636</v>
      </c>
      <c r="T1986" s="6" t="s">
        <v>1637</v>
      </c>
      <c r="U1986" s="6"/>
      <c r="V1986" s="16"/>
      <c r="W1986" s="16"/>
      <c r="X1986" s="16"/>
      <c r="Y1986" s="6" t="s">
        <v>1627</v>
      </c>
      <c r="Z1986" s="15"/>
      <c r="AA1986" s="15" t="s">
        <v>1628</v>
      </c>
    </row>
    <row r="1987" spans="1:27" ht="33" customHeight="1">
      <c r="A1987" s="6" t="s">
        <v>3391</v>
      </c>
      <c r="B1987" s="7">
        <v>723</v>
      </c>
      <c r="C1987" s="6" t="s">
        <v>3392</v>
      </c>
      <c r="D1987" s="6" t="s">
        <v>3393</v>
      </c>
      <c r="E1987" s="6" t="s">
        <v>1986</v>
      </c>
      <c r="F1987" s="6" t="s">
        <v>913</v>
      </c>
      <c r="G1987" s="6" t="s">
        <v>201</v>
      </c>
      <c r="H1987" s="6"/>
      <c r="I1987" s="14" t="s">
        <v>1642</v>
      </c>
      <c r="J1987" s="15"/>
      <c r="K1987" s="6" t="s">
        <v>1976</v>
      </c>
      <c r="L1987" s="6"/>
      <c r="M1987" s="6" t="s">
        <v>1643</v>
      </c>
      <c r="N1987" s="6" t="s">
        <v>1644</v>
      </c>
      <c r="O1987" s="7">
        <f>SUMIFS('05_상품별배치367'!$K$7:$K$373,'05_상품별배치367'!$E$7:$E$373,A1987,'05_상품별배치367'!$H$7:$H$373,"본진")</f>
        <v>0</v>
      </c>
      <c r="P1987" s="7">
        <f>SUMIFS('05_상품별배치367'!$K$7:$K$373,'05_상품별배치367'!$E$7:$E$373,A1987,'05_상품별배치367'!$H$7:$H$373,"추가 진열")</f>
        <v>0</v>
      </c>
      <c r="Q1987" s="7">
        <f>O1987+P1987</f>
        <v>0</v>
      </c>
      <c r="R1987" s="7">
        <v>1</v>
      </c>
      <c r="S1987" s="6" t="s">
        <v>2907</v>
      </c>
      <c r="T1987" s="6" t="s">
        <v>1637</v>
      </c>
      <c r="U1987" s="6"/>
      <c r="V1987" s="16"/>
      <c r="W1987" s="16"/>
      <c r="X1987" s="16"/>
      <c r="Y1987" s="6" t="s">
        <v>1627</v>
      </c>
      <c r="Z1987" s="15"/>
      <c r="AA1987" s="15" t="s">
        <v>1628</v>
      </c>
    </row>
    <row r="1988" spans="1:27" ht="33" customHeight="1">
      <c r="A1988" s="8" t="s">
        <v>3394</v>
      </c>
      <c r="B1988" s="9">
        <v>724</v>
      </c>
      <c r="C1988" s="8" t="s">
        <v>3395</v>
      </c>
      <c r="D1988" s="8" t="s">
        <v>3396</v>
      </c>
      <c r="E1988" s="8" t="s">
        <v>1986</v>
      </c>
      <c r="F1988" s="8" t="s">
        <v>913</v>
      </c>
      <c r="G1988" s="8" t="s">
        <v>201</v>
      </c>
      <c r="H1988" s="8"/>
      <c r="I1988" s="14" t="s">
        <v>1642</v>
      </c>
      <c r="J1988" s="15"/>
      <c r="K1988" s="8" t="s">
        <v>1976</v>
      </c>
      <c r="L1988" s="8"/>
      <c r="M1988" s="6" t="s">
        <v>1643</v>
      </c>
      <c r="N1988" s="6" t="s">
        <v>1644</v>
      </c>
      <c r="O1988" s="7">
        <f>SUMIFS('05_상품별배치367'!$K$7:$K$373,'05_상품별배치367'!$E$7:$E$373,A1988,'05_상품별배치367'!$H$7:$H$373,"본진")</f>
        <v>0</v>
      </c>
      <c r="P1988" s="7">
        <f>SUMIFS('05_상품별배치367'!$K$7:$K$373,'05_상품별배치367'!$E$7:$E$373,A1988,'05_상품별배치367'!$H$7:$H$373,"추가 진열")</f>
        <v>0</v>
      </c>
      <c r="Q1988" s="7">
        <f>O1988+P1988</f>
        <v>0</v>
      </c>
      <c r="R1988" s="7">
        <v>1</v>
      </c>
      <c r="S1988" s="6" t="s">
        <v>2907</v>
      </c>
      <c r="T1988" s="6" t="s">
        <v>1637</v>
      </c>
      <c r="U1988" s="6"/>
      <c r="V1988" s="16"/>
      <c r="W1988" s="16"/>
      <c r="X1988" s="16"/>
      <c r="Y1988" s="6" t="s">
        <v>1627</v>
      </c>
      <c r="Z1988" s="15"/>
      <c r="AA1988" s="15" t="s">
        <v>1628</v>
      </c>
    </row>
    <row r="1989" spans="1:27" ht="33" customHeight="1">
      <c r="A1989" s="6" t="s">
        <v>3397</v>
      </c>
      <c r="B1989" s="7">
        <v>725</v>
      </c>
      <c r="C1989" s="6" t="s">
        <v>3398</v>
      </c>
      <c r="D1989" s="6" t="s">
        <v>2680</v>
      </c>
      <c r="E1989" s="6" t="s">
        <v>1986</v>
      </c>
      <c r="F1989" s="6" t="s">
        <v>913</v>
      </c>
      <c r="G1989" s="6" t="s">
        <v>201</v>
      </c>
      <c r="H1989" s="6"/>
      <c r="I1989" s="14" t="s">
        <v>1642</v>
      </c>
      <c r="J1989" s="15"/>
      <c r="K1989" s="6" t="s">
        <v>1976</v>
      </c>
      <c r="L1989" s="6"/>
      <c r="M1989" s="6" t="s">
        <v>1643</v>
      </c>
      <c r="N1989" s="6" t="s">
        <v>1644</v>
      </c>
      <c r="O1989" s="7">
        <f>SUMIFS('05_상품별배치367'!$K$7:$K$373,'05_상품별배치367'!$E$7:$E$373,A1989,'05_상품별배치367'!$H$7:$H$373,"본진")</f>
        <v>0</v>
      </c>
      <c r="P1989" s="7">
        <f>SUMIFS('05_상품별배치367'!$K$7:$K$373,'05_상품별배치367'!$E$7:$E$373,A1989,'05_상품별배치367'!$H$7:$H$373,"추가 진열")</f>
        <v>0</v>
      </c>
      <c r="Q1989" s="7">
        <f>O1989+P1989</f>
        <v>0</v>
      </c>
      <c r="R1989" s="7">
        <v>1</v>
      </c>
      <c r="S1989" s="6" t="s">
        <v>2907</v>
      </c>
      <c r="T1989" s="6" t="s">
        <v>1637</v>
      </c>
      <c r="U1989" s="6"/>
      <c r="V1989" s="16"/>
      <c r="W1989" s="16"/>
      <c r="X1989" s="16"/>
      <c r="Y1989" s="6" t="s">
        <v>1627</v>
      </c>
      <c r="Z1989" s="15"/>
      <c r="AA1989" s="15" t="s">
        <v>1628</v>
      </c>
    </row>
    <row r="1990" spans="1:27" ht="33" customHeight="1">
      <c r="A1990" s="8" t="s">
        <v>1140</v>
      </c>
      <c r="B1990" s="9">
        <v>2406</v>
      </c>
      <c r="C1990" s="8" t="s">
        <v>1139</v>
      </c>
      <c r="D1990" s="8" t="s">
        <v>6997</v>
      </c>
      <c r="E1990" s="8" t="s">
        <v>1641</v>
      </c>
      <c r="F1990" s="8" t="s">
        <v>1134</v>
      </c>
      <c r="G1990" s="8" t="s">
        <v>315</v>
      </c>
      <c r="H1990" s="8" t="s">
        <v>1138</v>
      </c>
      <c r="I1990" s="14" t="s">
        <v>1621</v>
      </c>
      <c r="J1990" s="15"/>
      <c r="K1990" s="8" t="s">
        <v>1634</v>
      </c>
      <c r="L1990" s="8" t="s">
        <v>3828</v>
      </c>
      <c r="M1990" s="6" t="s">
        <v>1623</v>
      </c>
      <c r="N1990" s="6" t="s">
        <v>1624</v>
      </c>
      <c r="O1990" s="7">
        <f>SUMIFS('05_상품별배치367'!$K$7:$K$373,'05_상품별배치367'!$E$7:$E$373,A1990,'05_상품별배치367'!$H$7:$H$373,"본진")</f>
        <v>1</v>
      </c>
      <c r="P1990" s="7">
        <f>SUMIFS('05_상품별배치367'!$K$7:$K$373,'05_상품별배치367'!$E$7:$E$373,A1990,'05_상품별배치367'!$H$7:$H$373,"추가 진열")</f>
        <v>0</v>
      </c>
      <c r="Q1990" s="7">
        <f>O1990+P1990</f>
        <v>1</v>
      </c>
      <c r="R1990" s="7">
        <v>1</v>
      </c>
      <c r="S1990" s="6" t="s">
        <v>1625</v>
      </c>
      <c r="T1990" s="6" t="s">
        <v>1637</v>
      </c>
      <c r="U1990" s="6"/>
      <c r="V1990" s="16"/>
      <c r="W1990" s="16"/>
      <c r="X1990" s="16"/>
      <c r="Y1990" s="6" t="s">
        <v>1627</v>
      </c>
      <c r="Z1990" s="15"/>
      <c r="AA1990" s="15" t="s">
        <v>1628</v>
      </c>
    </row>
    <row r="1991" spans="1:27" ht="33" customHeight="1">
      <c r="A1991" s="6" t="s">
        <v>7003</v>
      </c>
      <c r="B1991" s="7">
        <v>2409</v>
      </c>
      <c r="C1991" s="6" t="s">
        <v>7004</v>
      </c>
      <c r="D1991" s="6" t="s">
        <v>1972</v>
      </c>
      <c r="E1991" s="6" t="s">
        <v>1641</v>
      </c>
      <c r="F1991" s="6" t="s">
        <v>1134</v>
      </c>
      <c r="G1991" s="6" t="s">
        <v>315</v>
      </c>
      <c r="H1991" s="6"/>
      <c r="I1991" s="14" t="s">
        <v>1642</v>
      </c>
      <c r="J1991" s="15"/>
      <c r="K1991" s="6" t="s">
        <v>1634</v>
      </c>
      <c r="L1991" s="6" t="s">
        <v>3828</v>
      </c>
      <c r="M1991" s="6" t="s">
        <v>1643</v>
      </c>
      <c r="N1991" s="6" t="s">
        <v>1624</v>
      </c>
      <c r="O1991" s="7">
        <f>SUMIFS('05_상품별배치367'!$K$7:$K$373,'05_상품별배치367'!$E$7:$E$373,A1991,'05_상품별배치367'!$H$7:$H$373,"본진")</f>
        <v>0</v>
      </c>
      <c r="P1991" s="7">
        <f>SUMIFS('05_상품별배치367'!$K$7:$K$373,'05_상품별배치367'!$E$7:$E$373,A1991,'05_상품별배치367'!$H$7:$H$373,"추가 진열")</f>
        <v>0</v>
      </c>
      <c r="Q1991" s="7">
        <f>O1991+P1991</f>
        <v>0</v>
      </c>
      <c r="R1991" s="7">
        <v>1</v>
      </c>
      <c r="S1991" s="6" t="s">
        <v>6055</v>
      </c>
      <c r="T1991" s="6" t="s">
        <v>1637</v>
      </c>
      <c r="U1991" s="6"/>
      <c r="V1991" s="16"/>
      <c r="W1991" s="16"/>
      <c r="X1991" s="16"/>
      <c r="Y1991" s="6" t="s">
        <v>1627</v>
      </c>
      <c r="Z1991" s="15"/>
      <c r="AA1991" s="15" t="s">
        <v>1628</v>
      </c>
    </row>
    <row r="1992" spans="1:27" ht="33" customHeight="1">
      <c r="A1992" s="6" t="s">
        <v>7011</v>
      </c>
      <c r="B1992" s="7">
        <v>2413</v>
      </c>
      <c r="C1992" s="6" t="s">
        <v>7012</v>
      </c>
      <c r="D1992" s="6" t="s">
        <v>1724</v>
      </c>
      <c r="E1992" s="6" t="s">
        <v>1632</v>
      </c>
      <c r="F1992" s="6" t="s">
        <v>1401</v>
      </c>
      <c r="G1992" s="6" t="s">
        <v>447</v>
      </c>
      <c r="H1992" s="6"/>
      <c r="I1992" s="14" t="s">
        <v>1642</v>
      </c>
      <c r="J1992" s="15"/>
      <c r="K1992" s="6" t="s">
        <v>1634</v>
      </c>
      <c r="L1992" s="6" t="s">
        <v>3828</v>
      </c>
      <c r="M1992" s="6" t="s">
        <v>1643</v>
      </c>
      <c r="N1992" s="6" t="s">
        <v>1624</v>
      </c>
      <c r="O1992" s="7">
        <f>SUMIFS('05_상품별배치367'!$K$7:$K$373,'05_상품별배치367'!$E$7:$E$373,A1992,'05_상품별배치367'!$H$7:$H$373,"본진")</f>
        <v>0</v>
      </c>
      <c r="P1992" s="7">
        <f>SUMIFS('05_상품별배치367'!$K$7:$K$373,'05_상품별배치367'!$E$7:$E$373,A1992,'05_상품별배치367'!$H$7:$H$373,"추가 진열")</f>
        <v>0</v>
      </c>
      <c r="Q1992" s="7">
        <f>O1992+P1992</f>
        <v>0</v>
      </c>
      <c r="R1992" s="7">
        <v>1</v>
      </c>
      <c r="S1992" s="6" t="s">
        <v>1789</v>
      </c>
      <c r="T1992" s="6" t="s">
        <v>1637</v>
      </c>
      <c r="U1992" s="6"/>
      <c r="V1992" s="16"/>
      <c r="W1992" s="16"/>
      <c r="X1992" s="16"/>
      <c r="Y1992" s="6" t="s">
        <v>1627</v>
      </c>
      <c r="Z1992" s="15"/>
      <c r="AA1992" s="15" t="s">
        <v>1628</v>
      </c>
    </row>
    <row r="1993" spans="1:27" ht="33" customHeight="1">
      <c r="A1993" s="8" t="s">
        <v>4287</v>
      </c>
      <c r="B1993" s="9">
        <v>1134</v>
      </c>
      <c r="C1993" s="8" t="s">
        <v>4288</v>
      </c>
      <c r="D1993" s="8" t="s">
        <v>3338</v>
      </c>
      <c r="E1993" s="8" t="s">
        <v>2134</v>
      </c>
      <c r="F1993" s="8" t="s">
        <v>162</v>
      </c>
      <c r="G1993" s="8" t="s">
        <v>404</v>
      </c>
      <c r="H1993" s="8"/>
      <c r="I1993" s="14" t="s">
        <v>1642</v>
      </c>
      <c r="J1993" s="15"/>
      <c r="K1993" s="8" t="s">
        <v>1976</v>
      </c>
      <c r="L1993" s="8"/>
      <c r="M1993" s="6" t="s">
        <v>1643</v>
      </c>
      <c r="N1993" s="6" t="s">
        <v>1644</v>
      </c>
      <c r="O1993" s="7">
        <f>SUMIFS('05_상품별배치367'!$K$7:$K$373,'05_상품별배치367'!$E$7:$E$373,A1993,'05_상품별배치367'!$H$7:$H$373,"본진")</f>
        <v>0</v>
      </c>
      <c r="P1993" s="7">
        <f>SUMIFS('05_상품별배치367'!$K$7:$K$373,'05_상품별배치367'!$E$7:$E$373,A1993,'05_상품별배치367'!$H$7:$H$373,"추가 진열")</f>
        <v>0</v>
      </c>
      <c r="Q1993" s="7">
        <f>O1993+P1993</f>
        <v>0</v>
      </c>
      <c r="R1993" s="7">
        <v>1</v>
      </c>
      <c r="S1993" s="6" t="s">
        <v>2996</v>
      </c>
      <c r="T1993" s="6" t="s">
        <v>1637</v>
      </c>
      <c r="U1993" s="6"/>
      <c r="V1993" s="16"/>
      <c r="W1993" s="16"/>
      <c r="X1993" s="16"/>
      <c r="Y1993" s="6" t="s">
        <v>1627</v>
      </c>
      <c r="Z1993" s="15"/>
      <c r="AA1993" s="15" t="s">
        <v>1628</v>
      </c>
    </row>
    <row r="1994" spans="1:27" ht="33" customHeight="1">
      <c r="A1994" s="6" t="s">
        <v>4289</v>
      </c>
      <c r="B1994" s="7">
        <v>1135</v>
      </c>
      <c r="C1994" s="6" t="s">
        <v>4290</v>
      </c>
      <c r="D1994" s="6" t="s">
        <v>4291</v>
      </c>
      <c r="E1994" s="6" t="s">
        <v>1986</v>
      </c>
      <c r="F1994" s="6" t="s">
        <v>493</v>
      </c>
      <c r="G1994" s="6" t="s">
        <v>299</v>
      </c>
      <c r="H1994" s="6"/>
      <c r="I1994" s="14" t="s">
        <v>1642</v>
      </c>
      <c r="J1994" s="15"/>
      <c r="K1994" s="6" t="s">
        <v>1976</v>
      </c>
      <c r="L1994" s="6"/>
      <c r="M1994" s="6" t="s">
        <v>1643</v>
      </c>
      <c r="N1994" s="6" t="s">
        <v>1644</v>
      </c>
      <c r="O1994" s="7">
        <f>SUMIFS('05_상품별배치367'!$K$7:$K$373,'05_상품별배치367'!$E$7:$E$373,A1994,'05_상품별배치367'!$H$7:$H$373,"본진")</f>
        <v>0</v>
      </c>
      <c r="P1994" s="7">
        <f>SUMIFS('05_상품별배치367'!$K$7:$K$373,'05_상품별배치367'!$E$7:$E$373,A1994,'05_상품별배치367'!$H$7:$H$373,"추가 진열")</f>
        <v>0</v>
      </c>
      <c r="Q1994" s="7">
        <f>O1994+P1994</f>
        <v>0</v>
      </c>
      <c r="R1994" s="7">
        <v>1</v>
      </c>
      <c r="S1994" s="6" t="s">
        <v>3084</v>
      </c>
      <c r="T1994" s="6" t="s">
        <v>1637</v>
      </c>
      <c r="U1994" s="6"/>
      <c r="V1994" s="16"/>
      <c r="W1994" s="16"/>
      <c r="X1994" s="16"/>
      <c r="Y1994" s="6" t="s">
        <v>1627</v>
      </c>
      <c r="Z1994" s="15"/>
      <c r="AA1994" s="15" t="s">
        <v>1628</v>
      </c>
    </row>
    <row r="1995" spans="1:27" ht="33" customHeight="1">
      <c r="A1995" s="8" t="s">
        <v>4300</v>
      </c>
      <c r="B1995" s="9">
        <v>1140</v>
      </c>
      <c r="C1995" s="8" t="s">
        <v>4301</v>
      </c>
      <c r="D1995" s="8" t="s">
        <v>1631</v>
      </c>
      <c r="E1995" s="8" t="s">
        <v>1814</v>
      </c>
      <c r="F1995" s="8" t="s">
        <v>514</v>
      </c>
      <c r="G1995" s="8" t="s">
        <v>423</v>
      </c>
      <c r="H1995" s="8"/>
      <c r="I1995" s="14" t="s">
        <v>1642</v>
      </c>
      <c r="J1995" s="15"/>
      <c r="K1995" s="8" t="s">
        <v>1976</v>
      </c>
      <c r="L1995" s="8"/>
      <c r="M1995" s="6" t="s">
        <v>1643</v>
      </c>
      <c r="N1995" s="6" t="s">
        <v>1644</v>
      </c>
      <c r="O1995" s="7">
        <f>SUMIFS('05_상품별배치367'!$K$7:$K$373,'05_상품별배치367'!$E$7:$E$373,A1995,'05_상품별배치367'!$H$7:$H$373,"본진")</f>
        <v>0</v>
      </c>
      <c r="P1995" s="7">
        <f>SUMIFS('05_상품별배치367'!$K$7:$K$373,'05_상품별배치367'!$E$7:$E$373,A1995,'05_상품별배치367'!$H$7:$H$373,"추가 진열")</f>
        <v>0</v>
      </c>
      <c r="Q1995" s="7">
        <f>O1995+P1995</f>
        <v>0</v>
      </c>
      <c r="R1995" s="7">
        <v>1</v>
      </c>
      <c r="S1995" s="6" t="s">
        <v>1991</v>
      </c>
      <c r="T1995" s="6" t="s">
        <v>1637</v>
      </c>
      <c r="U1995" s="6"/>
      <c r="V1995" s="16"/>
      <c r="W1995" s="16"/>
      <c r="X1995" s="16"/>
      <c r="Y1995" s="6" t="s">
        <v>1627</v>
      </c>
      <c r="Z1995" s="15"/>
      <c r="AA1995" s="15" t="s">
        <v>1628</v>
      </c>
    </row>
    <row r="1996" spans="1:27" ht="33" customHeight="1">
      <c r="A1996" s="6" t="s">
        <v>4302</v>
      </c>
      <c r="B1996" s="7">
        <v>1141</v>
      </c>
      <c r="C1996" s="6" t="s">
        <v>4303</v>
      </c>
      <c r="D1996" s="6" t="s">
        <v>1631</v>
      </c>
      <c r="E1996" s="6" t="s">
        <v>1814</v>
      </c>
      <c r="F1996" s="6" t="s">
        <v>514</v>
      </c>
      <c r="G1996" s="6" t="s">
        <v>423</v>
      </c>
      <c r="H1996" s="6"/>
      <c r="I1996" s="14" t="s">
        <v>1642</v>
      </c>
      <c r="J1996" s="15"/>
      <c r="K1996" s="6" t="s">
        <v>1976</v>
      </c>
      <c r="L1996" s="6"/>
      <c r="M1996" s="6" t="s">
        <v>1643</v>
      </c>
      <c r="N1996" s="6" t="s">
        <v>1644</v>
      </c>
      <c r="O1996" s="7">
        <f>SUMIFS('05_상품별배치367'!$K$7:$K$373,'05_상품별배치367'!$E$7:$E$373,A1996,'05_상품별배치367'!$H$7:$H$373,"본진")</f>
        <v>0</v>
      </c>
      <c r="P1996" s="7">
        <f>SUMIFS('05_상품별배치367'!$K$7:$K$373,'05_상품별배치367'!$E$7:$E$373,A1996,'05_상품별배치367'!$H$7:$H$373,"추가 진열")</f>
        <v>0</v>
      </c>
      <c r="Q1996" s="7">
        <f>O1996+P1996</f>
        <v>0</v>
      </c>
      <c r="R1996" s="7">
        <v>1</v>
      </c>
      <c r="S1996" s="6" t="s">
        <v>1991</v>
      </c>
      <c r="T1996" s="6" t="s">
        <v>1637</v>
      </c>
      <c r="U1996" s="6"/>
      <c r="V1996" s="16"/>
      <c r="W1996" s="16"/>
      <c r="X1996" s="16"/>
      <c r="Y1996" s="6" t="s">
        <v>1627</v>
      </c>
      <c r="Z1996" s="15"/>
      <c r="AA1996" s="15" t="s">
        <v>1628</v>
      </c>
    </row>
    <row r="1997" spans="1:27" ht="33" customHeight="1">
      <c r="A1997" s="8" t="s">
        <v>4304</v>
      </c>
      <c r="B1997" s="9">
        <v>1142</v>
      </c>
      <c r="C1997" s="8" t="s">
        <v>4305</v>
      </c>
      <c r="D1997" s="8" t="s">
        <v>1631</v>
      </c>
      <c r="E1997" s="8" t="s">
        <v>1814</v>
      </c>
      <c r="F1997" s="8" t="s">
        <v>514</v>
      </c>
      <c r="G1997" s="8" t="s">
        <v>423</v>
      </c>
      <c r="H1997" s="8"/>
      <c r="I1997" s="14" t="s">
        <v>1642</v>
      </c>
      <c r="J1997" s="15"/>
      <c r="K1997" s="8" t="s">
        <v>1976</v>
      </c>
      <c r="L1997" s="8"/>
      <c r="M1997" s="6" t="s">
        <v>1643</v>
      </c>
      <c r="N1997" s="6" t="s">
        <v>1644</v>
      </c>
      <c r="O1997" s="7">
        <f>SUMIFS('05_상품별배치367'!$K$7:$K$373,'05_상품별배치367'!$E$7:$E$373,A1997,'05_상품별배치367'!$H$7:$H$373,"본진")</f>
        <v>0</v>
      </c>
      <c r="P1997" s="7">
        <f>SUMIFS('05_상품별배치367'!$K$7:$K$373,'05_상품별배치367'!$E$7:$E$373,A1997,'05_상품별배치367'!$H$7:$H$373,"추가 진열")</f>
        <v>0</v>
      </c>
      <c r="Q1997" s="7">
        <f>O1997+P1997</f>
        <v>0</v>
      </c>
      <c r="R1997" s="7">
        <v>1</v>
      </c>
      <c r="S1997" s="6" t="s">
        <v>1991</v>
      </c>
      <c r="T1997" s="6" t="s">
        <v>1637</v>
      </c>
      <c r="U1997" s="6"/>
      <c r="V1997" s="16"/>
      <c r="W1997" s="16"/>
      <c r="X1997" s="16"/>
      <c r="Y1997" s="6" t="s">
        <v>1627</v>
      </c>
      <c r="Z1997" s="15"/>
      <c r="AA1997" s="15" t="s">
        <v>1628</v>
      </c>
    </row>
    <row r="1998" spans="1:27" ht="33" customHeight="1">
      <c r="A1998" s="6" t="s">
        <v>4281</v>
      </c>
      <c r="B1998" s="7">
        <v>1131</v>
      </c>
      <c r="C1998" s="6" t="s">
        <v>4282</v>
      </c>
      <c r="D1998" s="6" t="s">
        <v>2899</v>
      </c>
      <c r="E1998" s="6" t="s">
        <v>2134</v>
      </c>
      <c r="F1998" s="6" t="s">
        <v>156</v>
      </c>
      <c r="G1998" s="6" t="s">
        <v>3239</v>
      </c>
      <c r="H1998" s="6"/>
      <c r="I1998" s="14" t="s">
        <v>1642</v>
      </c>
      <c r="J1998" s="15"/>
      <c r="K1998" s="6" t="s">
        <v>1976</v>
      </c>
      <c r="L1998" s="6"/>
      <c r="M1998" s="6" t="s">
        <v>1643</v>
      </c>
      <c r="N1998" s="6" t="s">
        <v>1644</v>
      </c>
      <c r="O1998" s="7">
        <f>SUMIFS('05_상품별배치367'!$K$7:$K$373,'05_상품별배치367'!$E$7:$E$373,A1998,'05_상품별배치367'!$H$7:$H$373,"본진")</f>
        <v>0</v>
      </c>
      <c r="P1998" s="7">
        <f>SUMIFS('05_상품별배치367'!$K$7:$K$373,'05_상품별배치367'!$E$7:$E$373,A1998,'05_상품별배치367'!$H$7:$H$373,"추가 진열")</f>
        <v>0</v>
      </c>
      <c r="Q1998" s="7">
        <f>O1998+P1998</f>
        <v>0</v>
      </c>
      <c r="R1998" s="7">
        <v>1</v>
      </c>
      <c r="S1998" s="6" t="s">
        <v>3240</v>
      </c>
      <c r="T1998" s="6" t="s">
        <v>1637</v>
      </c>
      <c r="U1998" s="6"/>
      <c r="V1998" s="16"/>
      <c r="W1998" s="16"/>
      <c r="X1998" s="16"/>
      <c r="Y1998" s="6" t="s">
        <v>1627</v>
      </c>
      <c r="Z1998" s="15"/>
      <c r="AA1998" s="15" t="s">
        <v>1628</v>
      </c>
    </row>
    <row r="1999" spans="1:27" ht="33" customHeight="1">
      <c r="A1999" s="8" t="s">
        <v>4296</v>
      </c>
      <c r="B1999" s="9">
        <v>1138</v>
      </c>
      <c r="C1999" s="8" t="s">
        <v>4297</v>
      </c>
      <c r="D1999" s="8" t="s">
        <v>2845</v>
      </c>
      <c r="E1999" s="8" t="s">
        <v>1986</v>
      </c>
      <c r="F1999" s="8" t="s">
        <v>913</v>
      </c>
      <c r="G1999" s="8" t="s">
        <v>201</v>
      </c>
      <c r="H1999" s="8"/>
      <c r="I1999" s="14" t="s">
        <v>1642</v>
      </c>
      <c r="J1999" s="15"/>
      <c r="K1999" s="8" t="s">
        <v>1976</v>
      </c>
      <c r="L1999" s="8"/>
      <c r="M1999" s="6" t="s">
        <v>1643</v>
      </c>
      <c r="N1999" s="6" t="s">
        <v>1644</v>
      </c>
      <c r="O1999" s="7">
        <f>SUMIFS('05_상품별배치367'!$K$7:$K$373,'05_상품별배치367'!$E$7:$E$373,A1999,'05_상품별배치367'!$H$7:$H$373,"본진")</f>
        <v>0</v>
      </c>
      <c r="P1999" s="7">
        <f>SUMIFS('05_상품별배치367'!$K$7:$K$373,'05_상품별배치367'!$E$7:$E$373,A1999,'05_상품별배치367'!$H$7:$H$373,"추가 진열")</f>
        <v>0</v>
      </c>
      <c r="Q1999" s="7">
        <f>O1999+P1999</f>
        <v>0</v>
      </c>
      <c r="R1999" s="7">
        <v>1</v>
      </c>
      <c r="S1999" s="6" t="s">
        <v>2907</v>
      </c>
      <c r="T1999" s="6" t="s">
        <v>1637</v>
      </c>
      <c r="U1999" s="6"/>
      <c r="V1999" s="16"/>
      <c r="W1999" s="16"/>
      <c r="X1999" s="16"/>
      <c r="Y1999" s="6" t="s">
        <v>1627</v>
      </c>
      <c r="Z1999" s="15"/>
      <c r="AA1999" s="15" t="s">
        <v>1628</v>
      </c>
    </row>
    <row r="2000" spans="1:27" ht="33" customHeight="1">
      <c r="A2000" s="6" t="s">
        <v>4298</v>
      </c>
      <c r="B2000" s="7">
        <v>1139</v>
      </c>
      <c r="C2000" s="6" t="s">
        <v>4299</v>
      </c>
      <c r="D2000" s="6" t="s">
        <v>1937</v>
      </c>
      <c r="E2000" s="6" t="s">
        <v>1986</v>
      </c>
      <c r="F2000" s="6" t="s">
        <v>913</v>
      </c>
      <c r="G2000" s="6" t="s">
        <v>201</v>
      </c>
      <c r="H2000" s="6"/>
      <c r="I2000" s="14" t="s">
        <v>1642</v>
      </c>
      <c r="J2000" s="15"/>
      <c r="K2000" s="6" t="s">
        <v>1976</v>
      </c>
      <c r="L2000" s="6"/>
      <c r="M2000" s="6" t="s">
        <v>1643</v>
      </c>
      <c r="N2000" s="6" t="s">
        <v>1644</v>
      </c>
      <c r="O2000" s="7">
        <f>SUMIFS('05_상품별배치367'!$K$7:$K$373,'05_상품별배치367'!$E$7:$E$373,A2000,'05_상품별배치367'!$H$7:$H$373,"본진")</f>
        <v>0</v>
      </c>
      <c r="P2000" s="7">
        <f>SUMIFS('05_상품별배치367'!$K$7:$K$373,'05_상품별배치367'!$E$7:$E$373,A2000,'05_상품별배치367'!$H$7:$H$373,"추가 진열")</f>
        <v>0</v>
      </c>
      <c r="Q2000" s="7">
        <f>O2000+P2000</f>
        <v>0</v>
      </c>
      <c r="R2000" s="7">
        <v>1</v>
      </c>
      <c r="S2000" s="6" t="s">
        <v>2907</v>
      </c>
      <c r="T2000" s="6" t="s">
        <v>1637</v>
      </c>
      <c r="U2000" s="6"/>
      <c r="V2000" s="16"/>
      <c r="W2000" s="16"/>
      <c r="X2000" s="16"/>
      <c r="Y2000" s="6" t="s">
        <v>1627</v>
      </c>
      <c r="Z2000" s="15"/>
      <c r="AA2000" s="15" t="s">
        <v>1628</v>
      </c>
    </row>
    <row r="2001" spans="1:27" ht="33" customHeight="1">
      <c r="A2001" s="8" t="s">
        <v>4292</v>
      </c>
      <c r="B2001" s="9">
        <v>1136</v>
      </c>
      <c r="C2001" s="8" t="s">
        <v>4293</v>
      </c>
      <c r="D2001" s="8" t="s">
        <v>2133</v>
      </c>
      <c r="E2001" s="8" t="s">
        <v>2134</v>
      </c>
      <c r="F2001" s="8" t="s">
        <v>1263</v>
      </c>
      <c r="G2001" s="8" t="s">
        <v>376</v>
      </c>
      <c r="H2001" s="8"/>
      <c r="I2001" s="14" t="s">
        <v>1642</v>
      </c>
      <c r="J2001" s="15"/>
      <c r="K2001" s="8" t="s">
        <v>1976</v>
      </c>
      <c r="L2001" s="8"/>
      <c r="M2001" s="6" t="s">
        <v>1643</v>
      </c>
      <c r="N2001" s="6" t="s">
        <v>1644</v>
      </c>
      <c r="O2001" s="7">
        <f>SUMIFS('05_상품별배치367'!$K$7:$K$373,'05_상품별배치367'!$E$7:$E$373,A2001,'05_상품별배치367'!$H$7:$H$373,"본진")</f>
        <v>0</v>
      </c>
      <c r="P2001" s="7">
        <f>SUMIFS('05_상품별배치367'!$K$7:$K$373,'05_상품별배치367'!$E$7:$E$373,A2001,'05_상품별배치367'!$H$7:$H$373,"추가 진열")</f>
        <v>0</v>
      </c>
      <c r="Q2001" s="7">
        <f>O2001+P2001</f>
        <v>0</v>
      </c>
      <c r="R2001" s="7">
        <v>1</v>
      </c>
      <c r="S2001" s="6" t="s">
        <v>3016</v>
      </c>
      <c r="T2001" s="6" t="s">
        <v>1637</v>
      </c>
      <c r="U2001" s="6"/>
      <c r="V2001" s="16"/>
      <c r="W2001" s="16"/>
      <c r="X2001" s="16"/>
      <c r="Y2001" s="6" t="s">
        <v>1627</v>
      </c>
      <c r="Z2001" s="15"/>
      <c r="AA2001" s="15" t="s">
        <v>1628</v>
      </c>
    </row>
    <row r="2002" spans="1:27" ht="33" customHeight="1">
      <c r="A2002" s="8" t="s">
        <v>4283</v>
      </c>
      <c r="B2002" s="9">
        <v>1132</v>
      </c>
      <c r="C2002" s="8" t="s">
        <v>4284</v>
      </c>
      <c r="D2002" s="8" t="s">
        <v>2133</v>
      </c>
      <c r="E2002" s="8" t="s">
        <v>1986</v>
      </c>
      <c r="F2002" s="8" t="s">
        <v>913</v>
      </c>
      <c r="G2002" s="8" t="s">
        <v>201</v>
      </c>
      <c r="H2002" s="8"/>
      <c r="I2002" s="14" t="s">
        <v>1642</v>
      </c>
      <c r="J2002" s="15"/>
      <c r="K2002" s="8" t="s">
        <v>1976</v>
      </c>
      <c r="L2002" s="8"/>
      <c r="M2002" s="6" t="s">
        <v>1643</v>
      </c>
      <c r="N2002" s="6" t="s">
        <v>1644</v>
      </c>
      <c r="O2002" s="7">
        <f>SUMIFS('05_상품별배치367'!$K$7:$K$373,'05_상품별배치367'!$E$7:$E$373,A2002,'05_상품별배치367'!$H$7:$H$373,"본진")</f>
        <v>0</v>
      </c>
      <c r="P2002" s="7">
        <f>SUMIFS('05_상품별배치367'!$K$7:$K$373,'05_상품별배치367'!$E$7:$E$373,A2002,'05_상품별배치367'!$H$7:$H$373,"추가 진열")</f>
        <v>0</v>
      </c>
      <c r="Q2002" s="7">
        <f>O2002+P2002</f>
        <v>0</v>
      </c>
      <c r="R2002" s="7">
        <v>1</v>
      </c>
      <c r="S2002" s="6" t="s">
        <v>2907</v>
      </c>
      <c r="T2002" s="6" t="s">
        <v>1637</v>
      </c>
      <c r="U2002" s="6"/>
      <c r="V2002" s="16"/>
      <c r="W2002" s="16"/>
      <c r="X2002" s="16"/>
      <c r="Y2002" s="6" t="s">
        <v>1627</v>
      </c>
      <c r="Z2002" s="15"/>
      <c r="AA2002" s="15" t="s">
        <v>1628</v>
      </c>
    </row>
    <row r="2003" spans="1:27" ht="33" customHeight="1">
      <c r="A2003" s="6" t="s">
        <v>4294</v>
      </c>
      <c r="B2003" s="7">
        <v>1137</v>
      </c>
      <c r="C2003" s="6" t="s">
        <v>4295</v>
      </c>
      <c r="D2003" s="6" t="s">
        <v>2856</v>
      </c>
      <c r="E2003" s="6" t="s">
        <v>2134</v>
      </c>
      <c r="F2003" s="6" t="s">
        <v>1263</v>
      </c>
      <c r="G2003" s="6" t="s">
        <v>376</v>
      </c>
      <c r="H2003" s="6"/>
      <c r="I2003" s="14" t="s">
        <v>1642</v>
      </c>
      <c r="J2003" s="15"/>
      <c r="K2003" s="6" t="s">
        <v>1976</v>
      </c>
      <c r="L2003" s="6"/>
      <c r="M2003" s="6" t="s">
        <v>1643</v>
      </c>
      <c r="N2003" s="6" t="s">
        <v>1644</v>
      </c>
      <c r="O2003" s="7">
        <f>SUMIFS('05_상품별배치367'!$K$7:$K$373,'05_상품별배치367'!$E$7:$E$373,A2003,'05_상품별배치367'!$H$7:$H$373,"본진")</f>
        <v>0</v>
      </c>
      <c r="P2003" s="7">
        <f>SUMIFS('05_상품별배치367'!$K$7:$K$373,'05_상품별배치367'!$E$7:$E$373,A2003,'05_상품별배치367'!$H$7:$H$373,"추가 진열")</f>
        <v>0</v>
      </c>
      <c r="Q2003" s="7">
        <f>O2003+P2003</f>
        <v>0</v>
      </c>
      <c r="R2003" s="7">
        <v>1</v>
      </c>
      <c r="S2003" s="6" t="s">
        <v>3016</v>
      </c>
      <c r="T2003" s="6" t="s">
        <v>1637</v>
      </c>
      <c r="U2003" s="6"/>
      <c r="V2003" s="16"/>
      <c r="W2003" s="16"/>
      <c r="X2003" s="16"/>
      <c r="Y2003" s="6" t="s">
        <v>1627</v>
      </c>
      <c r="Z2003" s="15"/>
      <c r="AA2003" s="15" t="s">
        <v>1628</v>
      </c>
    </row>
    <row r="2004" spans="1:27" ht="33" customHeight="1">
      <c r="A2004" s="6" t="s">
        <v>4285</v>
      </c>
      <c r="B2004" s="7">
        <v>1133</v>
      </c>
      <c r="C2004" s="6" t="s">
        <v>4286</v>
      </c>
      <c r="D2004" s="6" t="s">
        <v>2133</v>
      </c>
      <c r="E2004" s="6" t="s">
        <v>2134</v>
      </c>
      <c r="F2004" s="6" t="s">
        <v>2933</v>
      </c>
      <c r="G2004" s="6" t="s">
        <v>1668</v>
      </c>
      <c r="H2004" s="6"/>
      <c r="I2004" s="14" t="s">
        <v>1807</v>
      </c>
      <c r="J2004" s="15"/>
      <c r="K2004" s="6" t="s">
        <v>1976</v>
      </c>
      <c r="L2004" s="6" t="s">
        <v>2032</v>
      </c>
      <c r="M2004" s="6" t="s">
        <v>1809</v>
      </c>
      <c r="N2004" s="6" t="s">
        <v>1644</v>
      </c>
      <c r="O2004" s="7">
        <f>SUMIFS('05_상품별배치367'!$K$7:$K$373,'05_상품별배치367'!$E$7:$E$373,A2004,'05_상품별배치367'!$H$7:$H$373,"본진")</f>
        <v>0</v>
      </c>
      <c r="P2004" s="7">
        <f>SUMIFS('05_상품별배치367'!$K$7:$K$373,'05_상품별배치367'!$E$7:$E$373,A2004,'05_상품별배치367'!$H$7:$H$373,"추가 진열")</f>
        <v>0</v>
      </c>
      <c r="Q2004" s="7">
        <f>O2004+P2004</f>
        <v>0</v>
      </c>
      <c r="R2004" s="7">
        <v>0</v>
      </c>
      <c r="S2004" s="6" t="s">
        <v>1810</v>
      </c>
      <c r="T2004" s="6" t="s">
        <v>1637</v>
      </c>
      <c r="U2004" s="6"/>
      <c r="V2004" s="16"/>
      <c r="W2004" s="16"/>
      <c r="X2004" s="16"/>
      <c r="Y2004" s="6" t="s">
        <v>1627</v>
      </c>
      <c r="Z2004" s="15"/>
      <c r="AA2004" s="15" t="s">
        <v>1628</v>
      </c>
    </row>
    <row r="2005" spans="1:27" ht="33" customHeight="1">
      <c r="A2005" s="8" t="s">
        <v>4279</v>
      </c>
      <c r="B2005" s="9">
        <v>1130</v>
      </c>
      <c r="C2005" s="8" t="s">
        <v>4280</v>
      </c>
      <c r="D2005" s="8" t="s">
        <v>2856</v>
      </c>
      <c r="E2005" s="8" t="s">
        <v>2134</v>
      </c>
      <c r="F2005" s="8" t="s">
        <v>161</v>
      </c>
      <c r="G2005" s="8" t="s">
        <v>395</v>
      </c>
      <c r="H2005" s="8"/>
      <c r="I2005" s="14" t="s">
        <v>1642</v>
      </c>
      <c r="J2005" s="15"/>
      <c r="K2005" s="8" t="s">
        <v>1976</v>
      </c>
      <c r="L2005" s="8"/>
      <c r="M2005" s="6" t="s">
        <v>1643</v>
      </c>
      <c r="N2005" s="6" t="s">
        <v>1644</v>
      </c>
      <c r="O2005" s="7">
        <f>SUMIFS('05_상품별배치367'!$K$7:$K$373,'05_상품별배치367'!$E$7:$E$373,A2005,'05_상품별배치367'!$H$7:$H$373,"본진")</f>
        <v>0</v>
      </c>
      <c r="P2005" s="7">
        <f>SUMIFS('05_상품별배치367'!$K$7:$K$373,'05_상품별배치367'!$E$7:$E$373,A2005,'05_상품별배치367'!$H$7:$H$373,"추가 진열")</f>
        <v>0</v>
      </c>
      <c r="Q2005" s="7">
        <f>O2005+P2005</f>
        <v>0</v>
      </c>
      <c r="R2005" s="7">
        <v>1</v>
      </c>
      <c r="S2005" s="6" t="s">
        <v>3070</v>
      </c>
      <c r="T2005" s="6" t="s">
        <v>1637</v>
      </c>
      <c r="U2005" s="6"/>
      <c r="V2005" s="16"/>
      <c r="W2005" s="16"/>
      <c r="X2005" s="16"/>
      <c r="Y2005" s="6" t="s">
        <v>1627</v>
      </c>
      <c r="Z2005" s="15"/>
      <c r="AA2005" s="15" t="s">
        <v>1628</v>
      </c>
    </row>
    <row r="2006" spans="1:27" ht="33" customHeight="1">
      <c r="A2006" s="6" t="s">
        <v>4277</v>
      </c>
      <c r="B2006" s="7">
        <v>1129</v>
      </c>
      <c r="C2006" s="6" t="s">
        <v>4278</v>
      </c>
      <c r="D2006" s="6" t="s">
        <v>2845</v>
      </c>
      <c r="E2006" s="6" t="s">
        <v>2134</v>
      </c>
      <c r="F2006" s="6" t="s">
        <v>2933</v>
      </c>
      <c r="G2006" s="6" t="s">
        <v>1668</v>
      </c>
      <c r="H2006" s="6"/>
      <c r="I2006" s="14" t="s">
        <v>1807</v>
      </c>
      <c r="J2006" s="15"/>
      <c r="K2006" s="6" t="s">
        <v>1976</v>
      </c>
      <c r="L2006" s="6" t="s">
        <v>2032</v>
      </c>
      <c r="M2006" s="6" t="s">
        <v>1809</v>
      </c>
      <c r="N2006" s="6" t="s">
        <v>1644</v>
      </c>
      <c r="O2006" s="7">
        <f>SUMIFS('05_상품별배치367'!$K$7:$K$373,'05_상품별배치367'!$E$7:$E$373,A2006,'05_상품별배치367'!$H$7:$H$373,"본진")</f>
        <v>0</v>
      </c>
      <c r="P2006" s="7">
        <f>SUMIFS('05_상품별배치367'!$K$7:$K$373,'05_상품별배치367'!$E$7:$E$373,A2006,'05_상품별배치367'!$H$7:$H$373,"추가 진열")</f>
        <v>0</v>
      </c>
      <c r="Q2006" s="7">
        <f>O2006+P2006</f>
        <v>0</v>
      </c>
      <c r="R2006" s="7">
        <v>0</v>
      </c>
      <c r="S2006" s="6" t="s">
        <v>1810</v>
      </c>
      <c r="T2006" s="6" t="s">
        <v>1637</v>
      </c>
      <c r="U2006" s="6"/>
      <c r="V2006" s="16"/>
      <c r="W2006" s="16"/>
      <c r="X2006" s="16"/>
      <c r="Y2006" s="6" t="s">
        <v>1627</v>
      </c>
      <c r="Z2006" s="15"/>
      <c r="AA2006" s="15" t="s">
        <v>1628</v>
      </c>
    </row>
    <row r="2007" spans="1:27" ht="33" customHeight="1">
      <c r="A2007" s="8" t="s">
        <v>4274</v>
      </c>
      <c r="B2007" s="9">
        <v>1128</v>
      </c>
      <c r="C2007" s="8" t="s">
        <v>4275</v>
      </c>
      <c r="D2007" s="8" t="s">
        <v>4276</v>
      </c>
      <c r="E2007" s="8" t="s">
        <v>1986</v>
      </c>
      <c r="F2007" s="8" t="s">
        <v>913</v>
      </c>
      <c r="G2007" s="8" t="s">
        <v>201</v>
      </c>
      <c r="H2007" s="8"/>
      <c r="I2007" s="14" t="s">
        <v>1642</v>
      </c>
      <c r="J2007" s="15"/>
      <c r="K2007" s="8" t="s">
        <v>1976</v>
      </c>
      <c r="L2007" s="8"/>
      <c r="M2007" s="6" t="s">
        <v>1643</v>
      </c>
      <c r="N2007" s="6" t="s">
        <v>1644</v>
      </c>
      <c r="O2007" s="7">
        <f>SUMIFS('05_상품별배치367'!$K$7:$K$373,'05_상품별배치367'!$E$7:$E$373,A2007,'05_상품별배치367'!$H$7:$H$373,"본진")</f>
        <v>0</v>
      </c>
      <c r="P2007" s="7">
        <f>SUMIFS('05_상품별배치367'!$K$7:$K$373,'05_상품별배치367'!$E$7:$E$373,A2007,'05_상품별배치367'!$H$7:$H$373,"추가 진열")</f>
        <v>0</v>
      </c>
      <c r="Q2007" s="7">
        <f>O2007+P2007</f>
        <v>0</v>
      </c>
      <c r="R2007" s="7">
        <v>1</v>
      </c>
      <c r="S2007" s="6" t="s">
        <v>2907</v>
      </c>
      <c r="T2007" s="6" t="s">
        <v>1637</v>
      </c>
      <c r="U2007" s="6"/>
      <c r="V2007" s="16"/>
      <c r="W2007" s="16"/>
      <c r="X2007" s="16"/>
      <c r="Y2007" s="6" t="s">
        <v>1627</v>
      </c>
      <c r="Z2007" s="15"/>
      <c r="AA2007" s="15" t="s">
        <v>1628</v>
      </c>
    </row>
    <row r="2008" spans="1:27" ht="33" customHeight="1">
      <c r="A2008" s="8" t="s">
        <v>4308</v>
      </c>
      <c r="B2008" s="9">
        <v>1144</v>
      </c>
      <c r="C2008" s="8" t="s">
        <v>4309</v>
      </c>
      <c r="D2008" s="8" t="s">
        <v>4310</v>
      </c>
      <c r="E2008" s="8" t="s">
        <v>1986</v>
      </c>
      <c r="F2008" s="8" t="s">
        <v>3378</v>
      </c>
      <c r="G2008" s="8" t="s">
        <v>38</v>
      </c>
      <c r="H2008" s="8"/>
      <c r="I2008" s="14" t="s">
        <v>1642</v>
      </c>
      <c r="J2008" s="15"/>
      <c r="K2008" s="8" t="s">
        <v>1976</v>
      </c>
      <c r="L2008" s="8"/>
      <c r="M2008" s="6" t="s">
        <v>1643</v>
      </c>
      <c r="N2008" s="6" t="s">
        <v>1644</v>
      </c>
      <c r="O2008" s="7">
        <f>SUMIFS('05_상품별배치367'!$K$7:$K$373,'05_상품별배치367'!$E$7:$E$373,A2008,'05_상품별배치367'!$H$7:$H$373,"본진")</f>
        <v>0</v>
      </c>
      <c r="P2008" s="7">
        <f>SUMIFS('05_상품별배치367'!$K$7:$K$373,'05_상품별배치367'!$E$7:$E$373,A2008,'05_상품별배치367'!$H$7:$H$373,"추가 진열")</f>
        <v>0</v>
      </c>
      <c r="Q2008" s="7">
        <f>O2008+P2008</f>
        <v>0</v>
      </c>
      <c r="R2008" s="7">
        <v>1</v>
      </c>
      <c r="S2008" s="6" t="s">
        <v>3379</v>
      </c>
      <c r="T2008" s="6" t="s">
        <v>1637</v>
      </c>
      <c r="U2008" s="6"/>
      <c r="V2008" s="16"/>
      <c r="W2008" s="16"/>
      <c r="X2008" s="16"/>
      <c r="Y2008" s="6" t="s">
        <v>1627</v>
      </c>
      <c r="Z2008" s="15"/>
      <c r="AA2008" s="15" t="s">
        <v>1628</v>
      </c>
    </row>
    <row r="2009" spans="1:27" ht="33" customHeight="1">
      <c r="A2009" s="6" t="s">
        <v>4306</v>
      </c>
      <c r="B2009" s="7">
        <v>1143</v>
      </c>
      <c r="C2009" s="6" t="s">
        <v>4307</v>
      </c>
      <c r="D2009" s="6" t="s">
        <v>1851</v>
      </c>
      <c r="E2009" s="6" t="s">
        <v>2134</v>
      </c>
      <c r="F2009" s="6" t="s">
        <v>163</v>
      </c>
      <c r="G2009" s="6" t="s">
        <v>414</v>
      </c>
      <c r="H2009" s="6"/>
      <c r="I2009" s="14" t="s">
        <v>1642</v>
      </c>
      <c r="J2009" s="15"/>
      <c r="K2009" s="6" t="s">
        <v>1976</v>
      </c>
      <c r="L2009" s="6"/>
      <c r="M2009" s="6" t="s">
        <v>1643</v>
      </c>
      <c r="N2009" s="6" t="s">
        <v>1644</v>
      </c>
      <c r="O2009" s="7">
        <f>SUMIFS('05_상품별배치367'!$K$7:$K$373,'05_상품별배치367'!$E$7:$E$373,A2009,'05_상품별배치367'!$H$7:$H$373,"본진")</f>
        <v>0</v>
      </c>
      <c r="P2009" s="7">
        <f>SUMIFS('05_상품별배치367'!$K$7:$K$373,'05_상품별배치367'!$E$7:$E$373,A2009,'05_상품별배치367'!$H$7:$H$373,"추가 진열")</f>
        <v>0</v>
      </c>
      <c r="Q2009" s="7">
        <f>O2009+P2009</f>
        <v>0</v>
      </c>
      <c r="R2009" s="7">
        <v>1</v>
      </c>
      <c r="S2009" s="6" t="s">
        <v>3048</v>
      </c>
      <c r="T2009" s="6" t="s">
        <v>1637</v>
      </c>
      <c r="U2009" s="6"/>
      <c r="V2009" s="16"/>
      <c r="W2009" s="16"/>
      <c r="X2009" s="16"/>
      <c r="Y2009" s="6" t="s">
        <v>1627</v>
      </c>
      <c r="Z2009" s="15"/>
      <c r="AA2009" s="15" t="s">
        <v>1628</v>
      </c>
    </row>
    <row r="2010" spans="1:27" ht="33" customHeight="1">
      <c r="A2010" s="8" t="s">
        <v>2942</v>
      </c>
      <c r="B2010" s="9">
        <v>522</v>
      </c>
      <c r="C2010" s="8" t="s">
        <v>2943</v>
      </c>
      <c r="D2010" s="8" t="s">
        <v>2701</v>
      </c>
      <c r="E2010" s="8" t="s">
        <v>1695</v>
      </c>
      <c r="F2010" s="8" t="s">
        <v>1129</v>
      </c>
      <c r="G2010" s="8" t="s">
        <v>307</v>
      </c>
      <c r="H2010" s="8"/>
      <c r="I2010" s="14" t="s">
        <v>1642</v>
      </c>
      <c r="J2010" s="15"/>
      <c r="K2010" s="8" t="s">
        <v>1696</v>
      </c>
      <c r="L2010" s="8"/>
      <c r="M2010" s="6" t="s">
        <v>1643</v>
      </c>
      <c r="N2010" s="6" t="s">
        <v>1644</v>
      </c>
      <c r="O2010" s="7">
        <f>SUMIFS('05_상품별배치367'!$K$7:$K$373,'05_상품별배치367'!$E$7:$E$373,A2010,'05_상품별배치367'!$H$7:$H$373,"본진")</f>
        <v>0</v>
      </c>
      <c r="P2010" s="7">
        <f>SUMIFS('05_상품별배치367'!$K$7:$K$373,'05_상품별배치367'!$E$7:$E$373,A2010,'05_상품별배치367'!$H$7:$H$373,"추가 진열")</f>
        <v>0</v>
      </c>
      <c r="Q2010" s="7">
        <f>O2010+P2010</f>
        <v>0</v>
      </c>
      <c r="R2010" s="7">
        <v>1</v>
      </c>
      <c r="S2010" s="6" t="s">
        <v>2850</v>
      </c>
      <c r="T2010" s="6" t="s">
        <v>1637</v>
      </c>
      <c r="U2010" s="6"/>
      <c r="V2010" s="16"/>
      <c r="W2010" s="16"/>
      <c r="X2010" s="16"/>
      <c r="Y2010" s="6" t="s">
        <v>1627</v>
      </c>
      <c r="Z2010" s="15"/>
      <c r="AA2010" s="15" t="s">
        <v>1628</v>
      </c>
    </row>
    <row r="2011" spans="1:27" ht="33" customHeight="1">
      <c r="A2011" s="6" t="s">
        <v>2944</v>
      </c>
      <c r="B2011" s="7">
        <v>523</v>
      </c>
      <c r="C2011" s="6" t="s">
        <v>2945</v>
      </c>
      <c r="D2011" s="6" t="s">
        <v>2007</v>
      </c>
      <c r="E2011" s="6" t="s">
        <v>1695</v>
      </c>
      <c r="F2011" s="6" t="s">
        <v>2846</v>
      </c>
      <c r="G2011" s="6" t="s">
        <v>1668</v>
      </c>
      <c r="H2011" s="6"/>
      <c r="I2011" s="14" t="s">
        <v>1669</v>
      </c>
      <c r="J2011" s="15"/>
      <c r="K2011" s="6" t="s">
        <v>1696</v>
      </c>
      <c r="L2011" s="6"/>
      <c r="M2011" s="6" t="s">
        <v>1671</v>
      </c>
      <c r="N2011" s="6" t="s">
        <v>1644</v>
      </c>
      <c r="O2011" s="7">
        <f>SUMIFS('05_상품별배치367'!$K$7:$K$373,'05_상품별배치367'!$E$7:$E$373,A2011,'05_상품별배치367'!$H$7:$H$373,"본진")</f>
        <v>0</v>
      </c>
      <c r="P2011" s="7">
        <f>SUMIFS('05_상품별배치367'!$K$7:$K$373,'05_상품별배치367'!$E$7:$E$373,A2011,'05_상품별배치367'!$H$7:$H$373,"추가 진열")</f>
        <v>0</v>
      </c>
      <c r="Q2011" s="7">
        <f>O2011+P2011</f>
        <v>0</v>
      </c>
      <c r="R2011" s="7">
        <v>0</v>
      </c>
      <c r="S2011" s="6" t="s">
        <v>1672</v>
      </c>
      <c r="T2011" s="6" t="s">
        <v>1637</v>
      </c>
      <c r="U2011" s="6"/>
      <c r="V2011" s="16"/>
      <c r="W2011" s="16"/>
      <c r="X2011" s="16"/>
      <c r="Y2011" s="6" t="s">
        <v>1627</v>
      </c>
      <c r="Z2011" s="15"/>
      <c r="AA2011" s="15" t="s">
        <v>1628</v>
      </c>
    </row>
    <row r="2012" spans="1:27" ht="33" customHeight="1">
      <c r="A2012" s="8" t="s">
        <v>2946</v>
      </c>
      <c r="B2012" s="9">
        <v>524</v>
      </c>
      <c r="C2012" s="8" t="s">
        <v>2947</v>
      </c>
      <c r="D2012" s="8" t="s">
        <v>1876</v>
      </c>
      <c r="E2012" s="8" t="s">
        <v>1695</v>
      </c>
      <c r="F2012" s="8" t="s">
        <v>497</v>
      </c>
      <c r="G2012" s="8" t="s">
        <v>307</v>
      </c>
      <c r="H2012" s="8"/>
      <c r="I2012" s="14" t="s">
        <v>1642</v>
      </c>
      <c r="J2012" s="15"/>
      <c r="K2012" s="8" t="s">
        <v>1696</v>
      </c>
      <c r="L2012" s="8"/>
      <c r="M2012" s="6" t="s">
        <v>1643</v>
      </c>
      <c r="N2012" s="6" t="s">
        <v>1644</v>
      </c>
      <c r="O2012" s="7">
        <f>SUMIFS('05_상품별배치367'!$K$7:$K$373,'05_상품별배치367'!$E$7:$E$373,A2012,'05_상품별배치367'!$H$7:$H$373,"본진")</f>
        <v>0</v>
      </c>
      <c r="P2012" s="7">
        <f>SUMIFS('05_상품별배치367'!$K$7:$K$373,'05_상품별배치367'!$E$7:$E$373,A2012,'05_상품별배치367'!$H$7:$H$373,"추가 진열")</f>
        <v>0</v>
      </c>
      <c r="Q2012" s="7">
        <f>O2012+P2012</f>
        <v>0</v>
      </c>
      <c r="R2012" s="7">
        <v>1</v>
      </c>
      <c r="S2012" s="6" t="s">
        <v>2857</v>
      </c>
      <c r="T2012" s="6" t="s">
        <v>1637</v>
      </c>
      <c r="U2012" s="6"/>
      <c r="V2012" s="16"/>
      <c r="W2012" s="16"/>
      <c r="X2012" s="16"/>
      <c r="Y2012" s="6" t="s">
        <v>1627</v>
      </c>
      <c r="Z2012" s="15"/>
      <c r="AA2012" s="15" t="s">
        <v>1628</v>
      </c>
    </row>
    <row r="2013" spans="1:27" ht="33" customHeight="1">
      <c r="A2013" s="6" t="s">
        <v>2779</v>
      </c>
      <c r="B2013" s="7">
        <v>451</v>
      </c>
      <c r="C2013" s="6" t="s">
        <v>2780</v>
      </c>
      <c r="D2013" s="6" t="s">
        <v>2078</v>
      </c>
      <c r="E2013" s="6" t="s">
        <v>1743</v>
      </c>
      <c r="F2013" s="6" t="s">
        <v>2772</v>
      </c>
      <c r="G2013" s="6" t="s">
        <v>1668</v>
      </c>
      <c r="H2013" s="6"/>
      <c r="I2013" s="14" t="s">
        <v>1669</v>
      </c>
      <c r="J2013" s="6"/>
      <c r="K2013" s="6" t="s">
        <v>1696</v>
      </c>
      <c r="L2013" s="6" t="s">
        <v>2079</v>
      </c>
      <c r="M2013" s="6" t="s">
        <v>1671</v>
      </c>
      <c r="N2013" s="6" t="s">
        <v>1644</v>
      </c>
      <c r="O2013" s="7">
        <f>SUMIFS('05_상품별배치367'!$K$7:$K$373,'05_상품별배치367'!$E$7:$E$373,A2013,'05_상품별배치367'!$H$7:$H$373,"본진")</f>
        <v>0</v>
      </c>
      <c r="P2013" s="7">
        <f>SUMIFS('05_상품별배치367'!$K$7:$K$373,'05_상품별배치367'!$E$7:$E$373,A2013,'05_상품별배치367'!$H$7:$H$373,"추가 진열")</f>
        <v>0</v>
      </c>
      <c r="Q2013" s="7">
        <f>O2013+P2013</f>
        <v>0</v>
      </c>
      <c r="R2013" s="7">
        <v>0</v>
      </c>
      <c r="S2013" s="6" t="s">
        <v>1672</v>
      </c>
      <c r="T2013" s="6" t="s">
        <v>1637</v>
      </c>
      <c r="U2013" s="6"/>
      <c r="V2013" s="16"/>
      <c r="W2013" s="16"/>
      <c r="X2013" s="16"/>
      <c r="Y2013" s="6" t="s">
        <v>1655</v>
      </c>
      <c r="Z2013" s="15"/>
      <c r="AA2013" s="15" t="s">
        <v>1628</v>
      </c>
    </row>
    <row r="2014" spans="1:27" ht="33" customHeight="1">
      <c r="A2014" s="6" t="s">
        <v>2770</v>
      </c>
      <c r="B2014" s="7">
        <v>447</v>
      </c>
      <c r="C2014" s="6" t="s">
        <v>2771</v>
      </c>
      <c r="D2014" s="6" t="s">
        <v>2078</v>
      </c>
      <c r="E2014" s="6" t="s">
        <v>1743</v>
      </c>
      <c r="F2014" s="6" t="s">
        <v>2772</v>
      </c>
      <c r="G2014" s="6" t="s">
        <v>1668</v>
      </c>
      <c r="H2014" s="6"/>
      <c r="I2014" s="14" t="s">
        <v>1669</v>
      </c>
      <c r="J2014" s="6"/>
      <c r="K2014" s="6" t="s">
        <v>1696</v>
      </c>
      <c r="L2014" s="6" t="s">
        <v>2079</v>
      </c>
      <c r="M2014" s="6" t="s">
        <v>1671</v>
      </c>
      <c r="N2014" s="6" t="s">
        <v>1644</v>
      </c>
      <c r="O2014" s="7">
        <f>SUMIFS('05_상품별배치367'!$K$7:$K$373,'05_상품별배치367'!$E$7:$E$373,A2014,'05_상품별배치367'!$H$7:$H$373,"본진")</f>
        <v>0</v>
      </c>
      <c r="P2014" s="7">
        <f>SUMIFS('05_상품별배치367'!$K$7:$K$373,'05_상품별배치367'!$E$7:$E$373,A2014,'05_상품별배치367'!$H$7:$H$373,"추가 진열")</f>
        <v>0</v>
      </c>
      <c r="Q2014" s="7">
        <f>O2014+P2014</f>
        <v>0</v>
      </c>
      <c r="R2014" s="7">
        <v>0</v>
      </c>
      <c r="S2014" s="6" t="s">
        <v>1672</v>
      </c>
      <c r="T2014" s="6" t="s">
        <v>1637</v>
      </c>
      <c r="U2014" s="6"/>
      <c r="V2014" s="16"/>
      <c r="W2014" s="16"/>
      <c r="X2014" s="16"/>
      <c r="Y2014" s="6" t="s">
        <v>1655</v>
      </c>
      <c r="Z2014" s="15"/>
      <c r="AA2014" s="15" t="s">
        <v>1628</v>
      </c>
    </row>
    <row r="2015" spans="1:27" ht="33" customHeight="1">
      <c r="A2015" s="8" t="s">
        <v>2777</v>
      </c>
      <c r="B2015" s="9">
        <v>450</v>
      </c>
      <c r="C2015" s="8" t="s">
        <v>2778</v>
      </c>
      <c r="D2015" s="8" t="s">
        <v>2078</v>
      </c>
      <c r="E2015" s="8" t="s">
        <v>1743</v>
      </c>
      <c r="F2015" s="8" t="s">
        <v>2772</v>
      </c>
      <c r="G2015" s="8" t="s">
        <v>1668</v>
      </c>
      <c r="H2015" s="8"/>
      <c r="I2015" s="14" t="s">
        <v>1669</v>
      </c>
      <c r="J2015" s="6"/>
      <c r="K2015" s="8" t="s">
        <v>1696</v>
      </c>
      <c r="L2015" s="8" t="s">
        <v>2079</v>
      </c>
      <c r="M2015" s="6" t="s">
        <v>1671</v>
      </c>
      <c r="N2015" s="6" t="s">
        <v>1644</v>
      </c>
      <c r="O2015" s="7">
        <f>SUMIFS('05_상품별배치367'!$K$7:$K$373,'05_상품별배치367'!$E$7:$E$373,A2015,'05_상품별배치367'!$H$7:$H$373,"본진")</f>
        <v>0</v>
      </c>
      <c r="P2015" s="7">
        <f>SUMIFS('05_상품별배치367'!$K$7:$K$373,'05_상품별배치367'!$E$7:$E$373,A2015,'05_상품별배치367'!$H$7:$H$373,"추가 진열")</f>
        <v>0</v>
      </c>
      <c r="Q2015" s="7">
        <f>O2015+P2015</f>
        <v>0</v>
      </c>
      <c r="R2015" s="7">
        <v>0</v>
      </c>
      <c r="S2015" s="6" t="s">
        <v>1672</v>
      </c>
      <c r="T2015" s="6" t="s">
        <v>1637</v>
      </c>
      <c r="U2015" s="6"/>
      <c r="V2015" s="16"/>
      <c r="W2015" s="16"/>
      <c r="X2015" s="16"/>
      <c r="Y2015" s="6" t="s">
        <v>1655</v>
      </c>
      <c r="Z2015" s="15"/>
      <c r="AA2015" s="15" t="s">
        <v>1628</v>
      </c>
    </row>
    <row r="2016" spans="1:27" ht="33" customHeight="1">
      <c r="A2016" s="6" t="s">
        <v>2775</v>
      </c>
      <c r="B2016" s="7">
        <v>449</v>
      </c>
      <c r="C2016" s="6" t="s">
        <v>2776</v>
      </c>
      <c r="D2016" s="6" t="s">
        <v>2078</v>
      </c>
      <c r="E2016" s="6" t="s">
        <v>1743</v>
      </c>
      <c r="F2016" s="6" t="s">
        <v>2772</v>
      </c>
      <c r="G2016" s="6" t="s">
        <v>1668</v>
      </c>
      <c r="H2016" s="6"/>
      <c r="I2016" s="14" t="s">
        <v>1669</v>
      </c>
      <c r="J2016" s="6"/>
      <c r="K2016" s="6" t="s">
        <v>1696</v>
      </c>
      <c r="L2016" s="6" t="s">
        <v>2079</v>
      </c>
      <c r="M2016" s="6" t="s">
        <v>1671</v>
      </c>
      <c r="N2016" s="6" t="s">
        <v>1644</v>
      </c>
      <c r="O2016" s="7">
        <f>SUMIFS('05_상품별배치367'!$K$7:$K$373,'05_상품별배치367'!$E$7:$E$373,A2016,'05_상품별배치367'!$H$7:$H$373,"본진")</f>
        <v>0</v>
      </c>
      <c r="P2016" s="7">
        <f>SUMIFS('05_상품별배치367'!$K$7:$K$373,'05_상품별배치367'!$E$7:$E$373,A2016,'05_상품별배치367'!$H$7:$H$373,"추가 진열")</f>
        <v>0</v>
      </c>
      <c r="Q2016" s="7">
        <f>O2016+P2016</f>
        <v>0</v>
      </c>
      <c r="R2016" s="7">
        <v>0</v>
      </c>
      <c r="S2016" s="6" t="s">
        <v>1672</v>
      </c>
      <c r="T2016" s="6" t="s">
        <v>1637</v>
      </c>
      <c r="U2016" s="6"/>
      <c r="V2016" s="16"/>
      <c r="W2016" s="16"/>
      <c r="X2016" s="16"/>
      <c r="Y2016" s="6" t="s">
        <v>1655</v>
      </c>
      <c r="Z2016" s="15"/>
      <c r="AA2016" s="15" t="s">
        <v>1628</v>
      </c>
    </row>
    <row r="2017" spans="1:27" ht="33" customHeight="1">
      <c r="A2017" s="8" t="s">
        <v>2773</v>
      </c>
      <c r="B2017" s="9">
        <v>448</v>
      </c>
      <c r="C2017" s="8" t="s">
        <v>2774</v>
      </c>
      <c r="D2017" s="8" t="s">
        <v>2078</v>
      </c>
      <c r="E2017" s="8" t="s">
        <v>1743</v>
      </c>
      <c r="F2017" s="8" t="s">
        <v>2772</v>
      </c>
      <c r="G2017" s="8" t="s">
        <v>1668</v>
      </c>
      <c r="H2017" s="8"/>
      <c r="I2017" s="14" t="s">
        <v>1669</v>
      </c>
      <c r="J2017" s="6"/>
      <c r="K2017" s="8" t="s">
        <v>1696</v>
      </c>
      <c r="L2017" s="8" t="s">
        <v>2079</v>
      </c>
      <c r="M2017" s="6" t="s">
        <v>1671</v>
      </c>
      <c r="N2017" s="6" t="s">
        <v>1644</v>
      </c>
      <c r="O2017" s="7">
        <f>SUMIFS('05_상품별배치367'!$K$7:$K$373,'05_상품별배치367'!$E$7:$E$373,A2017,'05_상품별배치367'!$H$7:$H$373,"본진")</f>
        <v>0</v>
      </c>
      <c r="P2017" s="7">
        <f>SUMIFS('05_상품별배치367'!$K$7:$K$373,'05_상품별배치367'!$E$7:$E$373,A2017,'05_상품별배치367'!$H$7:$H$373,"추가 진열")</f>
        <v>0</v>
      </c>
      <c r="Q2017" s="7">
        <f>O2017+P2017</f>
        <v>0</v>
      </c>
      <c r="R2017" s="7">
        <v>0</v>
      </c>
      <c r="S2017" s="6" t="s">
        <v>1672</v>
      </c>
      <c r="T2017" s="6" t="s">
        <v>1637</v>
      </c>
      <c r="U2017" s="6"/>
      <c r="V2017" s="16"/>
      <c r="W2017" s="16"/>
      <c r="X2017" s="16"/>
      <c r="Y2017" s="6" t="s">
        <v>1655</v>
      </c>
      <c r="Z2017" s="15"/>
      <c r="AA2017" s="15" t="s">
        <v>1628</v>
      </c>
    </row>
    <row r="2018" spans="1:27" ht="33" customHeight="1">
      <c r="A2018" s="8" t="s">
        <v>2432</v>
      </c>
      <c r="B2018" s="9">
        <v>296</v>
      </c>
      <c r="C2018" s="8" t="s">
        <v>2433</v>
      </c>
      <c r="D2018" s="8" t="s">
        <v>2138</v>
      </c>
      <c r="E2018" s="8" t="s">
        <v>1620</v>
      </c>
      <c r="F2018" s="8" t="s">
        <v>1220</v>
      </c>
      <c r="G2018" s="8" t="s">
        <v>349</v>
      </c>
      <c r="H2018" s="8"/>
      <c r="I2018" s="14" t="s">
        <v>1642</v>
      </c>
      <c r="J2018" s="15"/>
      <c r="K2018" s="8" t="s">
        <v>1622</v>
      </c>
      <c r="L2018" s="8"/>
      <c r="M2018" s="6" t="s">
        <v>1643</v>
      </c>
      <c r="N2018" s="6" t="s">
        <v>1644</v>
      </c>
      <c r="O2018" s="7">
        <f>SUMIFS('05_상품별배치367'!$K$7:$K$373,'05_상품별배치367'!$E$7:$E$373,A2018,'05_상품별배치367'!$H$7:$H$373,"본진")</f>
        <v>0</v>
      </c>
      <c r="P2018" s="7">
        <f>SUMIFS('05_상품별배치367'!$K$7:$K$373,'05_상품별배치367'!$E$7:$E$373,A2018,'05_상품별배치367'!$H$7:$H$373,"추가 진열")</f>
        <v>0</v>
      </c>
      <c r="Q2018" s="7">
        <f>O2018+P2018</f>
        <v>0</v>
      </c>
      <c r="R2018" s="7">
        <v>1</v>
      </c>
      <c r="S2018" s="6" t="s">
        <v>2080</v>
      </c>
      <c r="T2018" s="6" t="s">
        <v>1637</v>
      </c>
      <c r="U2018" s="6"/>
      <c r="V2018" s="16"/>
      <c r="W2018" s="16"/>
      <c r="X2018" s="16"/>
      <c r="Y2018" s="6" t="s">
        <v>1627</v>
      </c>
      <c r="Z2018" s="15"/>
      <c r="AA2018" s="15" t="s">
        <v>1628</v>
      </c>
    </row>
    <row r="2019" spans="1:27" ht="33" customHeight="1">
      <c r="A2019" s="8" t="s">
        <v>3385</v>
      </c>
      <c r="B2019" s="9">
        <v>720</v>
      </c>
      <c r="C2019" s="8" t="s">
        <v>3386</v>
      </c>
      <c r="D2019" s="8" t="s">
        <v>2133</v>
      </c>
      <c r="E2019" s="8" t="s">
        <v>1695</v>
      </c>
      <c r="F2019" s="8" t="s">
        <v>1049</v>
      </c>
      <c r="G2019" s="8" t="s">
        <v>272</v>
      </c>
      <c r="H2019" s="8"/>
      <c r="I2019" s="14" t="s">
        <v>1642</v>
      </c>
      <c r="J2019" s="15"/>
      <c r="K2019" s="8" t="s">
        <v>1696</v>
      </c>
      <c r="L2019" s="8"/>
      <c r="M2019" s="6" t="s">
        <v>1643</v>
      </c>
      <c r="N2019" s="6" t="s">
        <v>1644</v>
      </c>
      <c r="O2019" s="7">
        <f>SUMIFS('05_상품별배치367'!$K$7:$K$373,'05_상품별배치367'!$E$7:$E$373,A2019,'05_상품별배치367'!$H$7:$H$373,"본진")</f>
        <v>0</v>
      </c>
      <c r="P2019" s="7">
        <f>SUMIFS('05_상품별배치367'!$K$7:$K$373,'05_상품별배치367'!$E$7:$E$373,A2019,'05_상품별배치367'!$H$7:$H$373,"추가 진열")</f>
        <v>0</v>
      </c>
      <c r="Q2019" s="7">
        <f>O2019+P2019</f>
        <v>0</v>
      </c>
      <c r="R2019" s="7">
        <v>1</v>
      </c>
      <c r="S2019" s="6" t="s">
        <v>2902</v>
      </c>
      <c r="T2019" s="6" t="s">
        <v>1637</v>
      </c>
      <c r="U2019" s="6"/>
      <c r="V2019" s="16"/>
      <c r="W2019" s="16"/>
      <c r="X2019" s="16"/>
      <c r="Y2019" s="6" t="s">
        <v>1627</v>
      </c>
      <c r="Z2019" s="15"/>
      <c r="AA2019" s="15" t="s">
        <v>1628</v>
      </c>
    </row>
    <row r="2020" spans="1:27" ht="33" customHeight="1">
      <c r="A2020" s="8" t="s">
        <v>3389</v>
      </c>
      <c r="B2020" s="9">
        <v>722</v>
      </c>
      <c r="C2020" s="8" t="s">
        <v>3390</v>
      </c>
      <c r="D2020" s="8" t="s">
        <v>3227</v>
      </c>
      <c r="E2020" s="8" t="s">
        <v>1986</v>
      </c>
      <c r="F2020" s="8" t="s">
        <v>493</v>
      </c>
      <c r="G2020" s="8" t="s">
        <v>299</v>
      </c>
      <c r="H2020" s="8"/>
      <c r="I2020" s="14" t="s">
        <v>1642</v>
      </c>
      <c r="J2020" s="15"/>
      <c r="K2020" s="8" t="s">
        <v>1976</v>
      </c>
      <c r="L2020" s="8"/>
      <c r="M2020" s="6" t="s">
        <v>1643</v>
      </c>
      <c r="N2020" s="6" t="s">
        <v>1644</v>
      </c>
      <c r="O2020" s="7">
        <f>SUMIFS('05_상품별배치367'!$K$7:$K$373,'05_상품별배치367'!$E$7:$E$373,A2020,'05_상품별배치367'!$H$7:$H$373,"본진")</f>
        <v>0</v>
      </c>
      <c r="P2020" s="7">
        <f>SUMIFS('05_상품별배치367'!$K$7:$K$373,'05_상품별배치367'!$E$7:$E$373,A2020,'05_상품별배치367'!$H$7:$H$373,"추가 진열")</f>
        <v>0</v>
      </c>
      <c r="Q2020" s="7">
        <f>O2020+P2020</f>
        <v>0</v>
      </c>
      <c r="R2020" s="7">
        <v>1</v>
      </c>
      <c r="S2020" s="6" t="s">
        <v>3084</v>
      </c>
      <c r="T2020" s="6" t="s">
        <v>1637</v>
      </c>
      <c r="U2020" s="6"/>
      <c r="V2020" s="16"/>
      <c r="W2020" s="16"/>
      <c r="X2020" s="16"/>
      <c r="Y2020" s="6" t="s">
        <v>1627</v>
      </c>
      <c r="Z2020" s="15"/>
      <c r="AA2020" s="15" t="s">
        <v>1628</v>
      </c>
    </row>
    <row r="2021" spans="1:27" ht="33" customHeight="1">
      <c r="A2021" s="6" t="s">
        <v>3387</v>
      </c>
      <c r="B2021" s="7">
        <v>721</v>
      </c>
      <c r="C2021" s="6" t="s">
        <v>3388</v>
      </c>
      <c r="D2021" s="6" t="s">
        <v>2913</v>
      </c>
      <c r="E2021" s="6" t="s">
        <v>2134</v>
      </c>
      <c r="F2021" s="6" t="s">
        <v>2933</v>
      </c>
      <c r="G2021" s="6" t="s">
        <v>1668</v>
      </c>
      <c r="H2021" s="6"/>
      <c r="I2021" s="14" t="s">
        <v>1807</v>
      </c>
      <c r="J2021" s="15"/>
      <c r="K2021" s="6" t="s">
        <v>1976</v>
      </c>
      <c r="L2021" s="6" t="s">
        <v>2032</v>
      </c>
      <c r="M2021" s="6" t="s">
        <v>1809</v>
      </c>
      <c r="N2021" s="6" t="s">
        <v>1644</v>
      </c>
      <c r="O2021" s="7">
        <f>SUMIFS('05_상품별배치367'!$K$7:$K$373,'05_상품별배치367'!$E$7:$E$373,A2021,'05_상품별배치367'!$H$7:$H$373,"본진")</f>
        <v>0</v>
      </c>
      <c r="P2021" s="7">
        <f>SUMIFS('05_상품별배치367'!$K$7:$K$373,'05_상품별배치367'!$E$7:$E$373,A2021,'05_상품별배치367'!$H$7:$H$373,"추가 진열")</f>
        <v>0</v>
      </c>
      <c r="Q2021" s="7">
        <f>O2021+P2021</f>
        <v>0</v>
      </c>
      <c r="R2021" s="7">
        <v>0</v>
      </c>
      <c r="S2021" s="6" t="s">
        <v>1810</v>
      </c>
      <c r="T2021" s="6" t="s">
        <v>1637</v>
      </c>
      <c r="U2021" s="6"/>
      <c r="V2021" s="16"/>
      <c r="W2021" s="16"/>
      <c r="X2021" s="16"/>
      <c r="Y2021" s="6" t="s">
        <v>1627</v>
      </c>
      <c r="Z2021" s="15"/>
      <c r="AA2021" s="15" t="s">
        <v>1628</v>
      </c>
    </row>
    <row r="2022" spans="1:27" ht="33" customHeight="1">
      <c r="A2022" s="6" t="s">
        <v>3382</v>
      </c>
      <c r="B2022" s="7">
        <v>719</v>
      </c>
      <c r="C2022" s="6" t="s">
        <v>3383</v>
      </c>
      <c r="D2022" s="6" t="s">
        <v>3384</v>
      </c>
      <c r="E2022" s="6" t="s">
        <v>2134</v>
      </c>
      <c r="F2022" s="6" t="s">
        <v>162</v>
      </c>
      <c r="G2022" s="6" t="s">
        <v>404</v>
      </c>
      <c r="H2022" s="6"/>
      <c r="I2022" s="14" t="s">
        <v>1642</v>
      </c>
      <c r="J2022" s="15"/>
      <c r="K2022" s="6" t="s">
        <v>1976</v>
      </c>
      <c r="L2022" s="6"/>
      <c r="M2022" s="6" t="s">
        <v>1643</v>
      </c>
      <c r="N2022" s="6" t="s">
        <v>1644</v>
      </c>
      <c r="O2022" s="7">
        <f>SUMIFS('05_상품별배치367'!$K$7:$K$373,'05_상품별배치367'!$E$7:$E$373,A2022,'05_상품별배치367'!$H$7:$H$373,"본진")</f>
        <v>0</v>
      </c>
      <c r="P2022" s="7">
        <f>SUMIFS('05_상품별배치367'!$K$7:$K$373,'05_상품별배치367'!$E$7:$E$373,A2022,'05_상품별배치367'!$H$7:$H$373,"추가 진열")</f>
        <v>0</v>
      </c>
      <c r="Q2022" s="7">
        <f>O2022+P2022</f>
        <v>0</v>
      </c>
      <c r="R2022" s="7">
        <v>1</v>
      </c>
      <c r="S2022" s="6" t="s">
        <v>2996</v>
      </c>
      <c r="T2022" s="6" t="s">
        <v>1637</v>
      </c>
      <c r="U2022" s="6"/>
      <c r="V2022" s="16"/>
      <c r="W2022" s="16"/>
      <c r="X2022" s="16"/>
      <c r="Y2022" s="6" t="s">
        <v>1627</v>
      </c>
      <c r="Z2022" s="15"/>
      <c r="AA2022" s="15" t="s">
        <v>1628</v>
      </c>
    </row>
    <row r="2023" spans="1:27" ht="33" customHeight="1">
      <c r="A2023" s="8" t="s">
        <v>6444</v>
      </c>
      <c r="B2023" s="9">
        <v>2138</v>
      </c>
      <c r="C2023" s="8" t="s">
        <v>6445</v>
      </c>
      <c r="D2023" s="8" t="s">
        <v>6373</v>
      </c>
      <c r="E2023" s="8" t="s">
        <v>1743</v>
      </c>
      <c r="F2023" s="8" t="s">
        <v>776</v>
      </c>
      <c r="G2023" s="8" t="s">
        <v>131</v>
      </c>
      <c r="H2023" s="8"/>
      <c r="I2023" s="14" t="s">
        <v>1642</v>
      </c>
      <c r="J2023" s="15"/>
      <c r="K2023" s="8" t="s">
        <v>1696</v>
      </c>
      <c r="L2023" s="8"/>
      <c r="M2023" s="6" t="s">
        <v>1643</v>
      </c>
      <c r="N2023" s="6" t="s">
        <v>1644</v>
      </c>
      <c r="O2023" s="7">
        <f>SUMIFS('05_상품별배치367'!$K$7:$K$373,'05_상품별배치367'!$E$7:$E$373,A2023,'05_상품별배치367'!$H$7:$H$373,"본진")</f>
        <v>0</v>
      </c>
      <c r="P2023" s="7">
        <f>SUMIFS('05_상품별배치367'!$K$7:$K$373,'05_상품별배치367'!$E$7:$E$373,A2023,'05_상품별배치367'!$H$7:$H$373,"추가 진열")</f>
        <v>0</v>
      </c>
      <c r="Q2023" s="7">
        <f>O2023+P2023</f>
        <v>0</v>
      </c>
      <c r="R2023" s="7">
        <v>1</v>
      </c>
      <c r="S2023" s="6" t="s">
        <v>6376</v>
      </c>
      <c r="T2023" s="6" t="s">
        <v>1637</v>
      </c>
      <c r="U2023" s="6"/>
      <c r="V2023" s="16"/>
      <c r="W2023" s="16"/>
      <c r="X2023" s="16"/>
      <c r="Y2023" s="6" t="s">
        <v>1627</v>
      </c>
      <c r="Z2023" s="15"/>
      <c r="AA2023" s="15" t="s">
        <v>1628</v>
      </c>
    </row>
    <row r="2024" spans="1:27" ht="33" customHeight="1">
      <c r="A2024" s="6" t="s">
        <v>6446</v>
      </c>
      <c r="B2024" s="7">
        <v>2139</v>
      </c>
      <c r="C2024" s="6" t="s">
        <v>6447</v>
      </c>
      <c r="D2024" s="6" t="s">
        <v>6373</v>
      </c>
      <c r="E2024" s="6" t="s">
        <v>1743</v>
      </c>
      <c r="F2024" s="6" t="s">
        <v>776</v>
      </c>
      <c r="G2024" s="6" t="s">
        <v>131</v>
      </c>
      <c r="H2024" s="6" t="s">
        <v>775</v>
      </c>
      <c r="I2024" s="14" t="s">
        <v>1642</v>
      </c>
      <c r="J2024" s="15"/>
      <c r="K2024" s="6" t="s">
        <v>1696</v>
      </c>
      <c r="L2024" s="6"/>
      <c r="M2024" s="6" t="s">
        <v>1643</v>
      </c>
      <c r="N2024" s="6" t="s">
        <v>1644</v>
      </c>
      <c r="O2024" s="7">
        <f>SUMIFS('05_상품별배치367'!$K$7:$K$373,'05_상품별배치367'!$E$7:$E$373,A2024,'05_상품별배치367'!$H$7:$H$373,"본진")</f>
        <v>0</v>
      </c>
      <c r="P2024" s="7">
        <f>SUMIFS('05_상품별배치367'!$K$7:$K$373,'05_상품별배치367'!$E$7:$E$373,A2024,'05_상품별배치367'!$H$7:$H$373,"추가 진열")</f>
        <v>0</v>
      </c>
      <c r="Q2024" s="7">
        <f>O2024+P2024</f>
        <v>0</v>
      </c>
      <c r="R2024" s="7">
        <v>1</v>
      </c>
      <c r="S2024" s="6" t="s">
        <v>6376</v>
      </c>
      <c r="T2024" s="6" t="s">
        <v>1637</v>
      </c>
      <c r="U2024" s="6"/>
      <c r="V2024" s="16"/>
      <c r="W2024" s="16"/>
      <c r="X2024" s="16"/>
      <c r="Y2024" s="6" t="s">
        <v>1627</v>
      </c>
      <c r="Z2024" s="15"/>
      <c r="AA2024" s="15" t="s">
        <v>1628</v>
      </c>
    </row>
    <row r="2025" spans="1:27" ht="33" customHeight="1">
      <c r="A2025" s="8" t="s">
        <v>6448</v>
      </c>
      <c r="B2025" s="9">
        <v>2140</v>
      </c>
      <c r="C2025" s="8" t="s">
        <v>6449</v>
      </c>
      <c r="D2025" s="8" t="s">
        <v>6373</v>
      </c>
      <c r="E2025" s="8" t="s">
        <v>1743</v>
      </c>
      <c r="F2025" s="8" t="s">
        <v>776</v>
      </c>
      <c r="G2025" s="8" t="s">
        <v>131</v>
      </c>
      <c r="H2025" s="8"/>
      <c r="I2025" s="14" t="s">
        <v>1642</v>
      </c>
      <c r="J2025" s="15"/>
      <c r="K2025" s="8" t="s">
        <v>1696</v>
      </c>
      <c r="L2025" s="8"/>
      <c r="M2025" s="6" t="s">
        <v>1643</v>
      </c>
      <c r="N2025" s="6" t="s">
        <v>1644</v>
      </c>
      <c r="O2025" s="7">
        <f>SUMIFS('05_상품별배치367'!$K$7:$K$373,'05_상품별배치367'!$E$7:$E$373,A2025,'05_상품별배치367'!$H$7:$H$373,"본진")</f>
        <v>0</v>
      </c>
      <c r="P2025" s="7">
        <f>SUMIFS('05_상품별배치367'!$K$7:$K$373,'05_상품별배치367'!$E$7:$E$373,A2025,'05_상품별배치367'!$H$7:$H$373,"추가 진열")</f>
        <v>0</v>
      </c>
      <c r="Q2025" s="7">
        <f>O2025+P2025</f>
        <v>0</v>
      </c>
      <c r="R2025" s="7">
        <v>1</v>
      </c>
      <c r="S2025" s="6" t="s">
        <v>6376</v>
      </c>
      <c r="T2025" s="6" t="s">
        <v>1637</v>
      </c>
      <c r="U2025" s="6"/>
      <c r="V2025" s="16"/>
      <c r="W2025" s="16"/>
      <c r="X2025" s="16"/>
      <c r="Y2025" s="6" t="s">
        <v>1627</v>
      </c>
      <c r="Z2025" s="15"/>
      <c r="AA2025" s="15" t="s">
        <v>1628</v>
      </c>
    </row>
    <row r="2026" spans="1:27" ht="33" customHeight="1">
      <c r="A2026" s="6" t="s">
        <v>782</v>
      </c>
      <c r="B2026" s="7">
        <v>2141</v>
      </c>
      <c r="C2026" s="6" t="s">
        <v>781</v>
      </c>
      <c r="D2026" s="6" t="s">
        <v>6411</v>
      </c>
      <c r="E2026" s="6" t="s">
        <v>1743</v>
      </c>
      <c r="F2026" s="6" t="s">
        <v>776</v>
      </c>
      <c r="G2026" s="6" t="s">
        <v>131</v>
      </c>
      <c r="H2026" s="6" t="s">
        <v>780</v>
      </c>
      <c r="I2026" s="14" t="s">
        <v>1633</v>
      </c>
      <c r="J2026" s="15"/>
      <c r="K2026" s="6" t="s">
        <v>1696</v>
      </c>
      <c r="L2026" s="6"/>
      <c r="M2026" s="6" t="s">
        <v>1635</v>
      </c>
      <c r="N2026" s="6" t="s">
        <v>1644</v>
      </c>
      <c r="O2026" s="7">
        <f>SUMIFS('05_상품별배치367'!$K$7:$K$373,'05_상품별배치367'!$E$7:$E$373,A2026,'05_상품별배치367'!$H$7:$H$373,"본진")</f>
        <v>1</v>
      </c>
      <c r="P2026" s="7">
        <f>SUMIFS('05_상품별배치367'!$K$7:$K$373,'05_상품별배치367'!$E$7:$E$373,A2026,'05_상품별배치367'!$H$7:$H$373,"추가 진열")</f>
        <v>0</v>
      </c>
      <c r="Q2026" s="7">
        <f>O2026+P2026</f>
        <v>1</v>
      </c>
      <c r="R2026" s="7">
        <v>1</v>
      </c>
      <c r="S2026" s="6" t="s">
        <v>1636</v>
      </c>
      <c r="T2026" s="6" t="s">
        <v>1637</v>
      </c>
      <c r="U2026" s="6"/>
      <c r="V2026" s="16"/>
      <c r="W2026" s="16"/>
      <c r="X2026" s="16"/>
      <c r="Y2026" s="6" t="s">
        <v>1627</v>
      </c>
      <c r="Z2026" s="15"/>
      <c r="AA2026" s="15" t="s">
        <v>1628</v>
      </c>
    </row>
    <row r="2027" spans="1:27" ht="33" customHeight="1">
      <c r="A2027" s="8" t="s">
        <v>1958</v>
      </c>
      <c r="B2027" s="9">
        <v>120</v>
      </c>
      <c r="C2027" s="8" t="s">
        <v>1959</v>
      </c>
      <c r="D2027" s="8" t="s">
        <v>1694</v>
      </c>
      <c r="E2027" s="8" t="s">
        <v>1666</v>
      </c>
      <c r="F2027" s="8" t="s">
        <v>1880</v>
      </c>
      <c r="G2027" s="8" t="s">
        <v>1668</v>
      </c>
      <c r="H2027" s="8"/>
      <c r="I2027" s="14" t="s">
        <v>1642</v>
      </c>
      <c r="J2027" s="15"/>
      <c r="K2027" s="8" t="s">
        <v>1670</v>
      </c>
      <c r="L2027" s="8"/>
      <c r="M2027" s="6" t="s">
        <v>1643</v>
      </c>
      <c r="N2027" s="6" t="s">
        <v>1624</v>
      </c>
      <c r="O2027" s="7">
        <f>SUMIFS('05_상품별배치367'!$K$7:$K$373,'05_상품별배치367'!$E$7:$E$373,A2027,'05_상품별배치367'!$H$7:$H$373,"본진")</f>
        <v>0</v>
      </c>
      <c r="P2027" s="7">
        <f>SUMIFS('05_상품별배치367'!$K$7:$K$373,'05_상품별배치367'!$E$7:$E$373,A2027,'05_상품별배치367'!$H$7:$H$373,"추가 진열")</f>
        <v>0</v>
      </c>
      <c r="Q2027" s="7">
        <f>O2027+P2027</f>
        <v>0</v>
      </c>
      <c r="R2027" s="7">
        <v>1</v>
      </c>
      <c r="S2027" s="6" t="s">
        <v>1881</v>
      </c>
      <c r="T2027" s="6" t="s">
        <v>1637</v>
      </c>
      <c r="U2027" s="6"/>
      <c r="V2027" s="16"/>
      <c r="W2027" s="16"/>
      <c r="X2027" s="16"/>
      <c r="Y2027" s="6" t="s">
        <v>1627</v>
      </c>
      <c r="Z2027" s="15"/>
      <c r="AA2027" s="15" t="s">
        <v>1628</v>
      </c>
    </row>
    <row r="2028" spans="1:27" ht="33" customHeight="1">
      <c r="A2028" s="8" t="s">
        <v>1885</v>
      </c>
      <c r="B2028" s="9">
        <v>90</v>
      </c>
      <c r="C2028" s="8" t="s">
        <v>1886</v>
      </c>
      <c r="D2028" s="8" t="s">
        <v>1884</v>
      </c>
      <c r="E2028" s="8" t="s">
        <v>1666</v>
      </c>
      <c r="F2028" s="8" t="s">
        <v>1880</v>
      </c>
      <c r="G2028" s="8" t="s">
        <v>1668</v>
      </c>
      <c r="H2028" s="8"/>
      <c r="I2028" s="14" t="s">
        <v>1642</v>
      </c>
      <c r="J2028" s="15"/>
      <c r="K2028" s="8" t="s">
        <v>1670</v>
      </c>
      <c r="L2028" s="8"/>
      <c r="M2028" s="6" t="s">
        <v>1643</v>
      </c>
      <c r="N2028" s="6" t="s">
        <v>1624</v>
      </c>
      <c r="O2028" s="7">
        <f>SUMIFS('05_상품별배치367'!$K$7:$K$373,'05_상품별배치367'!$E$7:$E$373,A2028,'05_상품별배치367'!$H$7:$H$373,"본진")</f>
        <v>0</v>
      </c>
      <c r="P2028" s="7">
        <f>SUMIFS('05_상품별배치367'!$K$7:$K$373,'05_상품별배치367'!$E$7:$E$373,A2028,'05_상품별배치367'!$H$7:$H$373,"추가 진열")</f>
        <v>0</v>
      </c>
      <c r="Q2028" s="7">
        <f>O2028+P2028</f>
        <v>0</v>
      </c>
      <c r="R2028" s="7">
        <v>1</v>
      </c>
      <c r="S2028" s="6" t="s">
        <v>1881</v>
      </c>
      <c r="T2028" s="6" t="s">
        <v>1637</v>
      </c>
      <c r="U2028" s="6"/>
      <c r="V2028" s="16"/>
      <c r="W2028" s="16"/>
      <c r="X2028" s="16"/>
      <c r="Y2028" s="6" t="s">
        <v>1655</v>
      </c>
      <c r="Z2028" s="15"/>
      <c r="AA2028" s="15" t="s">
        <v>1628</v>
      </c>
    </row>
    <row r="2029" spans="1:27" ht="33" customHeight="1">
      <c r="A2029" s="6" t="s">
        <v>1960</v>
      </c>
      <c r="B2029" s="7">
        <v>121</v>
      </c>
      <c r="C2029" s="6" t="s">
        <v>1961</v>
      </c>
      <c r="D2029" s="6" t="s">
        <v>1694</v>
      </c>
      <c r="E2029" s="6" t="s">
        <v>1666</v>
      </c>
      <c r="F2029" s="6" t="s">
        <v>1880</v>
      </c>
      <c r="G2029" s="6" t="s">
        <v>1668</v>
      </c>
      <c r="H2029" s="6"/>
      <c r="I2029" s="14" t="s">
        <v>1642</v>
      </c>
      <c r="J2029" s="15"/>
      <c r="K2029" s="6" t="s">
        <v>1670</v>
      </c>
      <c r="L2029" s="6"/>
      <c r="M2029" s="6" t="s">
        <v>1643</v>
      </c>
      <c r="N2029" s="6" t="s">
        <v>1624</v>
      </c>
      <c r="O2029" s="7">
        <f>SUMIFS('05_상품별배치367'!$K$7:$K$373,'05_상품별배치367'!$E$7:$E$373,A2029,'05_상품별배치367'!$H$7:$H$373,"본진")</f>
        <v>0</v>
      </c>
      <c r="P2029" s="7">
        <f>SUMIFS('05_상품별배치367'!$K$7:$K$373,'05_상품별배치367'!$E$7:$E$373,A2029,'05_상품별배치367'!$H$7:$H$373,"추가 진열")</f>
        <v>0</v>
      </c>
      <c r="Q2029" s="7">
        <f>O2029+P2029</f>
        <v>0</v>
      </c>
      <c r="R2029" s="7">
        <v>1</v>
      </c>
      <c r="S2029" s="6" t="s">
        <v>1881</v>
      </c>
      <c r="T2029" s="6" t="s">
        <v>1637</v>
      </c>
      <c r="U2029" s="6"/>
      <c r="V2029" s="16"/>
      <c r="W2029" s="16"/>
      <c r="X2029" s="16"/>
      <c r="Y2029" s="6" t="s">
        <v>1627</v>
      </c>
      <c r="Z2029" s="15"/>
      <c r="AA2029" s="15" t="s">
        <v>1628</v>
      </c>
    </row>
    <row r="2030" spans="1:27" ht="33" customHeight="1">
      <c r="A2030" s="6" t="s">
        <v>1882</v>
      </c>
      <c r="B2030" s="7">
        <v>89</v>
      </c>
      <c r="C2030" s="6" t="s">
        <v>1883</v>
      </c>
      <c r="D2030" s="6" t="s">
        <v>1884</v>
      </c>
      <c r="E2030" s="6" t="s">
        <v>1666</v>
      </c>
      <c r="F2030" s="6" t="s">
        <v>1880</v>
      </c>
      <c r="G2030" s="6" t="s">
        <v>1668</v>
      </c>
      <c r="H2030" s="6"/>
      <c r="I2030" s="14" t="s">
        <v>1642</v>
      </c>
      <c r="J2030" s="15"/>
      <c r="K2030" s="6" t="s">
        <v>1670</v>
      </c>
      <c r="L2030" s="6"/>
      <c r="M2030" s="6" t="s">
        <v>1643</v>
      </c>
      <c r="N2030" s="6" t="s">
        <v>1624</v>
      </c>
      <c r="O2030" s="7">
        <f>SUMIFS('05_상품별배치367'!$K$7:$K$373,'05_상품별배치367'!$E$7:$E$373,A2030,'05_상품별배치367'!$H$7:$H$373,"본진")</f>
        <v>0</v>
      </c>
      <c r="P2030" s="7">
        <f>SUMIFS('05_상품별배치367'!$K$7:$K$373,'05_상품별배치367'!$E$7:$E$373,A2030,'05_상품별배치367'!$H$7:$H$373,"추가 진열")</f>
        <v>0</v>
      </c>
      <c r="Q2030" s="7">
        <f>O2030+P2030</f>
        <v>0</v>
      </c>
      <c r="R2030" s="7">
        <v>1</v>
      </c>
      <c r="S2030" s="6" t="s">
        <v>1881</v>
      </c>
      <c r="T2030" s="6" t="s">
        <v>1637</v>
      </c>
      <c r="U2030" s="6"/>
      <c r="V2030" s="16"/>
      <c r="W2030" s="16"/>
      <c r="X2030" s="16"/>
      <c r="Y2030" s="6" t="s">
        <v>1655</v>
      </c>
      <c r="Z2030" s="15"/>
      <c r="AA2030" s="15" t="s">
        <v>1628</v>
      </c>
    </row>
    <row r="2031" spans="1:27" ht="33" customHeight="1">
      <c r="A2031" s="8" t="s">
        <v>7100</v>
      </c>
      <c r="B2031" s="9">
        <v>2456</v>
      </c>
      <c r="C2031" s="8" t="s">
        <v>7101</v>
      </c>
      <c r="D2031" s="8" t="s">
        <v>7102</v>
      </c>
      <c r="E2031" s="8" t="s">
        <v>1666</v>
      </c>
      <c r="F2031" s="8" t="s">
        <v>1880</v>
      </c>
      <c r="G2031" s="8" t="s">
        <v>1668</v>
      </c>
      <c r="H2031" s="8"/>
      <c r="I2031" s="14" t="s">
        <v>1642</v>
      </c>
      <c r="J2031" s="15"/>
      <c r="K2031" s="8" t="s">
        <v>1670</v>
      </c>
      <c r="L2031" s="8" t="s">
        <v>3828</v>
      </c>
      <c r="M2031" s="6" t="s">
        <v>1643</v>
      </c>
      <c r="N2031" s="6" t="s">
        <v>1644</v>
      </c>
      <c r="O2031" s="7">
        <f>SUMIFS('05_상품별배치367'!$K$7:$K$373,'05_상품별배치367'!$E$7:$E$373,A2031,'05_상품별배치367'!$H$7:$H$373,"본진")</f>
        <v>0</v>
      </c>
      <c r="P2031" s="7">
        <f>SUMIFS('05_상품별배치367'!$K$7:$K$373,'05_상품별배치367'!$E$7:$E$373,A2031,'05_상품별배치367'!$H$7:$H$373,"추가 진열")</f>
        <v>0</v>
      </c>
      <c r="Q2031" s="7">
        <f>O2031+P2031</f>
        <v>0</v>
      </c>
      <c r="R2031" s="7">
        <v>1</v>
      </c>
      <c r="S2031" s="6" t="s">
        <v>1881</v>
      </c>
      <c r="T2031" s="6" t="s">
        <v>1637</v>
      </c>
      <c r="U2031" s="6"/>
      <c r="V2031" s="16"/>
      <c r="W2031" s="16"/>
      <c r="X2031" s="16"/>
      <c r="Y2031" s="6" t="s">
        <v>1627</v>
      </c>
      <c r="Z2031" s="15"/>
      <c r="AA2031" s="15" t="s">
        <v>1628</v>
      </c>
    </row>
    <row r="2032" spans="1:27" ht="33" customHeight="1">
      <c r="A2032" s="6" t="s">
        <v>5880</v>
      </c>
      <c r="B2032" s="7">
        <v>1895</v>
      </c>
      <c r="C2032" s="6" t="s">
        <v>5881</v>
      </c>
      <c r="D2032" s="6" t="s">
        <v>5618</v>
      </c>
      <c r="E2032" s="6" t="s">
        <v>1632</v>
      </c>
      <c r="F2032" s="6" t="s">
        <v>1034</v>
      </c>
      <c r="G2032" s="6" t="s">
        <v>263</v>
      </c>
      <c r="H2032" s="6" t="s">
        <v>1039</v>
      </c>
      <c r="I2032" s="14" t="s">
        <v>1633</v>
      </c>
      <c r="J2032" s="15"/>
      <c r="K2032" s="6" t="s">
        <v>1634</v>
      </c>
      <c r="L2032" s="6" t="s">
        <v>3828</v>
      </c>
      <c r="M2032" s="6" t="s">
        <v>1635</v>
      </c>
      <c r="N2032" s="6" t="s">
        <v>1624</v>
      </c>
      <c r="O2032" s="7">
        <f>SUMIFS('05_상품별배치367'!$K$7:$K$373,'05_상품별배치367'!$E$7:$E$373,A2032,'05_상품별배치367'!$H$7:$H$373,"본진")</f>
        <v>1</v>
      </c>
      <c r="P2032" s="7">
        <f>SUMIFS('05_상품별배치367'!$K$7:$K$373,'05_상품별배치367'!$E$7:$E$373,A2032,'05_상품별배치367'!$H$7:$H$373,"추가 진열")</f>
        <v>0</v>
      </c>
      <c r="Q2032" s="7">
        <f>O2032+P2032</f>
        <v>1</v>
      </c>
      <c r="R2032" s="7">
        <v>1</v>
      </c>
      <c r="S2032" s="6" t="s">
        <v>1636</v>
      </c>
      <c r="T2032" s="6" t="s">
        <v>1637</v>
      </c>
      <c r="U2032" s="6"/>
      <c r="V2032" s="16"/>
      <c r="W2032" s="16"/>
      <c r="X2032" s="16"/>
      <c r="Y2032" s="6" t="s">
        <v>1627</v>
      </c>
      <c r="Z2032" s="15"/>
      <c r="AA2032" s="15" t="s">
        <v>1628</v>
      </c>
    </row>
    <row r="2033" spans="1:27" ht="33" customHeight="1">
      <c r="A2033" s="8" t="s">
        <v>1677</v>
      </c>
      <c r="B2033" s="9">
        <v>12</v>
      </c>
      <c r="C2033" s="8" t="s">
        <v>1678</v>
      </c>
      <c r="D2033" s="8" t="s">
        <v>1662</v>
      </c>
      <c r="E2033" s="8" t="s">
        <v>1632</v>
      </c>
      <c r="F2033" s="8" t="s">
        <v>1396</v>
      </c>
      <c r="G2033" s="8" t="s">
        <v>447</v>
      </c>
      <c r="H2033" s="8"/>
      <c r="I2033" s="14" t="s">
        <v>1642</v>
      </c>
      <c r="J2033" s="15"/>
      <c r="K2033" s="8" t="s">
        <v>1634</v>
      </c>
      <c r="L2033" s="8"/>
      <c r="M2033" s="6" t="s">
        <v>1643</v>
      </c>
      <c r="N2033" s="6" t="s">
        <v>1644</v>
      </c>
      <c r="O2033" s="7">
        <f>SUMIFS('05_상품별배치367'!$K$7:$K$373,'05_상품별배치367'!$E$7:$E$373,A2033,'05_상품별배치367'!$H$7:$H$373,"본진")</f>
        <v>0</v>
      </c>
      <c r="P2033" s="7">
        <f>SUMIFS('05_상품별배치367'!$K$7:$K$373,'05_상품별배치367'!$E$7:$E$373,A2033,'05_상품별배치367'!$H$7:$H$373,"추가 진열")</f>
        <v>0</v>
      </c>
      <c r="Q2033" s="7">
        <f>O2033+P2033</f>
        <v>0</v>
      </c>
      <c r="R2033" s="7">
        <v>1</v>
      </c>
      <c r="S2033" s="6" t="s">
        <v>1679</v>
      </c>
      <c r="T2033" s="6" t="s">
        <v>1637</v>
      </c>
      <c r="U2033" s="6"/>
      <c r="V2033" s="16"/>
      <c r="W2033" s="16"/>
      <c r="X2033" s="16"/>
      <c r="Y2033" s="6" t="s">
        <v>1627</v>
      </c>
      <c r="Z2033" s="15"/>
      <c r="AA2033" s="15" t="s">
        <v>1628</v>
      </c>
    </row>
    <row r="2034" spans="1:27" ht="33" customHeight="1">
      <c r="A2034" s="8" t="s">
        <v>5811</v>
      </c>
      <c r="B2034" s="9">
        <v>1862</v>
      </c>
      <c r="C2034" s="8" t="s">
        <v>5812</v>
      </c>
      <c r="D2034" s="8" t="s">
        <v>2783</v>
      </c>
      <c r="E2034" s="8" t="s">
        <v>1981</v>
      </c>
      <c r="F2034" s="8" t="s">
        <v>130</v>
      </c>
      <c r="G2034" s="8" t="s">
        <v>236</v>
      </c>
      <c r="H2034" s="8" t="s">
        <v>987</v>
      </c>
      <c r="I2034" s="14" t="s">
        <v>1633</v>
      </c>
      <c r="J2034" s="15"/>
      <c r="K2034" s="8" t="s">
        <v>1982</v>
      </c>
      <c r="L2034" s="8" t="s">
        <v>3828</v>
      </c>
      <c r="M2034" s="6" t="s">
        <v>1635</v>
      </c>
      <c r="N2034" s="6" t="s">
        <v>1624</v>
      </c>
      <c r="O2034" s="7">
        <f>SUMIFS('05_상품별배치367'!$K$7:$K$373,'05_상품별배치367'!$E$7:$E$373,A2034,'05_상품별배치367'!$H$7:$H$373,"본진")</f>
        <v>1</v>
      </c>
      <c r="P2034" s="7">
        <f>SUMIFS('05_상품별배치367'!$K$7:$K$373,'05_상품별배치367'!$E$7:$E$373,A2034,'05_상품별배치367'!$H$7:$H$373,"추가 진열")</f>
        <v>0</v>
      </c>
      <c r="Q2034" s="7">
        <f>O2034+P2034</f>
        <v>1</v>
      </c>
      <c r="R2034" s="7">
        <v>1</v>
      </c>
      <c r="S2034" s="6" t="s">
        <v>1636</v>
      </c>
      <c r="T2034" s="6" t="s">
        <v>5807</v>
      </c>
      <c r="U2034" s="6"/>
      <c r="V2034" s="16"/>
      <c r="W2034" s="16"/>
      <c r="X2034" s="16"/>
      <c r="Y2034" s="6" t="s">
        <v>1627</v>
      </c>
      <c r="Z2034" s="15"/>
      <c r="AA2034" s="15" t="s">
        <v>1628</v>
      </c>
    </row>
    <row r="2035" spans="1:27" ht="33" customHeight="1">
      <c r="A2035" s="6" t="s">
        <v>5808</v>
      </c>
      <c r="B2035" s="7">
        <v>1861</v>
      </c>
      <c r="C2035" s="6" t="s">
        <v>5809</v>
      </c>
      <c r="D2035" s="6" t="s">
        <v>5810</v>
      </c>
      <c r="E2035" s="6" t="s">
        <v>1981</v>
      </c>
      <c r="F2035" s="6" t="s">
        <v>130</v>
      </c>
      <c r="G2035" s="6" t="s">
        <v>236</v>
      </c>
      <c r="H2035" s="6" t="s">
        <v>991</v>
      </c>
      <c r="I2035" s="14" t="s">
        <v>1633</v>
      </c>
      <c r="J2035" s="15"/>
      <c r="K2035" s="6" t="s">
        <v>1982</v>
      </c>
      <c r="L2035" s="6" t="s">
        <v>5771</v>
      </c>
      <c r="M2035" s="6" t="s">
        <v>1635</v>
      </c>
      <c r="N2035" s="6" t="s">
        <v>1624</v>
      </c>
      <c r="O2035" s="7">
        <f>SUMIFS('05_상품별배치367'!$K$7:$K$373,'05_상품별배치367'!$E$7:$E$373,A2035,'05_상품별배치367'!$H$7:$H$373,"본진")</f>
        <v>1</v>
      </c>
      <c r="P2035" s="7">
        <f>SUMIFS('05_상품별배치367'!$K$7:$K$373,'05_상품별배치367'!$E$7:$E$373,A2035,'05_상품별배치367'!$H$7:$H$373,"추가 진열")</f>
        <v>0</v>
      </c>
      <c r="Q2035" s="7">
        <f>O2035+P2035</f>
        <v>1</v>
      </c>
      <c r="R2035" s="7">
        <v>1</v>
      </c>
      <c r="S2035" s="6" t="s">
        <v>1636</v>
      </c>
      <c r="T2035" s="6" t="s">
        <v>5807</v>
      </c>
      <c r="U2035" s="6"/>
      <c r="V2035" s="16"/>
      <c r="W2035" s="16"/>
      <c r="X2035" s="16"/>
      <c r="Y2035" s="6" t="s">
        <v>1627</v>
      </c>
      <c r="Z2035" s="15"/>
      <c r="AA2035" s="15" t="s">
        <v>1628</v>
      </c>
    </row>
    <row r="2036" spans="1:27" ht="33" customHeight="1">
      <c r="A2036" s="8" t="s">
        <v>6157</v>
      </c>
      <c r="B2036" s="9">
        <v>2016</v>
      </c>
      <c r="C2036" s="8" t="s">
        <v>6158</v>
      </c>
      <c r="D2036" s="8" t="s">
        <v>6159</v>
      </c>
      <c r="E2036" s="8" t="s">
        <v>1981</v>
      </c>
      <c r="F2036" s="8" t="s">
        <v>245</v>
      </c>
      <c r="G2036" s="8" t="s">
        <v>244</v>
      </c>
      <c r="H2036" s="8" t="s">
        <v>1004</v>
      </c>
      <c r="I2036" s="14" t="s">
        <v>1633</v>
      </c>
      <c r="J2036" s="15"/>
      <c r="K2036" s="8" t="s">
        <v>1982</v>
      </c>
      <c r="L2036" s="8" t="s">
        <v>3828</v>
      </c>
      <c r="M2036" s="6" t="s">
        <v>1635</v>
      </c>
      <c r="N2036" s="6" t="s">
        <v>1624</v>
      </c>
      <c r="O2036" s="7">
        <f>SUMIFS('05_상품별배치367'!$K$7:$K$373,'05_상품별배치367'!$E$7:$E$373,A2036,'05_상품별배치367'!$H$7:$H$373,"본진")</f>
        <v>1</v>
      </c>
      <c r="P2036" s="7">
        <f>SUMIFS('05_상품별배치367'!$K$7:$K$373,'05_상품별배치367'!$E$7:$E$373,A2036,'05_상품별배치367'!$H$7:$H$373,"추가 진열")</f>
        <v>0</v>
      </c>
      <c r="Q2036" s="7">
        <f>O2036+P2036</f>
        <v>1</v>
      </c>
      <c r="R2036" s="7">
        <v>1</v>
      </c>
      <c r="S2036" s="6" t="s">
        <v>1636</v>
      </c>
      <c r="T2036" s="6" t="s">
        <v>5807</v>
      </c>
      <c r="U2036" s="6"/>
      <c r="V2036" s="16"/>
      <c r="W2036" s="16"/>
      <c r="X2036" s="16"/>
      <c r="Y2036" s="6" t="s">
        <v>1627</v>
      </c>
      <c r="Z2036" s="15"/>
      <c r="AA2036" s="15" t="s">
        <v>1628</v>
      </c>
    </row>
    <row r="2037" spans="1:27" ht="33" customHeight="1">
      <c r="A2037" s="8" t="s">
        <v>1010</v>
      </c>
      <c r="B2037" s="9">
        <v>2048</v>
      </c>
      <c r="C2037" s="8" t="s">
        <v>1009</v>
      </c>
      <c r="D2037" s="8" t="s">
        <v>1894</v>
      </c>
      <c r="E2037" s="8" t="s">
        <v>1981</v>
      </c>
      <c r="F2037" s="8" t="s">
        <v>245</v>
      </c>
      <c r="G2037" s="8" t="s">
        <v>244</v>
      </c>
      <c r="H2037" s="8" t="s">
        <v>1008</v>
      </c>
      <c r="I2037" s="14" t="s">
        <v>1633</v>
      </c>
      <c r="J2037" s="15"/>
      <c r="K2037" s="8" t="s">
        <v>1982</v>
      </c>
      <c r="L2037" s="8" t="s">
        <v>3828</v>
      </c>
      <c r="M2037" s="6" t="s">
        <v>1635</v>
      </c>
      <c r="N2037" s="6" t="s">
        <v>1624</v>
      </c>
      <c r="O2037" s="7">
        <f>SUMIFS('05_상품별배치367'!$K$7:$K$373,'05_상품별배치367'!$E$7:$E$373,A2037,'05_상품별배치367'!$H$7:$H$373,"본진")</f>
        <v>1</v>
      </c>
      <c r="P2037" s="7">
        <f>SUMIFS('05_상품별배치367'!$K$7:$K$373,'05_상품별배치367'!$E$7:$E$373,A2037,'05_상품별배치367'!$H$7:$H$373,"추가 진열")</f>
        <v>0</v>
      </c>
      <c r="Q2037" s="7">
        <f>O2037+P2037</f>
        <v>1</v>
      </c>
      <c r="R2037" s="7">
        <v>1</v>
      </c>
      <c r="S2037" s="6" t="s">
        <v>1636</v>
      </c>
      <c r="T2037" s="6" t="s">
        <v>5807</v>
      </c>
      <c r="U2037" s="6"/>
      <c r="V2037" s="16"/>
      <c r="W2037" s="16"/>
      <c r="X2037" s="16"/>
      <c r="Y2037" s="6" t="s">
        <v>1627</v>
      </c>
      <c r="Z2037" s="15"/>
      <c r="AA2037" s="15" t="s">
        <v>1628</v>
      </c>
    </row>
    <row r="2038" spans="1:27" ht="33" customHeight="1">
      <c r="A2038" s="6" t="s">
        <v>6222</v>
      </c>
      <c r="B2038" s="7">
        <v>2043</v>
      </c>
      <c r="C2038" s="6" t="s">
        <v>6223</v>
      </c>
      <c r="D2038" s="6" t="s">
        <v>1658</v>
      </c>
      <c r="E2038" s="6" t="s">
        <v>1981</v>
      </c>
      <c r="F2038" s="6" t="s">
        <v>245</v>
      </c>
      <c r="G2038" s="6" t="s">
        <v>244</v>
      </c>
      <c r="H2038" s="6" t="s">
        <v>1004</v>
      </c>
      <c r="I2038" s="14" t="s">
        <v>1633</v>
      </c>
      <c r="J2038" s="15"/>
      <c r="K2038" s="6" t="s">
        <v>1982</v>
      </c>
      <c r="L2038" s="6" t="s">
        <v>3828</v>
      </c>
      <c r="M2038" s="6" t="s">
        <v>1635</v>
      </c>
      <c r="N2038" s="6" t="s">
        <v>1624</v>
      </c>
      <c r="O2038" s="7">
        <f>SUMIFS('05_상품별배치367'!$K$7:$K$373,'05_상품별배치367'!$E$7:$E$373,A2038,'05_상품별배치367'!$H$7:$H$373,"본진")</f>
        <v>1</v>
      </c>
      <c r="P2038" s="7">
        <f>SUMIFS('05_상품별배치367'!$K$7:$K$373,'05_상품별배치367'!$E$7:$E$373,A2038,'05_상품별배치367'!$H$7:$H$373,"추가 진열")</f>
        <v>0</v>
      </c>
      <c r="Q2038" s="7">
        <f>O2038+P2038</f>
        <v>1</v>
      </c>
      <c r="R2038" s="7">
        <v>1</v>
      </c>
      <c r="S2038" s="6" t="s">
        <v>1636</v>
      </c>
      <c r="T2038" s="6" t="s">
        <v>5807</v>
      </c>
      <c r="U2038" s="6"/>
      <c r="V2038" s="16"/>
      <c r="W2038" s="16"/>
      <c r="X2038" s="16"/>
      <c r="Y2038" s="6" t="s">
        <v>1627</v>
      </c>
      <c r="Z2038" s="15"/>
      <c r="AA2038" s="15" t="s">
        <v>1628</v>
      </c>
    </row>
    <row r="2039" spans="1:27" ht="33" customHeight="1">
      <c r="A2039" s="8" t="s">
        <v>6186</v>
      </c>
      <c r="B2039" s="9">
        <v>2028</v>
      </c>
      <c r="C2039" s="8" t="s">
        <v>6187</v>
      </c>
      <c r="D2039" s="8" t="s">
        <v>6188</v>
      </c>
      <c r="E2039" s="8" t="s">
        <v>1981</v>
      </c>
      <c r="F2039" s="8" t="s">
        <v>130</v>
      </c>
      <c r="G2039" s="8" t="s">
        <v>236</v>
      </c>
      <c r="H2039" s="8" t="s">
        <v>995</v>
      </c>
      <c r="I2039" s="14" t="s">
        <v>1633</v>
      </c>
      <c r="J2039" s="15"/>
      <c r="K2039" s="8" t="s">
        <v>1982</v>
      </c>
      <c r="L2039" s="8" t="s">
        <v>3828</v>
      </c>
      <c r="M2039" s="6" t="s">
        <v>1635</v>
      </c>
      <c r="N2039" s="6" t="s">
        <v>1624</v>
      </c>
      <c r="O2039" s="7">
        <f>SUMIFS('05_상품별배치367'!$K$7:$K$373,'05_상품별배치367'!$E$7:$E$373,A2039,'05_상품별배치367'!$H$7:$H$373,"본진")</f>
        <v>1</v>
      </c>
      <c r="P2039" s="7">
        <f>SUMIFS('05_상품별배치367'!$K$7:$K$373,'05_상품별배치367'!$E$7:$E$373,A2039,'05_상품별배치367'!$H$7:$H$373,"추가 진열")</f>
        <v>0</v>
      </c>
      <c r="Q2039" s="7">
        <f>O2039+P2039</f>
        <v>1</v>
      </c>
      <c r="R2039" s="7">
        <v>1</v>
      </c>
      <c r="S2039" s="6" t="s">
        <v>1636</v>
      </c>
      <c r="T2039" s="6" t="s">
        <v>5807</v>
      </c>
      <c r="U2039" s="6"/>
      <c r="V2039" s="16"/>
      <c r="W2039" s="16"/>
      <c r="X2039" s="16"/>
      <c r="Y2039" s="6" t="s">
        <v>1627</v>
      </c>
      <c r="Z2039" s="15"/>
      <c r="AA2039" s="15" t="s">
        <v>1628</v>
      </c>
    </row>
    <row r="2040" spans="1:27" ht="33" customHeight="1">
      <c r="A2040" s="6" t="s">
        <v>6184</v>
      </c>
      <c r="B2040" s="7">
        <v>2027</v>
      </c>
      <c r="C2040" s="6" t="s">
        <v>6185</v>
      </c>
      <c r="D2040" s="6" t="s">
        <v>1820</v>
      </c>
      <c r="E2040" s="6" t="s">
        <v>1981</v>
      </c>
      <c r="F2040" s="6" t="s">
        <v>130</v>
      </c>
      <c r="G2040" s="6" t="s">
        <v>236</v>
      </c>
      <c r="H2040" s="6" t="s">
        <v>995</v>
      </c>
      <c r="I2040" s="14" t="s">
        <v>1633</v>
      </c>
      <c r="J2040" s="15"/>
      <c r="K2040" s="6" t="s">
        <v>1982</v>
      </c>
      <c r="L2040" s="6" t="s">
        <v>3828</v>
      </c>
      <c r="M2040" s="6" t="s">
        <v>1635</v>
      </c>
      <c r="N2040" s="6" t="s">
        <v>1624</v>
      </c>
      <c r="O2040" s="7">
        <f>SUMIFS('05_상품별배치367'!$K$7:$K$373,'05_상품별배치367'!$E$7:$E$373,A2040,'05_상품별배치367'!$H$7:$H$373,"본진")</f>
        <v>1</v>
      </c>
      <c r="P2040" s="7">
        <f>SUMIFS('05_상품별배치367'!$K$7:$K$373,'05_상품별배치367'!$E$7:$E$373,A2040,'05_상품별배치367'!$H$7:$H$373,"추가 진열")</f>
        <v>0</v>
      </c>
      <c r="Q2040" s="7">
        <f>O2040+P2040</f>
        <v>1</v>
      </c>
      <c r="R2040" s="7">
        <v>1</v>
      </c>
      <c r="S2040" s="6" t="s">
        <v>1636</v>
      </c>
      <c r="T2040" s="6" t="s">
        <v>5807</v>
      </c>
      <c r="U2040" s="6"/>
      <c r="V2040" s="16"/>
      <c r="W2040" s="16"/>
      <c r="X2040" s="16"/>
      <c r="Y2040" s="6" t="s">
        <v>1627</v>
      </c>
      <c r="Z2040" s="15"/>
      <c r="AA2040" s="15" t="s">
        <v>1628</v>
      </c>
    </row>
    <row r="2041" spans="1:27" ht="33" customHeight="1">
      <c r="A2041" s="6" t="s">
        <v>6176</v>
      </c>
      <c r="B2041" s="7">
        <v>2023</v>
      </c>
      <c r="C2041" s="6" t="s">
        <v>6177</v>
      </c>
      <c r="D2041" s="6" t="s">
        <v>3169</v>
      </c>
      <c r="E2041" s="6" t="s">
        <v>1981</v>
      </c>
      <c r="F2041" s="6" t="s">
        <v>130</v>
      </c>
      <c r="G2041" s="6" t="s">
        <v>236</v>
      </c>
      <c r="H2041" s="6" t="s">
        <v>983</v>
      </c>
      <c r="I2041" s="14" t="s">
        <v>1633</v>
      </c>
      <c r="J2041" s="15"/>
      <c r="K2041" s="6" t="s">
        <v>1982</v>
      </c>
      <c r="L2041" s="6" t="s">
        <v>3828</v>
      </c>
      <c r="M2041" s="6" t="s">
        <v>1635</v>
      </c>
      <c r="N2041" s="6" t="s">
        <v>1624</v>
      </c>
      <c r="O2041" s="7">
        <f>SUMIFS('05_상품별배치367'!$K$7:$K$373,'05_상품별배치367'!$E$7:$E$373,A2041,'05_상품별배치367'!$H$7:$H$373,"본진")</f>
        <v>1</v>
      </c>
      <c r="P2041" s="7">
        <f>SUMIFS('05_상품별배치367'!$K$7:$K$373,'05_상품별배치367'!$E$7:$E$373,A2041,'05_상품별배치367'!$H$7:$H$373,"추가 진열")</f>
        <v>0</v>
      </c>
      <c r="Q2041" s="7">
        <f>O2041+P2041</f>
        <v>1</v>
      </c>
      <c r="R2041" s="7">
        <v>1</v>
      </c>
      <c r="S2041" s="6" t="s">
        <v>1636</v>
      </c>
      <c r="T2041" s="6" t="s">
        <v>5807</v>
      </c>
      <c r="U2041" s="6"/>
      <c r="V2041" s="16"/>
      <c r="W2041" s="16"/>
      <c r="X2041" s="16"/>
      <c r="Y2041" s="6" t="s">
        <v>1627</v>
      </c>
      <c r="Z2041" s="15"/>
      <c r="AA2041" s="15" t="s">
        <v>1628</v>
      </c>
    </row>
    <row r="2042" spans="1:27" ht="33" customHeight="1">
      <c r="A2042" s="8" t="s">
        <v>6182</v>
      </c>
      <c r="B2042" s="9">
        <v>2026</v>
      </c>
      <c r="C2042" s="8" t="s">
        <v>6183</v>
      </c>
      <c r="D2042" s="8" t="s">
        <v>1662</v>
      </c>
      <c r="E2042" s="8" t="s">
        <v>1981</v>
      </c>
      <c r="F2042" s="8" t="s">
        <v>130</v>
      </c>
      <c r="G2042" s="8" t="s">
        <v>236</v>
      </c>
      <c r="H2042" s="8" t="s">
        <v>991</v>
      </c>
      <c r="I2042" s="14" t="s">
        <v>1633</v>
      </c>
      <c r="J2042" s="15"/>
      <c r="K2042" s="8" t="s">
        <v>1982</v>
      </c>
      <c r="L2042" s="8" t="s">
        <v>3828</v>
      </c>
      <c r="M2042" s="6" t="s">
        <v>1635</v>
      </c>
      <c r="N2042" s="6" t="s">
        <v>1624</v>
      </c>
      <c r="O2042" s="7">
        <f>SUMIFS('05_상품별배치367'!$K$7:$K$373,'05_상품별배치367'!$E$7:$E$373,A2042,'05_상품별배치367'!$H$7:$H$373,"본진")</f>
        <v>1</v>
      </c>
      <c r="P2042" s="7">
        <f>SUMIFS('05_상품별배치367'!$K$7:$K$373,'05_상품별배치367'!$E$7:$E$373,A2042,'05_상품별배치367'!$H$7:$H$373,"추가 진열")</f>
        <v>0</v>
      </c>
      <c r="Q2042" s="7">
        <f>O2042+P2042</f>
        <v>1</v>
      </c>
      <c r="R2042" s="7">
        <v>1</v>
      </c>
      <c r="S2042" s="6" t="s">
        <v>1636</v>
      </c>
      <c r="T2042" s="6" t="s">
        <v>5807</v>
      </c>
      <c r="U2042" s="6"/>
      <c r="V2042" s="16"/>
      <c r="W2042" s="16"/>
      <c r="X2042" s="16"/>
      <c r="Y2042" s="6" t="s">
        <v>1627</v>
      </c>
      <c r="Z2042" s="15"/>
      <c r="AA2042" s="15" t="s">
        <v>1628</v>
      </c>
    </row>
    <row r="2043" spans="1:27" ht="33" customHeight="1">
      <c r="A2043" s="8" t="s">
        <v>6178</v>
      </c>
      <c r="B2043" s="9">
        <v>2024</v>
      </c>
      <c r="C2043" s="8" t="s">
        <v>6179</v>
      </c>
      <c r="D2043" s="8" t="s">
        <v>2795</v>
      </c>
      <c r="E2043" s="8" t="s">
        <v>1981</v>
      </c>
      <c r="F2043" s="8" t="s">
        <v>130</v>
      </c>
      <c r="G2043" s="8" t="s">
        <v>236</v>
      </c>
      <c r="H2043" s="8" t="s">
        <v>983</v>
      </c>
      <c r="I2043" s="14" t="s">
        <v>1621</v>
      </c>
      <c r="J2043" s="15"/>
      <c r="K2043" s="8" t="s">
        <v>1982</v>
      </c>
      <c r="L2043" s="8" t="s">
        <v>3828</v>
      </c>
      <c r="M2043" s="6" t="s">
        <v>1623</v>
      </c>
      <c r="N2043" s="6" t="s">
        <v>1624</v>
      </c>
      <c r="O2043" s="7">
        <f>SUMIFS('05_상품별배치367'!$K$7:$K$373,'05_상품별배치367'!$E$7:$E$373,A2043,'05_상품별배치367'!$H$7:$H$373,"본진")</f>
        <v>1</v>
      </c>
      <c r="P2043" s="7">
        <f>SUMIFS('05_상품별배치367'!$K$7:$K$373,'05_상품별배치367'!$E$7:$E$373,A2043,'05_상품별배치367'!$H$7:$H$373,"추가 진열")</f>
        <v>0</v>
      </c>
      <c r="Q2043" s="7">
        <f>O2043+P2043</f>
        <v>1</v>
      </c>
      <c r="R2043" s="7">
        <v>1</v>
      </c>
      <c r="S2043" s="6" t="s">
        <v>1625</v>
      </c>
      <c r="T2043" s="6" t="s">
        <v>5807</v>
      </c>
      <c r="U2043" s="6"/>
      <c r="V2043" s="16"/>
      <c r="W2043" s="16"/>
      <c r="X2043" s="16"/>
      <c r="Y2043" s="6" t="s">
        <v>1627</v>
      </c>
      <c r="Z2043" s="15"/>
      <c r="AA2043" s="15" t="s">
        <v>1628</v>
      </c>
    </row>
    <row r="2044" spans="1:27" ht="33" customHeight="1">
      <c r="A2044" s="6" t="s">
        <v>6180</v>
      </c>
      <c r="B2044" s="7">
        <v>2025</v>
      </c>
      <c r="C2044" s="6" t="s">
        <v>6179</v>
      </c>
      <c r="D2044" s="6" t="s">
        <v>3434</v>
      </c>
      <c r="E2044" s="6" t="s">
        <v>1981</v>
      </c>
      <c r="F2044" s="6" t="s">
        <v>130</v>
      </c>
      <c r="G2044" s="6" t="s">
        <v>236</v>
      </c>
      <c r="H2044" s="6" t="s">
        <v>995</v>
      </c>
      <c r="I2044" s="14" t="s">
        <v>1642</v>
      </c>
      <c r="J2044" s="15"/>
      <c r="K2044" s="6" t="s">
        <v>1982</v>
      </c>
      <c r="L2044" s="6" t="s">
        <v>3828</v>
      </c>
      <c r="M2044" s="6" t="s">
        <v>1643</v>
      </c>
      <c r="N2044" s="6" t="s">
        <v>1624</v>
      </c>
      <c r="O2044" s="7">
        <f>SUMIFS('05_상품별배치367'!$K$7:$K$373,'05_상품별배치367'!$E$7:$E$373,A2044,'05_상품별배치367'!$H$7:$H$373,"본진")</f>
        <v>0</v>
      </c>
      <c r="P2044" s="7">
        <f>SUMIFS('05_상품별배치367'!$K$7:$K$373,'05_상품별배치367'!$E$7:$E$373,A2044,'05_상품별배치367'!$H$7:$H$373,"추가 진열")</f>
        <v>0</v>
      </c>
      <c r="Q2044" s="7">
        <f>O2044+P2044</f>
        <v>0</v>
      </c>
      <c r="R2044" s="7">
        <v>1</v>
      </c>
      <c r="S2044" s="6" t="s">
        <v>6181</v>
      </c>
      <c r="T2044" s="6" t="s">
        <v>5807</v>
      </c>
      <c r="U2044" s="6"/>
      <c r="V2044" s="16"/>
      <c r="W2044" s="16"/>
      <c r="X2044" s="16"/>
      <c r="Y2044" s="6" t="s">
        <v>1627</v>
      </c>
      <c r="Z2044" s="15"/>
      <c r="AA2044" s="15" t="s">
        <v>1628</v>
      </c>
    </row>
    <row r="2045" spans="1:27" ht="33" customHeight="1">
      <c r="A2045" s="6" t="s">
        <v>766</v>
      </c>
      <c r="B2045" s="7">
        <v>2459</v>
      </c>
      <c r="C2045" s="6" t="s">
        <v>765</v>
      </c>
      <c r="D2045" s="6" t="s">
        <v>2795</v>
      </c>
      <c r="E2045" s="6" t="s">
        <v>1981</v>
      </c>
      <c r="F2045" s="6" t="s">
        <v>130</v>
      </c>
      <c r="G2045" s="6" t="s">
        <v>236</v>
      </c>
      <c r="H2045" s="6" t="s">
        <v>983</v>
      </c>
      <c r="I2045" s="14" t="s">
        <v>1633</v>
      </c>
      <c r="J2045" s="15"/>
      <c r="K2045" s="6" t="s">
        <v>1982</v>
      </c>
      <c r="L2045" s="6" t="s">
        <v>3828</v>
      </c>
      <c r="M2045" s="6" t="s">
        <v>1635</v>
      </c>
      <c r="N2045" s="6" t="s">
        <v>1624</v>
      </c>
      <c r="O2045" s="7">
        <f>SUMIFS('05_상품별배치367'!$K$7:$K$373,'05_상품별배치367'!$E$7:$E$373,A2045,'05_상품별배치367'!$H$7:$H$373,"본진")</f>
        <v>1</v>
      </c>
      <c r="P2045" s="7">
        <f>SUMIFS('05_상품별배치367'!$K$7:$K$373,'05_상품별배치367'!$E$7:$E$373,A2045,'05_상품별배치367'!$H$7:$H$373,"추가 진열")</f>
        <v>1</v>
      </c>
      <c r="Q2045" s="7">
        <f>O2045+P2045</f>
        <v>2</v>
      </c>
      <c r="R2045" s="7">
        <v>1</v>
      </c>
      <c r="S2045" s="6" t="s">
        <v>1636</v>
      </c>
      <c r="T2045" s="6" t="s">
        <v>5807</v>
      </c>
      <c r="U2045" s="6"/>
      <c r="V2045" s="16"/>
      <c r="W2045" s="16"/>
      <c r="X2045" s="16"/>
      <c r="Y2045" s="6" t="s">
        <v>1627</v>
      </c>
      <c r="Z2045" s="15"/>
      <c r="AA2045" s="15" t="s">
        <v>1628</v>
      </c>
    </row>
    <row r="2046" spans="1:27" ht="33" customHeight="1">
      <c r="A2046" s="6" t="s">
        <v>5813</v>
      </c>
      <c r="B2046" s="7">
        <v>1863</v>
      </c>
      <c r="C2046" s="6" t="s">
        <v>5814</v>
      </c>
      <c r="D2046" s="6" t="s">
        <v>3005</v>
      </c>
      <c r="E2046" s="6" t="s">
        <v>1981</v>
      </c>
      <c r="F2046" s="6" t="s">
        <v>130</v>
      </c>
      <c r="G2046" s="6" t="s">
        <v>236</v>
      </c>
      <c r="H2046" s="6" t="s">
        <v>987</v>
      </c>
      <c r="I2046" s="14" t="s">
        <v>1633</v>
      </c>
      <c r="J2046" s="15"/>
      <c r="K2046" s="6" t="s">
        <v>1982</v>
      </c>
      <c r="L2046" s="6" t="s">
        <v>3828</v>
      </c>
      <c r="M2046" s="6" t="s">
        <v>1635</v>
      </c>
      <c r="N2046" s="6" t="s">
        <v>1624</v>
      </c>
      <c r="O2046" s="7">
        <f>SUMIFS('05_상품별배치367'!$K$7:$K$373,'05_상품별배치367'!$E$7:$E$373,A2046,'05_상품별배치367'!$H$7:$H$373,"본진")</f>
        <v>1</v>
      </c>
      <c r="P2046" s="7">
        <f>SUMIFS('05_상품별배치367'!$K$7:$K$373,'05_상품별배치367'!$E$7:$E$373,A2046,'05_상품별배치367'!$H$7:$H$373,"추가 진열")</f>
        <v>0</v>
      </c>
      <c r="Q2046" s="7">
        <f>O2046+P2046</f>
        <v>1</v>
      </c>
      <c r="R2046" s="7">
        <v>1</v>
      </c>
      <c r="S2046" s="6" t="s">
        <v>1636</v>
      </c>
      <c r="T2046" s="6" t="s">
        <v>5807</v>
      </c>
      <c r="U2046" s="6"/>
      <c r="V2046" s="16"/>
      <c r="W2046" s="16"/>
      <c r="X2046" s="16"/>
      <c r="Y2046" s="6" t="s">
        <v>1627</v>
      </c>
      <c r="Z2046" s="15"/>
      <c r="AA2046" s="15" t="s">
        <v>1628</v>
      </c>
    </row>
    <row r="2047" spans="1:27" ht="33" customHeight="1">
      <c r="A2047" s="8" t="s">
        <v>1498</v>
      </c>
      <c r="B2047" s="9">
        <v>1860</v>
      </c>
      <c r="C2047" s="8" t="s">
        <v>1497</v>
      </c>
      <c r="D2047" s="8" t="s">
        <v>2732</v>
      </c>
      <c r="E2047" s="8" t="s">
        <v>1981</v>
      </c>
      <c r="F2047" s="8" t="s">
        <v>130</v>
      </c>
      <c r="G2047" s="8" t="s">
        <v>236</v>
      </c>
      <c r="H2047" s="8" t="s">
        <v>987</v>
      </c>
      <c r="I2047" s="14" t="s">
        <v>1621</v>
      </c>
      <c r="J2047" s="15"/>
      <c r="K2047" s="8" t="s">
        <v>1982</v>
      </c>
      <c r="L2047" s="8" t="s">
        <v>3828</v>
      </c>
      <c r="M2047" s="6" t="s">
        <v>1623</v>
      </c>
      <c r="N2047" s="6" t="s">
        <v>1624</v>
      </c>
      <c r="O2047" s="7">
        <f>SUMIFS('05_상품별배치367'!$K$7:$K$373,'05_상품별배치367'!$E$7:$E$373,A2047,'05_상품별배치367'!$H$7:$H$373,"본진")</f>
        <v>1</v>
      </c>
      <c r="P2047" s="7">
        <f>SUMIFS('05_상품별배치367'!$K$7:$K$373,'05_상품별배치367'!$E$7:$E$373,A2047,'05_상품별배치367'!$H$7:$H$373,"추가 진열")</f>
        <v>1</v>
      </c>
      <c r="Q2047" s="7">
        <f>O2047+P2047</f>
        <v>2</v>
      </c>
      <c r="R2047" s="7">
        <v>1</v>
      </c>
      <c r="S2047" s="6" t="s">
        <v>1625</v>
      </c>
      <c r="T2047" s="6" t="s">
        <v>5807</v>
      </c>
      <c r="U2047" s="6"/>
      <c r="V2047" s="16"/>
      <c r="W2047" s="16"/>
      <c r="X2047" s="16"/>
      <c r="Y2047" s="6" t="s">
        <v>1627</v>
      </c>
      <c r="Z2047" s="15"/>
      <c r="AA2047" s="15" t="s">
        <v>1628</v>
      </c>
    </row>
    <row r="2048" spans="1:27" ht="33" customHeight="1">
      <c r="A2048" s="8" t="s">
        <v>6216</v>
      </c>
      <c r="B2048" s="9">
        <v>2040</v>
      </c>
      <c r="C2048" s="8" t="s">
        <v>6217</v>
      </c>
      <c r="D2048" s="8" t="s">
        <v>6188</v>
      </c>
      <c r="E2048" s="8" t="s">
        <v>1981</v>
      </c>
      <c r="F2048" s="8" t="s">
        <v>245</v>
      </c>
      <c r="G2048" s="8" t="s">
        <v>244</v>
      </c>
      <c r="H2048" s="8" t="s">
        <v>1000</v>
      </c>
      <c r="I2048" s="14" t="s">
        <v>1633</v>
      </c>
      <c r="J2048" s="15"/>
      <c r="K2048" s="8" t="s">
        <v>1982</v>
      </c>
      <c r="L2048" s="8" t="s">
        <v>3828</v>
      </c>
      <c r="M2048" s="6" t="s">
        <v>1635</v>
      </c>
      <c r="N2048" s="6" t="s">
        <v>1624</v>
      </c>
      <c r="O2048" s="7">
        <f>SUMIFS('05_상품별배치367'!$K$7:$K$373,'05_상품별배치367'!$E$7:$E$373,A2048,'05_상품별배치367'!$H$7:$H$373,"본진")</f>
        <v>1</v>
      </c>
      <c r="P2048" s="7">
        <f>SUMIFS('05_상품별배치367'!$K$7:$K$373,'05_상품별배치367'!$E$7:$E$373,A2048,'05_상품별배치367'!$H$7:$H$373,"추가 진열")</f>
        <v>0</v>
      </c>
      <c r="Q2048" s="7">
        <f>O2048+P2048</f>
        <v>1</v>
      </c>
      <c r="R2048" s="7">
        <v>1</v>
      </c>
      <c r="S2048" s="6" t="s">
        <v>1636</v>
      </c>
      <c r="T2048" s="6" t="s">
        <v>5807</v>
      </c>
      <c r="U2048" s="6"/>
      <c r="V2048" s="16"/>
      <c r="W2048" s="16"/>
      <c r="X2048" s="16"/>
      <c r="Y2048" s="6" t="s">
        <v>1627</v>
      </c>
      <c r="Z2048" s="15"/>
      <c r="AA2048" s="15" t="s">
        <v>1628</v>
      </c>
    </row>
    <row r="2049" spans="1:27" ht="33" customHeight="1">
      <c r="A2049" s="6" t="s">
        <v>1502</v>
      </c>
      <c r="B2049" s="7">
        <v>2045</v>
      </c>
      <c r="C2049" s="6" t="s">
        <v>1501</v>
      </c>
      <c r="D2049" s="6" t="s">
        <v>1820</v>
      </c>
      <c r="E2049" s="6" t="s">
        <v>1981</v>
      </c>
      <c r="F2049" s="6" t="s">
        <v>245</v>
      </c>
      <c r="G2049" s="6" t="s">
        <v>244</v>
      </c>
      <c r="H2049" s="6" t="s">
        <v>1000</v>
      </c>
      <c r="I2049" s="14" t="s">
        <v>1621</v>
      </c>
      <c r="J2049" s="15"/>
      <c r="K2049" s="6" t="s">
        <v>1982</v>
      </c>
      <c r="L2049" s="6" t="s">
        <v>3828</v>
      </c>
      <c r="M2049" s="6" t="s">
        <v>1623</v>
      </c>
      <c r="N2049" s="6" t="s">
        <v>1624</v>
      </c>
      <c r="O2049" s="7">
        <f>SUMIFS('05_상품별배치367'!$K$7:$K$373,'05_상품별배치367'!$E$7:$E$373,A2049,'05_상품별배치367'!$H$7:$H$373,"본진")</f>
        <v>1</v>
      </c>
      <c r="P2049" s="7">
        <f>SUMIFS('05_상품별배치367'!$K$7:$K$373,'05_상품별배치367'!$E$7:$E$373,A2049,'05_상품별배치367'!$H$7:$H$373,"추가 진열")</f>
        <v>1</v>
      </c>
      <c r="Q2049" s="7">
        <f>O2049+P2049</f>
        <v>2</v>
      </c>
      <c r="R2049" s="7">
        <v>1</v>
      </c>
      <c r="S2049" s="6" t="s">
        <v>1625</v>
      </c>
      <c r="T2049" s="6" t="s">
        <v>5807</v>
      </c>
      <c r="U2049" s="6"/>
      <c r="V2049" s="16"/>
      <c r="W2049" s="16"/>
      <c r="X2049" s="16"/>
      <c r="Y2049" s="6" t="s">
        <v>1627</v>
      </c>
      <c r="Z2049" s="15"/>
      <c r="AA2049" s="15" t="s">
        <v>1628</v>
      </c>
    </row>
    <row r="2050" spans="1:27" ht="33" customHeight="1">
      <c r="A2050" s="6" t="s">
        <v>1722</v>
      </c>
      <c r="B2050" s="7">
        <v>27</v>
      </c>
      <c r="C2050" s="6" t="s">
        <v>1723</v>
      </c>
      <c r="D2050" s="6" t="s">
        <v>1724</v>
      </c>
      <c r="E2050" s="6" t="s">
        <v>1632</v>
      </c>
      <c r="F2050" s="6" t="s">
        <v>1014</v>
      </c>
      <c r="G2050" s="6" t="s">
        <v>254</v>
      </c>
      <c r="H2050" s="6"/>
      <c r="I2050" s="14" t="s">
        <v>1642</v>
      </c>
      <c r="J2050" s="15"/>
      <c r="K2050" s="6" t="s">
        <v>1634</v>
      </c>
      <c r="L2050" s="6"/>
      <c r="M2050" s="6" t="s">
        <v>1643</v>
      </c>
      <c r="N2050" s="6" t="s">
        <v>1624</v>
      </c>
      <c r="O2050" s="7">
        <f>SUMIFS('05_상품별배치367'!$K$7:$K$373,'05_상품별배치367'!$E$7:$E$373,A2050,'05_상품별배치367'!$H$7:$H$373,"본진")</f>
        <v>0</v>
      </c>
      <c r="P2050" s="7">
        <f>SUMIFS('05_상품별배치367'!$K$7:$K$373,'05_상품별배치367'!$E$7:$E$373,A2050,'05_상품별배치367'!$H$7:$H$373,"추가 진열")</f>
        <v>0</v>
      </c>
      <c r="Q2050" s="7">
        <f>O2050+P2050</f>
        <v>0</v>
      </c>
      <c r="R2050" s="7">
        <v>1</v>
      </c>
      <c r="S2050" s="6" t="s">
        <v>1725</v>
      </c>
      <c r="T2050" s="6" t="s">
        <v>1637</v>
      </c>
      <c r="U2050" s="6"/>
      <c r="V2050" s="16"/>
      <c r="W2050" s="16"/>
      <c r="X2050" s="16"/>
      <c r="Y2050" s="6" t="s">
        <v>1627</v>
      </c>
      <c r="Z2050" s="15"/>
      <c r="AA2050" s="15" t="s">
        <v>1628</v>
      </c>
    </row>
    <row r="2051" spans="1:27" ht="33" customHeight="1">
      <c r="A2051" s="8" t="s">
        <v>1647</v>
      </c>
      <c r="B2051" s="9">
        <v>6</v>
      </c>
      <c r="C2051" s="8" t="s">
        <v>1648</v>
      </c>
      <c r="D2051" s="8" t="s">
        <v>1649</v>
      </c>
      <c r="E2051" s="8" t="s">
        <v>1632</v>
      </c>
      <c r="F2051" s="8" t="s">
        <v>128</v>
      </c>
      <c r="G2051" s="8" t="s">
        <v>228</v>
      </c>
      <c r="H2051" s="8"/>
      <c r="I2051" s="14" t="s">
        <v>1642</v>
      </c>
      <c r="J2051" s="15"/>
      <c r="K2051" s="8" t="s">
        <v>1634</v>
      </c>
      <c r="L2051" s="8"/>
      <c r="M2051" s="6" t="s">
        <v>1643</v>
      </c>
      <c r="N2051" s="6" t="s">
        <v>1624</v>
      </c>
      <c r="O2051" s="7">
        <f>SUMIFS('05_상품별배치367'!$K$7:$K$373,'05_상품별배치367'!$E$7:$E$373,A2051,'05_상품별배치367'!$H$7:$H$373,"본진")</f>
        <v>0</v>
      </c>
      <c r="P2051" s="7">
        <f>SUMIFS('05_상품별배치367'!$K$7:$K$373,'05_상품별배치367'!$E$7:$E$373,A2051,'05_상품별배치367'!$H$7:$H$373,"추가 진열")</f>
        <v>0</v>
      </c>
      <c r="Q2051" s="7">
        <f>O2051+P2051</f>
        <v>0</v>
      </c>
      <c r="R2051" s="7">
        <v>1</v>
      </c>
      <c r="S2051" s="6" t="s">
        <v>1650</v>
      </c>
      <c r="T2051" s="6" t="s">
        <v>1637</v>
      </c>
      <c r="U2051" s="6"/>
      <c r="V2051" s="16"/>
      <c r="W2051" s="16"/>
      <c r="X2051" s="16"/>
      <c r="Y2051" s="6" t="s">
        <v>1627</v>
      </c>
      <c r="Z2051" s="15"/>
      <c r="AA2051" s="15" t="s">
        <v>1628</v>
      </c>
    </row>
    <row r="2052" spans="1:27" ht="33" customHeight="1">
      <c r="A2052" s="8" t="s">
        <v>1684</v>
      </c>
      <c r="B2052" s="9">
        <v>14</v>
      </c>
      <c r="C2052" s="8" t="s">
        <v>1685</v>
      </c>
      <c r="D2052" s="8" t="s">
        <v>1686</v>
      </c>
      <c r="E2052" s="8" t="s">
        <v>1632</v>
      </c>
      <c r="F2052" s="8" t="s">
        <v>865</v>
      </c>
      <c r="G2052" s="8" t="s">
        <v>173</v>
      </c>
      <c r="H2052" s="8"/>
      <c r="I2052" s="14" t="s">
        <v>1642</v>
      </c>
      <c r="J2052" s="15"/>
      <c r="K2052" s="8" t="s">
        <v>1634</v>
      </c>
      <c r="L2052" s="8"/>
      <c r="M2052" s="6" t="s">
        <v>1643</v>
      </c>
      <c r="N2052" s="6" t="s">
        <v>1624</v>
      </c>
      <c r="O2052" s="7">
        <f>SUMIFS('05_상품별배치367'!$K$7:$K$373,'05_상품별배치367'!$E$7:$E$373,A2052,'05_상품별배치367'!$H$7:$H$373,"본진")</f>
        <v>0</v>
      </c>
      <c r="P2052" s="7">
        <f>SUMIFS('05_상품별배치367'!$K$7:$K$373,'05_상품별배치367'!$E$7:$E$373,A2052,'05_상품별배치367'!$H$7:$H$373,"추가 진열")</f>
        <v>0</v>
      </c>
      <c r="Q2052" s="7">
        <f>O2052+P2052</f>
        <v>0</v>
      </c>
      <c r="R2052" s="7">
        <v>1</v>
      </c>
      <c r="S2052" s="6" t="s">
        <v>1687</v>
      </c>
      <c r="T2052" s="6" t="s">
        <v>1637</v>
      </c>
      <c r="U2052" s="6"/>
      <c r="V2052" s="16"/>
      <c r="W2052" s="16"/>
      <c r="X2052" s="16"/>
      <c r="Y2052" s="6" t="s">
        <v>1627</v>
      </c>
      <c r="Z2052" s="15"/>
      <c r="AA2052" s="15" t="s">
        <v>1628</v>
      </c>
    </row>
    <row r="2053" spans="1:27" ht="33" customHeight="1">
      <c r="A2053" s="8" t="s">
        <v>5166</v>
      </c>
      <c r="B2053" s="9">
        <v>1556</v>
      </c>
      <c r="C2053" s="8" t="s">
        <v>5167</v>
      </c>
      <c r="D2053" s="8" t="s">
        <v>2133</v>
      </c>
      <c r="E2053" s="8" t="s">
        <v>2134</v>
      </c>
      <c r="F2053" s="8" t="s">
        <v>2933</v>
      </c>
      <c r="G2053" s="8" t="s">
        <v>1668</v>
      </c>
      <c r="H2053" s="8"/>
      <c r="I2053" s="14" t="s">
        <v>1807</v>
      </c>
      <c r="J2053" s="15"/>
      <c r="K2053" s="8" t="s">
        <v>1976</v>
      </c>
      <c r="L2053" s="8" t="s">
        <v>2032</v>
      </c>
      <c r="M2053" s="6" t="s">
        <v>1809</v>
      </c>
      <c r="N2053" s="6" t="s">
        <v>1644</v>
      </c>
      <c r="O2053" s="7">
        <f>SUMIFS('05_상품별배치367'!$K$7:$K$373,'05_상품별배치367'!$E$7:$E$373,A2053,'05_상품별배치367'!$H$7:$H$373,"본진")</f>
        <v>0</v>
      </c>
      <c r="P2053" s="7">
        <f>SUMIFS('05_상품별배치367'!$K$7:$K$373,'05_상품별배치367'!$E$7:$E$373,A2053,'05_상품별배치367'!$H$7:$H$373,"추가 진열")</f>
        <v>0</v>
      </c>
      <c r="Q2053" s="7">
        <f>O2053+P2053</f>
        <v>0</v>
      </c>
      <c r="R2053" s="7">
        <v>0</v>
      </c>
      <c r="S2053" s="6" t="s">
        <v>1810</v>
      </c>
      <c r="T2053" s="6" t="s">
        <v>1637</v>
      </c>
      <c r="U2053" s="6"/>
      <c r="V2053" s="16"/>
      <c r="W2053" s="16"/>
      <c r="X2053" s="16"/>
      <c r="Y2053" s="6" t="s">
        <v>1627</v>
      </c>
      <c r="Z2053" s="15"/>
      <c r="AA2053" s="15" t="s">
        <v>1628</v>
      </c>
    </row>
    <row r="2054" spans="1:27" ht="33" customHeight="1">
      <c r="A2054" s="6" t="s">
        <v>5164</v>
      </c>
      <c r="B2054" s="7">
        <v>1555</v>
      </c>
      <c r="C2054" s="6" t="s">
        <v>5165</v>
      </c>
      <c r="D2054" s="6" t="s">
        <v>2133</v>
      </c>
      <c r="E2054" s="6" t="s">
        <v>2134</v>
      </c>
      <c r="F2054" s="6" t="s">
        <v>2933</v>
      </c>
      <c r="G2054" s="6" t="s">
        <v>1668</v>
      </c>
      <c r="H2054" s="6"/>
      <c r="I2054" s="14" t="s">
        <v>1807</v>
      </c>
      <c r="J2054" s="15"/>
      <c r="K2054" s="6" t="s">
        <v>1976</v>
      </c>
      <c r="L2054" s="6" t="s">
        <v>2032</v>
      </c>
      <c r="M2054" s="6" t="s">
        <v>1809</v>
      </c>
      <c r="N2054" s="6" t="s">
        <v>1644</v>
      </c>
      <c r="O2054" s="7">
        <f>SUMIFS('05_상품별배치367'!$K$7:$K$373,'05_상품별배치367'!$E$7:$E$373,A2054,'05_상품별배치367'!$H$7:$H$373,"본진")</f>
        <v>0</v>
      </c>
      <c r="P2054" s="7">
        <f>SUMIFS('05_상품별배치367'!$K$7:$K$373,'05_상품별배치367'!$E$7:$E$373,A2054,'05_상품별배치367'!$H$7:$H$373,"추가 진열")</f>
        <v>0</v>
      </c>
      <c r="Q2054" s="7">
        <f>O2054+P2054</f>
        <v>0</v>
      </c>
      <c r="R2054" s="7">
        <v>0</v>
      </c>
      <c r="S2054" s="6" t="s">
        <v>1810</v>
      </c>
      <c r="T2054" s="6" t="s">
        <v>1637</v>
      </c>
      <c r="U2054" s="6"/>
      <c r="V2054" s="16"/>
      <c r="W2054" s="16"/>
      <c r="X2054" s="16"/>
      <c r="Y2054" s="6" t="s">
        <v>1627</v>
      </c>
      <c r="Z2054" s="15"/>
      <c r="AA2054" s="15" t="s">
        <v>1628</v>
      </c>
    </row>
    <row r="2055" spans="1:27" ht="33" customHeight="1">
      <c r="A2055" s="8" t="s">
        <v>5158</v>
      </c>
      <c r="B2055" s="9">
        <v>1552</v>
      </c>
      <c r="C2055" s="8" t="s">
        <v>5159</v>
      </c>
      <c r="D2055" s="8" t="s">
        <v>2133</v>
      </c>
      <c r="E2055" s="8" t="s">
        <v>1986</v>
      </c>
      <c r="F2055" s="8" t="s">
        <v>493</v>
      </c>
      <c r="G2055" s="8" t="s">
        <v>299</v>
      </c>
      <c r="H2055" s="8"/>
      <c r="I2055" s="14" t="s">
        <v>1642</v>
      </c>
      <c r="J2055" s="15"/>
      <c r="K2055" s="8" t="s">
        <v>1976</v>
      </c>
      <c r="L2055" s="8"/>
      <c r="M2055" s="6" t="s">
        <v>1643</v>
      </c>
      <c r="N2055" s="6" t="s">
        <v>1644</v>
      </c>
      <c r="O2055" s="7">
        <f>SUMIFS('05_상품별배치367'!$K$7:$K$373,'05_상품별배치367'!$E$7:$E$373,A2055,'05_상품별배치367'!$H$7:$H$373,"본진")</f>
        <v>0</v>
      </c>
      <c r="P2055" s="7">
        <f>SUMIFS('05_상품별배치367'!$K$7:$K$373,'05_상품별배치367'!$E$7:$E$373,A2055,'05_상품별배치367'!$H$7:$H$373,"추가 진열")</f>
        <v>0</v>
      </c>
      <c r="Q2055" s="7">
        <f>O2055+P2055</f>
        <v>0</v>
      </c>
      <c r="R2055" s="7">
        <v>1</v>
      </c>
      <c r="S2055" s="6" t="s">
        <v>3084</v>
      </c>
      <c r="T2055" s="6" t="s">
        <v>1637</v>
      </c>
      <c r="U2055" s="6"/>
      <c r="V2055" s="16"/>
      <c r="W2055" s="16"/>
      <c r="X2055" s="16"/>
      <c r="Y2055" s="6" t="s">
        <v>1627</v>
      </c>
      <c r="Z2055" s="15"/>
      <c r="AA2055" s="15" t="s">
        <v>1628</v>
      </c>
    </row>
    <row r="2056" spans="1:27" ht="33" customHeight="1">
      <c r="A2056" s="8" t="s">
        <v>5162</v>
      </c>
      <c r="B2056" s="9">
        <v>1554</v>
      </c>
      <c r="C2056" s="8" t="s">
        <v>5163</v>
      </c>
      <c r="D2056" s="8" t="s">
        <v>1851</v>
      </c>
      <c r="E2056" s="8" t="s">
        <v>2134</v>
      </c>
      <c r="F2056" s="8" t="s">
        <v>163</v>
      </c>
      <c r="G2056" s="8" t="s">
        <v>414</v>
      </c>
      <c r="H2056" s="8"/>
      <c r="I2056" s="14" t="s">
        <v>1642</v>
      </c>
      <c r="J2056" s="15"/>
      <c r="K2056" s="8" t="s">
        <v>1976</v>
      </c>
      <c r="L2056" s="8"/>
      <c r="M2056" s="6" t="s">
        <v>1643</v>
      </c>
      <c r="N2056" s="6" t="s">
        <v>1644</v>
      </c>
      <c r="O2056" s="7">
        <f>SUMIFS('05_상품별배치367'!$K$7:$K$373,'05_상품별배치367'!$E$7:$E$373,A2056,'05_상품별배치367'!$H$7:$H$373,"본진")</f>
        <v>0</v>
      </c>
      <c r="P2056" s="7">
        <f>SUMIFS('05_상품별배치367'!$K$7:$K$373,'05_상품별배치367'!$E$7:$E$373,A2056,'05_상품별배치367'!$H$7:$H$373,"추가 진열")</f>
        <v>0</v>
      </c>
      <c r="Q2056" s="7">
        <f>O2056+P2056</f>
        <v>0</v>
      </c>
      <c r="R2056" s="7">
        <v>1</v>
      </c>
      <c r="S2056" s="6" t="s">
        <v>3048</v>
      </c>
      <c r="T2056" s="6" t="s">
        <v>1637</v>
      </c>
      <c r="U2056" s="6"/>
      <c r="V2056" s="16"/>
      <c r="W2056" s="16"/>
      <c r="X2056" s="16"/>
      <c r="Y2056" s="6" t="s">
        <v>1627</v>
      </c>
      <c r="Z2056" s="15"/>
      <c r="AA2056" s="15" t="s">
        <v>1628</v>
      </c>
    </row>
    <row r="2057" spans="1:27" ht="33" customHeight="1">
      <c r="A2057" s="6" t="s">
        <v>5160</v>
      </c>
      <c r="B2057" s="7">
        <v>1553</v>
      </c>
      <c r="C2057" s="6" t="s">
        <v>5161</v>
      </c>
      <c r="D2057" s="6" t="s">
        <v>2133</v>
      </c>
      <c r="E2057" s="6" t="s">
        <v>2134</v>
      </c>
      <c r="F2057" s="6" t="s">
        <v>163</v>
      </c>
      <c r="G2057" s="6" t="s">
        <v>414</v>
      </c>
      <c r="H2057" s="6"/>
      <c r="I2057" s="14" t="s">
        <v>1642</v>
      </c>
      <c r="J2057" s="15"/>
      <c r="K2057" s="6" t="s">
        <v>1976</v>
      </c>
      <c r="L2057" s="6"/>
      <c r="M2057" s="6" t="s">
        <v>1643</v>
      </c>
      <c r="N2057" s="6" t="s">
        <v>1644</v>
      </c>
      <c r="O2057" s="7">
        <f>SUMIFS('05_상품별배치367'!$K$7:$K$373,'05_상품별배치367'!$E$7:$E$373,A2057,'05_상품별배치367'!$H$7:$H$373,"본진")</f>
        <v>0</v>
      </c>
      <c r="P2057" s="7">
        <f>SUMIFS('05_상품별배치367'!$K$7:$K$373,'05_상품별배치367'!$E$7:$E$373,A2057,'05_상품별배치367'!$H$7:$H$373,"추가 진열")</f>
        <v>0</v>
      </c>
      <c r="Q2057" s="7">
        <f>O2057+P2057</f>
        <v>0</v>
      </c>
      <c r="R2057" s="7">
        <v>1</v>
      </c>
      <c r="S2057" s="6" t="s">
        <v>3048</v>
      </c>
      <c r="T2057" s="6" t="s">
        <v>1637</v>
      </c>
      <c r="U2057" s="6"/>
      <c r="V2057" s="16"/>
      <c r="W2057" s="16"/>
      <c r="X2057" s="16"/>
      <c r="Y2057" s="6" t="s">
        <v>1627</v>
      </c>
      <c r="Z2057" s="15"/>
      <c r="AA2057" s="15" t="s">
        <v>1628</v>
      </c>
    </row>
    <row r="2058" spans="1:27" ht="33" customHeight="1">
      <c r="A2058" s="6" t="s">
        <v>5172</v>
      </c>
      <c r="B2058" s="7">
        <v>1559</v>
      </c>
      <c r="C2058" s="6" t="s">
        <v>5173</v>
      </c>
      <c r="D2058" s="6" t="s">
        <v>2856</v>
      </c>
      <c r="E2058" s="6" t="s">
        <v>2134</v>
      </c>
      <c r="F2058" s="6" t="s">
        <v>2933</v>
      </c>
      <c r="G2058" s="6" t="s">
        <v>1668</v>
      </c>
      <c r="H2058" s="6"/>
      <c r="I2058" s="14" t="s">
        <v>1807</v>
      </c>
      <c r="J2058" s="15"/>
      <c r="K2058" s="6" t="s">
        <v>1976</v>
      </c>
      <c r="L2058" s="6" t="s">
        <v>2032</v>
      </c>
      <c r="M2058" s="6" t="s">
        <v>1809</v>
      </c>
      <c r="N2058" s="6" t="s">
        <v>1644</v>
      </c>
      <c r="O2058" s="7">
        <f>SUMIFS('05_상품별배치367'!$K$7:$K$373,'05_상품별배치367'!$E$7:$E$373,A2058,'05_상품별배치367'!$H$7:$H$373,"본진")</f>
        <v>0</v>
      </c>
      <c r="P2058" s="7">
        <f>SUMIFS('05_상품별배치367'!$K$7:$K$373,'05_상품별배치367'!$E$7:$E$373,A2058,'05_상품별배치367'!$H$7:$H$373,"추가 진열")</f>
        <v>0</v>
      </c>
      <c r="Q2058" s="7">
        <f>O2058+P2058</f>
        <v>0</v>
      </c>
      <c r="R2058" s="7">
        <v>0</v>
      </c>
      <c r="S2058" s="6" t="s">
        <v>1810</v>
      </c>
      <c r="T2058" s="6" t="s">
        <v>1637</v>
      </c>
      <c r="U2058" s="6"/>
      <c r="V2058" s="16"/>
      <c r="W2058" s="16"/>
      <c r="X2058" s="16"/>
      <c r="Y2058" s="6" t="s">
        <v>1627</v>
      </c>
      <c r="Z2058" s="15"/>
      <c r="AA2058" s="15" t="s">
        <v>1628</v>
      </c>
    </row>
    <row r="2059" spans="1:27" ht="33" customHeight="1">
      <c r="A2059" s="8" t="s">
        <v>5170</v>
      </c>
      <c r="B2059" s="9">
        <v>1558</v>
      </c>
      <c r="C2059" s="8" t="s">
        <v>5171</v>
      </c>
      <c r="D2059" s="8" t="s">
        <v>2856</v>
      </c>
      <c r="E2059" s="8" t="s">
        <v>2134</v>
      </c>
      <c r="F2059" s="8" t="s">
        <v>1081</v>
      </c>
      <c r="G2059" s="8" t="s">
        <v>290</v>
      </c>
      <c r="H2059" s="8"/>
      <c r="I2059" s="14" t="s">
        <v>1642</v>
      </c>
      <c r="J2059" s="15"/>
      <c r="K2059" s="8" t="s">
        <v>1976</v>
      </c>
      <c r="L2059" s="8"/>
      <c r="M2059" s="6" t="s">
        <v>1643</v>
      </c>
      <c r="N2059" s="6" t="s">
        <v>1644</v>
      </c>
      <c r="O2059" s="7">
        <f>SUMIFS('05_상품별배치367'!$K$7:$K$373,'05_상품별배치367'!$E$7:$E$373,A2059,'05_상품별배치367'!$H$7:$H$373,"본진")</f>
        <v>0</v>
      </c>
      <c r="P2059" s="7">
        <f>SUMIFS('05_상품별배치367'!$K$7:$K$373,'05_상품별배치367'!$E$7:$E$373,A2059,'05_상품별배치367'!$H$7:$H$373,"추가 진열")</f>
        <v>0</v>
      </c>
      <c r="Q2059" s="7">
        <f>O2059+P2059</f>
        <v>0</v>
      </c>
      <c r="R2059" s="7">
        <v>1</v>
      </c>
      <c r="S2059" s="6" t="s">
        <v>2135</v>
      </c>
      <c r="T2059" s="6" t="s">
        <v>1637</v>
      </c>
      <c r="U2059" s="6"/>
      <c r="V2059" s="16"/>
      <c r="W2059" s="16"/>
      <c r="X2059" s="16"/>
      <c r="Y2059" s="6" t="s">
        <v>1627</v>
      </c>
      <c r="Z2059" s="15"/>
      <c r="AA2059" s="15" t="s">
        <v>1628</v>
      </c>
    </row>
    <row r="2060" spans="1:27" ht="33" customHeight="1">
      <c r="A2060" s="6" t="s">
        <v>5168</v>
      </c>
      <c r="B2060" s="7">
        <v>1557</v>
      </c>
      <c r="C2060" s="6" t="s">
        <v>5169</v>
      </c>
      <c r="D2060" s="6" t="s">
        <v>2856</v>
      </c>
      <c r="E2060" s="6" t="s">
        <v>2134</v>
      </c>
      <c r="F2060" s="6" t="s">
        <v>163</v>
      </c>
      <c r="G2060" s="6" t="s">
        <v>414</v>
      </c>
      <c r="H2060" s="6"/>
      <c r="I2060" s="14" t="s">
        <v>1642</v>
      </c>
      <c r="J2060" s="15"/>
      <c r="K2060" s="6" t="s">
        <v>1976</v>
      </c>
      <c r="L2060" s="6"/>
      <c r="M2060" s="6" t="s">
        <v>1643</v>
      </c>
      <c r="N2060" s="6" t="s">
        <v>1644</v>
      </c>
      <c r="O2060" s="7">
        <f>SUMIFS('05_상품별배치367'!$K$7:$K$373,'05_상품별배치367'!$E$7:$E$373,A2060,'05_상품별배치367'!$H$7:$H$373,"본진")</f>
        <v>0</v>
      </c>
      <c r="P2060" s="7">
        <f>SUMIFS('05_상품별배치367'!$K$7:$K$373,'05_상품별배치367'!$E$7:$E$373,A2060,'05_상품별배치367'!$H$7:$H$373,"추가 진열")</f>
        <v>0</v>
      </c>
      <c r="Q2060" s="7">
        <f>O2060+P2060</f>
        <v>0</v>
      </c>
      <c r="R2060" s="7">
        <v>1</v>
      </c>
      <c r="S2060" s="6" t="s">
        <v>3048</v>
      </c>
      <c r="T2060" s="6" t="s">
        <v>1637</v>
      </c>
      <c r="U2060" s="6"/>
      <c r="V2060" s="16"/>
      <c r="W2060" s="16"/>
      <c r="X2060" s="16"/>
      <c r="Y2060" s="6" t="s">
        <v>1627</v>
      </c>
      <c r="Z2060" s="15"/>
      <c r="AA2060" s="15" t="s">
        <v>1628</v>
      </c>
    </row>
    <row r="2061" spans="1:27" ht="33" customHeight="1">
      <c r="A2061" s="8" t="s">
        <v>5182</v>
      </c>
      <c r="B2061" s="9">
        <v>1564</v>
      </c>
      <c r="C2061" s="8" t="s">
        <v>5183</v>
      </c>
      <c r="D2061" s="8" t="s">
        <v>2913</v>
      </c>
      <c r="E2061" s="8" t="s">
        <v>2134</v>
      </c>
      <c r="F2061" s="8" t="s">
        <v>2933</v>
      </c>
      <c r="G2061" s="8" t="s">
        <v>1668</v>
      </c>
      <c r="H2061" s="8"/>
      <c r="I2061" s="14" t="s">
        <v>1807</v>
      </c>
      <c r="J2061" s="15"/>
      <c r="K2061" s="8" t="s">
        <v>1976</v>
      </c>
      <c r="L2061" s="8" t="s">
        <v>2032</v>
      </c>
      <c r="M2061" s="6" t="s">
        <v>1809</v>
      </c>
      <c r="N2061" s="6" t="s">
        <v>1644</v>
      </c>
      <c r="O2061" s="7">
        <f>SUMIFS('05_상품별배치367'!$K$7:$K$373,'05_상품별배치367'!$E$7:$E$373,A2061,'05_상품별배치367'!$H$7:$H$373,"본진")</f>
        <v>0</v>
      </c>
      <c r="P2061" s="7">
        <f>SUMIFS('05_상품별배치367'!$K$7:$K$373,'05_상품별배치367'!$E$7:$E$373,A2061,'05_상품별배치367'!$H$7:$H$373,"추가 진열")</f>
        <v>0</v>
      </c>
      <c r="Q2061" s="7">
        <f>O2061+P2061</f>
        <v>0</v>
      </c>
      <c r="R2061" s="7">
        <v>0</v>
      </c>
      <c r="S2061" s="6" t="s">
        <v>1810</v>
      </c>
      <c r="T2061" s="6" t="s">
        <v>1637</v>
      </c>
      <c r="U2061" s="6"/>
      <c r="V2061" s="16"/>
      <c r="W2061" s="16"/>
      <c r="X2061" s="16"/>
      <c r="Y2061" s="6" t="s">
        <v>1627</v>
      </c>
      <c r="Z2061" s="15"/>
      <c r="AA2061" s="15" t="s">
        <v>1628</v>
      </c>
    </row>
    <row r="2062" spans="1:27" ht="33" customHeight="1">
      <c r="A2062" s="6" t="s">
        <v>5180</v>
      </c>
      <c r="B2062" s="7">
        <v>1563</v>
      </c>
      <c r="C2062" s="6" t="s">
        <v>5181</v>
      </c>
      <c r="D2062" s="6" t="s">
        <v>2845</v>
      </c>
      <c r="E2062" s="6" t="s">
        <v>2134</v>
      </c>
      <c r="F2062" s="6" t="s">
        <v>163</v>
      </c>
      <c r="G2062" s="6" t="s">
        <v>414</v>
      </c>
      <c r="H2062" s="6"/>
      <c r="I2062" s="14" t="s">
        <v>1642</v>
      </c>
      <c r="J2062" s="15"/>
      <c r="K2062" s="6" t="s">
        <v>1976</v>
      </c>
      <c r="L2062" s="6"/>
      <c r="M2062" s="6" t="s">
        <v>1643</v>
      </c>
      <c r="N2062" s="6" t="s">
        <v>1644</v>
      </c>
      <c r="O2062" s="7">
        <f>SUMIFS('05_상품별배치367'!$K$7:$K$373,'05_상품별배치367'!$E$7:$E$373,A2062,'05_상품별배치367'!$H$7:$H$373,"본진")</f>
        <v>0</v>
      </c>
      <c r="P2062" s="7">
        <f>SUMIFS('05_상품별배치367'!$K$7:$K$373,'05_상품별배치367'!$E$7:$E$373,A2062,'05_상품별배치367'!$H$7:$H$373,"추가 진열")</f>
        <v>0</v>
      </c>
      <c r="Q2062" s="7">
        <f>O2062+P2062</f>
        <v>0</v>
      </c>
      <c r="R2062" s="7">
        <v>1</v>
      </c>
      <c r="S2062" s="6" t="s">
        <v>3048</v>
      </c>
      <c r="T2062" s="6" t="s">
        <v>1637</v>
      </c>
      <c r="U2062" s="6"/>
      <c r="V2062" s="16"/>
      <c r="W2062" s="16"/>
      <c r="X2062" s="16"/>
      <c r="Y2062" s="6" t="s">
        <v>1627</v>
      </c>
      <c r="Z2062" s="15"/>
      <c r="AA2062" s="15" t="s">
        <v>1628</v>
      </c>
    </row>
    <row r="2063" spans="1:27" ht="33" customHeight="1">
      <c r="A2063" s="6" t="s">
        <v>5176</v>
      </c>
      <c r="B2063" s="7">
        <v>1561</v>
      </c>
      <c r="C2063" s="6" t="s">
        <v>5177</v>
      </c>
      <c r="D2063" s="6" t="s">
        <v>1649</v>
      </c>
      <c r="E2063" s="6" t="s">
        <v>2134</v>
      </c>
      <c r="F2063" s="6" t="s">
        <v>1081</v>
      </c>
      <c r="G2063" s="6" t="s">
        <v>290</v>
      </c>
      <c r="H2063" s="6"/>
      <c r="I2063" s="14" t="s">
        <v>1642</v>
      </c>
      <c r="J2063" s="15"/>
      <c r="K2063" s="6" t="s">
        <v>1976</v>
      </c>
      <c r="L2063" s="6"/>
      <c r="M2063" s="6" t="s">
        <v>1643</v>
      </c>
      <c r="N2063" s="6" t="s">
        <v>1644</v>
      </c>
      <c r="O2063" s="7">
        <f>SUMIFS('05_상품별배치367'!$K$7:$K$373,'05_상품별배치367'!$E$7:$E$373,A2063,'05_상품별배치367'!$H$7:$H$373,"본진")</f>
        <v>0</v>
      </c>
      <c r="P2063" s="7">
        <f>SUMIFS('05_상품별배치367'!$K$7:$K$373,'05_상품별배치367'!$E$7:$E$373,A2063,'05_상품별배치367'!$H$7:$H$373,"추가 진열")</f>
        <v>0</v>
      </c>
      <c r="Q2063" s="7">
        <f>O2063+P2063</f>
        <v>0</v>
      </c>
      <c r="R2063" s="7">
        <v>1</v>
      </c>
      <c r="S2063" s="6" t="s">
        <v>2135</v>
      </c>
      <c r="T2063" s="6" t="s">
        <v>1637</v>
      </c>
      <c r="U2063" s="6"/>
      <c r="V2063" s="16"/>
      <c r="W2063" s="16"/>
      <c r="X2063" s="16"/>
      <c r="Y2063" s="6" t="s">
        <v>1627</v>
      </c>
      <c r="Z2063" s="15"/>
      <c r="AA2063" s="15" t="s">
        <v>1628</v>
      </c>
    </row>
    <row r="2064" spans="1:27" ht="33" customHeight="1">
      <c r="A2064" s="8" t="s">
        <v>5178</v>
      </c>
      <c r="B2064" s="9">
        <v>1562</v>
      </c>
      <c r="C2064" s="8" t="s">
        <v>5179</v>
      </c>
      <c r="D2064" s="8" t="s">
        <v>3971</v>
      </c>
      <c r="E2064" s="8" t="s">
        <v>2134</v>
      </c>
      <c r="F2064" s="8" t="s">
        <v>162</v>
      </c>
      <c r="G2064" s="8" t="s">
        <v>404</v>
      </c>
      <c r="H2064" s="8"/>
      <c r="I2064" s="14" t="s">
        <v>1642</v>
      </c>
      <c r="J2064" s="15"/>
      <c r="K2064" s="8" t="s">
        <v>1976</v>
      </c>
      <c r="L2064" s="8"/>
      <c r="M2064" s="6" t="s">
        <v>1643</v>
      </c>
      <c r="N2064" s="6" t="s">
        <v>1644</v>
      </c>
      <c r="O2064" s="7">
        <f>SUMIFS('05_상품별배치367'!$K$7:$K$373,'05_상품별배치367'!$E$7:$E$373,A2064,'05_상품별배치367'!$H$7:$H$373,"본진")</f>
        <v>0</v>
      </c>
      <c r="P2064" s="7">
        <f>SUMIFS('05_상품별배치367'!$K$7:$K$373,'05_상품별배치367'!$E$7:$E$373,A2064,'05_상품별배치367'!$H$7:$H$373,"추가 진열")</f>
        <v>0</v>
      </c>
      <c r="Q2064" s="7">
        <f>O2064+P2064</f>
        <v>0</v>
      </c>
      <c r="R2064" s="7">
        <v>1</v>
      </c>
      <c r="S2064" s="6" t="s">
        <v>2996</v>
      </c>
      <c r="T2064" s="6" t="s">
        <v>1637</v>
      </c>
      <c r="U2064" s="6"/>
      <c r="V2064" s="16"/>
      <c r="W2064" s="16"/>
      <c r="X2064" s="16"/>
      <c r="Y2064" s="6" t="s">
        <v>1627</v>
      </c>
      <c r="Z2064" s="15"/>
      <c r="AA2064" s="15" t="s">
        <v>1628</v>
      </c>
    </row>
    <row r="2065" spans="1:27" ht="33" customHeight="1">
      <c r="A2065" s="8" t="s">
        <v>5174</v>
      </c>
      <c r="B2065" s="9">
        <v>1560</v>
      </c>
      <c r="C2065" s="8" t="s">
        <v>5175</v>
      </c>
      <c r="D2065" s="8" t="s">
        <v>1649</v>
      </c>
      <c r="E2065" s="8" t="s">
        <v>2134</v>
      </c>
      <c r="F2065" s="8" t="s">
        <v>162</v>
      </c>
      <c r="G2065" s="8" t="s">
        <v>404</v>
      </c>
      <c r="H2065" s="8"/>
      <c r="I2065" s="14" t="s">
        <v>1642</v>
      </c>
      <c r="J2065" s="15"/>
      <c r="K2065" s="8" t="s">
        <v>1976</v>
      </c>
      <c r="L2065" s="8"/>
      <c r="M2065" s="6" t="s">
        <v>1643</v>
      </c>
      <c r="N2065" s="6" t="s">
        <v>1644</v>
      </c>
      <c r="O2065" s="7">
        <f>SUMIFS('05_상품별배치367'!$K$7:$K$373,'05_상품별배치367'!$E$7:$E$373,A2065,'05_상품별배치367'!$H$7:$H$373,"본진")</f>
        <v>0</v>
      </c>
      <c r="P2065" s="7">
        <f>SUMIFS('05_상품별배치367'!$K$7:$K$373,'05_상품별배치367'!$E$7:$E$373,A2065,'05_상품별배치367'!$H$7:$H$373,"추가 진열")</f>
        <v>0</v>
      </c>
      <c r="Q2065" s="7">
        <f>O2065+P2065</f>
        <v>0</v>
      </c>
      <c r="R2065" s="7">
        <v>1</v>
      </c>
      <c r="S2065" s="6" t="s">
        <v>2996</v>
      </c>
      <c r="T2065" s="6" t="s">
        <v>1637</v>
      </c>
      <c r="U2065" s="6"/>
      <c r="V2065" s="16"/>
      <c r="W2065" s="16"/>
      <c r="X2065" s="16"/>
      <c r="Y2065" s="6" t="s">
        <v>1627</v>
      </c>
      <c r="Z2065" s="15"/>
      <c r="AA2065" s="15" t="s">
        <v>1628</v>
      </c>
    </row>
    <row r="2066" spans="1:27" ht="33" customHeight="1">
      <c r="A2066" s="6" t="s">
        <v>5198</v>
      </c>
      <c r="B2066" s="7">
        <v>1571</v>
      </c>
      <c r="C2066" s="6" t="s">
        <v>5199</v>
      </c>
      <c r="D2066" s="6" t="s">
        <v>3042</v>
      </c>
      <c r="E2066" s="6" t="s">
        <v>2134</v>
      </c>
      <c r="F2066" s="6" t="s">
        <v>481</v>
      </c>
      <c r="G2066" s="6" t="s">
        <v>193</v>
      </c>
      <c r="H2066" s="6"/>
      <c r="I2066" s="14" t="s">
        <v>1642</v>
      </c>
      <c r="J2066" s="15"/>
      <c r="K2066" s="6" t="s">
        <v>1976</v>
      </c>
      <c r="L2066" s="6"/>
      <c r="M2066" s="6" t="s">
        <v>1643</v>
      </c>
      <c r="N2066" s="6" t="s">
        <v>1644</v>
      </c>
      <c r="O2066" s="7">
        <f>SUMIFS('05_상품별배치367'!$K$7:$K$373,'05_상품별배치367'!$E$7:$E$373,A2066,'05_상품별배치367'!$H$7:$H$373,"본진")</f>
        <v>0</v>
      </c>
      <c r="P2066" s="7">
        <f>SUMIFS('05_상품별배치367'!$K$7:$K$373,'05_상품별배치367'!$E$7:$E$373,A2066,'05_상품별배치367'!$H$7:$H$373,"추가 진열")</f>
        <v>0</v>
      </c>
      <c r="Q2066" s="7">
        <f>O2066+P2066</f>
        <v>0</v>
      </c>
      <c r="R2066" s="7">
        <v>1</v>
      </c>
      <c r="S2066" s="6" t="s">
        <v>3000</v>
      </c>
      <c r="T2066" s="6" t="s">
        <v>1637</v>
      </c>
      <c r="U2066" s="6"/>
      <c r="V2066" s="16"/>
      <c r="W2066" s="16"/>
      <c r="X2066" s="16"/>
      <c r="Y2066" s="6" t="s">
        <v>1627</v>
      </c>
      <c r="Z2066" s="15"/>
      <c r="AA2066" s="15" t="s">
        <v>1628</v>
      </c>
    </row>
    <row r="2067" spans="1:27" ht="33" customHeight="1">
      <c r="A2067" s="8" t="s">
        <v>5200</v>
      </c>
      <c r="B2067" s="9">
        <v>1572</v>
      </c>
      <c r="C2067" s="8" t="s">
        <v>5201</v>
      </c>
      <c r="D2067" s="8" t="s">
        <v>2572</v>
      </c>
      <c r="E2067" s="8" t="s">
        <v>2134</v>
      </c>
      <c r="F2067" s="8" t="s">
        <v>2933</v>
      </c>
      <c r="G2067" s="8" t="s">
        <v>1668</v>
      </c>
      <c r="H2067" s="8"/>
      <c r="I2067" s="14" t="s">
        <v>1807</v>
      </c>
      <c r="J2067" s="15"/>
      <c r="K2067" s="8" t="s">
        <v>1976</v>
      </c>
      <c r="L2067" s="8" t="s">
        <v>2032</v>
      </c>
      <c r="M2067" s="6" t="s">
        <v>1809</v>
      </c>
      <c r="N2067" s="6" t="s">
        <v>1644</v>
      </c>
      <c r="O2067" s="7">
        <f>SUMIFS('05_상품별배치367'!$K$7:$K$373,'05_상품별배치367'!$E$7:$E$373,A2067,'05_상품별배치367'!$H$7:$H$373,"본진")</f>
        <v>0</v>
      </c>
      <c r="P2067" s="7">
        <f>SUMIFS('05_상품별배치367'!$K$7:$K$373,'05_상품별배치367'!$E$7:$E$373,A2067,'05_상품별배치367'!$H$7:$H$373,"추가 진열")</f>
        <v>0</v>
      </c>
      <c r="Q2067" s="7">
        <f>O2067+P2067</f>
        <v>0</v>
      </c>
      <c r="R2067" s="7">
        <v>0</v>
      </c>
      <c r="S2067" s="6" t="s">
        <v>1810</v>
      </c>
      <c r="T2067" s="6" t="s">
        <v>1637</v>
      </c>
      <c r="U2067" s="6"/>
      <c r="V2067" s="16"/>
      <c r="W2067" s="16"/>
      <c r="X2067" s="16"/>
      <c r="Y2067" s="6" t="s">
        <v>1627</v>
      </c>
      <c r="Z2067" s="15"/>
      <c r="AA2067" s="15" t="s">
        <v>1628</v>
      </c>
    </row>
    <row r="2068" spans="1:27" ht="33" customHeight="1">
      <c r="A2068" s="8" t="s">
        <v>5192</v>
      </c>
      <c r="B2068" s="9">
        <v>1568</v>
      </c>
      <c r="C2068" s="8" t="s">
        <v>5193</v>
      </c>
      <c r="D2068" s="8" t="s">
        <v>1686</v>
      </c>
      <c r="E2068" s="8" t="s">
        <v>2746</v>
      </c>
      <c r="F2068" s="8" t="s">
        <v>3635</v>
      </c>
      <c r="G2068" s="8" t="s">
        <v>1668</v>
      </c>
      <c r="H2068" s="8"/>
      <c r="I2068" s="14" t="s">
        <v>1669</v>
      </c>
      <c r="J2068" s="15"/>
      <c r="K2068" s="8" t="s">
        <v>2748</v>
      </c>
      <c r="L2068" s="8"/>
      <c r="M2068" s="6" t="s">
        <v>1671</v>
      </c>
      <c r="N2068" s="6" t="s">
        <v>1644</v>
      </c>
      <c r="O2068" s="7">
        <f>SUMIFS('05_상품별배치367'!$K$7:$K$373,'05_상품별배치367'!$E$7:$E$373,A2068,'05_상품별배치367'!$H$7:$H$373,"본진")</f>
        <v>0</v>
      </c>
      <c r="P2068" s="7">
        <f>SUMIFS('05_상품별배치367'!$K$7:$K$373,'05_상품별배치367'!$E$7:$E$373,A2068,'05_상품별배치367'!$H$7:$H$373,"추가 진열")</f>
        <v>0</v>
      </c>
      <c r="Q2068" s="7">
        <f>O2068+P2068</f>
        <v>0</v>
      </c>
      <c r="R2068" s="7">
        <v>0</v>
      </c>
      <c r="S2068" s="6" t="s">
        <v>1672</v>
      </c>
      <c r="T2068" s="6" t="s">
        <v>1637</v>
      </c>
      <c r="U2068" s="6"/>
      <c r="V2068" s="16"/>
      <c r="W2068" s="16"/>
      <c r="X2068" s="16"/>
      <c r="Y2068" s="6" t="s">
        <v>1627</v>
      </c>
      <c r="Z2068" s="15"/>
      <c r="AA2068" s="15" t="s">
        <v>1628</v>
      </c>
    </row>
    <row r="2069" spans="1:27" ht="33" customHeight="1">
      <c r="A2069" s="6" t="s">
        <v>5194</v>
      </c>
      <c r="B2069" s="7">
        <v>1569</v>
      </c>
      <c r="C2069" s="6" t="s">
        <v>5195</v>
      </c>
      <c r="D2069" s="6" t="s">
        <v>1686</v>
      </c>
      <c r="E2069" s="6" t="s">
        <v>2746</v>
      </c>
      <c r="F2069" s="6" t="s">
        <v>3635</v>
      </c>
      <c r="G2069" s="6" t="s">
        <v>1668</v>
      </c>
      <c r="H2069" s="6"/>
      <c r="I2069" s="14" t="s">
        <v>1669</v>
      </c>
      <c r="J2069" s="15"/>
      <c r="K2069" s="6" t="s">
        <v>2748</v>
      </c>
      <c r="L2069" s="6"/>
      <c r="M2069" s="6" t="s">
        <v>1671</v>
      </c>
      <c r="N2069" s="6" t="s">
        <v>1644</v>
      </c>
      <c r="O2069" s="7">
        <f>SUMIFS('05_상품별배치367'!$K$7:$K$373,'05_상품별배치367'!$E$7:$E$373,A2069,'05_상품별배치367'!$H$7:$H$373,"본진")</f>
        <v>0</v>
      </c>
      <c r="P2069" s="7">
        <f>SUMIFS('05_상품별배치367'!$K$7:$K$373,'05_상품별배치367'!$E$7:$E$373,A2069,'05_상품별배치367'!$H$7:$H$373,"추가 진열")</f>
        <v>0</v>
      </c>
      <c r="Q2069" s="7">
        <f>O2069+P2069</f>
        <v>0</v>
      </c>
      <c r="R2069" s="7">
        <v>0</v>
      </c>
      <c r="S2069" s="6" t="s">
        <v>1672</v>
      </c>
      <c r="T2069" s="6" t="s">
        <v>1637</v>
      </c>
      <c r="U2069" s="6"/>
      <c r="V2069" s="16"/>
      <c r="W2069" s="16"/>
      <c r="X2069" s="16"/>
      <c r="Y2069" s="6" t="s">
        <v>1627</v>
      </c>
      <c r="Z2069" s="15"/>
      <c r="AA2069" s="15" t="s">
        <v>1628</v>
      </c>
    </row>
    <row r="2070" spans="1:27" ht="33" customHeight="1">
      <c r="A2070" s="8" t="s">
        <v>5196</v>
      </c>
      <c r="B2070" s="9">
        <v>1570</v>
      </c>
      <c r="C2070" s="8" t="s">
        <v>5197</v>
      </c>
      <c r="D2070" s="8" t="s">
        <v>1686</v>
      </c>
      <c r="E2070" s="8" t="s">
        <v>1986</v>
      </c>
      <c r="F2070" s="8" t="s">
        <v>493</v>
      </c>
      <c r="G2070" s="8" t="s">
        <v>299</v>
      </c>
      <c r="H2070" s="8"/>
      <c r="I2070" s="14" t="s">
        <v>1642</v>
      </c>
      <c r="J2070" s="15"/>
      <c r="K2070" s="8" t="s">
        <v>1976</v>
      </c>
      <c r="L2070" s="8"/>
      <c r="M2070" s="6" t="s">
        <v>1643</v>
      </c>
      <c r="N2070" s="6" t="s">
        <v>1644</v>
      </c>
      <c r="O2070" s="7">
        <f>SUMIFS('05_상품별배치367'!$K$7:$K$373,'05_상품별배치367'!$E$7:$E$373,A2070,'05_상품별배치367'!$H$7:$H$373,"본진")</f>
        <v>0</v>
      </c>
      <c r="P2070" s="7">
        <f>SUMIFS('05_상품별배치367'!$K$7:$K$373,'05_상품별배치367'!$E$7:$E$373,A2070,'05_상품별배치367'!$H$7:$H$373,"추가 진열")</f>
        <v>0</v>
      </c>
      <c r="Q2070" s="7">
        <f>O2070+P2070</f>
        <v>0</v>
      </c>
      <c r="R2070" s="7">
        <v>1</v>
      </c>
      <c r="S2070" s="6" t="s">
        <v>3084</v>
      </c>
      <c r="T2070" s="6" t="s">
        <v>1637</v>
      </c>
      <c r="U2070" s="6"/>
      <c r="V2070" s="16"/>
      <c r="W2070" s="16"/>
      <c r="X2070" s="16"/>
      <c r="Y2070" s="6" t="s">
        <v>1627</v>
      </c>
      <c r="Z2070" s="15"/>
      <c r="AA2070" s="15" t="s">
        <v>1628</v>
      </c>
    </row>
    <row r="2071" spans="1:27" ht="33" customHeight="1">
      <c r="A2071" s="8" t="s">
        <v>5188</v>
      </c>
      <c r="B2071" s="9">
        <v>1566</v>
      </c>
      <c r="C2071" s="8" t="s">
        <v>5189</v>
      </c>
      <c r="D2071" s="8" t="s">
        <v>2883</v>
      </c>
      <c r="E2071" s="8" t="s">
        <v>1981</v>
      </c>
      <c r="F2071" s="8" t="s">
        <v>5186</v>
      </c>
      <c r="G2071" s="8" t="s">
        <v>25</v>
      </c>
      <c r="H2071" s="8"/>
      <c r="I2071" s="14" t="s">
        <v>1807</v>
      </c>
      <c r="J2071" s="15"/>
      <c r="K2071" s="8" t="s">
        <v>1976</v>
      </c>
      <c r="L2071" s="8" t="s">
        <v>5187</v>
      </c>
      <c r="M2071" s="6" t="s">
        <v>1809</v>
      </c>
      <c r="N2071" s="6" t="s">
        <v>1644</v>
      </c>
      <c r="O2071" s="7">
        <f>SUMIFS('05_상품별배치367'!$K$7:$K$373,'05_상품별배치367'!$E$7:$E$373,A2071,'05_상품별배치367'!$H$7:$H$373,"본진")</f>
        <v>0</v>
      </c>
      <c r="P2071" s="7">
        <f>SUMIFS('05_상품별배치367'!$K$7:$K$373,'05_상품별배치367'!$E$7:$E$373,A2071,'05_상품별배치367'!$H$7:$H$373,"추가 진열")</f>
        <v>0</v>
      </c>
      <c r="Q2071" s="7">
        <f>O2071+P2071</f>
        <v>0</v>
      </c>
      <c r="R2071" s="7">
        <v>0</v>
      </c>
      <c r="S2071" s="6" t="s">
        <v>1810</v>
      </c>
      <c r="T2071" s="6" t="s">
        <v>1637</v>
      </c>
      <c r="U2071" s="6"/>
      <c r="V2071" s="16"/>
      <c r="W2071" s="16"/>
      <c r="X2071" s="16"/>
      <c r="Y2071" s="6" t="s">
        <v>1627</v>
      </c>
      <c r="Z2071" s="15"/>
      <c r="AA2071" s="15" t="s">
        <v>1628</v>
      </c>
    </row>
    <row r="2072" spans="1:27" ht="33" customHeight="1">
      <c r="A2072" s="6" t="s">
        <v>5184</v>
      </c>
      <c r="B2072" s="7">
        <v>1565</v>
      </c>
      <c r="C2072" s="6" t="s">
        <v>5185</v>
      </c>
      <c r="D2072" s="6" t="s">
        <v>2572</v>
      </c>
      <c r="E2072" s="6" t="s">
        <v>1981</v>
      </c>
      <c r="F2072" s="6" t="s">
        <v>5186</v>
      </c>
      <c r="G2072" s="6" t="s">
        <v>25</v>
      </c>
      <c r="H2072" s="6"/>
      <c r="I2072" s="14" t="s">
        <v>1807</v>
      </c>
      <c r="J2072" s="15"/>
      <c r="K2072" s="6" t="s">
        <v>1976</v>
      </c>
      <c r="L2072" s="6" t="s">
        <v>5187</v>
      </c>
      <c r="M2072" s="6" t="s">
        <v>1809</v>
      </c>
      <c r="N2072" s="6" t="s">
        <v>1644</v>
      </c>
      <c r="O2072" s="7">
        <f>SUMIFS('05_상품별배치367'!$K$7:$K$373,'05_상품별배치367'!$E$7:$E$373,A2072,'05_상품별배치367'!$H$7:$H$373,"본진")</f>
        <v>0</v>
      </c>
      <c r="P2072" s="7">
        <f>SUMIFS('05_상품별배치367'!$K$7:$K$373,'05_상품별배치367'!$E$7:$E$373,A2072,'05_상품별배치367'!$H$7:$H$373,"추가 진열")</f>
        <v>0</v>
      </c>
      <c r="Q2072" s="7">
        <f>O2072+P2072</f>
        <v>0</v>
      </c>
      <c r="R2072" s="7">
        <v>0</v>
      </c>
      <c r="S2072" s="6" t="s">
        <v>1810</v>
      </c>
      <c r="T2072" s="6" t="s">
        <v>1637</v>
      </c>
      <c r="U2072" s="6"/>
      <c r="V2072" s="16"/>
      <c r="W2072" s="16"/>
      <c r="X2072" s="16"/>
      <c r="Y2072" s="6" t="s">
        <v>1627</v>
      </c>
      <c r="Z2072" s="15"/>
      <c r="AA2072" s="15" t="s">
        <v>1628</v>
      </c>
    </row>
    <row r="2073" spans="1:27" ht="33" customHeight="1">
      <c r="A2073" s="6" t="s">
        <v>5190</v>
      </c>
      <c r="B2073" s="7">
        <v>1567</v>
      </c>
      <c r="C2073" s="6" t="s">
        <v>5191</v>
      </c>
      <c r="D2073" s="6" t="s">
        <v>1931</v>
      </c>
      <c r="E2073" s="6" t="s">
        <v>1981</v>
      </c>
      <c r="F2073" s="6" t="s">
        <v>5186</v>
      </c>
      <c r="G2073" s="6" t="s">
        <v>25</v>
      </c>
      <c r="H2073" s="6"/>
      <c r="I2073" s="14" t="s">
        <v>1807</v>
      </c>
      <c r="J2073" s="15"/>
      <c r="K2073" s="6" t="s">
        <v>1976</v>
      </c>
      <c r="L2073" s="6" t="s">
        <v>5187</v>
      </c>
      <c r="M2073" s="6" t="s">
        <v>1809</v>
      </c>
      <c r="N2073" s="6" t="s">
        <v>1644</v>
      </c>
      <c r="O2073" s="7">
        <f>SUMIFS('05_상품별배치367'!$K$7:$K$373,'05_상품별배치367'!$E$7:$E$373,A2073,'05_상품별배치367'!$H$7:$H$373,"본진")</f>
        <v>0</v>
      </c>
      <c r="P2073" s="7">
        <f>SUMIFS('05_상품별배치367'!$K$7:$K$373,'05_상품별배치367'!$E$7:$E$373,A2073,'05_상품별배치367'!$H$7:$H$373,"추가 진열")</f>
        <v>0</v>
      </c>
      <c r="Q2073" s="7">
        <f>O2073+P2073</f>
        <v>0</v>
      </c>
      <c r="R2073" s="7">
        <v>0</v>
      </c>
      <c r="S2073" s="6" t="s">
        <v>1810</v>
      </c>
      <c r="T2073" s="6" t="s">
        <v>1637</v>
      </c>
      <c r="U2073" s="6"/>
      <c r="V2073" s="16"/>
      <c r="W2073" s="16"/>
      <c r="X2073" s="16"/>
      <c r="Y2073" s="6" t="s">
        <v>1627</v>
      </c>
      <c r="Z2073" s="15"/>
      <c r="AA2073" s="15" t="s">
        <v>1628</v>
      </c>
    </row>
    <row r="2074" spans="1:27" ht="33" customHeight="1">
      <c r="A2074" s="8" t="s">
        <v>7001</v>
      </c>
      <c r="B2074" s="9">
        <v>2408</v>
      </c>
      <c r="C2074" s="8" t="s">
        <v>7002</v>
      </c>
      <c r="D2074" s="8" t="s">
        <v>2714</v>
      </c>
      <c r="E2074" s="8" t="s">
        <v>1641</v>
      </c>
      <c r="F2074" s="8" t="s">
        <v>644</v>
      </c>
      <c r="G2074" s="8" t="s">
        <v>79</v>
      </c>
      <c r="H2074" s="8" t="s">
        <v>660</v>
      </c>
      <c r="I2074" s="14" t="s">
        <v>1633</v>
      </c>
      <c r="J2074" s="15"/>
      <c r="K2074" s="8" t="s">
        <v>1634</v>
      </c>
      <c r="L2074" s="8" t="s">
        <v>3828</v>
      </c>
      <c r="M2074" s="6" t="s">
        <v>1635</v>
      </c>
      <c r="N2074" s="6" t="s">
        <v>1624</v>
      </c>
      <c r="O2074" s="7">
        <f>SUMIFS('05_상품별배치367'!$K$7:$K$373,'05_상품별배치367'!$E$7:$E$373,A2074,'05_상품별배치367'!$H$7:$H$373,"본진")</f>
        <v>1</v>
      </c>
      <c r="P2074" s="7">
        <f>SUMIFS('05_상품별배치367'!$K$7:$K$373,'05_상품별배치367'!$E$7:$E$373,A2074,'05_상품별배치367'!$H$7:$H$373,"추가 진열")</f>
        <v>0</v>
      </c>
      <c r="Q2074" s="7">
        <f>O2074+P2074</f>
        <v>1</v>
      </c>
      <c r="R2074" s="7">
        <v>1</v>
      </c>
      <c r="S2074" s="6" t="s">
        <v>1636</v>
      </c>
      <c r="T2074" s="6" t="s">
        <v>1637</v>
      </c>
      <c r="U2074" s="6"/>
      <c r="V2074" s="16"/>
      <c r="W2074" s="16"/>
      <c r="X2074" s="16"/>
      <c r="Y2074" s="6" t="s">
        <v>1627</v>
      </c>
      <c r="Z2074" s="15"/>
      <c r="AA2074" s="15" t="s">
        <v>1628</v>
      </c>
    </row>
    <row r="2075" spans="1:27" ht="33" customHeight="1">
      <c r="A2075" s="6" t="s">
        <v>7007</v>
      </c>
      <c r="B2075" s="7">
        <v>2411</v>
      </c>
      <c r="C2075" s="6" t="s">
        <v>7008</v>
      </c>
      <c r="D2075" s="6" t="s">
        <v>3042</v>
      </c>
      <c r="E2075" s="6" t="s">
        <v>1641</v>
      </c>
      <c r="F2075" s="6" t="s">
        <v>644</v>
      </c>
      <c r="G2075" s="6" t="s">
        <v>79</v>
      </c>
      <c r="H2075" s="6" t="s">
        <v>660</v>
      </c>
      <c r="I2075" s="14" t="s">
        <v>1633</v>
      </c>
      <c r="J2075" s="15"/>
      <c r="K2075" s="6" t="s">
        <v>1634</v>
      </c>
      <c r="L2075" s="6" t="s">
        <v>3828</v>
      </c>
      <c r="M2075" s="6" t="s">
        <v>1635</v>
      </c>
      <c r="N2075" s="6" t="s">
        <v>1624</v>
      </c>
      <c r="O2075" s="7">
        <f>SUMIFS('05_상품별배치367'!$K$7:$K$373,'05_상품별배치367'!$E$7:$E$373,A2075,'05_상품별배치367'!$H$7:$H$373,"본진")</f>
        <v>1</v>
      </c>
      <c r="P2075" s="7">
        <f>SUMIFS('05_상품별배치367'!$K$7:$K$373,'05_상품별배치367'!$E$7:$E$373,A2075,'05_상품별배치367'!$H$7:$H$373,"추가 진열")</f>
        <v>0</v>
      </c>
      <c r="Q2075" s="7">
        <f>O2075+P2075</f>
        <v>1</v>
      </c>
      <c r="R2075" s="7">
        <v>1</v>
      </c>
      <c r="S2075" s="6" t="s">
        <v>1636</v>
      </c>
      <c r="T2075" s="6" t="s">
        <v>1637</v>
      </c>
      <c r="U2075" s="6"/>
      <c r="V2075" s="16"/>
      <c r="W2075" s="16"/>
      <c r="X2075" s="16"/>
      <c r="Y2075" s="6" t="s">
        <v>1627</v>
      </c>
      <c r="Z2075" s="15"/>
      <c r="AA2075" s="15" t="s">
        <v>1628</v>
      </c>
    </row>
    <row r="2076" spans="1:27" ht="33" customHeight="1">
      <c r="A2076" s="8" t="s">
        <v>3925</v>
      </c>
      <c r="B2076" s="9">
        <v>972</v>
      </c>
      <c r="C2076" s="8" t="s">
        <v>3926</v>
      </c>
      <c r="D2076" s="8" t="s">
        <v>1631</v>
      </c>
      <c r="E2076" s="8" t="s">
        <v>2134</v>
      </c>
      <c r="F2076" s="8" t="s">
        <v>163</v>
      </c>
      <c r="G2076" s="8" t="s">
        <v>414</v>
      </c>
      <c r="H2076" s="8"/>
      <c r="I2076" s="14" t="s">
        <v>1642</v>
      </c>
      <c r="J2076" s="15"/>
      <c r="K2076" s="8" t="s">
        <v>1976</v>
      </c>
      <c r="L2076" s="8"/>
      <c r="M2076" s="6" t="s">
        <v>1643</v>
      </c>
      <c r="N2076" s="6" t="s">
        <v>1644</v>
      </c>
      <c r="O2076" s="7">
        <f>SUMIFS('05_상품별배치367'!$K$7:$K$373,'05_상품별배치367'!$E$7:$E$373,A2076,'05_상품별배치367'!$H$7:$H$373,"본진")</f>
        <v>0</v>
      </c>
      <c r="P2076" s="7">
        <f>SUMIFS('05_상품별배치367'!$K$7:$K$373,'05_상품별배치367'!$E$7:$E$373,A2076,'05_상품별배치367'!$H$7:$H$373,"추가 진열")</f>
        <v>0</v>
      </c>
      <c r="Q2076" s="7">
        <f>O2076+P2076</f>
        <v>0</v>
      </c>
      <c r="R2076" s="7">
        <v>1</v>
      </c>
      <c r="S2076" s="6" t="s">
        <v>3048</v>
      </c>
      <c r="T2076" s="6" t="s">
        <v>1637</v>
      </c>
      <c r="U2076" s="6"/>
      <c r="V2076" s="16"/>
      <c r="W2076" s="16"/>
      <c r="X2076" s="16"/>
      <c r="Y2076" s="6" t="s">
        <v>1627</v>
      </c>
      <c r="Z2076" s="15"/>
      <c r="AA2076" s="15" t="s">
        <v>1628</v>
      </c>
    </row>
    <row r="2077" spans="1:27" ht="33" customHeight="1">
      <c r="A2077" s="8" t="s">
        <v>3454</v>
      </c>
      <c r="B2077" s="9">
        <v>752</v>
      </c>
      <c r="C2077" s="8" t="s">
        <v>3455</v>
      </c>
      <c r="D2077" s="8" t="s">
        <v>2845</v>
      </c>
      <c r="E2077" s="8" t="s">
        <v>2134</v>
      </c>
      <c r="F2077" s="8" t="s">
        <v>163</v>
      </c>
      <c r="G2077" s="8" t="s">
        <v>414</v>
      </c>
      <c r="H2077" s="8"/>
      <c r="I2077" s="14" t="s">
        <v>1642</v>
      </c>
      <c r="J2077" s="15"/>
      <c r="K2077" s="8" t="s">
        <v>1976</v>
      </c>
      <c r="L2077" s="8"/>
      <c r="M2077" s="6" t="s">
        <v>1643</v>
      </c>
      <c r="N2077" s="6" t="s">
        <v>1644</v>
      </c>
      <c r="O2077" s="7">
        <f>SUMIFS('05_상품별배치367'!$K$7:$K$373,'05_상품별배치367'!$E$7:$E$373,A2077,'05_상품별배치367'!$H$7:$H$373,"본진")</f>
        <v>0</v>
      </c>
      <c r="P2077" s="7">
        <f>SUMIFS('05_상품별배치367'!$K$7:$K$373,'05_상품별배치367'!$E$7:$E$373,A2077,'05_상품별배치367'!$H$7:$H$373,"추가 진열")</f>
        <v>0</v>
      </c>
      <c r="Q2077" s="7">
        <f>O2077+P2077</f>
        <v>0</v>
      </c>
      <c r="R2077" s="7">
        <v>1</v>
      </c>
      <c r="S2077" s="6" t="s">
        <v>3048</v>
      </c>
      <c r="T2077" s="6" t="s">
        <v>1637</v>
      </c>
      <c r="U2077" s="6"/>
      <c r="V2077" s="16"/>
      <c r="W2077" s="16"/>
      <c r="X2077" s="16"/>
      <c r="Y2077" s="6" t="s">
        <v>1627</v>
      </c>
      <c r="Z2077" s="15"/>
      <c r="AA2077" s="15" t="s">
        <v>1628</v>
      </c>
    </row>
    <row r="2078" spans="1:27" ht="33" customHeight="1">
      <c r="A2078" s="6" t="s">
        <v>3456</v>
      </c>
      <c r="B2078" s="7">
        <v>753</v>
      </c>
      <c r="C2078" s="6" t="s">
        <v>3457</v>
      </c>
      <c r="D2078" s="6" t="s">
        <v>2007</v>
      </c>
      <c r="E2078" s="6" t="s">
        <v>1986</v>
      </c>
      <c r="F2078" s="6" t="s">
        <v>913</v>
      </c>
      <c r="G2078" s="6" t="s">
        <v>201</v>
      </c>
      <c r="H2078" s="6"/>
      <c r="I2078" s="14" t="s">
        <v>1642</v>
      </c>
      <c r="J2078" s="15"/>
      <c r="K2078" s="6" t="s">
        <v>1976</v>
      </c>
      <c r="L2078" s="6"/>
      <c r="M2078" s="6" t="s">
        <v>1643</v>
      </c>
      <c r="N2078" s="6" t="s">
        <v>1644</v>
      </c>
      <c r="O2078" s="7">
        <f>SUMIFS('05_상품별배치367'!$K$7:$K$373,'05_상품별배치367'!$E$7:$E$373,A2078,'05_상품별배치367'!$H$7:$H$373,"본진")</f>
        <v>0</v>
      </c>
      <c r="P2078" s="7">
        <f>SUMIFS('05_상품별배치367'!$K$7:$K$373,'05_상품별배치367'!$E$7:$E$373,A2078,'05_상품별배치367'!$H$7:$H$373,"추가 진열")</f>
        <v>0</v>
      </c>
      <c r="Q2078" s="7">
        <f>O2078+P2078</f>
        <v>0</v>
      </c>
      <c r="R2078" s="7">
        <v>1</v>
      </c>
      <c r="S2078" s="6" t="s">
        <v>2907</v>
      </c>
      <c r="T2078" s="6" t="s">
        <v>1637</v>
      </c>
      <c r="U2078" s="6"/>
      <c r="V2078" s="16"/>
      <c r="W2078" s="16"/>
      <c r="X2078" s="16"/>
      <c r="Y2078" s="6" t="s">
        <v>1627</v>
      </c>
      <c r="Z2078" s="15"/>
      <c r="AA2078" s="15" t="s">
        <v>1628</v>
      </c>
    </row>
    <row r="2079" spans="1:27" ht="33" customHeight="1">
      <c r="A2079" s="6" t="s">
        <v>7098</v>
      </c>
      <c r="B2079" s="7">
        <v>2455</v>
      </c>
      <c r="C2079" s="6" t="s">
        <v>7099</v>
      </c>
      <c r="D2079" s="6" t="s">
        <v>6669</v>
      </c>
      <c r="E2079" s="6" t="s">
        <v>2134</v>
      </c>
      <c r="F2079" s="6" t="s">
        <v>2933</v>
      </c>
      <c r="G2079" s="6" t="s">
        <v>1668</v>
      </c>
      <c r="H2079" s="6"/>
      <c r="I2079" s="14" t="s">
        <v>1807</v>
      </c>
      <c r="J2079" s="15"/>
      <c r="K2079" s="6" t="s">
        <v>1976</v>
      </c>
      <c r="L2079" s="6" t="s">
        <v>6125</v>
      </c>
      <c r="M2079" s="6" t="s">
        <v>1809</v>
      </c>
      <c r="N2079" s="6" t="s">
        <v>1644</v>
      </c>
      <c r="O2079" s="7">
        <f>SUMIFS('05_상품별배치367'!$K$7:$K$373,'05_상품별배치367'!$E$7:$E$373,A2079,'05_상품별배치367'!$H$7:$H$373,"본진")</f>
        <v>0</v>
      </c>
      <c r="P2079" s="7">
        <f>SUMIFS('05_상품별배치367'!$K$7:$K$373,'05_상품별배치367'!$E$7:$E$373,A2079,'05_상품별배치367'!$H$7:$H$373,"추가 진열")</f>
        <v>0</v>
      </c>
      <c r="Q2079" s="7">
        <f>O2079+P2079</f>
        <v>0</v>
      </c>
      <c r="R2079" s="7">
        <v>0</v>
      </c>
      <c r="S2079" s="6" t="s">
        <v>1810</v>
      </c>
      <c r="T2079" s="6" t="s">
        <v>1637</v>
      </c>
      <c r="U2079" s="6"/>
      <c r="V2079" s="16"/>
      <c r="W2079" s="16"/>
      <c r="X2079" s="16"/>
      <c r="Y2079" s="6" t="s">
        <v>1627</v>
      </c>
      <c r="Z2079" s="15"/>
      <c r="AA2079" s="15" t="s">
        <v>1628</v>
      </c>
    </row>
    <row r="2080" spans="1:27" ht="33" customHeight="1">
      <c r="A2080" s="8" t="s">
        <v>3458</v>
      </c>
      <c r="B2080" s="9">
        <v>754</v>
      </c>
      <c r="C2080" s="8" t="s">
        <v>3459</v>
      </c>
      <c r="D2080" s="8" t="s">
        <v>2133</v>
      </c>
      <c r="E2080" s="8" t="s">
        <v>2134</v>
      </c>
      <c r="F2080" s="8" t="s">
        <v>162</v>
      </c>
      <c r="G2080" s="8" t="s">
        <v>404</v>
      </c>
      <c r="H2080" s="8"/>
      <c r="I2080" s="14" t="s">
        <v>1642</v>
      </c>
      <c r="J2080" s="15"/>
      <c r="K2080" s="8" t="s">
        <v>1976</v>
      </c>
      <c r="L2080" s="8"/>
      <c r="M2080" s="6" t="s">
        <v>1643</v>
      </c>
      <c r="N2080" s="6" t="s">
        <v>1644</v>
      </c>
      <c r="O2080" s="7">
        <f>SUMIFS('05_상품별배치367'!$K$7:$K$373,'05_상품별배치367'!$E$7:$E$373,A2080,'05_상품별배치367'!$H$7:$H$373,"본진")</f>
        <v>0</v>
      </c>
      <c r="P2080" s="7">
        <f>SUMIFS('05_상품별배치367'!$K$7:$K$373,'05_상품별배치367'!$E$7:$E$373,A2080,'05_상품별배치367'!$H$7:$H$373,"추가 진열")</f>
        <v>0</v>
      </c>
      <c r="Q2080" s="7">
        <f>O2080+P2080</f>
        <v>0</v>
      </c>
      <c r="R2080" s="7">
        <v>1</v>
      </c>
      <c r="S2080" s="6" t="s">
        <v>2996</v>
      </c>
      <c r="T2080" s="6" t="s">
        <v>1637</v>
      </c>
      <c r="U2080" s="6"/>
      <c r="V2080" s="16"/>
      <c r="W2080" s="16"/>
      <c r="X2080" s="16"/>
      <c r="Y2080" s="6" t="s">
        <v>1627</v>
      </c>
      <c r="Z2080" s="15"/>
      <c r="AA2080" s="15" t="s">
        <v>1628</v>
      </c>
    </row>
    <row r="2081" spans="1:27" ht="33" customHeight="1">
      <c r="A2081" s="6" t="s">
        <v>1834</v>
      </c>
      <c r="B2081" s="7">
        <v>73</v>
      </c>
      <c r="C2081" s="6" t="s">
        <v>1835</v>
      </c>
      <c r="D2081" s="6" t="s">
        <v>1836</v>
      </c>
      <c r="E2081" s="6" t="s">
        <v>1620</v>
      </c>
      <c r="F2081" s="6" t="s">
        <v>1163</v>
      </c>
      <c r="G2081" s="6" t="s">
        <v>323</v>
      </c>
      <c r="H2081" s="6"/>
      <c r="I2081" s="14" t="s">
        <v>1642</v>
      </c>
      <c r="J2081" s="15"/>
      <c r="K2081" s="6" t="s">
        <v>1622</v>
      </c>
      <c r="L2081" s="6"/>
      <c r="M2081" s="6" t="s">
        <v>1643</v>
      </c>
      <c r="N2081" s="6" t="s">
        <v>1644</v>
      </c>
      <c r="O2081" s="7">
        <f>SUMIFS('05_상품별배치367'!$K$7:$K$373,'05_상품별배치367'!$E$7:$E$373,A2081,'05_상품별배치367'!$H$7:$H$373,"본진")</f>
        <v>0</v>
      </c>
      <c r="P2081" s="7">
        <f>SUMIFS('05_상품별배치367'!$K$7:$K$373,'05_상품별배치367'!$E$7:$E$373,A2081,'05_상품별배치367'!$H$7:$H$373,"추가 진열")</f>
        <v>0</v>
      </c>
      <c r="Q2081" s="7">
        <f>O2081+P2081</f>
        <v>0</v>
      </c>
      <c r="R2081" s="7">
        <v>1</v>
      </c>
      <c r="S2081" s="6" t="s">
        <v>1654</v>
      </c>
      <c r="T2081" s="6" t="s">
        <v>1637</v>
      </c>
      <c r="U2081" s="6"/>
      <c r="V2081" s="16"/>
      <c r="W2081" s="16"/>
      <c r="X2081" s="16"/>
      <c r="Y2081" s="6" t="s">
        <v>1627</v>
      </c>
      <c r="Z2081" s="15"/>
      <c r="AA2081" s="15" t="s">
        <v>1628</v>
      </c>
    </row>
    <row r="2082" spans="1:27" ht="33" customHeight="1">
      <c r="A2082" s="6" t="s">
        <v>1651</v>
      </c>
      <c r="B2082" s="7">
        <v>7</v>
      </c>
      <c r="C2082" s="6" t="s">
        <v>1652</v>
      </c>
      <c r="D2082" s="6" t="s">
        <v>1653</v>
      </c>
      <c r="E2082" s="6" t="s">
        <v>1620</v>
      </c>
      <c r="F2082" s="6" t="s">
        <v>1163</v>
      </c>
      <c r="G2082" s="6" t="s">
        <v>323</v>
      </c>
      <c r="H2082" s="6"/>
      <c r="I2082" s="14" t="s">
        <v>1642</v>
      </c>
      <c r="J2082" s="15"/>
      <c r="K2082" s="6" t="s">
        <v>1622</v>
      </c>
      <c r="L2082" s="6"/>
      <c r="M2082" s="6" t="s">
        <v>1643</v>
      </c>
      <c r="N2082" s="6" t="s">
        <v>1644</v>
      </c>
      <c r="O2082" s="7">
        <f>SUMIFS('05_상품별배치367'!$K$7:$K$373,'05_상품별배치367'!$E$7:$E$373,A2082,'05_상품별배치367'!$H$7:$H$373,"본진")</f>
        <v>0</v>
      </c>
      <c r="P2082" s="7">
        <f>SUMIFS('05_상품별배치367'!$K$7:$K$373,'05_상품별배치367'!$E$7:$E$373,A2082,'05_상품별배치367'!$H$7:$H$373,"추가 진열")</f>
        <v>0</v>
      </c>
      <c r="Q2082" s="7">
        <f>O2082+P2082</f>
        <v>0</v>
      </c>
      <c r="R2082" s="7">
        <v>1</v>
      </c>
      <c r="S2082" s="6" t="s">
        <v>1654</v>
      </c>
      <c r="T2082" s="6" t="s">
        <v>1637</v>
      </c>
      <c r="U2082" s="6"/>
      <c r="V2082" s="16"/>
      <c r="W2082" s="16"/>
      <c r="X2082" s="16"/>
      <c r="Y2082" s="6" t="s">
        <v>1655</v>
      </c>
      <c r="Z2082" s="15"/>
      <c r="AA2082" s="15" t="s">
        <v>1628</v>
      </c>
    </row>
    <row r="2083" spans="1:27" ht="33" customHeight="1">
      <c r="A2083" s="6" t="s">
        <v>3843</v>
      </c>
      <c r="B2083" s="7">
        <v>935</v>
      </c>
      <c r="C2083" s="6" t="s">
        <v>3844</v>
      </c>
      <c r="D2083" s="6" t="s">
        <v>2133</v>
      </c>
      <c r="E2083" s="6" t="s">
        <v>2134</v>
      </c>
      <c r="F2083" s="6" t="s">
        <v>162</v>
      </c>
      <c r="G2083" s="6" t="s">
        <v>404</v>
      </c>
      <c r="H2083" s="6"/>
      <c r="I2083" s="14" t="s">
        <v>1642</v>
      </c>
      <c r="J2083" s="15"/>
      <c r="K2083" s="6" t="s">
        <v>1976</v>
      </c>
      <c r="L2083" s="6"/>
      <c r="M2083" s="6" t="s">
        <v>1643</v>
      </c>
      <c r="N2083" s="6" t="s">
        <v>1644</v>
      </c>
      <c r="O2083" s="7">
        <f>SUMIFS('05_상품별배치367'!$K$7:$K$373,'05_상품별배치367'!$E$7:$E$373,A2083,'05_상품별배치367'!$H$7:$H$373,"본진")</f>
        <v>0</v>
      </c>
      <c r="P2083" s="7">
        <f>SUMIFS('05_상품별배치367'!$K$7:$K$373,'05_상품별배치367'!$E$7:$E$373,A2083,'05_상품별배치367'!$H$7:$H$373,"추가 진열")</f>
        <v>0</v>
      </c>
      <c r="Q2083" s="7">
        <f>O2083+P2083</f>
        <v>0</v>
      </c>
      <c r="R2083" s="7">
        <v>1</v>
      </c>
      <c r="S2083" s="6" t="s">
        <v>2996</v>
      </c>
      <c r="T2083" s="6" t="s">
        <v>1637</v>
      </c>
      <c r="U2083" s="6"/>
      <c r="V2083" s="16"/>
      <c r="W2083" s="16"/>
      <c r="X2083" s="16"/>
      <c r="Y2083" s="6" t="s">
        <v>1627</v>
      </c>
      <c r="Z2083" s="15"/>
      <c r="AA2083" s="15" t="s">
        <v>1628</v>
      </c>
    </row>
    <row r="2084" spans="1:27" ht="33" customHeight="1">
      <c r="A2084" s="6" t="s">
        <v>3839</v>
      </c>
      <c r="B2084" s="7">
        <v>933</v>
      </c>
      <c r="C2084" s="6" t="s">
        <v>3840</v>
      </c>
      <c r="D2084" s="6" t="s">
        <v>2133</v>
      </c>
      <c r="E2084" s="6" t="s">
        <v>2134</v>
      </c>
      <c r="F2084" s="6" t="s">
        <v>481</v>
      </c>
      <c r="G2084" s="6" t="s">
        <v>193</v>
      </c>
      <c r="H2084" s="6"/>
      <c r="I2084" s="14" t="s">
        <v>1642</v>
      </c>
      <c r="J2084" s="15"/>
      <c r="K2084" s="6" t="s">
        <v>1976</v>
      </c>
      <c r="L2084" s="6"/>
      <c r="M2084" s="6" t="s">
        <v>1643</v>
      </c>
      <c r="N2084" s="6" t="s">
        <v>1644</v>
      </c>
      <c r="O2084" s="7">
        <f>SUMIFS('05_상품별배치367'!$K$7:$K$373,'05_상품별배치367'!$E$7:$E$373,A2084,'05_상품별배치367'!$H$7:$H$373,"본진")</f>
        <v>0</v>
      </c>
      <c r="P2084" s="7">
        <f>SUMIFS('05_상품별배치367'!$K$7:$K$373,'05_상품별배치367'!$E$7:$E$373,A2084,'05_상품별배치367'!$H$7:$H$373,"추가 진열")</f>
        <v>0</v>
      </c>
      <c r="Q2084" s="7">
        <f>O2084+P2084</f>
        <v>0</v>
      </c>
      <c r="R2084" s="7">
        <v>1</v>
      </c>
      <c r="S2084" s="6" t="s">
        <v>3000</v>
      </c>
      <c r="T2084" s="6" t="s">
        <v>1637</v>
      </c>
      <c r="U2084" s="6"/>
      <c r="V2084" s="16"/>
      <c r="W2084" s="16"/>
      <c r="X2084" s="16"/>
      <c r="Y2084" s="6" t="s">
        <v>1627</v>
      </c>
      <c r="Z2084" s="15"/>
      <c r="AA2084" s="15" t="s">
        <v>1628</v>
      </c>
    </row>
    <row r="2085" spans="1:27" ht="33" customHeight="1">
      <c r="A2085" s="8" t="s">
        <v>3841</v>
      </c>
      <c r="B2085" s="9">
        <v>934</v>
      </c>
      <c r="C2085" s="8" t="s">
        <v>3842</v>
      </c>
      <c r="D2085" s="8" t="s">
        <v>2133</v>
      </c>
      <c r="E2085" s="8" t="s">
        <v>2134</v>
      </c>
      <c r="F2085" s="8" t="s">
        <v>163</v>
      </c>
      <c r="G2085" s="8" t="s">
        <v>414</v>
      </c>
      <c r="H2085" s="8"/>
      <c r="I2085" s="14" t="s">
        <v>1642</v>
      </c>
      <c r="J2085" s="15"/>
      <c r="K2085" s="8" t="s">
        <v>1976</v>
      </c>
      <c r="L2085" s="8"/>
      <c r="M2085" s="6" t="s">
        <v>1643</v>
      </c>
      <c r="N2085" s="6" t="s">
        <v>1644</v>
      </c>
      <c r="O2085" s="7">
        <f>SUMIFS('05_상품별배치367'!$K$7:$K$373,'05_상품별배치367'!$E$7:$E$373,A2085,'05_상품별배치367'!$H$7:$H$373,"본진")</f>
        <v>0</v>
      </c>
      <c r="P2085" s="7">
        <f>SUMIFS('05_상품별배치367'!$K$7:$K$373,'05_상품별배치367'!$E$7:$E$373,A2085,'05_상품별배치367'!$H$7:$H$373,"추가 진열")</f>
        <v>0</v>
      </c>
      <c r="Q2085" s="7">
        <f>O2085+P2085</f>
        <v>0</v>
      </c>
      <c r="R2085" s="7">
        <v>1</v>
      </c>
      <c r="S2085" s="6" t="s">
        <v>3048</v>
      </c>
      <c r="T2085" s="6" t="s">
        <v>1637</v>
      </c>
      <c r="U2085" s="6"/>
      <c r="V2085" s="16"/>
      <c r="W2085" s="16"/>
      <c r="X2085" s="16"/>
      <c r="Y2085" s="6" t="s">
        <v>1627</v>
      </c>
      <c r="Z2085" s="15"/>
      <c r="AA2085" s="15" t="s">
        <v>1628</v>
      </c>
    </row>
    <row r="2086" spans="1:27" ht="33" customHeight="1">
      <c r="A2086" s="6" t="s">
        <v>7030</v>
      </c>
      <c r="B2086" s="7">
        <v>2421</v>
      </c>
      <c r="C2086" s="6" t="s">
        <v>7031</v>
      </c>
      <c r="D2086" s="6" t="s">
        <v>7032</v>
      </c>
      <c r="E2086" s="6" t="s">
        <v>1641</v>
      </c>
      <c r="F2086" s="6" t="s">
        <v>651</v>
      </c>
      <c r="G2086" s="6" t="s">
        <v>79</v>
      </c>
      <c r="H2086" s="6"/>
      <c r="I2086" s="14" t="s">
        <v>1642</v>
      </c>
      <c r="J2086" s="15"/>
      <c r="K2086" s="6" t="s">
        <v>1634</v>
      </c>
      <c r="L2086" s="6" t="s">
        <v>3828</v>
      </c>
      <c r="M2086" s="6" t="s">
        <v>1643</v>
      </c>
      <c r="N2086" s="6" t="s">
        <v>1624</v>
      </c>
      <c r="O2086" s="7">
        <f>SUMIFS('05_상품별배치367'!$K$7:$K$373,'05_상품별배치367'!$E$7:$E$373,A2086,'05_상품별배치367'!$H$7:$H$373,"본진")</f>
        <v>0</v>
      </c>
      <c r="P2086" s="7">
        <f>SUMIFS('05_상품별배치367'!$K$7:$K$373,'05_상품별배치367'!$E$7:$E$373,A2086,'05_상품별배치367'!$H$7:$H$373,"추가 진열")</f>
        <v>0</v>
      </c>
      <c r="Q2086" s="7">
        <f>O2086+P2086</f>
        <v>0</v>
      </c>
      <c r="R2086" s="7">
        <v>1</v>
      </c>
      <c r="S2086" s="6" t="s">
        <v>6023</v>
      </c>
      <c r="T2086" s="6" t="s">
        <v>1637</v>
      </c>
      <c r="U2086" s="6"/>
      <c r="V2086" s="16"/>
      <c r="W2086" s="16"/>
      <c r="X2086" s="16"/>
      <c r="Y2086" s="6" t="s">
        <v>1655</v>
      </c>
      <c r="Z2086" s="15"/>
      <c r="AA2086" s="15" t="s">
        <v>1628</v>
      </c>
    </row>
    <row r="2087" spans="1:27" ht="33" customHeight="1">
      <c r="A2087" s="6" t="s">
        <v>7035</v>
      </c>
      <c r="B2087" s="7">
        <v>2423</v>
      </c>
      <c r="C2087" s="6" t="s">
        <v>7036</v>
      </c>
      <c r="D2087" s="6" t="s">
        <v>7037</v>
      </c>
      <c r="E2087" s="6" t="s">
        <v>1641</v>
      </c>
      <c r="F2087" s="6" t="s">
        <v>651</v>
      </c>
      <c r="G2087" s="6" t="s">
        <v>79</v>
      </c>
      <c r="H2087" s="6" t="s">
        <v>650</v>
      </c>
      <c r="I2087" s="14" t="s">
        <v>1621</v>
      </c>
      <c r="J2087" s="15"/>
      <c r="K2087" s="6" t="s">
        <v>1634</v>
      </c>
      <c r="L2087" s="6" t="s">
        <v>3828</v>
      </c>
      <c r="M2087" s="6" t="s">
        <v>1623</v>
      </c>
      <c r="N2087" s="6" t="s">
        <v>1624</v>
      </c>
      <c r="O2087" s="7">
        <f>SUMIFS('05_상품별배치367'!$K$7:$K$373,'05_상품별배치367'!$E$7:$E$373,A2087,'05_상품별배치367'!$H$7:$H$373,"본진")</f>
        <v>1</v>
      </c>
      <c r="P2087" s="7">
        <f>SUMIFS('05_상품별배치367'!$K$7:$K$373,'05_상품별배치367'!$E$7:$E$373,A2087,'05_상품별배치367'!$H$7:$H$373,"추가 진열")</f>
        <v>0</v>
      </c>
      <c r="Q2087" s="7">
        <f>O2087+P2087</f>
        <v>1</v>
      </c>
      <c r="R2087" s="7">
        <v>1</v>
      </c>
      <c r="S2087" s="6" t="s">
        <v>1625</v>
      </c>
      <c r="T2087" s="6" t="s">
        <v>1637</v>
      </c>
      <c r="U2087" s="6"/>
      <c r="V2087" s="16"/>
      <c r="W2087" s="16"/>
      <c r="X2087" s="16"/>
      <c r="Y2087" s="6" t="s">
        <v>1655</v>
      </c>
      <c r="Z2087" s="15"/>
      <c r="AA2087" s="15" t="s">
        <v>1628</v>
      </c>
    </row>
    <row r="2088" spans="1:27" ht="33" customHeight="1">
      <c r="A2088" s="6" t="s">
        <v>7025</v>
      </c>
      <c r="B2088" s="7">
        <v>2419</v>
      </c>
      <c r="C2088" s="6" t="s">
        <v>7026</v>
      </c>
      <c r="D2088" s="6" t="s">
        <v>7027</v>
      </c>
      <c r="E2088" s="6" t="s">
        <v>1641</v>
      </c>
      <c r="F2088" s="6" t="s">
        <v>644</v>
      </c>
      <c r="G2088" s="6" t="s">
        <v>79</v>
      </c>
      <c r="H2088" s="6"/>
      <c r="I2088" s="14" t="s">
        <v>1642</v>
      </c>
      <c r="J2088" s="15"/>
      <c r="K2088" s="6" t="s">
        <v>1634</v>
      </c>
      <c r="L2088" s="6" t="s">
        <v>3828</v>
      </c>
      <c r="M2088" s="6" t="s">
        <v>1643</v>
      </c>
      <c r="N2088" s="6" t="s">
        <v>1624</v>
      </c>
      <c r="O2088" s="7">
        <f>SUMIFS('05_상품별배치367'!$K$7:$K$373,'05_상품별배치367'!$E$7:$E$373,A2088,'05_상품별배치367'!$H$7:$H$373,"본진")</f>
        <v>0</v>
      </c>
      <c r="P2088" s="7">
        <f>SUMIFS('05_상품별배치367'!$K$7:$K$373,'05_상품별배치367'!$E$7:$E$373,A2088,'05_상품별배치367'!$H$7:$H$373,"추가 진열")</f>
        <v>0</v>
      </c>
      <c r="Q2088" s="7">
        <f>O2088+P2088</f>
        <v>0</v>
      </c>
      <c r="R2088" s="7">
        <v>1</v>
      </c>
      <c r="S2088" s="6" t="s">
        <v>7020</v>
      </c>
      <c r="T2088" s="6" t="s">
        <v>1637</v>
      </c>
      <c r="U2088" s="6"/>
      <c r="V2088" s="16"/>
      <c r="W2088" s="16"/>
      <c r="X2088" s="16"/>
      <c r="Y2088" s="6" t="s">
        <v>1655</v>
      </c>
      <c r="Z2088" s="15"/>
      <c r="AA2088" s="15" t="s">
        <v>1628</v>
      </c>
    </row>
    <row r="2089" spans="1:27" ht="33" customHeight="1">
      <c r="A2089" s="8" t="s">
        <v>7028</v>
      </c>
      <c r="B2089" s="9">
        <v>2420</v>
      </c>
      <c r="C2089" s="8" t="s">
        <v>7029</v>
      </c>
      <c r="D2089" s="8" t="s">
        <v>7027</v>
      </c>
      <c r="E2089" s="8" t="s">
        <v>1641</v>
      </c>
      <c r="F2089" s="8" t="s">
        <v>656</v>
      </c>
      <c r="G2089" s="8" t="s">
        <v>79</v>
      </c>
      <c r="H2089" s="8" t="s">
        <v>655</v>
      </c>
      <c r="I2089" s="14" t="s">
        <v>1633</v>
      </c>
      <c r="J2089" s="15"/>
      <c r="K2089" s="8" t="s">
        <v>1634</v>
      </c>
      <c r="L2089" s="8" t="s">
        <v>3828</v>
      </c>
      <c r="M2089" s="6" t="s">
        <v>1635</v>
      </c>
      <c r="N2089" s="6" t="s">
        <v>1624</v>
      </c>
      <c r="O2089" s="7">
        <f>SUMIFS('05_상품별배치367'!$K$7:$K$373,'05_상품별배치367'!$E$7:$E$373,A2089,'05_상품별배치367'!$H$7:$H$373,"본진")</f>
        <v>1</v>
      </c>
      <c r="P2089" s="7">
        <f>SUMIFS('05_상품별배치367'!$K$7:$K$373,'05_상품별배치367'!$E$7:$E$373,A2089,'05_상품별배치367'!$H$7:$H$373,"추가 진열")</f>
        <v>0</v>
      </c>
      <c r="Q2089" s="7">
        <f>O2089+P2089</f>
        <v>1</v>
      </c>
      <c r="R2089" s="7">
        <v>1</v>
      </c>
      <c r="S2089" s="6" t="s">
        <v>1636</v>
      </c>
      <c r="T2089" s="6" t="s">
        <v>1637</v>
      </c>
      <c r="U2089" s="6"/>
      <c r="V2089" s="16"/>
      <c r="W2089" s="16"/>
      <c r="X2089" s="16"/>
      <c r="Y2089" s="6" t="s">
        <v>1655</v>
      </c>
      <c r="Z2089" s="15"/>
      <c r="AA2089" s="15" t="s">
        <v>1628</v>
      </c>
    </row>
    <row r="2090" spans="1:27" ht="33" customHeight="1">
      <c r="A2090" s="8" t="s">
        <v>7153</v>
      </c>
      <c r="B2090" s="9">
        <v>2480</v>
      </c>
      <c r="C2090" s="8" t="s">
        <v>7154</v>
      </c>
      <c r="D2090" s="8" t="s">
        <v>2612</v>
      </c>
      <c r="E2090" s="8" t="s">
        <v>1695</v>
      </c>
      <c r="F2090" s="8" t="s">
        <v>1129</v>
      </c>
      <c r="G2090" s="8" t="s">
        <v>307</v>
      </c>
      <c r="H2090" s="8"/>
      <c r="I2090" s="14" t="s">
        <v>1642</v>
      </c>
      <c r="J2090" s="15"/>
      <c r="K2090" s="8" t="s">
        <v>1696</v>
      </c>
      <c r="L2090" s="8" t="s">
        <v>3828</v>
      </c>
      <c r="M2090" s="6" t="s">
        <v>1643</v>
      </c>
      <c r="N2090" s="6" t="s">
        <v>1644</v>
      </c>
      <c r="O2090" s="7">
        <f>SUMIFS('05_상품별배치367'!$K$7:$K$373,'05_상품별배치367'!$E$7:$E$373,A2090,'05_상품별배치367'!$H$7:$H$373,"본진")</f>
        <v>0</v>
      </c>
      <c r="P2090" s="7">
        <f>SUMIFS('05_상품별배치367'!$K$7:$K$373,'05_상품별배치367'!$E$7:$E$373,A2090,'05_상품별배치367'!$H$7:$H$373,"추가 진열")</f>
        <v>0</v>
      </c>
      <c r="Q2090" s="7">
        <f>O2090+P2090</f>
        <v>0</v>
      </c>
      <c r="R2090" s="7">
        <v>1</v>
      </c>
      <c r="S2090" s="6" t="s">
        <v>2850</v>
      </c>
      <c r="T2090" s="6" t="s">
        <v>1637</v>
      </c>
      <c r="U2090" s="6"/>
      <c r="V2090" s="16"/>
      <c r="W2090" s="16"/>
      <c r="X2090" s="16"/>
      <c r="Y2090" s="6" t="s">
        <v>1627</v>
      </c>
      <c r="Z2090" s="15"/>
      <c r="AA2090" s="15" t="s">
        <v>1628</v>
      </c>
    </row>
    <row r="2091" spans="1:27" ht="33" customHeight="1">
      <c r="A2091" s="6" t="s">
        <v>6850</v>
      </c>
      <c r="B2091" s="7">
        <v>2335</v>
      </c>
      <c r="C2091" s="6" t="s">
        <v>6851</v>
      </c>
      <c r="D2091" s="6" t="s">
        <v>5979</v>
      </c>
      <c r="E2091" s="6" t="s">
        <v>1641</v>
      </c>
      <c r="F2091" s="6" t="s">
        <v>1157</v>
      </c>
      <c r="G2091" s="6" t="s">
        <v>323</v>
      </c>
      <c r="H2091" s="6"/>
      <c r="I2091" s="14" t="s">
        <v>1642</v>
      </c>
      <c r="J2091" s="15"/>
      <c r="K2091" s="6" t="s">
        <v>1634</v>
      </c>
      <c r="L2091" s="6" t="s">
        <v>3828</v>
      </c>
      <c r="M2091" s="6" t="s">
        <v>1643</v>
      </c>
      <c r="N2091" s="6" t="s">
        <v>1624</v>
      </c>
      <c r="O2091" s="7">
        <f>SUMIFS('05_상품별배치367'!$K$7:$K$373,'05_상품별배치367'!$E$7:$E$373,A2091,'05_상품별배치367'!$H$7:$H$373,"본진")</f>
        <v>0</v>
      </c>
      <c r="P2091" s="7">
        <f>SUMIFS('05_상품별배치367'!$K$7:$K$373,'05_상품별배치367'!$E$7:$E$373,A2091,'05_상품별배치367'!$H$7:$H$373,"추가 진열")</f>
        <v>0</v>
      </c>
      <c r="Q2091" s="7">
        <f>O2091+P2091</f>
        <v>0</v>
      </c>
      <c r="R2091" s="7">
        <v>1</v>
      </c>
      <c r="S2091" s="6" t="s">
        <v>6597</v>
      </c>
      <c r="T2091" s="6" t="s">
        <v>1637</v>
      </c>
      <c r="U2091" s="6"/>
      <c r="V2091" s="16"/>
      <c r="W2091" s="16"/>
      <c r="X2091" s="16"/>
      <c r="Y2091" s="6" t="s">
        <v>1627</v>
      </c>
      <c r="Z2091" s="15"/>
      <c r="AA2091" s="15" t="s">
        <v>1628</v>
      </c>
    </row>
    <row r="2092" spans="1:27" ht="33" customHeight="1">
      <c r="A2092" s="8" t="s">
        <v>6844</v>
      </c>
      <c r="B2092" s="9">
        <v>2330</v>
      </c>
      <c r="C2092" s="8" t="s">
        <v>6845</v>
      </c>
      <c r="D2092" s="8" t="s">
        <v>5979</v>
      </c>
      <c r="E2092" s="8" t="s">
        <v>1641</v>
      </c>
      <c r="F2092" s="8" t="s">
        <v>1157</v>
      </c>
      <c r="G2092" s="8" t="s">
        <v>323</v>
      </c>
      <c r="H2092" s="8"/>
      <c r="I2092" s="14" t="s">
        <v>1642</v>
      </c>
      <c r="J2092" s="15"/>
      <c r="K2092" s="8" t="s">
        <v>1634</v>
      </c>
      <c r="L2092" s="8" t="s">
        <v>3828</v>
      </c>
      <c r="M2092" s="6" t="s">
        <v>1643</v>
      </c>
      <c r="N2092" s="6" t="s">
        <v>1624</v>
      </c>
      <c r="O2092" s="7">
        <f>SUMIFS('05_상품별배치367'!$K$7:$K$373,'05_상품별배치367'!$E$7:$E$373,A2092,'05_상품별배치367'!$H$7:$H$373,"본진")</f>
        <v>0</v>
      </c>
      <c r="P2092" s="7">
        <f>SUMIFS('05_상품별배치367'!$K$7:$K$373,'05_상품별배치367'!$E$7:$E$373,A2092,'05_상품별배치367'!$H$7:$H$373,"추가 진열")</f>
        <v>0</v>
      </c>
      <c r="Q2092" s="7">
        <f>O2092+P2092</f>
        <v>0</v>
      </c>
      <c r="R2092" s="7">
        <v>1</v>
      </c>
      <c r="S2092" s="6" t="s">
        <v>6597</v>
      </c>
      <c r="T2092" s="6" t="s">
        <v>1637</v>
      </c>
      <c r="U2092" s="6"/>
      <c r="V2092" s="16"/>
      <c r="W2092" s="16"/>
      <c r="X2092" s="16"/>
      <c r="Y2092" s="6" t="s">
        <v>1627</v>
      </c>
      <c r="Z2092" s="15"/>
      <c r="AA2092" s="15" t="s">
        <v>1628</v>
      </c>
    </row>
    <row r="2093" spans="1:27" ht="33" customHeight="1">
      <c r="A2093" s="6" t="s">
        <v>5726</v>
      </c>
      <c r="B2093" s="7">
        <v>1819</v>
      </c>
      <c r="C2093" s="6" t="s">
        <v>5727</v>
      </c>
      <c r="D2093" s="6" t="s">
        <v>3445</v>
      </c>
      <c r="E2093" s="6" t="s">
        <v>1814</v>
      </c>
      <c r="F2093" s="6" t="s">
        <v>1341</v>
      </c>
      <c r="G2093" s="6" t="s">
        <v>423</v>
      </c>
      <c r="H2093" s="6" t="s">
        <v>1340</v>
      </c>
      <c r="I2093" s="14" t="s">
        <v>1621</v>
      </c>
      <c r="J2093" s="15"/>
      <c r="K2093" s="6" t="s">
        <v>1634</v>
      </c>
      <c r="L2093" s="6" t="s">
        <v>3828</v>
      </c>
      <c r="M2093" s="6" t="s">
        <v>1623</v>
      </c>
      <c r="N2093" s="6" t="s">
        <v>1624</v>
      </c>
      <c r="O2093" s="7">
        <f>SUMIFS('05_상품별배치367'!$K$7:$K$373,'05_상품별배치367'!$E$7:$E$373,A2093,'05_상품별배치367'!$H$7:$H$373,"본진")</f>
        <v>2</v>
      </c>
      <c r="P2093" s="7">
        <f>SUMIFS('05_상품별배치367'!$K$7:$K$373,'05_상품별배치367'!$E$7:$E$373,A2093,'05_상품별배치367'!$H$7:$H$373,"추가 진열")</f>
        <v>0</v>
      </c>
      <c r="Q2093" s="7">
        <f>O2093+P2093</f>
        <v>2</v>
      </c>
      <c r="R2093" s="7">
        <v>2</v>
      </c>
      <c r="S2093" s="6" t="s">
        <v>1625</v>
      </c>
      <c r="T2093" s="6" t="s">
        <v>1637</v>
      </c>
      <c r="U2093" s="6"/>
      <c r="V2093" s="16"/>
      <c r="W2093" s="16"/>
      <c r="X2093" s="16"/>
      <c r="Y2093" s="6" t="s">
        <v>1627</v>
      </c>
      <c r="Z2093" s="15"/>
      <c r="AA2093" s="15" t="s">
        <v>1628</v>
      </c>
    </row>
    <row r="2094" spans="1:27" ht="33" customHeight="1">
      <c r="A2094" s="8" t="s">
        <v>5728</v>
      </c>
      <c r="B2094" s="9">
        <v>1820</v>
      </c>
      <c r="C2094" s="8" t="s">
        <v>5729</v>
      </c>
      <c r="D2094" s="8" t="s">
        <v>3445</v>
      </c>
      <c r="E2094" s="8" t="s">
        <v>1814</v>
      </c>
      <c r="F2094" s="8" t="s">
        <v>1341</v>
      </c>
      <c r="G2094" s="8" t="s">
        <v>423</v>
      </c>
      <c r="H2094" s="8" t="s">
        <v>1340</v>
      </c>
      <c r="I2094" s="14" t="s">
        <v>1633</v>
      </c>
      <c r="J2094" s="15"/>
      <c r="K2094" s="8" t="s">
        <v>1634</v>
      </c>
      <c r="L2094" s="8" t="s">
        <v>3828</v>
      </c>
      <c r="M2094" s="6" t="s">
        <v>1635</v>
      </c>
      <c r="N2094" s="6" t="s">
        <v>1624</v>
      </c>
      <c r="O2094" s="7">
        <f>SUMIFS('05_상품별배치367'!$K$7:$K$373,'05_상품별배치367'!$E$7:$E$373,A2094,'05_상품별배치367'!$H$7:$H$373,"본진")</f>
        <v>1</v>
      </c>
      <c r="P2094" s="7">
        <f>SUMIFS('05_상품별배치367'!$K$7:$K$373,'05_상품별배치367'!$E$7:$E$373,A2094,'05_상품별배치367'!$H$7:$H$373,"추가 진열")</f>
        <v>0</v>
      </c>
      <c r="Q2094" s="7">
        <f>O2094+P2094</f>
        <v>1</v>
      </c>
      <c r="R2094" s="7">
        <v>1</v>
      </c>
      <c r="S2094" s="6" t="s">
        <v>1636</v>
      </c>
      <c r="T2094" s="6" t="s">
        <v>1637</v>
      </c>
      <c r="U2094" s="6"/>
      <c r="V2094" s="16"/>
      <c r="W2094" s="16"/>
      <c r="X2094" s="16"/>
      <c r="Y2094" s="6" t="s">
        <v>1627</v>
      </c>
      <c r="Z2094" s="15"/>
      <c r="AA2094" s="15" t="s">
        <v>1628</v>
      </c>
    </row>
    <row r="2095" spans="1:27" ht="33" customHeight="1">
      <c r="A2095" s="8" t="s">
        <v>5732</v>
      </c>
      <c r="B2095" s="9">
        <v>1822</v>
      </c>
      <c r="C2095" s="8" t="s">
        <v>5733</v>
      </c>
      <c r="D2095" s="8" t="s">
        <v>1686</v>
      </c>
      <c r="E2095" s="8" t="s">
        <v>1632</v>
      </c>
      <c r="F2095" s="8" t="s">
        <v>865</v>
      </c>
      <c r="G2095" s="8" t="s">
        <v>173</v>
      </c>
      <c r="H2095" s="8" t="s">
        <v>864</v>
      </c>
      <c r="I2095" s="14" t="s">
        <v>1633</v>
      </c>
      <c r="J2095" s="15"/>
      <c r="K2095" s="8" t="s">
        <v>1634</v>
      </c>
      <c r="L2095" s="8" t="s">
        <v>3828</v>
      </c>
      <c r="M2095" s="6" t="s">
        <v>1635</v>
      </c>
      <c r="N2095" s="6" t="s">
        <v>1624</v>
      </c>
      <c r="O2095" s="7">
        <f>SUMIFS('05_상품별배치367'!$K$7:$K$373,'05_상품별배치367'!$E$7:$E$373,A2095,'05_상품별배치367'!$H$7:$H$373,"본진")</f>
        <v>1</v>
      </c>
      <c r="P2095" s="7">
        <f>SUMIFS('05_상품별배치367'!$K$7:$K$373,'05_상품별배치367'!$E$7:$E$373,A2095,'05_상품별배치367'!$H$7:$H$373,"추가 진열")</f>
        <v>0</v>
      </c>
      <c r="Q2095" s="7">
        <f>O2095+P2095</f>
        <v>1</v>
      </c>
      <c r="R2095" s="7">
        <v>1</v>
      </c>
      <c r="S2095" s="6" t="s">
        <v>1636</v>
      </c>
      <c r="T2095" s="6" t="s">
        <v>1637</v>
      </c>
      <c r="U2095" s="6"/>
      <c r="V2095" s="16"/>
      <c r="W2095" s="16"/>
      <c r="X2095" s="16"/>
      <c r="Y2095" s="6" t="s">
        <v>1627</v>
      </c>
      <c r="Z2095" s="15"/>
      <c r="AA2095" s="15" t="s">
        <v>1628</v>
      </c>
    </row>
    <row r="2096" spans="1:27" ht="33" customHeight="1">
      <c r="A2096" s="6" t="s">
        <v>1761</v>
      </c>
      <c r="B2096" s="7">
        <v>47</v>
      </c>
      <c r="C2096" s="6" t="s">
        <v>1762</v>
      </c>
      <c r="D2096" s="6" t="s">
        <v>1763</v>
      </c>
      <c r="E2096" s="6" t="s">
        <v>1743</v>
      </c>
      <c r="F2096" s="6" t="s">
        <v>1439</v>
      </c>
      <c r="G2096" s="6" t="s">
        <v>463</v>
      </c>
      <c r="H2096" s="6"/>
      <c r="I2096" s="14" t="s">
        <v>1642</v>
      </c>
      <c r="J2096" s="6"/>
      <c r="K2096" s="6" t="s">
        <v>1696</v>
      </c>
      <c r="L2096" s="6"/>
      <c r="M2096" s="6" t="s">
        <v>1643</v>
      </c>
      <c r="N2096" s="6" t="s">
        <v>1624</v>
      </c>
      <c r="O2096" s="7">
        <f>SUMIFS('05_상품별배치367'!$K$7:$K$373,'05_상품별배치367'!$E$7:$E$373,A2096,'05_상품별배치367'!$H$7:$H$373,"본진")</f>
        <v>0</v>
      </c>
      <c r="P2096" s="7">
        <f>SUMIFS('05_상품별배치367'!$K$7:$K$373,'05_상품별배치367'!$E$7:$E$373,A2096,'05_상품별배치367'!$H$7:$H$373,"추가 진열")</f>
        <v>0</v>
      </c>
      <c r="Q2096" s="7">
        <f>O2096+P2096</f>
        <v>0</v>
      </c>
      <c r="R2096" s="7">
        <v>1</v>
      </c>
      <c r="S2096" s="6" t="s">
        <v>1744</v>
      </c>
      <c r="T2096" s="6" t="s">
        <v>1637</v>
      </c>
      <c r="U2096" s="6"/>
      <c r="V2096" s="16"/>
      <c r="W2096" s="16"/>
      <c r="X2096" s="16"/>
      <c r="Y2096" s="6" t="s">
        <v>1627</v>
      </c>
      <c r="Z2096" s="15"/>
      <c r="AA2096" s="15" t="s">
        <v>1628</v>
      </c>
    </row>
    <row r="2097" spans="1:27" ht="33" customHeight="1">
      <c r="A2097" s="8" t="s">
        <v>1796</v>
      </c>
      <c r="B2097" s="9">
        <v>60</v>
      </c>
      <c r="C2097" s="8" t="s">
        <v>1797</v>
      </c>
      <c r="D2097" s="8" t="s">
        <v>1742</v>
      </c>
      <c r="E2097" s="8" t="s">
        <v>1743</v>
      </c>
      <c r="F2097" s="8" t="s">
        <v>1439</v>
      </c>
      <c r="G2097" s="8" t="s">
        <v>463</v>
      </c>
      <c r="H2097" s="8"/>
      <c r="I2097" s="14" t="s">
        <v>1642</v>
      </c>
      <c r="J2097" s="6"/>
      <c r="K2097" s="8" t="s">
        <v>1696</v>
      </c>
      <c r="L2097" s="8"/>
      <c r="M2097" s="6" t="s">
        <v>1643</v>
      </c>
      <c r="N2097" s="6" t="s">
        <v>1644</v>
      </c>
      <c r="O2097" s="7">
        <f>SUMIFS('05_상품별배치367'!$K$7:$K$373,'05_상품별배치367'!$E$7:$E$373,A2097,'05_상품별배치367'!$H$7:$H$373,"본진")</f>
        <v>0</v>
      </c>
      <c r="P2097" s="7">
        <f>SUMIFS('05_상품별배치367'!$K$7:$K$373,'05_상품별배치367'!$E$7:$E$373,A2097,'05_상품별배치367'!$H$7:$H$373,"추가 진열")</f>
        <v>0</v>
      </c>
      <c r="Q2097" s="7">
        <f>O2097+P2097</f>
        <v>0</v>
      </c>
      <c r="R2097" s="7">
        <v>1</v>
      </c>
      <c r="S2097" s="6" t="s">
        <v>1744</v>
      </c>
      <c r="T2097" s="6" t="s">
        <v>1637</v>
      </c>
      <c r="U2097" s="6"/>
      <c r="V2097" s="16"/>
      <c r="W2097" s="16"/>
      <c r="X2097" s="16"/>
      <c r="Y2097" s="6" t="s">
        <v>1627</v>
      </c>
      <c r="Z2097" s="15"/>
      <c r="AA2097" s="15" t="s">
        <v>1628</v>
      </c>
    </row>
    <row r="2098" spans="1:27" ht="33" customHeight="1">
      <c r="A2098" s="6" t="s">
        <v>1798</v>
      </c>
      <c r="B2098" s="7">
        <v>61</v>
      </c>
      <c r="C2098" s="6" t="s">
        <v>1797</v>
      </c>
      <c r="D2098" s="6" t="s">
        <v>1746</v>
      </c>
      <c r="E2098" s="6" t="s">
        <v>1743</v>
      </c>
      <c r="F2098" s="6" t="s">
        <v>1439</v>
      </c>
      <c r="G2098" s="6" t="s">
        <v>463</v>
      </c>
      <c r="H2098" s="6"/>
      <c r="I2098" s="14" t="s">
        <v>1642</v>
      </c>
      <c r="J2098" s="6"/>
      <c r="K2098" s="6" t="s">
        <v>1696</v>
      </c>
      <c r="L2098" s="6"/>
      <c r="M2098" s="6" t="s">
        <v>1643</v>
      </c>
      <c r="N2098" s="6" t="s">
        <v>1644</v>
      </c>
      <c r="O2098" s="7">
        <f>SUMIFS('05_상품별배치367'!$K$7:$K$373,'05_상품별배치367'!$E$7:$E$373,A2098,'05_상품별배치367'!$H$7:$H$373,"본진")</f>
        <v>0</v>
      </c>
      <c r="P2098" s="7">
        <f>SUMIFS('05_상품별배치367'!$K$7:$K$373,'05_상품별배치367'!$E$7:$E$373,A2098,'05_상품별배치367'!$H$7:$H$373,"추가 진열")</f>
        <v>0</v>
      </c>
      <c r="Q2098" s="7">
        <f>O2098+P2098</f>
        <v>0</v>
      </c>
      <c r="R2098" s="7">
        <v>1</v>
      </c>
      <c r="S2098" s="6" t="s">
        <v>1744</v>
      </c>
      <c r="T2098" s="6" t="s">
        <v>1637</v>
      </c>
      <c r="U2098" s="6"/>
      <c r="V2098" s="16"/>
      <c r="W2098" s="16"/>
      <c r="X2098" s="16"/>
      <c r="Y2098" s="6" t="s">
        <v>1627</v>
      </c>
      <c r="Z2098" s="15"/>
      <c r="AA2098" s="15" t="s">
        <v>1628</v>
      </c>
    </row>
    <row r="2099" spans="1:27" ht="33" customHeight="1">
      <c r="A2099" s="8" t="s">
        <v>1799</v>
      </c>
      <c r="B2099" s="9">
        <v>62</v>
      </c>
      <c r="C2099" s="8" t="s">
        <v>1797</v>
      </c>
      <c r="D2099" s="8" t="s">
        <v>1748</v>
      </c>
      <c r="E2099" s="8" t="s">
        <v>1743</v>
      </c>
      <c r="F2099" s="8" t="s">
        <v>1439</v>
      </c>
      <c r="G2099" s="8" t="s">
        <v>463</v>
      </c>
      <c r="H2099" s="8"/>
      <c r="I2099" s="14" t="s">
        <v>1642</v>
      </c>
      <c r="J2099" s="6"/>
      <c r="K2099" s="8" t="s">
        <v>1696</v>
      </c>
      <c r="L2099" s="8"/>
      <c r="M2099" s="6" t="s">
        <v>1643</v>
      </c>
      <c r="N2099" s="6" t="s">
        <v>1644</v>
      </c>
      <c r="O2099" s="7">
        <f>SUMIFS('05_상품별배치367'!$K$7:$K$373,'05_상품별배치367'!$E$7:$E$373,A2099,'05_상품별배치367'!$H$7:$H$373,"본진")</f>
        <v>0</v>
      </c>
      <c r="P2099" s="7">
        <f>SUMIFS('05_상품별배치367'!$K$7:$K$373,'05_상품별배치367'!$E$7:$E$373,A2099,'05_상품별배치367'!$H$7:$H$373,"추가 진열")</f>
        <v>0</v>
      </c>
      <c r="Q2099" s="7">
        <f>O2099+P2099</f>
        <v>0</v>
      </c>
      <c r="R2099" s="7">
        <v>1</v>
      </c>
      <c r="S2099" s="6" t="s">
        <v>1744</v>
      </c>
      <c r="T2099" s="6" t="s">
        <v>1637</v>
      </c>
      <c r="U2099" s="6"/>
      <c r="V2099" s="16"/>
      <c r="W2099" s="16"/>
      <c r="X2099" s="16"/>
      <c r="Y2099" s="6" t="s">
        <v>1627</v>
      </c>
      <c r="Z2099" s="15"/>
      <c r="AA2099" s="15" t="s">
        <v>1628</v>
      </c>
    </row>
    <row r="2100" spans="1:27" ht="33" customHeight="1">
      <c r="A2100" s="6" t="s">
        <v>1753</v>
      </c>
      <c r="B2100" s="7">
        <v>41</v>
      </c>
      <c r="C2100" s="6" t="s">
        <v>1754</v>
      </c>
      <c r="D2100" s="6" t="s">
        <v>1742</v>
      </c>
      <c r="E2100" s="6" t="s">
        <v>1743</v>
      </c>
      <c r="F2100" s="6" t="s">
        <v>1439</v>
      </c>
      <c r="G2100" s="6" t="s">
        <v>463</v>
      </c>
      <c r="H2100" s="6" t="s">
        <v>1443</v>
      </c>
      <c r="I2100" s="14" t="s">
        <v>1633</v>
      </c>
      <c r="J2100" s="6"/>
      <c r="K2100" s="6" t="s">
        <v>1696</v>
      </c>
      <c r="L2100" s="6"/>
      <c r="M2100" s="6" t="s">
        <v>1635</v>
      </c>
      <c r="N2100" s="6" t="s">
        <v>1624</v>
      </c>
      <c r="O2100" s="7">
        <f>SUMIFS('05_상품별배치367'!$K$7:$K$373,'05_상품별배치367'!$E$7:$E$373,A2100,'05_상품별배치367'!$H$7:$H$373,"본진")</f>
        <v>1</v>
      </c>
      <c r="P2100" s="7">
        <f>SUMIFS('05_상품별배치367'!$K$7:$K$373,'05_상품별배치367'!$E$7:$E$373,A2100,'05_상품별배치367'!$H$7:$H$373,"추가 진열")</f>
        <v>0</v>
      </c>
      <c r="Q2100" s="7">
        <f>O2100+P2100</f>
        <v>1</v>
      </c>
      <c r="R2100" s="7">
        <v>1</v>
      </c>
      <c r="S2100" s="6" t="s">
        <v>1636</v>
      </c>
      <c r="T2100" s="6" t="s">
        <v>1637</v>
      </c>
      <c r="U2100" s="6"/>
      <c r="V2100" s="16"/>
      <c r="W2100" s="16"/>
      <c r="X2100" s="16"/>
      <c r="Y2100" s="6" t="s">
        <v>1627</v>
      </c>
      <c r="Z2100" s="15"/>
      <c r="AA2100" s="15" t="s">
        <v>1628</v>
      </c>
    </row>
    <row r="2101" spans="1:27" ht="33" customHeight="1">
      <c r="A2101" s="8" t="s">
        <v>1755</v>
      </c>
      <c r="B2101" s="9">
        <v>42</v>
      </c>
      <c r="C2101" s="8" t="s">
        <v>1754</v>
      </c>
      <c r="D2101" s="8" t="s">
        <v>1746</v>
      </c>
      <c r="E2101" s="8" t="s">
        <v>1743</v>
      </c>
      <c r="F2101" s="8" t="s">
        <v>1439</v>
      </c>
      <c r="G2101" s="8" t="s">
        <v>463</v>
      </c>
      <c r="H2101" s="8"/>
      <c r="I2101" s="14" t="s">
        <v>1642</v>
      </c>
      <c r="J2101" s="6"/>
      <c r="K2101" s="8" t="s">
        <v>1696</v>
      </c>
      <c r="L2101" s="8"/>
      <c r="M2101" s="6" t="s">
        <v>1643</v>
      </c>
      <c r="N2101" s="6" t="s">
        <v>1624</v>
      </c>
      <c r="O2101" s="7">
        <f>SUMIFS('05_상품별배치367'!$K$7:$K$373,'05_상품별배치367'!$E$7:$E$373,A2101,'05_상품별배치367'!$H$7:$H$373,"본진")</f>
        <v>0</v>
      </c>
      <c r="P2101" s="7">
        <f>SUMIFS('05_상품별배치367'!$K$7:$K$373,'05_상품별배치367'!$E$7:$E$373,A2101,'05_상품별배치367'!$H$7:$H$373,"추가 진열")</f>
        <v>0</v>
      </c>
      <c r="Q2101" s="7">
        <f>O2101+P2101</f>
        <v>0</v>
      </c>
      <c r="R2101" s="7">
        <v>1</v>
      </c>
      <c r="S2101" s="6" t="s">
        <v>1744</v>
      </c>
      <c r="T2101" s="6" t="s">
        <v>1637</v>
      </c>
      <c r="U2101" s="6"/>
      <c r="V2101" s="16"/>
      <c r="W2101" s="16"/>
      <c r="X2101" s="16"/>
      <c r="Y2101" s="6" t="s">
        <v>1627</v>
      </c>
      <c r="Z2101" s="15"/>
      <c r="AA2101" s="15" t="s">
        <v>1628</v>
      </c>
    </row>
    <row r="2102" spans="1:27" ht="33" customHeight="1">
      <c r="A2102" s="6" t="s">
        <v>1756</v>
      </c>
      <c r="B2102" s="7">
        <v>43</v>
      </c>
      <c r="C2102" s="6" t="s">
        <v>1754</v>
      </c>
      <c r="D2102" s="6" t="s">
        <v>1748</v>
      </c>
      <c r="E2102" s="6" t="s">
        <v>1743</v>
      </c>
      <c r="F2102" s="6" t="s">
        <v>1439</v>
      </c>
      <c r="G2102" s="6" t="s">
        <v>463</v>
      </c>
      <c r="H2102" s="6"/>
      <c r="I2102" s="14" t="s">
        <v>1642</v>
      </c>
      <c r="J2102" s="6"/>
      <c r="K2102" s="6" t="s">
        <v>1696</v>
      </c>
      <c r="L2102" s="6"/>
      <c r="M2102" s="6" t="s">
        <v>1643</v>
      </c>
      <c r="N2102" s="6" t="s">
        <v>1624</v>
      </c>
      <c r="O2102" s="7">
        <f>SUMIFS('05_상품별배치367'!$K$7:$K$373,'05_상품별배치367'!$E$7:$E$373,A2102,'05_상품별배치367'!$H$7:$H$373,"본진")</f>
        <v>0</v>
      </c>
      <c r="P2102" s="7">
        <f>SUMIFS('05_상품별배치367'!$K$7:$K$373,'05_상품별배치367'!$E$7:$E$373,A2102,'05_상품별배치367'!$H$7:$H$373,"추가 진열")</f>
        <v>0</v>
      </c>
      <c r="Q2102" s="7">
        <f>O2102+P2102</f>
        <v>0</v>
      </c>
      <c r="R2102" s="7">
        <v>1</v>
      </c>
      <c r="S2102" s="6" t="s">
        <v>1744</v>
      </c>
      <c r="T2102" s="6" t="s">
        <v>1637</v>
      </c>
      <c r="U2102" s="6"/>
      <c r="V2102" s="16"/>
      <c r="W2102" s="16"/>
      <c r="X2102" s="16"/>
      <c r="Y2102" s="6" t="s">
        <v>1627</v>
      </c>
      <c r="Z2102" s="15"/>
      <c r="AA2102" s="15" t="s">
        <v>1628</v>
      </c>
    </row>
    <row r="2103" spans="1:27" ht="33" customHeight="1">
      <c r="A2103" s="8" t="s">
        <v>1749</v>
      </c>
      <c r="B2103" s="9">
        <v>38</v>
      </c>
      <c r="C2103" s="8" t="s">
        <v>1750</v>
      </c>
      <c r="D2103" s="8" t="s">
        <v>1742</v>
      </c>
      <c r="E2103" s="8" t="s">
        <v>1743</v>
      </c>
      <c r="F2103" s="8" t="s">
        <v>1439</v>
      </c>
      <c r="G2103" s="8" t="s">
        <v>463</v>
      </c>
      <c r="H2103" s="8" t="s">
        <v>1443</v>
      </c>
      <c r="I2103" s="14" t="s">
        <v>1633</v>
      </c>
      <c r="J2103" s="6"/>
      <c r="K2103" s="8" t="s">
        <v>1696</v>
      </c>
      <c r="L2103" s="8"/>
      <c r="M2103" s="6" t="s">
        <v>1635</v>
      </c>
      <c r="N2103" s="6" t="s">
        <v>1624</v>
      </c>
      <c r="O2103" s="7">
        <f>SUMIFS('05_상품별배치367'!$K$7:$K$373,'05_상품별배치367'!$E$7:$E$373,A2103,'05_상품별배치367'!$H$7:$H$373,"본진")</f>
        <v>1</v>
      </c>
      <c r="P2103" s="7">
        <f>SUMIFS('05_상품별배치367'!$K$7:$K$373,'05_상품별배치367'!$E$7:$E$373,A2103,'05_상품별배치367'!$H$7:$H$373,"추가 진열")</f>
        <v>0</v>
      </c>
      <c r="Q2103" s="7">
        <f>O2103+P2103</f>
        <v>1</v>
      </c>
      <c r="R2103" s="7">
        <v>1</v>
      </c>
      <c r="S2103" s="6" t="s">
        <v>1636</v>
      </c>
      <c r="T2103" s="6" t="s">
        <v>1637</v>
      </c>
      <c r="U2103" s="6"/>
      <c r="V2103" s="16"/>
      <c r="W2103" s="16"/>
      <c r="X2103" s="16"/>
      <c r="Y2103" s="6" t="s">
        <v>1627</v>
      </c>
      <c r="Z2103" s="15"/>
      <c r="AA2103" s="15" t="s">
        <v>1628</v>
      </c>
    </row>
    <row r="2104" spans="1:27" ht="33" customHeight="1">
      <c r="A2104" s="6" t="s">
        <v>1751</v>
      </c>
      <c r="B2104" s="7">
        <v>39</v>
      </c>
      <c r="C2104" s="6" t="s">
        <v>1750</v>
      </c>
      <c r="D2104" s="6" t="s">
        <v>1746</v>
      </c>
      <c r="E2104" s="6" t="s">
        <v>1743</v>
      </c>
      <c r="F2104" s="6" t="s">
        <v>1439</v>
      </c>
      <c r="G2104" s="6" t="s">
        <v>463</v>
      </c>
      <c r="H2104" s="6"/>
      <c r="I2104" s="14" t="s">
        <v>1642</v>
      </c>
      <c r="J2104" s="6"/>
      <c r="K2104" s="6" t="s">
        <v>1696</v>
      </c>
      <c r="L2104" s="6"/>
      <c r="M2104" s="6" t="s">
        <v>1643</v>
      </c>
      <c r="N2104" s="6" t="s">
        <v>1624</v>
      </c>
      <c r="O2104" s="7">
        <f>SUMIFS('05_상품별배치367'!$K$7:$K$373,'05_상품별배치367'!$E$7:$E$373,A2104,'05_상품별배치367'!$H$7:$H$373,"본진")</f>
        <v>0</v>
      </c>
      <c r="P2104" s="7">
        <f>SUMIFS('05_상품별배치367'!$K$7:$K$373,'05_상품별배치367'!$E$7:$E$373,A2104,'05_상품별배치367'!$H$7:$H$373,"추가 진열")</f>
        <v>0</v>
      </c>
      <c r="Q2104" s="7">
        <f>O2104+P2104</f>
        <v>0</v>
      </c>
      <c r="R2104" s="7">
        <v>1</v>
      </c>
      <c r="S2104" s="6" t="s">
        <v>1744</v>
      </c>
      <c r="T2104" s="6" t="s">
        <v>1637</v>
      </c>
      <c r="U2104" s="6"/>
      <c r="V2104" s="16"/>
      <c r="W2104" s="16"/>
      <c r="X2104" s="16"/>
      <c r="Y2104" s="6" t="s">
        <v>1627</v>
      </c>
      <c r="Z2104" s="15"/>
      <c r="AA2104" s="15" t="s">
        <v>1628</v>
      </c>
    </row>
    <row r="2105" spans="1:27" ht="33" customHeight="1">
      <c r="A2105" s="8" t="s">
        <v>1752</v>
      </c>
      <c r="B2105" s="9">
        <v>40</v>
      </c>
      <c r="C2105" s="8" t="s">
        <v>1750</v>
      </c>
      <c r="D2105" s="8" t="s">
        <v>1748</v>
      </c>
      <c r="E2105" s="8" t="s">
        <v>1743</v>
      </c>
      <c r="F2105" s="8" t="s">
        <v>1439</v>
      </c>
      <c r="G2105" s="8" t="s">
        <v>463</v>
      </c>
      <c r="H2105" s="8"/>
      <c r="I2105" s="14" t="s">
        <v>1642</v>
      </c>
      <c r="J2105" s="6"/>
      <c r="K2105" s="8" t="s">
        <v>1696</v>
      </c>
      <c r="L2105" s="8"/>
      <c r="M2105" s="6" t="s">
        <v>1643</v>
      </c>
      <c r="N2105" s="6" t="s">
        <v>1624</v>
      </c>
      <c r="O2105" s="7">
        <f>SUMIFS('05_상품별배치367'!$K$7:$K$373,'05_상품별배치367'!$E$7:$E$373,A2105,'05_상품별배치367'!$H$7:$H$373,"본진")</f>
        <v>0</v>
      </c>
      <c r="P2105" s="7">
        <f>SUMIFS('05_상품별배치367'!$K$7:$K$373,'05_상품별배치367'!$E$7:$E$373,A2105,'05_상품별배치367'!$H$7:$H$373,"추가 진열")</f>
        <v>0</v>
      </c>
      <c r="Q2105" s="7">
        <f>O2105+P2105</f>
        <v>0</v>
      </c>
      <c r="R2105" s="7">
        <v>1</v>
      </c>
      <c r="S2105" s="6" t="s">
        <v>1744</v>
      </c>
      <c r="T2105" s="6" t="s">
        <v>1637</v>
      </c>
      <c r="U2105" s="6"/>
      <c r="V2105" s="16"/>
      <c r="W2105" s="16"/>
      <c r="X2105" s="16"/>
      <c r="Y2105" s="6" t="s">
        <v>1627</v>
      </c>
      <c r="Z2105" s="15"/>
      <c r="AA2105" s="15" t="s">
        <v>1628</v>
      </c>
    </row>
    <row r="2106" spans="1:27" ht="33" customHeight="1">
      <c r="A2106" s="6" t="s">
        <v>1740</v>
      </c>
      <c r="B2106" s="7">
        <v>35</v>
      </c>
      <c r="C2106" s="6" t="s">
        <v>1741</v>
      </c>
      <c r="D2106" s="6" t="s">
        <v>1742</v>
      </c>
      <c r="E2106" s="6" t="s">
        <v>1743</v>
      </c>
      <c r="F2106" s="6" t="s">
        <v>1439</v>
      </c>
      <c r="G2106" s="6" t="s">
        <v>463</v>
      </c>
      <c r="H2106" s="6"/>
      <c r="I2106" s="14" t="s">
        <v>1642</v>
      </c>
      <c r="J2106" s="6"/>
      <c r="K2106" s="6" t="s">
        <v>1696</v>
      </c>
      <c r="L2106" s="6"/>
      <c r="M2106" s="6" t="s">
        <v>1643</v>
      </c>
      <c r="N2106" s="6" t="s">
        <v>1624</v>
      </c>
      <c r="O2106" s="7">
        <f>SUMIFS('05_상품별배치367'!$K$7:$K$373,'05_상품별배치367'!$E$7:$E$373,A2106,'05_상품별배치367'!$H$7:$H$373,"본진")</f>
        <v>0</v>
      </c>
      <c r="P2106" s="7">
        <f>SUMIFS('05_상품별배치367'!$K$7:$K$373,'05_상품별배치367'!$E$7:$E$373,A2106,'05_상품별배치367'!$H$7:$H$373,"추가 진열")</f>
        <v>0</v>
      </c>
      <c r="Q2106" s="7">
        <f>O2106+P2106</f>
        <v>0</v>
      </c>
      <c r="R2106" s="7">
        <v>1</v>
      </c>
      <c r="S2106" s="6" t="s">
        <v>1744</v>
      </c>
      <c r="T2106" s="6" t="s">
        <v>1637</v>
      </c>
      <c r="U2106" s="6"/>
      <c r="V2106" s="16"/>
      <c r="W2106" s="16"/>
      <c r="X2106" s="16"/>
      <c r="Y2106" s="6" t="s">
        <v>1627</v>
      </c>
      <c r="Z2106" s="15"/>
      <c r="AA2106" s="15" t="s">
        <v>1628</v>
      </c>
    </row>
    <row r="2107" spans="1:27" ht="33" customHeight="1">
      <c r="A2107" s="8" t="s">
        <v>1745</v>
      </c>
      <c r="B2107" s="9">
        <v>36</v>
      </c>
      <c r="C2107" s="8" t="s">
        <v>1741</v>
      </c>
      <c r="D2107" s="8" t="s">
        <v>1746</v>
      </c>
      <c r="E2107" s="8" t="s">
        <v>1743</v>
      </c>
      <c r="F2107" s="8" t="s">
        <v>1439</v>
      </c>
      <c r="G2107" s="8" t="s">
        <v>463</v>
      </c>
      <c r="H2107" s="8"/>
      <c r="I2107" s="14" t="s">
        <v>1642</v>
      </c>
      <c r="J2107" s="6"/>
      <c r="K2107" s="8" t="s">
        <v>1696</v>
      </c>
      <c r="L2107" s="8"/>
      <c r="M2107" s="6" t="s">
        <v>1643</v>
      </c>
      <c r="N2107" s="6" t="s">
        <v>1624</v>
      </c>
      <c r="O2107" s="7">
        <f>SUMIFS('05_상품별배치367'!$K$7:$K$373,'05_상품별배치367'!$E$7:$E$373,A2107,'05_상품별배치367'!$H$7:$H$373,"본진")</f>
        <v>0</v>
      </c>
      <c r="P2107" s="7">
        <f>SUMIFS('05_상품별배치367'!$K$7:$K$373,'05_상품별배치367'!$E$7:$E$373,A2107,'05_상품별배치367'!$H$7:$H$373,"추가 진열")</f>
        <v>0</v>
      </c>
      <c r="Q2107" s="7">
        <f>O2107+P2107</f>
        <v>0</v>
      </c>
      <c r="R2107" s="7">
        <v>1</v>
      </c>
      <c r="S2107" s="6" t="s">
        <v>1744</v>
      </c>
      <c r="T2107" s="6" t="s">
        <v>1637</v>
      </c>
      <c r="U2107" s="6"/>
      <c r="V2107" s="16"/>
      <c r="W2107" s="16"/>
      <c r="X2107" s="16"/>
      <c r="Y2107" s="6" t="s">
        <v>1627</v>
      </c>
      <c r="Z2107" s="15"/>
      <c r="AA2107" s="15" t="s">
        <v>1628</v>
      </c>
    </row>
    <row r="2108" spans="1:27" ht="33" customHeight="1">
      <c r="A2108" s="6" t="s">
        <v>1747</v>
      </c>
      <c r="B2108" s="7">
        <v>37</v>
      </c>
      <c r="C2108" s="6" t="s">
        <v>1741</v>
      </c>
      <c r="D2108" s="6" t="s">
        <v>1748</v>
      </c>
      <c r="E2108" s="6" t="s">
        <v>1743</v>
      </c>
      <c r="F2108" s="6" t="s">
        <v>1439</v>
      </c>
      <c r="G2108" s="6" t="s">
        <v>463</v>
      </c>
      <c r="H2108" s="6"/>
      <c r="I2108" s="14" t="s">
        <v>1642</v>
      </c>
      <c r="J2108" s="6"/>
      <c r="K2108" s="6" t="s">
        <v>1696</v>
      </c>
      <c r="L2108" s="6"/>
      <c r="M2108" s="6" t="s">
        <v>1643</v>
      </c>
      <c r="N2108" s="6" t="s">
        <v>1624</v>
      </c>
      <c r="O2108" s="7">
        <f>SUMIFS('05_상품별배치367'!$K$7:$K$373,'05_상품별배치367'!$E$7:$E$373,A2108,'05_상품별배치367'!$H$7:$H$373,"본진")</f>
        <v>0</v>
      </c>
      <c r="P2108" s="7">
        <f>SUMIFS('05_상품별배치367'!$K$7:$K$373,'05_상품별배치367'!$E$7:$E$373,A2108,'05_상품별배치367'!$H$7:$H$373,"추가 진열")</f>
        <v>0</v>
      </c>
      <c r="Q2108" s="7">
        <f>O2108+P2108</f>
        <v>0</v>
      </c>
      <c r="R2108" s="7">
        <v>1</v>
      </c>
      <c r="S2108" s="6" t="s">
        <v>1744</v>
      </c>
      <c r="T2108" s="6" t="s">
        <v>1637</v>
      </c>
      <c r="U2108" s="6"/>
      <c r="V2108" s="16"/>
      <c r="W2108" s="16"/>
      <c r="X2108" s="16"/>
      <c r="Y2108" s="6" t="s">
        <v>1627</v>
      </c>
      <c r="Z2108" s="15"/>
      <c r="AA2108" s="15" t="s">
        <v>1628</v>
      </c>
    </row>
    <row r="2109" spans="1:27" ht="33" customHeight="1">
      <c r="A2109" s="8" t="s">
        <v>1757</v>
      </c>
      <c r="B2109" s="9">
        <v>44</v>
      </c>
      <c r="C2109" s="8" t="s">
        <v>1758</v>
      </c>
      <c r="D2109" s="8" t="s">
        <v>1742</v>
      </c>
      <c r="E2109" s="8" t="s">
        <v>1743</v>
      </c>
      <c r="F2109" s="8" t="s">
        <v>1439</v>
      </c>
      <c r="G2109" s="8" t="s">
        <v>463</v>
      </c>
      <c r="H2109" s="8"/>
      <c r="I2109" s="14" t="s">
        <v>1642</v>
      </c>
      <c r="J2109" s="6"/>
      <c r="K2109" s="8" t="s">
        <v>1696</v>
      </c>
      <c r="L2109" s="8"/>
      <c r="M2109" s="6" t="s">
        <v>1643</v>
      </c>
      <c r="N2109" s="6" t="s">
        <v>1624</v>
      </c>
      <c r="O2109" s="7">
        <f>SUMIFS('05_상품별배치367'!$K$7:$K$373,'05_상품별배치367'!$E$7:$E$373,A2109,'05_상품별배치367'!$H$7:$H$373,"본진")</f>
        <v>0</v>
      </c>
      <c r="P2109" s="7">
        <f>SUMIFS('05_상품별배치367'!$K$7:$K$373,'05_상품별배치367'!$E$7:$E$373,A2109,'05_상품별배치367'!$H$7:$H$373,"추가 진열")</f>
        <v>0</v>
      </c>
      <c r="Q2109" s="7">
        <f>O2109+P2109</f>
        <v>0</v>
      </c>
      <c r="R2109" s="7">
        <v>1</v>
      </c>
      <c r="S2109" s="6" t="s">
        <v>1744</v>
      </c>
      <c r="T2109" s="6" t="s">
        <v>1637</v>
      </c>
      <c r="U2109" s="6"/>
      <c r="V2109" s="16"/>
      <c r="W2109" s="16"/>
      <c r="X2109" s="16"/>
      <c r="Y2109" s="6" t="s">
        <v>1627</v>
      </c>
      <c r="Z2109" s="15"/>
      <c r="AA2109" s="15" t="s">
        <v>1628</v>
      </c>
    </row>
    <row r="2110" spans="1:27" ht="33" customHeight="1">
      <c r="A2110" s="6" t="s">
        <v>1759</v>
      </c>
      <c r="B2110" s="7">
        <v>45</v>
      </c>
      <c r="C2110" s="6" t="s">
        <v>1758</v>
      </c>
      <c r="D2110" s="6" t="s">
        <v>1746</v>
      </c>
      <c r="E2110" s="6" t="s">
        <v>1743</v>
      </c>
      <c r="F2110" s="6" t="s">
        <v>1439</v>
      </c>
      <c r="G2110" s="6" t="s">
        <v>463</v>
      </c>
      <c r="H2110" s="6"/>
      <c r="I2110" s="14" t="s">
        <v>1642</v>
      </c>
      <c r="J2110" s="6"/>
      <c r="K2110" s="6" t="s">
        <v>1696</v>
      </c>
      <c r="L2110" s="6"/>
      <c r="M2110" s="6" t="s">
        <v>1643</v>
      </c>
      <c r="N2110" s="6" t="s">
        <v>1624</v>
      </c>
      <c r="O2110" s="7">
        <f>SUMIFS('05_상품별배치367'!$K$7:$K$373,'05_상품별배치367'!$E$7:$E$373,A2110,'05_상품별배치367'!$H$7:$H$373,"본진")</f>
        <v>0</v>
      </c>
      <c r="P2110" s="7">
        <f>SUMIFS('05_상품별배치367'!$K$7:$K$373,'05_상품별배치367'!$E$7:$E$373,A2110,'05_상품별배치367'!$H$7:$H$373,"추가 진열")</f>
        <v>0</v>
      </c>
      <c r="Q2110" s="7">
        <f>O2110+P2110</f>
        <v>0</v>
      </c>
      <c r="R2110" s="7">
        <v>1</v>
      </c>
      <c r="S2110" s="6" t="s">
        <v>1744</v>
      </c>
      <c r="T2110" s="6" t="s">
        <v>1637</v>
      </c>
      <c r="U2110" s="6"/>
      <c r="V2110" s="16"/>
      <c r="W2110" s="16"/>
      <c r="X2110" s="16"/>
      <c r="Y2110" s="6" t="s">
        <v>1627</v>
      </c>
      <c r="Z2110" s="15"/>
      <c r="AA2110" s="15" t="s">
        <v>1628</v>
      </c>
    </row>
    <row r="2111" spans="1:27" ht="33" customHeight="1">
      <c r="A2111" s="8" t="s">
        <v>1760</v>
      </c>
      <c r="B2111" s="9">
        <v>46</v>
      </c>
      <c r="C2111" s="8" t="s">
        <v>1758</v>
      </c>
      <c r="D2111" s="8" t="s">
        <v>1748</v>
      </c>
      <c r="E2111" s="8" t="s">
        <v>1743</v>
      </c>
      <c r="F2111" s="8" t="s">
        <v>1439</v>
      </c>
      <c r="G2111" s="8" t="s">
        <v>463</v>
      </c>
      <c r="H2111" s="8"/>
      <c r="I2111" s="14" t="s">
        <v>1642</v>
      </c>
      <c r="J2111" s="6"/>
      <c r="K2111" s="8" t="s">
        <v>1696</v>
      </c>
      <c r="L2111" s="8"/>
      <c r="M2111" s="6" t="s">
        <v>1643</v>
      </c>
      <c r="N2111" s="6" t="s">
        <v>1624</v>
      </c>
      <c r="O2111" s="7">
        <f>SUMIFS('05_상품별배치367'!$K$7:$K$373,'05_상품별배치367'!$E$7:$E$373,A2111,'05_상품별배치367'!$H$7:$H$373,"본진")</f>
        <v>0</v>
      </c>
      <c r="P2111" s="7">
        <f>SUMIFS('05_상품별배치367'!$K$7:$K$373,'05_상품별배치367'!$E$7:$E$373,A2111,'05_상품별배치367'!$H$7:$H$373,"추가 진열")</f>
        <v>0</v>
      </c>
      <c r="Q2111" s="7">
        <f>O2111+P2111</f>
        <v>0</v>
      </c>
      <c r="R2111" s="7">
        <v>1</v>
      </c>
      <c r="S2111" s="6" t="s">
        <v>1744</v>
      </c>
      <c r="T2111" s="6" t="s">
        <v>1637</v>
      </c>
      <c r="U2111" s="6"/>
      <c r="V2111" s="16"/>
      <c r="W2111" s="16"/>
      <c r="X2111" s="16"/>
      <c r="Y2111" s="6" t="s">
        <v>1627</v>
      </c>
      <c r="Z2111" s="15"/>
      <c r="AA2111" s="15" t="s">
        <v>1628</v>
      </c>
    </row>
    <row r="2112" spans="1:27" ht="33" customHeight="1">
      <c r="A2112" s="8" t="s">
        <v>1953</v>
      </c>
      <c r="B2112" s="9">
        <v>118</v>
      </c>
      <c r="C2112" s="8" t="s">
        <v>1954</v>
      </c>
      <c r="D2112" s="8" t="s">
        <v>1948</v>
      </c>
      <c r="E2112" s="8" t="s">
        <v>1666</v>
      </c>
      <c r="F2112" s="8" t="s">
        <v>1880</v>
      </c>
      <c r="G2112" s="8" t="s">
        <v>1668</v>
      </c>
      <c r="H2112" s="8"/>
      <c r="I2112" s="14" t="s">
        <v>1642</v>
      </c>
      <c r="J2112" s="15"/>
      <c r="K2112" s="8" t="s">
        <v>1670</v>
      </c>
      <c r="L2112" s="8"/>
      <c r="M2112" s="6" t="s">
        <v>1643</v>
      </c>
      <c r="N2112" s="6" t="s">
        <v>1624</v>
      </c>
      <c r="O2112" s="7">
        <f>SUMIFS('05_상품별배치367'!$K$7:$K$373,'05_상품별배치367'!$E$7:$E$373,A2112,'05_상품별배치367'!$H$7:$H$373,"본진")</f>
        <v>0</v>
      </c>
      <c r="P2112" s="7">
        <f>SUMIFS('05_상품별배치367'!$K$7:$K$373,'05_상품별배치367'!$E$7:$E$373,A2112,'05_상품별배치367'!$H$7:$H$373,"추가 진열")</f>
        <v>0</v>
      </c>
      <c r="Q2112" s="7">
        <f>O2112+P2112</f>
        <v>0</v>
      </c>
      <c r="R2112" s="7">
        <v>1</v>
      </c>
      <c r="S2112" s="6" t="s">
        <v>1881</v>
      </c>
      <c r="T2112" s="6" t="s">
        <v>1637</v>
      </c>
      <c r="U2112" s="6"/>
      <c r="V2112" s="16"/>
      <c r="W2112" s="16"/>
      <c r="X2112" s="16"/>
      <c r="Y2112" s="6" t="s">
        <v>1627</v>
      </c>
      <c r="Z2112" s="15"/>
      <c r="AA2112" s="15" t="s">
        <v>1628</v>
      </c>
    </row>
    <row r="2113" spans="1:27" ht="33" customHeight="1">
      <c r="A2113" s="8" t="s">
        <v>1949</v>
      </c>
      <c r="B2113" s="9">
        <v>116</v>
      </c>
      <c r="C2113" s="8" t="s">
        <v>1950</v>
      </c>
      <c r="D2113" s="8" t="s">
        <v>1948</v>
      </c>
      <c r="E2113" s="8" t="s">
        <v>1666</v>
      </c>
      <c r="F2113" s="8" t="s">
        <v>1880</v>
      </c>
      <c r="G2113" s="8" t="s">
        <v>1668</v>
      </c>
      <c r="H2113" s="8"/>
      <c r="I2113" s="14" t="s">
        <v>1642</v>
      </c>
      <c r="J2113" s="15"/>
      <c r="K2113" s="8" t="s">
        <v>1670</v>
      </c>
      <c r="L2113" s="8"/>
      <c r="M2113" s="6" t="s">
        <v>1643</v>
      </c>
      <c r="N2113" s="6" t="s">
        <v>1644</v>
      </c>
      <c r="O2113" s="7">
        <f>SUMIFS('05_상품별배치367'!$K$7:$K$373,'05_상품별배치367'!$E$7:$E$373,A2113,'05_상품별배치367'!$H$7:$H$373,"본진")</f>
        <v>0</v>
      </c>
      <c r="P2113" s="7">
        <f>SUMIFS('05_상품별배치367'!$K$7:$K$373,'05_상품별배치367'!$E$7:$E$373,A2113,'05_상품별배치367'!$H$7:$H$373,"추가 진열")</f>
        <v>0</v>
      </c>
      <c r="Q2113" s="7">
        <f>O2113+P2113</f>
        <v>0</v>
      </c>
      <c r="R2113" s="7">
        <v>1</v>
      </c>
      <c r="S2113" s="6" t="s">
        <v>1881</v>
      </c>
      <c r="T2113" s="6" t="s">
        <v>1637</v>
      </c>
      <c r="U2113" s="6"/>
      <c r="V2113" s="16"/>
      <c r="W2113" s="16"/>
      <c r="X2113" s="16"/>
      <c r="Y2113" s="6" t="s">
        <v>1627</v>
      </c>
      <c r="Z2113" s="15"/>
      <c r="AA2113" s="15" t="s">
        <v>1628</v>
      </c>
    </row>
    <row r="2114" spans="1:27" ht="33" customHeight="1">
      <c r="A2114" s="6" t="s">
        <v>1946</v>
      </c>
      <c r="B2114" s="7">
        <v>115</v>
      </c>
      <c r="C2114" s="6" t="s">
        <v>1947</v>
      </c>
      <c r="D2114" s="6" t="s">
        <v>1948</v>
      </c>
      <c r="E2114" s="6" t="s">
        <v>1666</v>
      </c>
      <c r="F2114" s="6" t="s">
        <v>1880</v>
      </c>
      <c r="G2114" s="6" t="s">
        <v>1668</v>
      </c>
      <c r="H2114" s="6"/>
      <c r="I2114" s="14" t="s">
        <v>1642</v>
      </c>
      <c r="J2114" s="15"/>
      <c r="K2114" s="6" t="s">
        <v>1670</v>
      </c>
      <c r="L2114" s="6"/>
      <c r="M2114" s="6" t="s">
        <v>1643</v>
      </c>
      <c r="N2114" s="6" t="s">
        <v>1644</v>
      </c>
      <c r="O2114" s="7">
        <f>SUMIFS('05_상품별배치367'!$K$7:$K$373,'05_상품별배치367'!$E$7:$E$373,A2114,'05_상품별배치367'!$H$7:$H$373,"본진")</f>
        <v>0</v>
      </c>
      <c r="P2114" s="7">
        <f>SUMIFS('05_상품별배치367'!$K$7:$K$373,'05_상품별배치367'!$E$7:$E$373,A2114,'05_상품별배치367'!$H$7:$H$373,"추가 진열")</f>
        <v>0</v>
      </c>
      <c r="Q2114" s="7">
        <f>O2114+P2114</f>
        <v>0</v>
      </c>
      <c r="R2114" s="7">
        <v>1</v>
      </c>
      <c r="S2114" s="6" t="s">
        <v>1881</v>
      </c>
      <c r="T2114" s="6" t="s">
        <v>1637</v>
      </c>
      <c r="U2114" s="6"/>
      <c r="V2114" s="16"/>
      <c r="W2114" s="16"/>
      <c r="X2114" s="16"/>
      <c r="Y2114" s="6" t="s">
        <v>1627</v>
      </c>
      <c r="Z2114" s="15"/>
      <c r="AA2114" s="15" t="s">
        <v>1628</v>
      </c>
    </row>
    <row r="2115" spans="1:27" ht="33" customHeight="1">
      <c r="A2115" s="6" t="s">
        <v>1951</v>
      </c>
      <c r="B2115" s="7">
        <v>117</v>
      </c>
      <c r="C2115" s="6" t="s">
        <v>1952</v>
      </c>
      <c r="D2115" s="6" t="s">
        <v>1948</v>
      </c>
      <c r="E2115" s="6" t="s">
        <v>1666</v>
      </c>
      <c r="F2115" s="6" t="s">
        <v>1880</v>
      </c>
      <c r="G2115" s="6" t="s">
        <v>1668</v>
      </c>
      <c r="H2115" s="6"/>
      <c r="I2115" s="14" t="s">
        <v>1642</v>
      </c>
      <c r="J2115" s="15"/>
      <c r="K2115" s="6" t="s">
        <v>1670</v>
      </c>
      <c r="L2115" s="6"/>
      <c r="M2115" s="6" t="s">
        <v>1643</v>
      </c>
      <c r="N2115" s="6" t="s">
        <v>1644</v>
      </c>
      <c r="O2115" s="7">
        <f>SUMIFS('05_상품별배치367'!$K$7:$K$373,'05_상품별배치367'!$E$7:$E$373,A2115,'05_상품별배치367'!$H$7:$H$373,"본진")</f>
        <v>0</v>
      </c>
      <c r="P2115" s="7">
        <f>SUMIFS('05_상품별배치367'!$K$7:$K$373,'05_상품별배치367'!$E$7:$E$373,A2115,'05_상품별배치367'!$H$7:$H$373,"추가 진열")</f>
        <v>0</v>
      </c>
      <c r="Q2115" s="7">
        <f>O2115+P2115</f>
        <v>0</v>
      </c>
      <c r="R2115" s="7">
        <v>1</v>
      </c>
      <c r="S2115" s="6" t="s">
        <v>1881</v>
      </c>
      <c r="T2115" s="6" t="s">
        <v>1637</v>
      </c>
      <c r="U2115" s="6"/>
      <c r="V2115" s="16"/>
      <c r="W2115" s="16"/>
      <c r="X2115" s="16"/>
      <c r="Y2115" s="6" t="s">
        <v>1627</v>
      </c>
      <c r="Z2115" s="15"/>
      <c r="AA2115" s="15" t="s">
        <v>1628</v>
      </c>
    </row>
    <row r="2116" spans="1:27" ht="33" customHeight="1">
      <c r="A2116" s="8" t="s">
        <v>1962</v>
      </c>
      <c r="B2116" s="9">
        <v>122</v>
      </c>
      <c r="C2116" s="8" t="s">
        <v>1963</v>
      </c>
      <c r="D2116" s="8" t="s">
        <v>1964</v>
      </c>
      <c r="E2116" s="8" t="s">
        <v>1666</v>
      </c>
      <c r="F2116" s="8" t="s">
        <v>1880</v>
      </c>
      <c r="G2116" s="8" t="s">
        <v>1668</v>
      </c>
      <c r="H2116" s="8"/>
      <c r="I2116" s="14" t="s">
        <v>1642</v>
      </c>
      <c r="J2116" s="15"/>
      <c r="K2116" s="8" t="s">
        <v>1670</v>
      </c>
      <c r="L2116" s="8"/>
      <c r="M2116" s="6" t="s">
        <v>1643</v>
      </c>
      <c r="N2116" s="6" t="s">
        <v>1624</v>
      </c>
      <c r="O2116" s="7">
        <f>SUMIFS('05_상품별배치367'!$K$7:$K$373,'05_상품별배치367'!$E$7:$E$373,A2116,'05_상품별배치367'!$H$7:$H$373,"본진")</f>
        <v>0</v>
      </c>
      <c r="P2116" s="7">
        <f>SUMIFS('05_상품별배치367'!$K$7:$K$373,'05_상품별배치367'!$E$7:$E$373,A2116,'05_상품별배치367'!$H$7:$H$373,"추가 진열")</f>
        <v>0</v>
      </c>
      <c r="Q2116" s="7">
        <f>O2116+P2116</f>
        <v>0</v>
      </c>
      <c r="R2116" s="7">
        <v>1</v>
      </c>
      <c r="S2116" s="6" t="s">
        <v>1881</v>
      </c>
      <c r="T2116" s="6" t="s">
        <v>1637</v>
      </c>
      <c r="U2116" s="6"/>
      <c r="V2116" s="16"/>
      <c r="W2116" s="16"/>
      <c r="X2116" s="16"/>
      <c r="Y2116" s="6" t="s">
        <v>1627</v>
      </c>
      <c r="Z2116" s="15"/>
      <c r="AA2116" s="15" t="s">
        <v>1628</v>
      </c>
    </row>
    <row r="2117" spans="1:27" ht="33" customHeight="1">
      <c r="A2117" s="8" t="s">
        <v>6583</v>
      </c>
      <c r="B2117" s="9">
        <v>2206</v>
      </c>
      <c r="C2117" s="8" t="s">
        <v>6584</v>
      </c>
      <c r="D2117" s="8" t="s">
        <v>6585</v>
      </c>
      <c r="E2117" s="8" t="s">
        <v>1666</v>
      </c>
      <c r="F2117" s="8" t="s">
        <v>1880</v>
      </c>
      <c r="G2117" s="8" t="s">
        <v>1668</v>
      </c>
      <c r="H2117" s="8"/>
      <c r="I2117" s="14" t="s">
        <v>1642</v>
      </c>
      <c r="J2117" s="15"/>
      <c r="K2117" s="8" t="s">
        <v>1670</v>
      </c>
      <c r="L2117" s="8"/>
      <c r="M2117" s="6" t="s">
        <v>1643</v>
      </c>
      <c r="N2117" s="6" t="s">
        <v>1644</v>
      </c>
      <c r="O2117" s="7">
        <f>SUMIFS('05_상품별배치367'!$K$7:$K$373,'05_상품별배치367'!$E$7:$E$373,A2117,'05_상품별배치367'!$H$7:$H$373,"본진")</f>
        <v>0</v>
      </c>
      <c r="P2117" s="7">
        <f>SUMIFS('05_상품별배치367'!$K$7:$K$373,'05_상품별배치367'!$E$7:$E$373,A2117,'05_상품별배치367'!$H$7:$H$373,"추가 진열")</f>
        <v>0</v>
      </c>
      <c r="Q2117" s="7">
        <f>O2117+P2117</f>
        <v>0</v>
      </c>
      <c r="R2117" s="7">
        <v>1</v>
      </c>
      <c r="S2117" s="6" t="s">
        <v>1881</v>
      </c>
      <c r="T2117" s="6" t="s">
        <v>1637</v>
      </c>
      <c r="U2117" s="6"/>
      <c r="V2117" s="16"/>
      <c r="W2117" s="16"/>
      <c r="X2117" s="16"/>
      <c r="Y2117" s="6" t="s">
        <v>1655</v>
      </c>
      <c r="Z2117" s="15"/>
      <c r="AA2117" s="15" t="s">
        <v>1628</v>
      </c>
    </row>
    <row r="2118" spans="1:27" ht="33" customHeight="1">
      <c r="A2118" s="6" t="s">
        <v>5305</v>
      </c>
      <c r="B2118" s="7">
        <v>1623</v>
      </c>
      <c r="C2118" s="6" t="s">
        <v>5306</v>
      </c>
      <c r="D2118" s="6" t="s">
        <v>2856</v>
      </c>
      <c r="E2118" s="6" t="s">
        <v>2134</v>
      </c>
      <c r="F2118" s="6" t="s">
        <v>575</v>
      </c>
      <c r="G2118" s="6" t="s">
        <v>38</v>
      </c>
      <c r="H2118" s="6"/>
      <c r="I2118" s="14" t="s">
        <v>1642</v>
      </c>
      <c r="J2118" s="15"/>
      <c r="K2118" s="6" t="s">
        <v>1976</v>
      </c>
      <c r="L2118" s="6"/>
      <c r="M2118" s="6" t="s">
        <v>1643</v>
      </c>
      <c r="N2118" s="6" t="s">
        <v>1644</v>
      </c>
      <c r="O2118" s="7">
        <f>SUMIFS('05_상품별배치367'!$K$7:$K$373,'05_상품별배치367'!$E$7:$E$373,A2118,'05_상품별배치367'!$H$7:$H$373,"본진")</f>
        <v>0</v>
      </c>
      <c r="P2118" s="7">
        <f>SUMIFS('05_상품별배치367'!$K$7:$K$373,'05_상품별배치367'!$E$7:$E$373,A2118,'05_상품별배치367'!$H$7:$H$373,"추가 진열")</f>
        <v>0</v>
      </c>
      <c r="Q2118" s="7">
        <f>O2118+P2118</f>
        <v>0</v>
      </c>
      <c r="R2118" s="7">
        <v>1</v>
      </c>
      <c r="S2118" s="6" t="s">
        <v>3615</v>
      </c>
      <c r="T2118" s="6" t="s">
        <v>1637</v>
      </c>
      <c r="U2118" s="6"/>
      <c r="V2118" s="16"/>
      <c r="W2118" s="16"/>
      <c r="X2118" s="16"/>
      <c r="Y2118" s="6" t="s">
        <v>1627</v>
      </c>
      <c r="Z2118" s="15"/>
      <c r="AA2118" s="15" t="s">
        <v>1628</v>
      </c>
    </row>
    <row r="2119" spans="1:27" ht="33" customHeight="1">
      <c r="A2119" s="8" t="s">
        <v>5299</v>
      </c>
      <c r="B2119" s="9">
        <v>1620</v>
      </c>
      <c r="C2119" s="8" t="s">
        <v>5300</v>
      </c>
      <c r="D2119" s="8" t="s">
        <v>1851</v>
      </c>
      <c r="E2119" s="8" t="s">
        <v>2134</v>
      </c>
      <c r="F2119" s="8" t="s">
        <v>575</v>
      </c>
      <c r="G2119" s="8" t="s">
        <v>38</v>
      </c>
      <c r="H2119" s="8"/>
      <c r="I2119" s="14" t="s">
        <v>1642</v>
      </c>
      <c r="J2119" s="15"/>
      <c r="K2119" s="8" t="s">
        <v>1976</v>
      </c>
      <c r="L2119" s="8"/>
      <c r="M2119" s="6" t="s">
        <v>1643</v>
      </c>
      <c r="N2119" s="6" t="s">
        <v>1644</v>
      </c>
      <c r="O2119" s="7">
        <f>SUMIFS('05_상품별배치367'!$K$7:$K$373,'05_상품별배치367'!$E$7:$E$373,A2119,'05_상품별배치367'!$H$7:$H$373,"본진")</f>
        <v>0</v>
      </c>
      <c r="P2119" s="7">
        <f>SUMIFS('05_상품별배치367'!$K$7:$K$373,'05_상품별배치367'!$E$7:$E$373,A2119,'05_상품별배치367'!$H$7:$H$373,"추가 진열")</f>
        <v>0</v>
      </c>
      <c r="Q2119" s="7">
        <f>O2119+P2119</f>
        <v>0</v>
      </c>
      <c r="R2119" s="7">
        <v>1</v>
      </c>
      <c r="S2119" s="6" t="s">
        <v>3615</v>
      </c>
      <c r="T2119" s="6" t="s">
        <v>1637</v>
      </c>
      <c r="U2119" s="6"/>
      <c r="V2119" s="16"/>
      <c r="W2119" s="16"/>
      <c r="X2119" s="16"/>
      <c r="Y2119" s="6" t="s">
        <v>1627</v>
      </c>
      <c r="Z2119" s="15"/>
      <c r="AA2119" s="15" t="s">
        <v>1628</v>
      </c>
    </row>
    <row r="2120" spans="1:27" ht="33" customHeight="1">
      <c r="A2120" s="8" t="s">
        <v>5287</v>
      </c>
      <c r="B2120" s="9">
        <v>1614</v>
      </c>
      <c r="C2120" s="8" t="s">
        <v>5288</v>
      </c>
      <c r="D2120" s="8" t="s">
        <v>2856</v>
      </c>
      <c r="E2120" s="8" t="s">
        <v>2134</v>
      </c>
      <c r="F2120" s="8" t="s">
        <v>575</v>
      </c>
      <c r="G2120" s="8" t="s">
        <v>38</v>
      </c>
      <c r="H2120" s="8"/>
      <c r="I2120" s="14" t="s">
        <v>1642</v>
      </c>
      <c r="J2120" s="15"/>
      <c r="K2120" s="8" t="s">
        <v>1976</v>
      </c>
      <c r="L2120" s="8"/>
      <c r="M2120" s="6" t="s">
        <v>1643</v>
      </c>
      <c r="N2120" s="6" t="s">
        <v>1644</v>
      </c>
      <c r="O2120" s="7">
        <f>SUMIFS('05_상품별배치367'!$K$7:$K$373,'05_상품별배치367'!$E$7:$E$373,A2120,'05_상품별배치367'!$H$7:$H$373,"본진")</f>
        <v>0</v>
      </c>
      <c r="P2120" s="7">
        <f>SUMIFS('05_상품별배치367'!$K$7:$K$373,'05_상품별배치367'!$E$7:$E$373,A2120,'05_상품별배치367'!$H$7:$H$373,"추가 진열")</f>
        <v>0</v>
      </c>
      <c r="Q2120" s="7">
        <f>O2120+P2120</f>
        <v>0</v>
      </c>
      <c r="R2120" s="7">
        <v>1</v>
      </c>
      <c r="S2120" s="6" t="s">
        <v>3615</v>
      </c>
      <c r="T2120" s="6" t="s">
        <v>1637</v>
      </c>
      <c r="U2120" s="6"/>
      <c r="V2120" s="16"/>
      <c r="W2120" s="16"/>
      <c r="X2120" s="16"/>
      <c r="Y2120" s="6" t="s">
        <v>1627</v>
      </c>
      <c r="Z2120" s="15"/>
      <c r="AA2120" s="15" t="s">
        <v>1628</v>
      </c>
    </row>
    <row r="2121" spans="1:27" ht="33" customHeight="1">
      <c r="A2121" s="6" t="s">
        <v>5309</v>
      </c>
      <c r="B2121" s="7">
        <v>1625</v>
      </c>
      <c r="C2121" s="6" t="s">
        <v>5310</v>
      </c>
      <c r="D2121" s="6" t="s">
        <v>1662</v>
      </c>
      <c r="E2121" s="6" t="s">
        <v>2134</v>
      </c>
      <c r="F2121" s="6" t="s">
        <v>575</v>
      </c>
      <c r="G2121" s="6" t="s">
        <v>38</v>
      </c>
      <c r="H2121" s="6"/>
      <c r="I2121" s="14" t="s">
        <v>1642</v>
      </c>
      <c r="J2121" s="15"/>
      <c r="K2121" s="6" t="s">
        <v>1976</v>
      </c>
      <c r="L2121" s="6"/>
      <c r="M2121" s="6" t="s">
        <v>1643</v>
      </c>
      <c r="N2121" s="6" t="s">
        <v>1644</v>
      </c>
      <c r="O2121" s="7">
        <f>SUMIFS('05_상품별배치367'!$K$7:$K$373,'05_상품별배치367'!$E$7:$E$373,A2121,'05_상품별배치367'!$H$7:$H$373,"본진")</f>
        <v>0</v>
      </c>
      <c r="P2121" s="7">
        <f>SUMIFS('05_상품별배치367'!$K$7:$K$373,'05_상품별배치367'!$E$7:$E$373,A2121,'05_상품별배치367'!$H$7:$H$373,"추가 진열")</f>
        <v>0</v>
      </c>
      <c r="Q2121" s="7">
        <f>O2121+P2121</f>
        <v>0</v>
      </c>
      <c r="R2121" s="7">
        <v>1</v>
      </c>
      <c r="S2121" s="6" t="s">
        <v>3615</v>
      </c>
      <c r="T2121" s="6" t="s">
        <v>1637</v>
      </c>
      <c r="U2121" s="6"/>
      <c r="V2121" s="16"/>
      <c r="W2121" s="16"/>
      <c r="X2121" s="16"/>
      <c r="Y2121" s="6" t="s">
        <v>1627</v>
      </c>
      <c r="Z2121" s="15"/>
      <c r="AA2121" s="15" t="s">
        <v>1628</v>
      </c>
    </row>
    <row r="2122" spans="1:27" ht="33" customHeight="1">
      <c r="A2122" s="8" t="s">
        <v>5315</v>
      </c>
      <c r="B2122" s="9">
        <v>1628</v>
      </c>
      <c r="C2122" s="8" t="s">
        <v>5316</v>
      </c>
      <c r="D2122" s="8" t="s">
        <v>1662</v>
      </c>
      <c r="E2122" s="8" t="s">
        <v>2134</v>
      </c>
      <c r="F2122" s="8" t="s">
        <v>156</v>
      </c>
      <c r="G2122" s="8" t="s">
        <v>3239</v>
      </c>
      <c r="H2122" s="8"/>
      <c r="I2122" s="14" t="s">
        <v>1642</v>
      </c>
      <c r="J2122" s="15"/>
      <c r="K2122" s="8" t="s">
        <v>1976</v>
      </c>
      <c r="L2122" s="8"/>
      <c r="M2122" s="6" t="s">
        <v>1643</v>
      </c>
      <c r="N2122" s="6" t="s">
        <v>1644</v>
      </c>
      <c r="O2122" s="7">
        <f>SUMIFS('05_상품별배치367'!$K$7:$K$373,'05_상품별배치367'!$E$7:$E$373,A2122,'05_상품별배치367'!$H$7:$H$373,"본진")</f>
        <v>0</v>
      </c>
      <c r="P2122" s="7">
        <f>SUMIFS('05_상품별배치367'!$K$7:$K$373,'05_상품별배치367'!$E$7:$E$373,A2122,'05_상품별배치367'!$H$7:$H$373,"추가 진열")</f>
        <v>0</v>
      </c>
      <c r="Q2122" s="7">
        <f>O2122+P2122</f>
        <v>0</v>
      </c>
      <c r="R2122" s="7">
        <v>1</v>
      </c>
      <c r="S2122" s="6" t="s">
        <v>3240</v>
      </c>
      <c r="T2122" s="6" t="s">
        <v>1637</v>
      </c>
      <c r="U2122" s="6"/>
      <c r="V2122" s="16"/>
      <c r="W2122" s="16"/>
      <c r="X2122" s="16"/>
      <c r="Y2122" s="6" t="s">
        <v>1627</v>
      </c>
      <c r="Z2122" s="15"/>
      <c r="AA2122" s="15" t="s">
        <v>1628</v>
      </c>
    </row>
    <row r="2123" spans="1:27" ht="33" customHeight="1">
      <c r="A2123" s="6" t="s">
        <v>5289</v>
      </c>
      <c r="B2123" s="7">
        <v>1615</v>
      </c>
      <c r="C2123" s="6" t="s">
        <v>5290</v>
      </c>
      <c r="D2123" s="6" t="s">
        <v>2856</v>
      </c>
      <c r="E2123" s="6" t="s">
        <v>2134</v>
      </c>
      <c r="F2123" s="6" t="s">
        <v>156</v>
      </c>
      <c r="G2123" s="6" t="s">
        <v>3239</v>
      </c>
      <c r="H2123" s="6"/>
      <c r="I2123" s="14" t="s">
        <v>1642</v>
      </c>
      <c r="J2123" s="15"/>
      <c r="K2123" s="6" t="s">
        <v>1976</v>
      </c>
      <c r="L2123" s="6"/>
      <c r="M2123" s="6" t="s">
        <v>1643</v>
      </c>
      <c r="N2123" s="6" t="s">
        <v>1644</v>
      </c>
      <c r="O2123" s="7">
        <f>SUMIFS('05_상품별배치367'!$K$7:$K$373,'05_상품별배치367'!$E$7:$E$373,A2123,'05_상품별배치367'!$H$7:$H$373,"본진")</f>
        <v>0</v>
      </c>
      <c r="P2123" s="7">
        <f>SUMIFS('05_상품별배치367'!$K$7:$K$373,'05_상품별배치367'!$E$7:$E$373,A2123,'05_상품별배치367'!$H$7:$H$373,"추가 진열")</f>
        <v>0</v>
      </c>
      <c r="Q2123" s="7">
        <f>O2123+P2123</f>
        <v>0</v>
      </c>
      <c r="R2123" s="7">
        <v>1</v>
      </c>
      <c r="S2123" s="6" t="s">
        <v>3240</v>
      </c>
      <c r="T2123" s="6" t="s">
        <v>1637</v>
      </c>
      <c r="U2123" s="6"/>
      <c r="V2123" s="16"/>
      <c r="W2123" s="16"/>
      <c r="X2123" s="16"/>
      <c r="Y2123" s="6" t="s">
        <v>1627</v>
      </c>
      <c r="Z2123" s="15"/>
      <c r="AA2123" s="15" t="s">
        <v>1628</v>
      </c>
    </row>
    <row r="2124" spans="1:27" ht="33" customHeight="1">
      <c r="A2124" s="8" t="s">
        <v>5291</v>
      </c>
      <c r="B2124" s="9">
        <v>1616</v>
      </c>
      <c r="C2124" s="8" t="s">
        <v>5292</v>
      </c>
      <c r="D2124" s="8" t="s">
        <v>2133</v>
      </c>
      <c r="E2124" s="8" t="s">
        <v>1986</v>
      </c>
      <c r="F2124" s="8" t="s">
        <v>493</v>
      </c>
      <c r="G2124" s="8" t="s">
        <v>299</v>
      </c>
      <c r="H2124" s="8"/>
      <c r="I2124" s="14" t="s">
        <v>1642</v>
      </c>
      <c r="J2124" s="15"/>
      <c r="K2124" s="8" t="s">
        <v>1976</v>
      </c>
      <c r="L2124" s="8"/>
      <c r="M2124" s="6" t="s">
        <v>1643</v>
      </c>
      <c r="N2124" s="6" t="s">
        <v>1644</v>
      </c>
      <c r="O2124" s="7">
        <f>SUMIFS('05_상품별배치367'!$K$7:$K$373,'05_상품별배치367'!$E$7:$E$373,A2124,'05_상품별배치367'!$H$7:$H$373,"본진")</f>
        <v>0</v>
      </c>
      <c r="P2124" s="7">
        <f>SUMIFS('05_상품별배치367'!$K$7:$K$373,'05_상품별배치367'!$E$7:$E$373,A2124,'05_상품별배치367'!$H$7:$H$373,"추가 진열")</f>
        <v>0</v>
      </c>
      <c r="Q2124" s="7">
        <f>O2124+P2124</f>
        <v>0</v>
      </c>
      <c r="R2124" s="7">
        <v>1</v>
      </c>
      <c r="S2124" s="6" t="s">
        <v>3084</v>
      </c>
      <c r="T2124" s="6" t="s">
        <v>1637</v>
      </c>
      <c r="U2124" s="6"/>
      <c r="V2124" s="16"/>
      <c r="W2124" s="16"/>
      <c r="X2124" s="16"/>
      <c r="Y2124" s="6" t="s">
        <v>1627</v>
      </c>
      <c r="Z2124" s="15"/>
      <c r="AA2124" s="15" t="s">
        <v>1628</v>
      </c>
    </row>
    <row r="2125" spans="1:27" ht="33" customHeight="1">
      <c r="A2125" s="6" t="s">
        <v>5313</v>
      </c>
      <c r="B2125" s="7">
        <v>1627</v>
      </c>
      <c r="C2125" s="6" t="s">
        <v>5314</v>
      </c>
      <c r="D2125" s="6" t="s">
        <v>1662</v>
      </c>
      <c r="E2125" s="6" t="s">
        <v>2134</v>
      </c>
      <c r="F2125" s="6" t="s">
        <v>1081</v>
      </c>
      <c r="G2125" s="6" t="s">
        <v>290</v>
      </c>
      <c r="H2125" s="6"/>
      <c r="I2125" s="14" t="s">
        <v>1642</v>
      </c>
      <c r="J2125" s="15"/>
      <c r="K2125" s="6" t="s">
        <v>1976</v>
      </c>
      <c r="L2125" s="6"/>
      <c r="M2125" s="6" t="s">
        <v>1643</v>
      </c>
      <c r="N2125" s="6" t="s">
        <v>1644</v>
      </c>
      <c r="O2125" s="7">
        <f>SUMIFS('05_상품별배치367'!$K$7:$K$373,'05_상품별배치367'!$E$7:$E$373,A2125,'05_상품별배치367'!$H$7:$H$373,"본진")</f>
        <v>0</v>
      </c>
      <c r="P2125" s="7">
        <f>SUMIFS('05_상품별배치367'!$K$7:$K$373,'05_상품별배치367'!$E$7:$E$373,A2125,'05_상품별배치367'!$H$7:$H$373,"추가 진열")</f>
        <v>0</v>
      </c>
      <c r="Q2125" s="7">
        <f>O2125+P2125</f>
        <v>0</v>
      </c>
      <c r="R2125" s="7">
        <v>1</v>
      </c>
      <c r="S2125" s="6" t="s">
        <v>2135</v>
      </c>
      <c r="T2125" s="6" t="s">
        <v>1637</v>
      </c>
      <c r="U2125" s="6"/>
      <c r="V2125" s="16"/>
      <c r="W2125" s="16"/>
      <c r="X2125" s="16"/>
      <c r="Y2125" s="6" t="s">
        <v>1627</v>
      </c>
      <c r="Z2125" s="15"/>
      <c r="AA2125" s="15" t="s">
        <v>1628</v>
      </c>
    </row>
    <row r="2126" spans="1:27" ht="33" customHeight="1">
      <c r="A2126" s="6" t="s">
        <v>5297</v>
      </c>
      <c r="B2126" s="7">
        <v>1619</v>
      </c>
      <c r="C2126" s="6" t="s">
        <v>5298</v>
      </c>
      <c r="D2126" s="6" t="s">
        <v>1851</v>
      </c>
      <c r="E2126" s="6" t="s">
        <v>2134</v>
      </c>
      <c r="F2126" s="6" t="s">
        <v>1081</v>
      </c>
      <c r="G2126" s="6" t="s">
        <v>290</v>
      </c>
      <c r="H2126" s="6"/>
      <c r="I2126" s="14" t="s">
        <v>1642</v>
      </c>
      <c r="J2126" s="15"/>
      <c r="K2126" s="6" t="s">
        <v>1976</v>
      </c>
      <c r="L2126" s="6"/>
      <c r="M2126" s="6" t="s">
        <v>1643</v>
      </c>
      <c r="N2126" s="6" t="s">
        <v>1644</v>
      </c>
      <c r="O2126" s="7">
        <f>SUMIFS('05_상품별배치367'!$K$7:$K$373,'05_상품별배치367'!$E$7:$E$373,A2126,'05_상품별배치367'!$H$7:$H$373,"본진")</f>
        <v>0</v>
      </c>
      <c r="P2126" s="7">
        <f>SUMIFS('05_상품별배치367'!$K$7:$K$373,'05_상품별배치367'!$E$7:$E$373,A2126,'05_상품별배치367'!$H$7:$H$373,"추가 진열")</f>
        <v>0</v>
      </c>
      <c r="Q2126" s="7">
        <f>O2126+P2126</f>
        <v>0</v>
      </c>
      <c r="R2126" s="7">
        <v>1</v>
      </c>
      <c r="S2126" s="6" t="s">
        <v>2135</v>
      </c>
      <c r="T2126" s="6" t="s">
        <v>1637</v>
      </c>
      <c r="U2126" s="6"/>
      <c r="V2126" s="16"/>
      <c r="W2126" s="16"/>
      <c r="X2126" s="16"/>
      <c r="Y2126" s="6" t="s">
        <v>1627</v>
      </c>
      <c r="Z2126" s="15"/>
      <c r="AA2126" s="15" t="s">
        <v>1628</v>
      </c>
    </row>
    <row r="2127" spans="1:27" ht="33" customHeight="1">
      <c r="A2127" s="8" t="s">
        <v>5311</v>
      </c>
      <c r="B2127" s="9">
        <v>1626</v>
      </c>
      <c r="C2127" s="8" t="s">
        <v>5312</v>
      </c>
      <c r="D2127" s="8" t="s">
        <v>1662</v>
      </c>
      <c r="E2127" s="8" t="s">
        <v>2134</v>
      </c>
      <c r="F2127" s="8" t="s">
        <v>1263</v>
      </c>
      <c r="G2127" s="8" t="s">
        <v>376</v>
      </c>
      <c r="H2127" s="8"/>
      <c r="I2127" s="14" t="s">
        <v>1642</v>
      </c>
      <c r="J2127" s="15"/>
      <c r="K2127" s="8" t="s">
        <v>1976</v>
      </c>
      <c r="L2127" s="8"/>
      <c r="M2127" s="6" t="s">
        <v>1643</v>
      </c>
      <c r="N2127" s="6" t="s">
        <v>1644</v>
      </c>
      <c r="O2127" s="7">
        <f>SUMIFS('05_상품별배치367'!$K$7:$K$373,'05_상품별배치367'!$E$7:$E$373,A2127,'05_상품별배치367'!$H$7:$H$373,"본진")</f>
        <v>0</v>
      </c>
      <c r="P2127" s="7">
        <f>SUMIFS('05_상품별배치367'!$K$7:$K$373,'05_상품별배치367'!$E$7:$E$373,A2127,'05_상품별배치367'!$H$7:$H$373,"추가 진열")</f>
        <v>0</v>
      </c>
      <c r="Q2127" s="7">
        <f>O2127+P2127</f>
        <v>0</v>
      </c>
      <c r="R2127" s="7">
        <v>1</v>
      </c>
      <c r="S2127" s="6" t="s">
        <v>3016</v>
      </c>
      <c r="T2127" s="6" t="s">
        <v>1637</v>
      </c>
      <c r="U2127" s="6"/>
      <c r="V2127" s="16"/>
      <c r="W2127" s="16"/>
      <c r="X2127" s="16"/>
      <c r="Y2127" s="6" t="s">
        <v>1627</v>
      </c>
      <c r="Z2127" s="15"/>
      <c r="AA2127" s="15" t="s">
        <v>1628</v>
      </c>
    </row>
    <row r="2128" spans="1:27" ht="33" customHeight="1">
      <c r="A2128" s="6" t="s">
        <v>5301</v>
      </c>
      <c r="B2128" s="7">
        <v>1621</v>
      </c>
      <c r="C2128" s="6" t="s">
        <v>5302</v>
      </c>
      <c r="D2128" s="6" t="s">
        <v>2856</v>
      </c>
      <c r="E2128" s="6" t="s">
        <v>2134</v>
      </c>
      <c r="F2128" s="6" t="s">
        <v>1081</v>
      </c>
      <c r="G2128" s="6" t="s">
        <v>290</v>
      </c>
      <c r="H2128" s="6"/>
      <c r="I2128" s="14" t="s">
        <v>1642</v>
      </c>
      <c r="J2128" s="15"/>
      <c r="K2128" s="6" t="s">
        <v>1976</v>
      </c>
      <c r="L2128" s="6"/>
      <c r="M2128" s="6" t="s">
        <v>1643</v>
      </c>
      <c r="N2128" s="6" t="s">
        <v>1644</v>
      </c>
      <c r="O2128" s="7">
        <f>SUMIFS('05_상품별배치367'!$K$7:$K$373,'05_상품별배치367'!$E$7:$E$373,A2128,'05_상품별배치367'!$H$7:$H$373,"본진")</f>
        <v>0</v>
      </c>
      <c r="P2128" s="7">
        <f>SUMIFS('05_상품별배치367'!$K$7:$K$373,'05_상품별배치367'!$E$7:$E$373,A2128,'05_상품별배치367'!$H$7:$H$373,"추가 진열")</f>
        <v>0</v>
      </c>
      <c r="Q2128" s="7">
        <f>O2128+P2128</f>
        <v>0</v>
      </c>
      <c r="R2128" s="7">
        <v>1</v>
      </c>
      <c r="S2128" s="6" t="s">
        <v>2135</v>
      </c>
      <c r="T2128" s="6" t="s">
        <v>1637</v>
      </c>
      <c r="U2128" s="6"/>
      <c r="V2128" s="16"/>
      <c r="W2128" s="16"/>
      <c r="X2128" s="16"/>
      <c r="Y2128" s="6" t="s">
        <v>1627</v>
      </c>
      <c r="Z2128" s="15"/>
      <c r="AA2128" s="15" t="s">
        <v>1628</v>
      </c>
    </row>
    <row r="2129" spans="1:27" ht="33" customHeight="1">
      <c r="A2129" s="8" t="s">
        <v>5295</v>
      </c>
      <c r="B2129" s="9">
        <v>1618</v>
      </c>
      <c r="C2129" s="8" t="s">
        <v>5296</v>
      </c>
      <c r="D2129" s="8" t="s">
        <v>1851</v>
      </c>
      <c r="E2129" s="8" t="s">
        <v>2134</v>
      </c>
      <c r="F2129" s="8" t="s">
        <v>161</v>
      </c>
      <c r="G2129" s="8" t="s">
        <v>395</v>
      </c>
      <c r="H2129" s="8"/>
      <c r="I2129" s="14" t="s">
        <v>1642</v>
      </c>
      <c r="J2129" s="15"/>
      <c r="K2129" s="8" t="s">
        <v>1976</v>
      </c>
      <c r="L2129" s="8"/>
      <c r="M2129" s="6" t="s">
        <v>1643</v>
      </c>
      <c r="N2129" s="6" t="s">
        <v>1644</v>
      </c>
      <c r="O2129" s="7">
        <f>SUMIFS('05_상품별배치367'!$K$7:$K$373,'05_상품별배치367'!$E$7:$E$373,A2129,'05_상품별배치367'!$H$7:$H$373,"본진")</f>
        <v>0</v>
      </c>
      <c r="P2129" s="7">
        <f>SUMIFS('05_상품별배치367'!$K$7:$K$373,'05_상품별배치367'!$E$7:$E$373,A2129,'05_상품별배치367'!$H$7:$H$373,"추가 진열")</f>
        <v>0</v>
      </c>
      <c r="Q2129" s="7">
        <f>O2129+P2129</f>
        <v>0</v>
      </c>
      <c r="R2129" s="7">
        <v>1</v>
      </c>
      <c r="S2129" s="6" t="s">
        <v>3070</v>
      </c>
      <c r="T2129" s="6" t="s">
        <v>1637</v>
      </c>
      <c r="U2129" s="6"/>
      <c r="V2129" s="16"/>
      <c r="W2129" s="16"/>
      <c r="X2129" s="16"/>
      <c r="Y2129" s="6" t="s">
        <v>1627</v>
      </c>
      <c r="Z2129" s="15"/>
      <c r="AA2129" s="15" t="s">
        <v>1628</v>
      </c>
    </row>
    <row r="2130" spans="1:27" ht="33" customHeight="1">
      <c r="A2130" s="6" t="s">
        <v>5285</v>
      </c>
      <c r="B2130" s="7">
        <v>1613</v>
      </c>
      <c r="C2130" s="6" t="s">
        <v>5286</v>
      </c>
      <c r="D2130" s="6" t="s">
        <v>2856</v>
      </c>
      <c r="E2130" s="6" t="s">
        <v>2134</v>
      </c>
      <c r="F2130" s="6" t="s">
        <v>1263</v>
      </c>
      <c r="G2130" s="6" t="s">
        <v>376</v>
      </c>
      <c r="H2130" s="6"/>
      <c r="I2130" s="14" t="s">
        <v>1642</v>
      </c>
      <c r="J2130" s="15"/>
      <c r="K2130" s="6" t="s">
        <v>1976</v>
      </c>
      <c r="L2130" s="6"/>
      <c r="M2130" s="6" t="s">
        <v>1643</v>
      </c>
      <c r="N2130" s="6" t="s">
        <v>1644</v>
      </c>
      <c r="O2130" s="7">
        <f>SUMIFS('05_상품별배치367'!$K$7:$K$373,'05_상품별배치367'!$E$7:$E$373,A2130,'05_상품별배치367'!$H$7:$H$373,"본진")</f>
        <v>0</v>
      </c>
      <c r="P2130" s="7">
        <f>SUMIFS('05_상품별배치367'!$K$7:$K$373,'05_상품별배치367'!$E$7:$E$373,A2130,'05_상품별배치367'!$H$7:$H$373,"추가 진열")</f>
        <v>0</v>
      </c>
      <c r="Q2130" s="7">
        <f>O2130+P2130</f>
        <v>0</v>
      </c>
      <c r="R2130" s="7">
        <v>1</v>
      </c>
      <c r="S2130" s="6" t="s">
        <v>3016</v>
      </c>
      <c r="T2130" s="6" t="s">
        <v>1637</v>
      </c>
      <c r="U2130" s="6"/>
      <c r="V2130" s="16"/>
      <c r="W2130" s="16"/>
      <c r="X2130" s="16"/>
      <c r="Y2130" s="6" t="s">
        <v>1627</v>
      </c>
      <c r="Z2130" s="15"/>
      <c r="AA2130" s="15" t="s">
        <v>1628</v>
      </c>
    </row>
    <row r="2131" spans="1:27" ht="33" customHeight="1">
      <c r="A2131" s="8" t="s">
        <v>5307</v>
      </c>
      <c r="B2131" s="9">
        <v>1624</v>
      </c>
      <c r="C2131" s="8" t="s">
        <v>5308</v>
      </c>
      <c r="D2131" s="8" t="s">
        <v>2856</v>
      </c>
      <c r="E2131" s="8" t="s">
        <v>2134</v>
      </c>
      <c r="F2131" s="8" t="s">
        <v>1263</v>
      </c>
      <c r="G2131" s="8" t="s">
        <v>376</v>
      </c>
      <c r="H2131" s="8"/>
      <c r="I2131" s="14" t="s">
        <v>1642</v>
      </c>
      <c r="J2131" s="15"/>
      <c r="K2131" s="8" t="s">
        <v>1976</v>
      </c>
      <c r="L2131" s="8"/>
      <c r="M2131" s="6" t="s">
        <v>1643</v>
      </c>
      <c r="N2131" s="6" t="s">
        <v>1644</v>
      </c>
      <c r="O2131" s="7">
        <f>SUMIFS('05_상품별배치367'!$K$7:$K$373,'05_상품별배치367'!$E$7:$E$373,A2131,'05_상품별배치367'!$H$7:$H$373,"본진")</f>
        <v>0</v>
      </c>
      <c r="P2131" s="7">
        <f>SUMIFS('05_상품별배치367'!$K$7:$K$373,'05_상품별배치367'!$E$7:$E$373,A2131,'05_상품별배치367'!$H$7:$H$373,"추가 진열")</f>
        <v>0</v>
      </c>
      <c r="Q2131" s="7">
        <f>O2131+P2131</f>
        <v>0</v>
      </c>
      <c r="R2131" s="7">
        <v>1</v>
      </c>
      <c r="S2131" s="6" t="s">
        <v>3016</v>
      </c>
      <c r="T2131" s="6" t="s">
        <v>1637</v>
      </c>
      <c r="U2131" s="6"/>
      <c r="V2131" s="16"/>
      <c r="W2131" s="16"/>
      <c r="X2131" s="16"/>
      <c r="Y2131" s="6" t="s">
        <v>1627</v>
      </c>
      <c r="Z2131" s="15"/>
      <c r="AA2131" s="15" t="s">
        <v>1628</v>
      </c>
    </row>
    <row r="2132" spans="1:27" ht="33" customHeight="1">
      <c r="A2132" s="8" t="s">
        <v>5303</v>
      </c>
      <c r="B2132" s="9">
        <v>1622</v>
      </c>
      <c r="C2132" s="8" t="s">
        <v>5304</v>
      </c>
      <c r="D2132" s="8" t="s">
        <v>2856</v>
      </c>
      <c r="E2132" s="8" t="s">
        <v>2134</v>
      </c>
      <c r="F2132" s="8" t="s">
        <v>2933</v>
      </c>
      <c r="G2132" s="8" t="s">
        <v>1668</v>
      </c>
      <c r="H2132" s="8"/>
      <c r="I2132" s="14" t="s">
        <v>1807</v>
      </c>
      <c r="J2132" s="15"/>
      <c r="K2132" s="8" t="s">
        <v>1976</v>
      </c>
      <c r="L2132" s="8" t="s">
        <v>2032</v>
      </c>
      <c r="M2132" s="6" t="s">
        <v>1809</v>
      </c>
      <c r="N2132" s="6" t="s">
        <v>1644</v>
      </c>
      <c r="O2132" s="7">
        <f>SUMIFS('05_상품별배치367'!$K$7:$K$373,'05_상품별배치367'!$E$7:$E$373,A2132,'05_상품별배치367'!$H$7:$H$373,"본진")</f>
        <v>0</v>
      </c>
      <c r="P2132" s="7">
        <f>SUMIFS('05_상품별배치367'!$K$7:$K$373,'05_상품별배치367'!$E$7:$E$373,A2132,'05_상품별배치367'!$H$7:$H$373,"추가 진열")</f>
        <v>0</v>
      </c>
      <c r="Q2132" s="7">
        <f>O2132+P2132</f>
        <v>0</v>
      </c>
      <c r="R2132" s="7">
        <v>0</v>
      </c>
      <c r="S2132" s="6" t="s">
        <v>1810</v>
      </c>
      <c r="T2132" s="6" t="s">
        <v>1637</v>
      </c>
      <c r="U2132" s="6"/>
      <c r="V2132" s="16"/>
      <c r="W2132" s="16"/>
      <c r="X2132" s="16"/>
      <c r="Y2132" s="6" t="s">
        <v>1627</v>
      </c>
      <c r="Z2132" s="15"/>
      <c r="AA2132" s="15" t="s">
        <v>1628</v>
      </c>
    </row>
    <row r="2133" spans="1:27" ht="33" customHeight="1">
      <c r="A2133" s="6" t="s">
        <v>5293</v>
      </c>
      <c r="B2133" s="7">
        <v>1617</v>
      </c>
      <c r="C2133" s="6" t="s">
        <v>5294</v>
      </c>
      <c r="D2133" s="6" t="s">
        <v>1851</v>
      </c>
      <c r="E2133" s="6" t="s">
        <v>2134</v>
      </c>
      <c r="F2133" s="6" t="s">
        <v>161</v>
      </c>
      <c r="G2133" s="6" t="s">
        <v>395</v>
      </c>
      <c r="H2133" s="6"/>
      <c r="I2133" s="14" t="s">
        <v>1642</v>
      </c>
      <c r="J2133" s="15"/>
      <c r="K2133" s="6" t="s">
        <v>1976</v>
      </c>
      <c r="L2133" s="6"/>
      <c r="M2133" s="6" t="s">
        <v>1643</v>
      </c>
      <c r="N2133" s="6" t="s">
        <v>1644</v>
      </c>
      <c r="O2133" s="7">
        <f>SUMIFS('05_상품별배치367'!$K$7:$K$373,'05_상품별배치367'!$E$7:$E$373,A2133,'05_상품별배치367'!$H$7:$H$373,"본진")</f>
        <v>0</v>
      </c>
      <c r="P2133" s="7">
        <f>SUMIFS('05_상품별배치367'!$K$7:$K$373,'05_상품별배치367'!$E$7:$E$373,A2133,'05_상품별배치367'!$H$7:$H$373,"추가 진열")</f>
        <v>0</v>
      </c>
      <c r="Q2133" s="7">
        <f>O2133+P2133</f>
        <v>0</v>
      </c>
      <c r="R2133" s="7">
        <v>1</v>
      </c>
      <c r="S2133" s="6" t="s">
        <v>3070</v>
      </c>
      <c r="T2133" s="6" t="s">
        <v>1637</v>
      </c>
      <c r="U2133" s="6"/>
      <c r="V2133" s="16"/>
      <c r="W2133" s="16"/>
      <c r="X2133" s="16"/>
      <c r="Y2133" s="6" t="s">
        <v>1627</v>
      </c>
      <c r="Z2133" s="15"/>
      <c r="AA2133" s="15" t="s">
        <v>1628</v>
      </c>
    </row>
    <row r="2134" spans="1:27" ht="33" customHeight="1">
      <c r="A2134" s="8" t="s">
        <v>6676</v>
      </c>
      <c r="B2134" s="9">
        <v>2248</v>
      </c>
      <c r="C2134" s="8" t="s">
        <v>6677</v>
      </c>
      <c r="D2134" s="8" t="s">
        <v>6678</v>
      </c>
      <c r="E2134" s="8" t="s">
        <v>1641</v>
      </c>
      <c r="F2134" s="8" t="s">
        <v>1806</v>
      </c>
      <c r="G2134" s="8" t="s">
        <v>1668</v>
      </c>
      <c r="H2134" s="8"/>
      <c r="I2134" s="14" t="s">
        <v>1807</v>
      </c>
      <c r="J2134" s="15"/>
      <c r="K2134" s="8" t="s">
        <v>1634</v>
      </c>
      <c r="L2134" s="8" t="s">
        <v>2001</v>
      </c>
      <c r="M2134" s="6" t="s">
        <v>1809</v>
      </c>
      <c r="N2134" s="6" t="s">
        <v>1624</v>
      </c>
      <c r="O2134" s="7">
        <f>SUMIFS('05_상품별배치367'!$K$7:$K$373,'05_상품별배치367'!$E$7:$E$373,A2134,'05_상품별배치367'!$H$7:$H$373,"본진")</f>
        <v>0</v>
      </c>
      <c r="P2134" s="7">
        <f>SUMIFS('05_상품별배치367'!$K$7:$K$373,'05_상품별배치367'!$E$7:$E$373,A2134,'05_상품별배치367'!$H$7:$H$373,"추가 진열")</f>
        <v>0</v>
      </c>
      <c r="Q2134" s="7">
        <f>O2134+P2134</f>
        <v>0</v>
      </c>
      <c r="R2134" s="7">
        <v>0</v>
      </c>
      <c r="S2134" s="6" t="s">
        <v>1810</v>
      </c>
      <c r="T2134" s="6" t="s">
        <v>1637</v>
      </c>
      <c r="U2134" s="6"/>
      <c r="V2134" s="16"/>
      <c r="W2134" s="16"/>
      <c r="X2134" s="16"/>
      <c r="Y2134" s="6" t="s">
        <v>1655</v>
      </c>
      <c r="Z2134" s="15"/>
      <c r="AA2134" s="15" t="s">
        <v>1628</v>
      </c>
    </row>
    <row r="2135" spans="1:27" ht="33" customHeight="1">
      <c r="A2135" s="8" t="s">
        <v>5791</v>
      </c>
      <c r="B2135" s="9">
        <v>1852</v>
      </c>
      <c r="C2135" s="8" t="s">
        <v>5792</v>
      </c>
      <c r="D2135" s="8" t="s">
        <v>4191</v>
      </c>
      <c r="E2135" s="8" t="s">
        <v>1632</v>
      </c>
      <c r="F2135" s="8" t="s">
        <v>858</v>
      </c>
      <c r="G2135" s="8" t="s">
        <v>173</v>
      </c>
      <c r="H2135" s="8" t="s">
        <v>860</v>
      </c>
      <c r="I2135" s="14" t="s">
        <v>1621</v>
      </c>
      <c r="J2135" s="15"/>
      <c r="K2135" s="8" t="s">
        <v>1634</v>
      </c>
      <c r="L2135" s="8" t="s">
        <v>3828</v>
      </c>
      <c r="M2135" s="6" t="s">
        <v>1623</v>
      </c>
      <c r="N2135" s="6" t="s">
        <v>1624</v>
      </c>
      <c r="O2135" s="7">
        <f>SUMIFS('05_상품별배치367'!$K$7:$K$373,'05_상품별배치367'!$E$7:$E$373,A2135,'05_상품별배치367'!$H$7:$H$373,"본진")</f>
        <v>1</v>
      </c>
      <c r="P2135" s="7">
        <f>SUMIFS('05_상품별배치367'!$K$7:$K$373,'05_상품별배치367'!$E$7:$E$373,A2135,'05_상품별배치367'!$H$7:$H$373,"추가 진열")</f>
        <v>0</v>
      </c>
      <c r="Q2135" s="7">
        <f>O2135+P2135</f>
        <v>1</v>
      </c>
      <c r="R2135" s="7">
        <v>1</v>
      </c>
      <c r="S2135" s="6" t="s">
        <v>1625</v>
      </c>
      <c r="T2135" s="6" t="s">
        <v>1637</v>
      </c>
      <c r="U2135" s="6"/>
      <c r="V2135" s="16"/>
      <c r="W2135" s="16"/>
      <c r="X2135" s="16"/>
      <c r="Y2135" s="6" t="s">
        <v>1627</v>
      </c>
      <c r="Z2135" s="15"/>
      <c r="AA2135" s="15" t="s">
        <v>1628</v>
      </c>
    </row>
    <row r="2136" spans="1:27" ht="33" customHeight="1">
      <c r="A2136" s="6" t="s">
        <v>3963</v>
      </c>
      <c r="B2136" s="7">
        <v>987</v>
      </c>
      <c r="C2136" s="6" t="s">
        <v>3964</v>
      </c>
      <c r="D2136" s="6" t="s">
        <v>2133</v>
      </c>
      <c r="E2136" s="6" t="s">
        <v>1986</v>
      </c>
      <c r="F2136" s="6" t="s">
        <v>1276</v>
      </c>
      <c r="G2136" s="6" t="s">
        <v>1987</v>
      </c>
      <c r="H2136" s="6"/>
      <c r="I2136" s="14" t="s">
        <v>1642</v>
      </c>
      <c r="J2136" s="15"/>
      <c r="K2136" s="6" t="s">
        <v>1976</v>
      </c>
      <c r="L2136" s="6"/>
      <c r="M2136" s="6" t="s">
        <v>1643</v>
      </c>
      <c r="N2136" s="6" t="s">
        <v>1644</v>
      </c>
      <c r="O2136" s="7">
        <f>SUMIFS('05_상품별배치367'!$K$7:$K$373,'05_상품별배치367'!$E$7:$E$373,A2136,'05_상품별배치367'!$H$7:$H$373,"본진")</f>
        <v>0</v>
      </c>
      <c r="P2136" s="7">
        <f>SUMIFS('05_상품별배치367'!$K$7:$K$373,'05_상품별배치367'!$E$7:$E$373,A2136,'05_상품별배치367'!$H$7:$H$373,"추가 진열")</f>
        <v>0</v>
      </c>
      <c r="Q2136" s="7">
        <f>O2136+P2136</f>
        <v>0</v>
      </c>
      <c r="R2136" s="7">
        <v>1</v>
      </c>
      <c r="S2136" s="6" t="s">
        <v>1988</v>
      </c>
      <c r="T2136" s="6" t="s">
        <v>1637</v>
      </c>
      <c r="U2136" s="6"/>
      <c r="V2136" s="16"/>
      <c r="W2136" s="16"/>
      <c r="X2136" s="16"/>
      <c r="Y2136" s="6" t="s">
        <v>1627</v>
      </c>
      <c r="Z2136" s="15"/>
      <c r="AA2136" s="15" t="s">
        <v>1628</v>
      </c>
    </row>
    <row r="2137" spans="1:27" ht="33" customHeight="1">
      <c r="A2137" s="8" t="s">
        <v>3965</v>
      </c>
      <c r="B2137" s="9">
        <v>988</v>
      </c>
      <c r="C2137" s="8" t="s">
        <v>3966</v>
      </c>
      <c r="D2137" s="8" t="s">
        <v>2133</v>
      </c>
      <c r="E2137" s="8" t="s">
        <v>2134</v>
      </c>
      <c r="F2137" s="8" t="s">
        <v>2933</v>
      </c>
      <c r="G2137" s="8" t="s">
        <v>1668</v>
      </c>
      <c r="H2137" s="8"/>
      <c r="I2137" s="14" t="s">
        <v>1807</v>
      </c>
      <c r="J2137" s="15"/>
      <c r="K2137" s="8" t="s">
        <v>1976</v>
      </c>
      <c r="L2137" s="8" t="s">
        <v>2032</v>
      </c>
      <c r="M2137" s="6" t="s">
        <v>1809</v>
      </c>
      <c r="N2137" s="6" t="s">
        <v>1644</v>
      </c>
      <c r="O2137" s="7">
        <f>SUMIFS('05_상품별배치367'!$K$7:$K$373,'05_상품별배치367'!$E$7:$E$373,A2137,'05_상품별배치367'!$H$7:$H$373,"본진")</f>
        <v>0</v>
      </c>
      <c r="P2137" s="7">
        <f>SUMIFS('05_상품별배치367'!$K$7:$K$373,'05_상품별배치367'!$E$7:$E$373,A2137,'05_상품별배치367'!$H$7:$H$373,"추가 진열")</f>
        <v>0</v>
      </c>
      <c r="Q2137" s="7">
        <f>O2137+P2137</f>
        <v>0</v>
      </c>
      <c r="R2137" s="7">
        <v>0</v>
      </c>
      <c r="S2137" s="6" t="s">
        <v>1810</v>
      </c>
      <c r="T2137" s="6" t="s">
        <v>1637</v>
      </c>
      <c r="U2137" s="6"/>
      <c r="V2137" s="16"/>
      <c r="W2137" s="16"/>
      <c r="X2137" s="16"/>
      <c r="Y2137" s="6" t="s">
        <v>1627</v>
      </c>
      <c r="Z2137" s="15"/>
      <c r="AA2137" s="15" t="s">
        <v>1628</v>
      </c>
    </row>
    <row r="2138" spans="1:27" ht="33" customHeight="1">
      <c r="A2138" s="6" t="s">
        <v>3976</v>
      </c>
      <c r="B2138" s="7">
        <v>993</v>
      </c>
      <c r="C2138" s="6" t="s">
        <v>3977</v>
      </c>
      <c r="D2138" s="6" t="s">
        <v>1711</v>
      </c>
      <c r="E2138" s="6" t="s">
        <v>1695</v>
      </c>
      <c r="F2138" s="6" t="s">
        <v>482</v>
      </c>
      <c r="G2138" s="6" t="s">
        <v>272</v>
      </c>
      <c r="H2138" s="6"/>
      <c r="I2138" s="14" t="s">
        <v>1642</v>
      </c>
      <c r="J2138" s="15"/>
      <c r="K2138" s="6" t="s">
        <v>1696</v>
      </c>
      <c r="L2138" s="6"/>
      <c r="M2138" s="6" t="s">
        <v>1643</v>
      </c>
      <c r="N2138" s="6" t="s">
        <v>1644</v>
      </c>
      <c r="O2138" s="7">
        <f>SUMIFS('05_상품별배치367'!$K$7:$K$373,'05_상품별배치367'!$E$7:$E$373,A2138,'05_상품별배치367'!$H$7:$H$373,"본진")</f>
        <v>0</v>
      </c>
      <c r="P2138" s="7">
        <f>SUMIFS('05_상품별배치367'!$K$7:$K$373,'05_상품별배치367'!$E$7:$E$373,A2138,'05_상품별배치367'!$H$7:$H$373,"추가 진열")</f>
        <v>0</v>
      </c>
      <c r="Q2138" s="7">
        <f>O2138+P2138</f>
        <v>0</v>
      </c>
      <c r="R2138" s="7">
        <v>1</v>
      </c>
      <c r="S2138" s="6" t="s">
        <v>1942</v>
      </c>
      <c r="T2138" s="6" t="s">
        <v>1637</v>
      </c>
      <c r="U2138" s="6"/>
      <c r="V2138" s="16"/>
      <c r="W2138" s="16"/>
      <c r="X2138" s="16"/>
      <c r="Y2138" s="6" t="s">
        <v>1627</v>
      </c>
      <c r="Z2138" s="15"/>
      <c r="AA2138" s="15" t="s">
        <v>1628</v>
      </c>
    </row>
    <row r="2139" spans="1:27" ht="33" customHeight="1">
      <c r="A2139" s="8" t="s">
        <v>3974</v>
      </c>
      <c r="B2139" s="9">
        <v>992</v>
      </c>
      <c r="C2139" s="8" t="s">
        <v>3975</v>
      </c>
      <c r="D2139" s="8" t="s">
        <v>2928</v>
      </c>
      <c r="E2139" s="8" t="s">
        <v>1695</v>
      </c>
      <c r="F2139" s="8" t="s">
        <v>482</v>
      </c>
      <c r="G2139" s="8" t="s">
        <v>272</v>
      </c>
      <c r="H2139" s="8"/>
      <c r="I2139" s="14" t="s">
        <v>1642</v>
      </c>
      <c r="J2139" s="15"/>
      <c r="K2139" s="8" t="s">
        <v>1696</v>
      </c>
      <c r="L2139" s="8"/>
      <c r="M2139" s="6" t="s">
        <v>1643</v>
      </c>
      <c r="N2139" s="6" t="s">
        <v>1644</v>
      </c>
      <c r="O2139" s="7">
        <f>SUMIFS('05_상품별배치367'!$K$7:$K$373,'05_상품별배치367'!$E$7:$E$373,A2139,'05_상품별배치367'!$H$7:$H$373,"본진")</f>
        <v>0</v>
      </c>
      <c r="P2139" s="7">
        <f>SUMIFS('05_상품별배치367'!$K$7:$K$373,'05_상품별배치367'!$E$7:$E$373,A2139,'05_상품별배치367'!$H$7:$H$373,"추가 진열")</f>
        <v>0</v>
      </c>
      <c r="Q2139" s="7">
        <f>O2139+P2139</f>
        <v>0</v>
      </c>
      <c r="R2139" s="7">
        <v>1</v>
      </c>
      <c r="S2139" s="6" t="s">
        <v>1942</v>
      </c>
      <c r="T2139" s="6" t="s">
        <v>1637</v>
      </c>
      <c r="U2139" s="6"/>
      <c r="V2139" s="16"/>
      <c r="W2139" s="16"/>
      <c r="X2139" s="16"/>
      <c r="Y2139" s="6" t="s">
        <v>1627</v>
      </c>
      <c r="Z2139" s="15"/>
      <c r="AA2139" s="15" t="s">
        <v>1628</v>
      </c>
    </row>
    <row r="2140" spans="1:27" ht="33" customHeight="1">
      <c r="A2140" s="6" t="s">
        <v>3972</v>
      </c>
      <c r="B2140" s="7">
        <v>991</v>
      </c>
      <c r="C2140" s="6" t="s">
        <v>3973</v>
      </c>
      <c r="D2140" s="6" t="s">
        <v>2928</v>
      </c>
      <c r="E2140" s="6" t="s">
        <v>1695</v>
      </c>
      <c r="F2140" s="6" t="s">
        <v>482</v>
      </c>
      <c r="G2140" s="6" t="s">
        <v>272</v>
      </c>
      <c r="H2140" s="6"/>
      <c r="I2140" s="14" t="s">
        <v>1642</v>
      </c>
      <c r="J2140" s="15"/>
      <c r="K2140" s="6" t="s">
        <v>1696</v>
      </c>
      <c r="L2140" s="6"/>
      <c r="M2140" s="6" t="s">
        <v>1643</v>
      </c>
      <c r="N2140" s="6" t="s">
        <v>1644</v>
      </c>
      <c r="O2140" s="7">
        <f>SUMIFS('05_상품별배치367'!$K$7:$K$373,'05_상품별배치367'!$E$7:$E$373,A2140,'05_상품별배치367'!$H$7:$H$373,"본진")</f>
        <v>0</v>
      </c>
      <c r="P2140" s="7">
        <f>SUMIFS('05_상품별배치367'!$K$7:$K$373,'05_상품별배치367'!$E$7:$E$373,A2140,'05_상품별배치367'!$H$7:$H$373,"추가 진열")</f>
        <v>0</v>
      </c>
      <c r="Q2140" s="7">
        <f>O2140+P2140</f>
        <v>0</v>
      </c>
      <c r="R2140" s="7">
        <v>1</v>
      </c>
      <c r="S2140" s="6" t="s">
        <v>1942</v>
      </c>
      <c r="T2140" s="6" t="s">
        <v>1637</v>
      </c>
      <c r="U2140" s="6"/>
      <c r="V2140" s="16"/>
      <c r="W2140" s="16"/>
      <c r="X2140" s="16"/>
      <c r="Y2140" s="6" t="s">
        <v>1627</v>
      </c>
      <c r="Z2140" s="15"/>
      <c r="AA2140" s="15" t="s">
        <v>1628</v>
      </c>
    </row>
    <row r="2141" spans="1:27" ht="33" customHeight="1">
      <c r="A2141" s="8" t="s">
        <v>3961</v>
      </c>
      <c r="B2141" s="9">
        <v>986</v>
      </c>
      <c r="C2141" s="8" t="s">
        <v>3962</v>
      </c>
      <c r="D2141" s="8" t="s">
        <v>2856</v>
      </c>
      <c r="E2141" s="8" t="s">
        <v>1814</v>
      </c>
      <c r="F2141" s="8" t="s">
        <v>1376</v>
      </c>
      <c r="G2141" s="8" t="s">
        <v>431</v>
      </c>
      <c r="H2141" s="8"/>
      <c r="I2141" s="14" t="s">
        <v>1642</v>
      </c>
      <c r="J2141" s="15"/>
      <c r="K2141" s="8" t="s">
        <v>1976</v>
      </c>
      <c r="L2141" s="8"/>
      <c r="M2141" s="6" t="s">
        <v>1643</v>
      </c>
      <c r="N2141" s="6" t="s">
        <v>1644</v>
      </c>
      <c r="O2141" s="7">
        <f>SUMIFS('05_상품별배치367'!$K$7:$K$373,'05_상품별배치367'!$E$7:$E$373,A2141,'05_상품별배치367'!$H$7:$H$373,"본진")</f>
        <v>0</v>
      </c>
      <c r="P2141" s="7">
        <f>SUMIFS('05_상품별배치367'!$K$7:$K$373,'05_상품별배치367'!$E$7:$E$373,A2141,'05_상품별배치367'!$H$7:$H$373,"추가 진열")</f>
        <v>0</v>
      </c>
      <c r="Q2141" s="7">
        <f>O2141+P2141</f>
        <v>0</v>
      </c>
      <c r="R2141" s="7">
        <v>1</v>
      </c>
      <c r="S2141" s="6" t="s">
        <v>1978</v>
      </c>
      <c r="T2141" s="6" t="s">
        <v>1637</v>
      </c>
      <c r="U2141" s="6"/>
      <c r="V2141" s="16"/>
      <c r="W2141" s="16"/>
      <c r="X2141" s="16"/>
      <c r="Y2141" s="6" t="s">
        <v>1627</v>
      </c>
      <c r="Z2141" s="15"/>
      <c r="AA2141" s="15" t="s">
        <v>1628</v>
      </c>
    </row>
    <row r="2142" spans="1:27" ht="33" customHeight="1">
      <c r="A2142" s="6" t="s">
        <v>3967</v>
      </c>
      <c r="B2142" s="7">
        <v>989</v>
      </c>
      <c r="C2142" s="6" t="s">
        <v>3968</v>
      </c>
      <c r="D2142" s="6" t="s">
        <v>1851</v>
      </c>
      <c r="E2142" s="6" t="s">
        <v>1986</v>
      </c>
      <c r="F2142" s="6" t="s">
        <v>1276</v>
      </c>
      <c r="G2142" s="6" t="s">
        <v>1987</v>
      </c>
      <c r="H2142" s="6"/>
      <c r="I2142" s="14" t="s">
        <v>1642</v>
      </c>
      <c r="J2142" s="15"/>
      <c r="K2142" s="6" t="s">
        <v>1976</v>
      </c>
      <c r="L2142" s="6"/>
      <c r="M2142" s="6" t="s">
        <v>1643</v>
      </c>
      <c r="N2142" s="6" t="s">
        <v>1644</v>
      </c>
      <c r="O2142" s="7">
        <f>SUMIFS('05_상품별배치367'!$K$7:$K$373,'05_상품별배치367'!$E$7:$E$373,A2142,'05_상품별배치367'!$H$7:$H$373,"본진")</f>
        <v>0</v>
      </c>
      <c r="P2142" s="7">
        <f>SUMIFS('05_상품별배치367'!$K$7:$K$373,'05_상품별배치367'!$E$7:$E$373,A2142,'05_상품별배치367'!$H$7:$H$373,"추가 진열")</f>
        <v>0</v>
      </c>
      <c r="Q2142" s="7">
        <f>O2142+P2142</f>
        <v>0</v>
      </c>
      <c r="R2142" s="7">
        <v>1</v>
      </c>
      <c r="S2142" s="6" t="s">
        <v>1988</v>
      </c>
      <c r="T2142" s="6" t="s">
        <v>1637</v>
      </c>
      <c r="U2142" s="6"/>
      <c r="V2142" s="16"/>
      <c r="W2142" s="16"/>
      <c r="X2142" s="16"/>
      <c r="Y2142" s="6" t="s">
        <v>1627</v>
      </c>
      <c r="Z2142" s="15"/>
      <c r="AA2142" s="15" t="s">
        <v>1628</v>
      </c>
    </row>
    <row r="2143" spans="1:27" ht="33" customHeight="1">
      <c r="A2143" s="8" t="s">
        <v>3969</v>
      </c>
      <c r="B2143" s="9">
        <v>990</v>
      </c>
      <c r="C2143" s="8" t="s">
        <v>3970</v>
      </c>
      <c r="D2143" s="8" t="s">
        <v>3971</v>
      </c>
      <c r="E2143" s="8" t="s">
        <v>1986</v>
      </c>
      <c r="F2143" s="8" t="s">
        <v>1276</v>
      </c>
      <c r="G2143" s="8" t="s">
        <v>1987</v>
      </c>
      <c r="H2143" s="8"/>
      <c r="I2143" s="14" t="s">
        <v>1642</v>
      </c>
      <c r="J2143" s="15"/>
      <c r="K2143" s="8" t="s">
        <v>1976</v>
      </c>
      <c r="L2143" s="8"/>
      <c r="M2143" s="6" t="s">
        <v>1643</v>
      </c>
      <c r="N2143" s="6" t="s">
        <v>1644</v>
      </c>
      <c r="O2143" s="7">
        <f>SUMIFS('05_상품별배치367'!$K$7:$K$373,'05_상품별배치367'!$E$7:$E$373,A2143,'05_상품별배치367'!$H$7:$H$373,"본진")</f>
        <v>0</v>
      </c>
      <c r="P2143" s="7">
        <f>SUMIFS('05_상품별배치367'!$K$7:$K$373,'05_상품별배치367'!$E$7:$E$373,A2143,'05_상품별배치367'!$H$7:$H$373,"추가 진열")</f>
        <v>0</v>
      </c>
      <c r="Q2143" s="7">
        <f>O2143+P2143</f>
        <v>0</v>
      </c>
      <c r="R2143" s="7">
        <v>1</v>
      </c>
      <c r="S2143" s="6" t="s">
        <v>1988</v>
      </c>
      <c r="T2143" s="6" t="s">
        <v>1637</v>
      </c>
      <c r="U2143" s="6"/>
      <c r="V2143" s="16"/>
      <c r="W2143" s="16"/>
      <c r="X2143" s="16"/>
      <c r="Y2143" s="6" t="s">
        <v>1627</v>
      </c>
      <c r="Z2143" s="15"/>
      <c r="AA2143" s="15" t="s">
        <v>1628</v>
      </c>
    </row>
    <row r="2144" spans="1:27" ht="33" customHeight="1">
      <c r="A2144" s="8" t="s">
        <v>5967</v>
      </c>
      <c r="B2144" s="9">
        <v>1934</v>
      </c>
      <c r="C2144" s="8" t="s">
        <v>5966</v>
      </c>
      <c r="D2144" s="8" t="s">
        <v>2418</v>
      </c>
      <c r="E2144" s="8" t="s">
        <v>1641</v>
      </c>
      <c r="F2144" s="8" t="s">
        <v>694</v>
      </c>
      <c r="G2144" s="8" t="s">
        <v>99</v>
      </c>
      <c r="H2144" s="8"/>
      <c r="I2144" s="14" t="s">
        <v>1642</v>
      </c>
      <c r="J2144" s="15"/>
      <c r="K2144" s="8" t="s">
        <v>1634</v>
      </c>
      <c r="L2144" s="8" t="s">
        <v>3828</v>
      </c>
      <c r="M2144" s="6" t="s">
        <v>1643</v>
      </c>
      <c r="N2144" s="6" t="s">
        <v>1624</v>
      </c>
      <c r="O2144" s="7">
        <f>SUMIFS('05_상품별배치367'!$K$7:$K$373,'05_상품별배치367'!$E$7:$E$373,A2144,'05_상품별배치367'!$H$7:$H$373,"본진")</f>
        <v>0</v>
      </c>
      <c r="P2144" s="7">
        <f>SUMIFS('05_상품별배치367'!$K$7:$K$373,'05_상품별배치367'!$E$7:$E$373,A2144,'05_상품별배치367'!$H$7:$H$373,"추가 진열")</f>
        <v>0</v>
      </c>
      <c r="Q2144" s="7">
        <f>O2144+P2144</f>
        <v>0</v>
      </c>
      <c r="R2144" s="7">
        <v>1</v>
      </c>
      <c r="S2144" s="6" t="s">
        <v>5964</v>
      </c>
      <c r="T2144" s="6" t="s">
        <v>1637</v>
      </c>
      <c r="U2144" s="6"/>
      <c r="V2144" s="16"/>
      <c r="W2144" s="16"/>
      <c r="X2144" s="16"/>
      <c r="Y2144" s="6" t="s">
        <v>1627</v>
      </c>
      <c r="Z2144" s="15"/>
      <c r="AA2144" s="15" t="s">
        <v>1628</v>
      </c>
    </row>
    <row r="2145" spans="1:27" ht="33" customHeight="1">
      <c r="A2145" s="6" t="s">
        <v>5965</v>
      </c>
      <c r="B2145" s="7">
        <v>1933</v>
      </c>
      <c r="C2145" s="6" t="s">
        <v>5966</v>
      </c>
      <c r="D2145" s="6" t="s">
        <v>1640</v>
      </c>
      <c r="E2145" s="6" t="s">
        <v>1641</v>
      </c>
      <c r="F2145" s="6" t="s">
        <v>694</v>
      </c>
      <c r="G2145" s="6" t="s">
        <v>99</v>
      </c>
      <c r="H2145" s="6" t="s">
        <v>693</v>
      </c>
      <c r="I2145" s="14" t="s">
        <v>1621</v>
      </c>
      <c r="J2145" s="15"/>
      <c r="K2145" s="6" t="s">
        <v>1634</v>
      </c>
      <c r="L2145" s="6" t="s">
        <v>3828</v>
      </c>
      <c r="M2145" s="6" t="s">
        <v>1623</v>
      </c>
      <c r="N2145" s="6" t="s">
        <v>1624</v>
      </c>
      <c r="O2145" s="7">
        <f>SUMIFS('05_상품별배치367'!$K$7:$K$373,'05_상품별배치367'!$E$7:$E$373,A2145,'05_상품별배치367'!$H$7:$H$373,"본진")</f>
        <v>2</v>
      </c>
      <c r="P2145" s="7">
        <f>SUMIFS('05_상품별배치367'!$K$7:$K$373,'05_상품별배치367'!$E$7:$E$373,A2145,'05_상품별배치367'!$H$7:$H$373,"추가 진열")</f>
        <v>0</v>
      </c>
      <c r="Q2145" s="7">
        <f>O2145+P2145</f>
        <v>2</v>
      </c>
      <c r="R2145" s="7">
        <v>2</v>
      </c>
      <c r="S2145" s="6" t="s">
        <v>1625</v>
      </c>
      <c r="T2145" s="6" t="s">
        <v>1637</v>
      </c>
      <c r="U2145" s="6"/>
      <c r="V2145" s="16"/>
      <c r="W2145" s="16"/>
      <c r="X2145" s="16"/>
      <c r="Y2145" s="6" t="s">
        <v>1627</v>
      </c>
      <c r="Z2145" s="15"/>
      <c r="AA2145" s="15" t="s">
        <v>1628</v>
      </c>
    </row>
    <row r="2146" spans="1:27" ht="33" customHeight="1">
      <c r="A2146" s="8" t="s">
        <v>5995</v>
      </c>
      <c r="B2146" s="9">
        <v>1948</v>
      </c>
      <c r="C2146" s="8" t="s">
        <v>5996</v>
      </c>
      <c r="D2146" s="8" t="s">
        <v>1846</v>
      </c>
      <c r="E2146" s="8" t="s">
        <v>1641</v>
      </c>
      <c r="F2146" s="8" t="s">
        <v>694</v>
      </c>
      <c r="G2146" s="8" t="s">
        <v>99</v>
      </c>
      <c r="H2146" s="8" t="s">
        <v>693</v>
      </c>
      <c r="I2146" s="14" t="s">
        <v>1633</v>
      </c>
      <c r="J2146" s="15"/>
      <c r="K2146" s="8" t="s">
        <v>1634</v>
      </c>
      <c r="L2146" s="8" t="s">
        <v>3828</v>
      </c>
      <c r="M2146" s="6" t="s">
        <v>1635</v>
      </c>
      <c r="N2146" s="6" t="s">
        <v>1624</v>
      </c>
      <c r="O2146" s="7">
        <f>SUMIFS('05_상품별배치367'!$K$7:$K$373,'05_상품별배치367'!$E$7:$E$373,A2146,'05_상품별배치367'!$H$7:$H$373,"본진")</f>
        <v>1</v>
      </c>
      <c r="P2146" s="7">
        <f>SUMIFS('05_상품별배치367'!$K$7:$K$373,'05_상품별배치367'!$E$7:$E$373,A2146,'05_상품별배치367'!$H$7:$H$373,"추가 진열")</f>
        <v>0</v>
      </c>
      <c r="Q2146" s="7">
        <f>O2146+P2146</f>
        <v>1</v>
      </c>
      <c r="R2146" s="7">
        <v>1</v>
      </c>
      <c r="S2146" s="6" t="s">
        <v>1636</v>
      </c>
      <c r="T2146" s="6" t="s">
        <v>1637</v>
      </c>
      <c r="U2146" s="6"/>
      <c r="V2146" s="16"/>
      <c r="W2146" s="16"/>
      <c r="X2146" s="16"/>
      <c r="Y2146" s="6" t="s">
        <v>1627</v>
      </c>
      <c r="Z2146" s="15"/>
      <c r="AA2146" s="15" t="s">
        <v>1628</v>
      </c>
    </row>
    <row r="2147" spans="1:27" ht="33" customHeight="1">
      <c r="A2147" s="8" t="s">
        <v>5988</v>
      </c>
      <c r="B2147" s="9">
        <v>1944</v>
      </c>
      <c r="C2147" s="8" t="s">
        <v>5989</v>
      </c>
      <c r="D2147" s="8" t="s">
        <v>1846</v>
      </c>
      <c r="E2147" s="8" t="s">
        <v>1641</v>
      </c>
      <c r="F2147" s="8" t="s">
        <v>694</v>
      </c>
      <c r="G2147" s="8" t="s">
        <v>99</v>
      </c>
      <c r="H2147" s="8"/>
      <c r="I2147" s="14" t="s">
        <v>1642</v>
      </c>
      <c r="J2147" s="15"/>
      <c r="K2147" s="8" t="s">
        <v>1634</v>
      </c>
      <c r="L2147" s="8" t="s">
        <v>3828</v>
      </c>
      <c r="M2147" s="6" t="s">
        <v>1643</v>
      </c>
      <c r="N2147" s="6" t="s">
        <v>1624</v>
      </c>
      <c r="O2147" s="7">
        <f>SUMIFS('05_상품별배치367'!$K$7:$K$373,'05_상품별배치367'!$E$7:$E$373,A2147,'05_상품별배치367'!$H$7:$H$373,"본진")</f>
        <v>0</v>
      </c>
      <c r="P2147" s="7">
        <f>SUMIFS('05_상품별배치367'!$K$7:$K$373,'05_상품별배치367'!$E$7:$E$373,A2147,'05_상품별배치367'!$H$7:$H$373,"추가 진열")</f>
        <v>0</v>
      </c>
      <c r="Q2147" s="7">
        <f>O2147+P2147</f>
        <v>0</v>
      </c>
      <c r="R2147" s="7">
        <v>1</v>
      </c>
      <c r="S2147" s="6" t="s">
        <v>5964</v>
      </c>
      <c r="T2147" s="6" t="s">
        <v>1637</v>
      </c>
      <c r="U2147" s="6"/>
      <c r="V2147" s="16"/>
      <c r="W2147" s="16"/>
      <c r="X2147" s="16"/>
      <c r="Y2147" s="6" t="s">
        <v>1627</v>
      </c>
      <c r="Z2147" s="15"/>
      <c r="AA2147" s="15" t="s">
        <v>1628</v>
      </c>
    </row>
    <row r="2148" spans="1:27" ht="33" customHeight="1">
      <c r="A2148" s="8" t="s">
        <v>5962</v>
      </c>
      <c r="B2148" s="9">
        <v>1932</v>
      </c>
      <c r="C2148" s="8" t="s">
        <v>5963</v>
      </c>
      <c r="D2148" s="8" t="s">
        <v>1640</v>
      </c>
      <c r="E2148" s="8" t="s">
        <v>1641</v>
      </c>
      <c r="F2148" s="8" t="s">
        <v>694</v>
      </c>
      <c r="G2148" s="8" t="s">
        <v>99</v>
      </c>
      <c r="H2148" s="8"/>
      <c r="I2148" s="14" t="s">
        <v>1642</v>
      </c>
      <c r="J2148" s="15"/>
      <c r="K2148" s="8" t="s">
        <v>1634</v>
      </c>
      <c r="L2148" s="8" t="s">
        <v>3828</v>
      </c>
      <c r="M2148" s="6" t="s">
        <v>1643</v>
      </c>
      <c r="N2148" s="6" t="s">
        <v>1624</v>
      </c>
      <c r="O2148" s="7">
        <f>SUMIFS('05_상품별배치367'!$K$7:$K$373,'05_상품별배치367'!$E$7:$E$373,A2148,'05_상품별배치367'!$H$7:$H$373,"본진")</f>
        <v>0</v>
      </c>
      <c r="P2148" s="7">
        <f>SUMIFS('05_상품별배치367'!$K$7:$K$373,'05_상품별배치367'!$E$7:$E$373,A2148,'05_상품별배치367'!$H$7:$H$373,"추가 진열")</f>
        <v>0</v>
      </c>
      <c r="Q2148" s="7">
        <f>O2148+P2148</f>
        <v>0</v>
      </c>
      <c r="R2148" s="7">
        <v>1</v>
      </c>
      <c r="S2148" s="6" t="s">
        <v>5964</v>
      </c>
      <c r="T2148" s="6" t="s">
        <v>1637</v>
      </c>
      <c r="U2148" s="6"/>
      <c r="V2148" s="16"/>
      <c r="W2148" s="16"/>
      <c r="X2148" s="16"/>
      <c r="Y2148" s="6" t="s">
        <v>1627</v>
      </c>
      <c r="Z2148" s="15"/>
      <c r="AA2148" s="15" t="s">
        <v>1628</v>
      </c>
    </row>
    <row r="2149" spans="1:27" ht="33" customHeight="1">
      <c r="A2149" s="8" t="s">
        <v>5990</v>
      </c>
      <c r="B2149" s="9">
        <v>1946</v>
      </c>
      <c r="C2149" s="8" t="s">
        <v>5991</v>
      </c>
      <c r="D2149" s="8" t="s">
        <v>5979</v>
      </c>
      <c r="E2149" s="8" t="s">
        <v>1641</v>
      </c>
      <c r="F2149" s="8" t="s">
        <v>694</v>
      </c>
      <c r="G2149" s="8" t="s">
        <v>99</v>
      </c>
      <c r="H2149" s="8" t="s">
        <v>693</v>
      </c>
      <c r="I2149" s="14" t="s">
        <v>1633</v>
      </c>
      <c r="J2149" s="15"/>
      <c r="K2149" s="8" t="s">
        <v>1634</v>
      </c>
      <c r="L2149" s="8" t="s">
        <v>3828</v>
      </c>
      <c r="M2149" s="6" t="s">
        <v>1635</v>
      </c>
      <c r="N2149" s="6" t="s">
        <v>1624</v>
      </c>
      <c r="O2149" s="7">
        <f>SUMIFS('05_상품별배치367'!$K$7:$K$373,'05_상품별배치367'!$E$7:$E$373,A2149,'05_상품별배치367'!$H$7:$H$373,"본진")</f>
        <v>1</v>
      </c>
      <c r="P2149" s="7">
        <f>SUMIFS('05_상품별배치367'!$K$7:$K$373,'05_상품별배치367'!$E$7:$E$373,A2149,'05_상품별배치367'!$H$7:$H$373,"추가 진열")</f>
        <v>0</v>
      </c>
      <c r="Q2149" s="7">
        <f>O2149+P2149</f>
        <v>1</v>
      </c>
      <c r="R2149" s="7">
        <v>1</v>
      </c>
      <c r="S2149" s="6" t="s">
        <v>1636</v>
      </c>
      <c r="T2149" s="6" t="s">
        <v>1637</v>
      </c>
      <c r="U2149" s="6"/>
      <c r="V2149" s="16"/>
      <c r="W2149" s="16"/>
      <c r="X2149" s="16"/>
      <c r="Y2149" s="6" t="s">
        <v>1627</v>
      </c>
      <c r="Z2149" s="15"/>
      <c r="AA2149" s="15" t="s">
        <v>1628</v>
      </c>
    </row>
    <row r="2150" spans="1:27" ht="33" customHeight="1">
      <c r="A2150" s="8" t="s">
        <v>6295</v>
      </c>
      <c r="B2150" s="9">
        <v>2074</v>
      </c>
      <c r="C2150" s="8" t="s">
        <v>6296</v>
      </c>
      <c r="D2150" s="8"/>
      <c r="E2150" s="8" t="s">
        <v>1997</v>
      </c>
      <c r="F2150" s="8" t="s">
        <v>1998</v>
      </c>
      <c r="G2150" s="8" t="s">
        <v>1668</v>
      </c>
      <c r="H2150" s="8"/>
      <c r="I2150" s="14" t="s">
        <v>1999</v>
      </c>
      <c r="J2150" s="15"/>
      <c r="K2150" s="8" t="s">
        <v>2000</v>
      </c>
      <c r="L2150" s="8" t="s">
        <v>6297</v>
      </c>
      <c r="M2150" s="6" t="s">
        <v>1671</v>
      </c>
      <c r="N2150" s="6" t="s">
        <v>1644</v>
      </c>
      <c r="O2150" s="7">
        <f>SUMIFS('05_상품별배치367'!$K$7:$K$373,'05_상품별배치367'!$E$7:$E$373,A2150,'05_상품별배치367'!$H$7:$H$373,"본진")</f>
        <v>0</v>
      </c>
      <c r="P2150" s="7">
        <f>SUMIFS('05_상품별배치367'!$K$7:$K$373,'05_상품별배치367'!$E$7:$E$373,A2150,'05_상품별배치367'!$H$7:$H$373,"추가 진열")</f>
        <v>0</v>
      </c>
      <c r="Q2150" s="7">
        <f>O2150+P2150</f>
        <v>0</v>
      </c>
      <c r="R2150" s="7">
        <v>0</v>
      </c>
      <c r="S2150" s="6" t="s">
        <v>2002</v>
      </c>
      <c r="T2150" s="6" t="s">
        <v>1637</v>
      </c>
      <c r="U2150" s="6"/>
      <c r="V2150" s="16"/>
      <c r="W2150" s="16"/>
      <c r="X2150" s="16"/>
      <c r="Y2150" s="6" t="s">
        <v>5772</v>
      </c>
      <c r="Z2150" s="15"/>
      <c r="AA2150" s="15" t="s">
        <v>1628</v>
      </c>
    </row>
    <row r="2151" spans="1:27" ht="33" customHeight="1">
      <c r="A2151" s="6" t="s">
        <v>7175</v>
      </c>
      <c r="B2151" s="7">
        <v>2491</v>
      </c>
      <c r="C2151" s="6" t="s">
        <v>7176</v>
      </c>
      <c r="D2151" s="6" t="s">
        <v>2910</v>
      </c>
      <c r="E2151" s="6" t="s">
        <v>1666</v>
      </c>
      <c r="F2151" s="6" t="s">
        <v>1852</v>
      </c>
      <c r="G2151" s="6" t="s">
        <v>1853</v>
      </c>
      <c r="H2151" s="6"/>
      <c r="I2151" s="14" t="s">
        <v>1669</v>
      </c>
      <c r="J2151" s="15"/>
      <c r="K2151" s="6" t="s">
        <v>1670</v>
      </c>
      <c r="L2151" s="6" t="s">
        <v>3828</v>
      </c>
      <c r="M2151" s="6" t="s">
        <v>1671</v>
      </c>
      <c r="N2151" s="6" t="s">
        <v>1624</v>
      </c>
      <c r="O2151" s="7">
        <f>SUMIFS('05_상품별배치367'!$K$7:$K$373,'05_상품별배치367'!$E$7:$E$373,A2151,'05_상품별배치367'!$H$7:$H$373,"본진")</f>
        <v>0</v>
      </c>
      <c r="P2151" s="7">
        <f>SUMIFS('05_상품별배치367'!$K$7:$K$373,'05_상품별배치367'!$E$7:$E$373,A2151,'05_상품별배치367'!$H$7:$H$373,"추가 진열")</f>
        <v>0</v>
      </c>
      <c r="Q2151" s="7">
        <f>O2151+P2151</f>
        <v>0</v>
      </c>
      <c r="R2151" s="7">
        <v>0</v>
      </c>
      <c r="S2151" s="6" t="s">
        <v>1672</v>
      </c>
      <c r="T2151" s="6" t="s">
        <v>1637</v>
      </c>
      <c r="U2151" s="6"/>
      <c r="V2151" s="16"/>
      <c r="W2151" s="16"/>
      <c r="X2151" s="16"/>
      <c r="Y2151" s="6" t="s">
        <v>1627</v>
      </c>
      <c r="Z2151" s="15"/>
      <c r="AA2151" s="15" t="s">
        <v>1628</v>
      </c>
    </row>
    <row r="2152" spans="1:27" ht="33" customHeight="1">
      <c r="A2152" s="8" t="s">
        <v>5845</v>
      </c>
      <c r="B2152" s="9">
        <v>1878</v>
      </c>
      <c r="C2152" s="8" t="s">
        <v>5846</v>
      </c>
      <c r="D2152" s="8" t="s">
        <v>1631</v>
      </c>
      <c r="E2152" s="8" t="s">
        <v>1632</v>
      </c>
      <c r="F2152" s="8" t="s">
        <v>1401</v>
      </c>
      <c r="G2152" s="8" t="s">
        <v>447</v>
      </c>
      <c r="H2152" s="8" t="s">
        <v>1400</v>
      </c>
      <c r="I2152" s="14" t="s">
        <v>1633</v>
      </c>
      <c r="J2152" s="15"/>
      <c r="K2152" s="8" t="s">
        <v>1634</v>
      </c>
      <c r="L2152" s="8" t="s">
        <v>3828</v>
      </c>
      <c r="M2152" s="6" t="s">
        <v>1635</v>
      </c>
      <c r="N2152" s="6" t="s">
        <v>1624</v>
      </c>
      <c r="O2152" s="7">
        <f>SUMIFS('05_상품별배치367'!$K$7:$K$373,'05_상품별배치367'!$E$7:$E$373,A2152,'05_상품별배치367'!$H$7:$H$373,"본진")</f>
        <v>1</v>
      </c>
      <c r="P2152" s="7">
        <f>SUMIFS('05_상품별배치367'!$K$7:$K$373,'05_상품별배치367'!$E$7:$E$373,A2152,'05_상품별배치367'!$H$7:$H$373,"추가 진열")</f>
        <v>0</v>
      </c>
      <c r="Q2152" s="7">
        <f>O2152+P2152</f>
        <v>1</v>
      </c>
      <c r="R2152" s="7">
        <v>1</v>
      </c>
      <c r="S2152" s="6" t="s">
        <v>1636</v>
      </c>
      <c r="T2152" s="6" t="s">
        <v>1637</v>
      </c>
      <c r="U2152" s="6"/>
      <c r="V2152" s="16"/>
      <c r="W2152" s="16"/>
      <c r="X2152" s="16"/>
      <c r="Y2152" s="6" t="s">
        <v>1627</v>
      </c>
      <c r="Z2152" s="15"/>
      <c r="AA2152" s="15" t="s">
        <v>1628</v>
      </c>
    </row>
    <row r="2153" spans="1:27" ht="33" customHeight="1">
      <c r="A2153" s="6" t="s">
        <v>7166</v>
      </c>
      <c r="B2153" s="7">
        <v>2485</v>
      </c>
      <c r="C2153" s="6" t="s">
        <v>7167</v>
      </c>
      <c r="D2153" s="6" t="s">
        <v>7165</v>
      </c>
      <c r="E2153" s="6" t="s">
        <v>1814</v>
      </c>
      <c r="F2153" s="6" t="s">
        <v>726</v>
      </c>
      <c r="G2153" s="6" t="s">
        <v>107</v>
      </c>
      <c r="H2153" s="6"/>
      <c r="I2153" s="14" t="s">
        <v>1642</v>
      </c>
      <c r="J2153" s="15"/>
      <c r="K2153" s="6" t="s">
        <v>6293</v>
      </c>
      <c r="L2153" s="6" t="s">
        <v>3828</v>
      </c>
      <c r="M2153" s="6" t="s">
        <v>1643</v>
      </c>
      <c r="N2153" s="6" t="s">
        <v>1624</v>
      </c>
      <c r="O2153" s="7">
        <f>SUMIFS('05_상품별배치367'!$K$7:$K$373,'05_상품별배치367'!$E$7:$E$373,A2153,'05_상품별배치367'!$H$7:$H$373,"본진")</f>
        <v>0</v>
      </c>
      <c r="P2153" s="7">
        <f>SUMIFS('05_상품별배치367'!$K$7:$K$373,'05_상품별배치367'!$E$7:$E$373,A2153,'05_상품별배치367'!$H$7:$H$373,"추가 진열")</f>
        <v>0</v>
      </c>
      <c r="Q2153" s="7">
        <f>O2153+P2153</f>
        <v>0</v>
      </c>
      <c r="R2153" s="7">
        <v>1</v>
      </c>
      <c r="S2153" s="6" t="s">
        <v>6364</v>
      </c>
      <c r="T2153" s="6" t="s">
        <v>6294</v>
      </c>
      <c r="U2153" s="6"/>
      <c r="V2153" s="16"/>
      <c r="W2153" s="16"/>
      <c r="X2153" s="16"/>
      <c r="Y2153" s="6" t="s">
        <v>1627</v>
      </c>
      <c r="Z2153" s="15"/>
      <c r="AA2153" s="15" t="s">
        <v>1628</v>
      </c>
    </row>
    <row r="2154" spans="1:27" ht="33" customHeight="1">
      <c r="A2154" s="6" t="s">
        <v>6290</v>
      </c>
      <c r="B2154" s="7">
        <v>2073</v>
      </c>
      <c r="C2154" s="6" t="s">
        <v>6291</v>
      </c>
      <c r="D2154" s="6" t="s">
        <v>6292</v>
      </c>
      <c r="E2154" s="6" t="s">
        <v>1814</v>
      </c>
      <c r="F2154" s="6" t="s">
        <v>726</v>
      </c>
      <c r="G2154" s="6" t="s">
        <v>107</v>
      </c>
      <c r="H2154" s="6" t="s">
        <v>735</v>
      </c>
      <c r="I2154" s="14" t="s">
        <v>1633</v>
      </c>
      <c r="J2154" s="15"/>
      <c r="K2154" s="6" t="s">
        <v>6293</v>
      </c>
      <c r="L2154" s="6" t="s">
        <v>3828</v>
      </c>
      <c r="M2154" s="6" t="s">
        <v>1635</v>
      </c>
      <c r="N2154" s="6" t="s">
        <v>1624</v>
      </c>
      <c r="O2154" s="7">
        <f>SUMIFS('05_상품별배치367'!$K$7:$K$373,'05_상품별배치367'!$E$7:$E$373,A2154,'05_상품별배치367'!$H$7:$H$373,"본진")</f>
        <v>1</v>
      </c>
      <c r="P2154" s="7">
        <f>SUMIFS('05_상품별배치367'!$K$7:$K$373,'05_상품별배치367'!$E$7:$E$373,A2154,'05_상품별배치367'!$H$7:$H$373,"추가 진열")</f>
        <v>0</v>
      </c>
      <c r="Q2154" s="7">
        <f>O2154+P2154</f>
        <v>1</v>
      </c>
      <c r="R2154" s="7">
        <v>1</v>
      </c>
      <c r="S2154" s="6" t="s">
        <v>1636</v>
      </c>
      <c r="T2154" s="6" t="s">
        <v>6294</v>
      </c>
      <c r="U2154" s="6"/>
      <c r="V2154" s="16"/>
      <c r="W2154" s="16"/>
      <c r="X2154" s="16"/>
      <c r="Y2154" s="6" t="s">
        <v>1627</v>
      </c>
      <c r="Z2154" s="15"/>
      <c r="AA2154" s="15" t="s">
        <v>1628</v>
      </c>
    </row>
    <row r="2155" spans="1:27" ht="33" customHeight="1">
      <c r="A2155" s="8" t="s">
        <v>7163</v>
      </c>
      <c r="B2155" s="9">
        <v>2484</v>
      </c>
      <c r="C2155" s="8" t="s">
        <v>7164</v>
      </c>
      <c r="D2155" s="8" t="s">
        <v>7165</v>
      </c>
      <c r="E2155" s="8" t="s">
        <v>1814</v>
      </c>
      <c r="F2155" s="8" t="s">
        <v>726</v>
      </c>
      <c r="G2155" s="8" t="s">
        <v>107</v>
      </c>
      <c r="H2155" s="8" t="s">
        <v>735</v>
      </c>
      <c r="I2155" s="14" t="s">
        <v>1633</v>
      </c>
      <c r="J2155" s="15"/>
      <c r="K2155" s="8" t="s">
        <v>6293</v>
      </c>
      <c r="L2155" s="8" t="s">
        <v>3828</v>
      </c>
      <c r="M2155" s="6" t="s">
        <v>1635</v>
      </c>
      <c r="N2155" s="6" t="s">
        <v>1624</v>
      </c>
      <c r="O2155" s="7">
        <f>SUMIFS('05_상품별배치367'!$K$7:$K$373,'05_상품별배치367'!$E$7:$E$373,A2155,'05_상품별배치367'!$H$7:$H$373,"본진")</f>
        <v>1</v>
      </c>
      <c r="P2155" s="7">
        <f>SUMIFS('05_상품별배치367'!$K$7:$K$373,'05_상품별배치367'!$E$7:$E$373,A2155,'05_상품별배치367'!$H$7:$H$373,"추가 진열")</f>
        <v>0</v>
      </c>
      <c r="Q2155" s="7">
        <f>O2155+P2155</f>
        <v>1</v>
      </c>
      <c r="R2155" s="7">
        <v>1</v>
      </c>
      <c r="S2155" s="6" t="s">
        <v>1636</v>
      </c>
      <c r="T2155" s="6" t="s">
        <v>6294</v>
      </c>
      <c r="U2155" s="6"/>
      <c r="V2155" s="16"/>
      <c r="W2155" s="16"/>
      <c r="X2155" s="16"/>
      <c r="Y2155" s="6" t="s">
        <v>1627</v>
      </c>
      <c r="Z2155" s="15"/>
      <c r="AA2155" s="15" t="s">
        <v>1628</v>
      </c>
    </row>
    <row r="2156" spans="1:27" ht="33" customHeight="1">
      <c r="A2156" s="8" t="s">
        <v>6868</v>
      </c>
      <c r="B2156" s="9">
        <v>2346</v>
      </c>
      <c r="C2156" s="8" t="s">
        <v>6869</v>
      </c>
      <c r="D2156" s="8" t="s">
        <v>3393</v>
      </c>
      <c r="E2156" s="8" t="s">
        <v>1814</v>
      </c>
      <c r="F2156" s="8" t="s">
        <v>721</v>
      </c>
      <c r="G2156" s="8" t="s">
        <v>107</v>
      </c>
      <c r="H2156" s="8"/>
      <c r="I2156" s="14" t="s">
        <v>1642</v>
      </c>
      <c r="J2156" s="15"/>
      <c r="K2156" s="8" t="s">
        <v>6293</v>
      </c>
      <c r="L2156" s="8" t="s">
        <v>3828</v>
      </c>
      <c r="M2156" s="6" t="s">
        <v>1643</v>
      </c>
      <c r="N2156" s="6" t="s">
        <v>1624</v>
      </c>
      <c r="O2156" s="7">
        <f>SUMIFS('05_상품별배치367'!$K$7:$K$373,'05_상품별배치367'!$E$7:$E$373,A2156,'05_상품별배치367'!$H$7:$H$373,"본진")</f>
        <v>0</v>
      </c>
      <c r="P2156" s="7">
        <f>SUMIFS('05_상품별배치367'!$K$7:$K$373,'05_상품별배치367'!$E$7:$E$373,A2156,'05_상품별배치367'!$H$7:$H$373,"추가 진열")</f>
        <v>0</v>
      </c>
      <c r="Q2156" s="7">
        <f>O2156+P2156</f>
        <v>0</v>
      </c>
      <c r="R2156" s="7">
        <v>1</v>
      </c>
      <c r="S2156" s="6" t="s">
        <v>6806</v>
      </c>
      <c r="T2156" s="6" t="s">
        <v>6294</v>
      </c>
      <c r="U2156" s="6"/>
      <c r="V2156" s="16"/>
      <c r="W2156" s="16"/>
      <c r="X2156" s="16"/>
      <c r="Y2156" s="6" t="s">
        <v>1627</v>
      </c>
      <c r="Z2156" s="15"/>
      <c r="AA2156" s="15" t="s">
        <v>1628</v>
      </c>
    </row>
    <row r="2157" spans="1:27" ht="33" customHeight="1">
      <c r="A2157" s="6" t="s">
        <v>1787</v>
      </c>
      <c r="B2157" s="7">
        <v>57</v>
      </c>
      <c r="C2157" s="6" t="s">
        <v>1788</v>
      </c>
      <c r="D2157" s="6" t="s">
        <v>1649</v>
      </c>
      <c r="E2157" s="6" t="s">
        <v>1632</v>
      </c>
      <c r="F2157" s="6" t="s">
        <v>1401</v>
      </c>
      <c r="G2157" s="6" t="s">
        <v>447</v>
      </c>
      <c r="H2157" s="6"/>
      <c r="I2157" s="14" t="s">
        <v>1642</v>
      </c>
      <c r="J2157" s="15"/>
      <c r="K2157" s="6" t="s">
        <v>1634</v>
      </c>
      <c r="L2157" s="6"/>
      <c r="M2157" s="6" t="s">
        <v>1643</v>
      </c>
      <c r="N2157" s="6" t="s">
        <v>1624</v>
      </c>
      <c r="O2157" s="7">
        <f>SUMIFS('05_상품별배치367'!$K$7:$K$373,'05_상품별배치367'!$E$7:$E$373,A2157,'05_상품별배치367'!$H$7:$H$373,"본진")</f>
        <v>0</v>
      </c>
      <c r="P2157" s="7">
        <f>SUMIFS('05_상품별배치367'!$K$7:$K$373,'05_상품별배치367'!$E$7:$E$373,A2157,'05_상품별배치367'!$H$7:$H$373,"추가 진열")</f>
        <v>0</v>
      </c>
      <c r="Q2157" s="7">
        <f>O2157+P2157</f>
        <v>0</v>
      </c>
      <c r="R2157" s="7">
        <v>1</v>
      </c>
      <c r="S2157" s="6" t="s">
        <v>1789</v>
      </c>
      <c r="T2157" s="6" t="s">
        <v>1637</v>
      </c>
      <c r="U2157" s="6"/>
      <c r="V2157" s="16"/>
      <c r="W2157" s="16"/>
      <c r="X2157" s="16"/>
      <c r="Y2157" s="6" t="s">
        <v>1627</v>
      </c>
      <c r="Z2157" s="15"/>
      <c r="AA2157" s="15" t="s">
        <v>1628</v>
      </c>
    </row>
    <row r="2158" spans="1:27" ht="33" customHeight="1">
      <c r="A2158" s="6" t="s">
        <v>5433</v>
      </c>
      <c r="B2158" s="7">
        <v>1681</v>
      </c>
      <c r="C2158" s="6" t="s">
        <v>5434</v>
      </c>
      <c r="D2158" s="6" t="s">
        <v>1941</v>
      </c>
      <c r="E2158" s="6" t="s">
        <v>1986</v>
      </c>
      <c r="F2158" s="6" t="s">
        <v>913</v>
      </c>
      <c r="G2158" s="6" t="s">
        <v>201</v>
      </c>
      <c r="H2158" s="6"/>
      <c r="I2158" s="14" t="s">
        <v>1642</v>
      </c>
      <c r="J2158" s="15"/>
      <c r="K2158" s="6" t="s">
        <v>1976</v>
      </c>
      <c r="L2158" s="6"/>
      <c r="M2158" s="6" t="s">
        <v>1643</v>
      </c>
      <c r="N2158" s="6" t="s">
        <v>1644</v>
      </c>
      <c r="O2158" s="7">
        <f>SUMIFS('05_상품별배치367'!$K$7:$K$373,'05_상품별배치367'!$E$7:$E$373,A2158,'05_상품별배치367'!$H$7:$H$373,"본진")</f>
        <v>0</v>
      </c>
      <c r="P2158" s="7">
        <f>SUMIFS('05_상품별배치367'!$K$7:$K$373,'05_상품별배치367'!$E$7:$E$373,A2158,'05_상품별배치367'!$H$7:$H$373,"추가 진열")</f>
        <v>0</v>
      </c>
      <c r="Q2158" s="7">
        <f>O2158+P2158</f>
        <v>0</v>
      </c>
      <c r="R2158" s="7">
        <v>1</v>
      </c>
      <c r="S2158" s="6" t="s">
        <v>2907</v>
      </c>
      <c r="T2158" s="6" t="s">
        <v>1637</v>
      </c>
      <c r="U2158" s="6"/>
      <c r="V2158" s="16"/>
      <c r="W2158" s="16"/>
      <c r="X2158" s="16"/>
      <c r="Y2158" s="6" t="s">
        <v>1627</v>
      </c>
      <c r="Z2158" s="15"/>
      <c r="AA2158" s="15" t="s">
        <v>1628</v>
      </c>
    </row>
    <row r="2159" spans="1:27" ht="33" customHeight="1">
      <c r="A2159" s="6" t="s">
        <v>5428</v>
      </c>
      <c r="B2159" s="7">
        <v>1679</v>
      </c>
      <c r="C2159" s="6" t="s">
        <v>5429</v>
      </c>
      <c r="D2159" s="6" t="s">
        <v>5430</v>
      </c>
      <c r="E2159" s="6" t="s">
        <v>1986</v>
      </c>
      <c r="F2159" s="6" t="s">
        <v>913</v>
      </c>
      <c r="G2159" s="6" t="s">
        <v>201</v>
      </c>
      <c r="H2159" s="6"/>
      <c r="I2159" s="14" t="s">
        <v>1642</v>
      </c>
      <c r="J2159" s="15"/>
      <c r="K2159" s="6" t="s">
        <v>1976</v>
      </c>
      <c r="L2159" s="6"/>
      <c r="M2159" s="6" t="s">
        <v>1643</v>
      </c>
      <c r="N2159" s="6" t="s">
        <v>1644</v>
      </c>
      <c r="O2159" s="7">
        <f>SUMIFS('05_상품별배치367'!$K$7:$K$373,'05_상품별배치367'!$E$7:$E$373,A2159,'05_상품별배치367'!$H$7:$H$373,"본진")</f>
        <v>0</v>
      </c>
      <c r="P2159" s="7">
        <f>SUMIFS('05_상품별배치367'!$K$7:$K$373,'05_상품별배치367'!$E$7:$E$373,A2159,'05_상품별배치367'!$H$7:$H$373,"추가 진열")</f>
        <v>0</v>
      </c>
      <c r="Q2159" s="7">
        <f>O2159+P2159</f>
        <v>0</v>
      </c>
      <c r="R2159" s="7">
        <v>1</v>
      </c>
      <c r="S2159" s="6" t="s">
        <v>2907</v>
      </c>
      <c r="T2159" s="6" t="s">
        <v>1637</v>
      </c>
      <c r="U2159" s="6"/>
      <c r="V2159" s="16"/>
      <c r="W2159" s="16"/>
      <c r="X2159" s="16"/>
      <c r="Y2159" s="6" t="s">
        <v>1627</v>
      </c>
      <c r="Z2159" s="15"/>
      <c r="AA2159" s="15" t="s">
        <v>1628</v>
      </c>
    </row>
    <row r="2160" spans="1:27" ht="33" customHeight="1">
      <c r="A2160" s="8" t="s">
        <v>5435</v>
      </c>
      <c r="B2160" s="9">
        <v>1682</v>
      </c>
      <c r="C2160" s="8" t="s">
        <v>5436</v>
      </c>
      <c r="D2160" s="8" t="s">
        <v>1941</v>
      </c>
      <c r="E2160" s="8" t="s">
        <v>1986</v>
      </c>
      <c r="F2160" s="8" t="s">
        <v>913</v>
      </c>
      <c r="G2160" s="8" t="s">
        <v>201</v>
      </c>
      <c r="H2160" s="8"/>
      <c r="I2160" s="14" t="s">
        <v>1642</v>
      </c>
      <c r="J2160" s="15"/>
      <c r="K2160" s="8" t="s">
        <v>1976</v>
      </c>
      <c r="L2160" s="8"/>
      <c r="M2160" s="6" t="s">
        <v>1643</v>
      </c>
      <c r="N2160" s="6" t="s">
        <v>1644</v>
      </c>
      <c r="O2160" s="7">
        <f>SUMIFS('05_상품별배치367'!$K$7:$K$373,'05_상품별배치367'!$E$7:$E$373,A2160,'05_상품별배치367'!$H$7:$H$373,"본진")</f>
        <v>0</v>
      </c>
      <c r="P2160" s="7">
        <f>SUMIFS('05_상품별배치367'!$K$7:$K$373,'05_상품별배치367'!$E$7:$E$373,A2160,'05_상품별배치367'!$H$7:$H$373,"추가 진열")</f>
        <v>0</v>
      </c>
      <c r="Q2160" s="7">
        <f>O2160+P2160</f>
        <v>0</v>
      </c>
      <c r="R2160" s="7">
        <v>1</v>
      </c>
      <c r="S2160" s="6" t="s">
        <v>2907</v>
      </c>
      <c r="T2160" s="6" t="s">
        <v>1637</v>
      </c>
      <c r="U2160" s="6"/>
      <c r="V2160" s="16"/>
      <c r="W2160" s="16"/>
      <c r="X2160" s="16"/>
      <c r="Y2160" s="6" t="s">
        <v>1627</v>
      </c>
      <c r="Z2160" s="15"/>
      <c r="AA2160" s="15" t="s">
        <v>1628</v>
      </c>
    </row>
    <row r="2161" spans="1:27" ht="33" customHeight="1">
      <c r="A2161" s="8" t="s">
        <v>5431</v>
      </c>
      <c r="B2161" s="9">
        <v>1680</v>
      </c>
      <c r="C2161" s="8" t="s">
        <v>5432</v>
      </c>
      <c r="D2161" s="8" t="s">
        <v>5430</v>
      </c>
      <c r="E2161" s="8" t="s">
        <v>1986</v>
      </c>
      <c r="F2161" s="8" t="s">
        <v>913</v>
      </c>
      <c r="G2161" s="8" t="s">
        <v>201</v>
      </c>
      <c r="H2161" s="8"/>
      <c r="I2161" s="14" t="s">
        <v>1642</v>
      </c>
      <c r="J2161" s="15"/>
      <c r="K2161" s="8" t="s">
        <v>1976</v>
      </c>
      <c r="L2161" s="8"/>
      <c r="M2161" s="6" t="s">
        <v>1643</v>
      </c>
      <c r="N2161" s="6" t="s">
        <v>1644</v>
      </c>
      <c r="O2161" s="7">
        <f>SUMIFS('05_상품별배치367'!$K$7:$K$373,'05_상품별배치367'!$E$7:$E$373,A2161,'05_상품별배치367'!$H$7:$H$373,"본진")</f>
        <v>0</v>
      </c>
      <c r="P2161" s="7">
        <f>SUMIFS('05_상품별배치367'!$K$7:$K$373,'05_상품별배치367'!$E$7:$E$373,A2161,'05_상품별배치367'!$H$7:$H$373,"추가 진열")</f>
        <v>0</v>
      </c>
      <c r="Q2161" s="7">
        <f>O2161+P2161</f>
        <v>0</v>
      </c>
      <c r="R2161" s="7">
        <v>1</v>
      </c>
      <c r="S2161" s="6" t="s">
        <v>2907</v>
      </c>
      <c r="T2161" s="6" t="s">
        <v>1637</v>
      </c>
      <c r="U2161" s="6"/>
      <c r="V2161" s="16"/>
      <c r="W2161" s="16"/>
      <c r="X2161" s="16"/>
      <c r="Y2161" s="6" t="s">
        <v>1627</v>
      </c>
      <c r="Z2161" s="15"/>
      <c r="AA2161" s="15" t="s">
        <v>1628</v>
      </c>
    </row>
    <row r="2162" spans="1:27" ht="33" customHeight="1">
      <c r="A2162" s="6" t="s">
        <v>3233</v>
      </c>
      <c r="B2162" s="7">
        <v>653</v>
      </c>
      <c r="C2162" s="6" t="s">
        <v>3234</v>
      </c>
      <c r="D2162" s="6" t="s">
        <v>2856</v>
      </c>
      <c r="E2162" s="6" t="s">
        <v>2134</v>
      </c>
      <c r="F2162" s="6" t="s">
        <v>1081</v>
      </c>
      <c r="G2162" s="6" t="s">
        <v>290</v>
      </c>
      <c r="H2162" s="6"/>
      <c r="I2162" s="14" t="s">
        <v>1642</v>
      </c>
      <c r="J2162" s="15"/>
      <c r="K2162" s="6" t="s">
        <v>1976</v>
      </c>
      <c r="L2162" s="6"/>
      <c r="M2162" s="6" t="s">
        <v>1643</v>
      </c>
      <c r="N2162" s="6" t="s">
        <v>1644</v>
      </c>
      <c r="O2162" s="7">
        <f>SUMIFS('05_상품별배치367'!$K$7:$K$373,'05_상품별배치367'!$E$7:$E$373,A2162,'05_상품별배치367'!$H$7:$H$373,"본진")</f>
        <v>0</v>
      </c>
      <c r="P2162" s="7">
        <f>SUMIFS('05_상품별배치367'!$K$7:$K$373,'05_상품별배치367'!$E$7:$E$373,A2162,'05_상품별배치367'!$H$7:$H$373,"추가 진열")</f>
        <v>0</v>
      </c>
      <c r="Q2162" s="7">
        <f>O2162+P2162</f>
        <v>0</v>
      </c>
      <c r="R2162" s="7">
        <v>1</v>
      </c>
      <c r="S2162" s="6" t="s">
        <v>2135</v>
      </c>
      <c r="T2162" s="6" t="s">
        <v>1637</v>
      </c>
      <c r="U2162" s="6"/>
      <c r="V2162" s="16"/>
      <c r="W2162" s="16"/>
      <c r="X2162" s="16"/>
      <c r="Y2162" s="6" t="s">
        <v>1627</v>
      </c>
      <c r="Z2162" s="15"/>
      <c r="AA2162" s="15" t="s">
        <v>1628</v>
      </c>
    </row>
    <row r="2163" spans="1:27" ht="33" customHeight="1">
      <c r="A2163" s="8" t="s">
        <v>3230</v>
      </c>
      <c r="B2163" s="9">
        <v>652</v>
      </c>
      <c r="C2163" s="8" t="s">
        <v>3231</v>
      </c>
      <c r="D2163" s="8" t="s">
        <v>3232</v>
      </c>
      <c r="E2163" s="8" t="s">
        <v>2134</v>
      </c>
      <c r="F2163" s="8" t="s">
        <v>1081</v>
      </c>
      <c r="G2163" s="8" t="s">
        <v>290</v>
      </c>
      <c r="H2163" s="8"/>
      <c r="I2163" s="14" t="s">
        <v>1642</v>
      </c>
      <c r="J2163" s="15"/>
      <c r="K2163" s="8" t="s">
        <v>1976</v>
      </c>
      <c r="L2163" s="8"/>
      <c r="M2163" s="6" t="s">
        <v>1643</v>
      </c>
      <c r="N2163" s="6" t="s">
        <v>1644</v>
      </c>
      <c r="O2163" s="7">
        <f>SUMIFS('05_상품별배치367'!$K$7:$K$373,'05_상품별배치367'!$E$7:$E$373,A2163,'05_상품별배치367'!$H$7:$H$373,"본진")</f>
        <v>0</v>
      </c>
      <c r="P2163" s="7">
        <f>SUMIFS('05_상품별배치367'!$K$7:$K$373,'05_상품별배치367'!$E$7:$E$373,A2163,'05_상품별배치367'!$H$7:$H$373,"추가 진열")</f>
        <v>0</v>
      </c>
      <c r="Q2163" s="7">
        <f>O2163+P2163</f>
        <v>0</v>
      </c>
      <c r="R2163" s="7">
        <v>1</v>
      </c>
      <c r="S2163" s="6" t="s">
        <v>2135</v>
      </c>
      <c r="T2163" s="6" t="s">
        <v>1637</v>
      </c>
      <c r="U2163" s="6"/>
      <c r="V2163" s="16"/>
      <c r="W2163" s="16"/>
      <c r="X2163" s="16"/>
      <c r="Y2163" s="6" t="s">
        <v>1627</v>
      </c>
      <c r="Z2163" s="15"/>
      <c r="AA2163" s="15" t="s">
        <v>1628</v>
      </c>
    </row>
    <row r="2164" spans="1:27" ht="33" customHeight="1">
      <c r="A2164" s="6" t="s">
        <v>3237</v>
      </c>
      <c r="B2164" s="7">
        <v>655</v>
      </c>
      <c r="C2164" s="6" t="s">
        <v>3238</v>
      </c>
      <c r="D2164" s="6" t="s">
        <v>2133</v>
      </c>
      <c r="E2164" s="6" t="s">
        <v>2134</v>
      </c>
      <c r="F2164" s="6" t="s">
        <v>156</v>
      </c>
      <c r="G2164" s="6" t="s">
        <v>3239</v>
      </c>
      <c r="H2164" s="6"/>
      <c r="I2164" s="14" t="s">
        <v>1642</v>
      </c>
      <c r="J2164" s="15"/>
      <c r="K2164" s="6" t="s">
        <v>1976</v>
      </c>
      <c r="L2164" s="6"/>
      <c r="M2164" s="6" t="s">
        <v>1643</v>
      </c>
      <c r="N2164" s="6" t="s">
        <v>1644</v>
      </c>
      <c r="O2164" s="7">
        <f>SUMIFS('05_상품별배치367'!$K$7:$K$373,'05_상품별배치367'!$E$7:$E$373,A2164,'05_상품별배치367'!$H$7:$H$373,"본진")</f>
        <v>0</v>
      </c>
      <c r="P2164" s="7">
        <f>SUMIFS('05_상품별배치367'!$K$7:$K$373,'05_상품별배치367'!$E$7:$E$373,A2164,'05_상품별배치367'!$H$7:$H$373,"추가 진열")</f>
        <v>0</v>
      </c>
      <c r="Q2164" s="7">
        <f>O2164+P2164</f>
        <v>0</v>
      </c>
      <c r="R2164" s="7">
        <v>1</v>
      </c>
      <c r="S2164" s="6" t="s">
        <v>3240</v>
      </c>
      <c r="T2164" s="6" t="s">
        <v>1637</v>
      </c>
      <c r="U2164" s="6"/>
      <c r="V2164" s="16"/>
      <c r="W2164" s="16"/>
      <c r="X2164" s="16"/>
      <c r="Y2164" s="6" t="s">
        <v>1627</v>
      </c>
      <c r="Z2164" s="15"/>
      <c r="AA2164" s="15" t="s">
        <v>1628</v>
      </c>
    </row>
    <row r="2165" spans="1:27" ht="33" customHeight="1">
      <c r="A2165" s="6" t="s">
        <v>3243</v>
      </c>
      <c r="B2165" s="7">
        <v>657</v>
      </c>
      <c r="C2165" s="6" t="s">
        <v>3244</v>
      </c>
      <c r="D2165" s="6" t="s">
        <v>2133</v>
      </c>
      <c r="E2165" s="6" t="s">
        <v>2134</v>
      </c>
      <c r="F2165" s="6" t="s">
        <v>2933</v>
      </c>
      <c r="G2165" s="6" t="s">
        <v>1668</v>
      </c>
      <c r="H2165" s="6"/>
      <c r="I2165" s="14" t="s">
        <v>1807</v>
      </c>
      <c r="J2165" s="15"/>
      <c r="K2165" s="6" t="s">
        <v>1976</v>
      </c>
      <c r="L2165" s="6" t="s">
        <v>2032</v>
      </c>
      <c r="M2165" s="6" t="s">
        <v>1809</v>
      </c>
      <c r="N2165" s="6" t="s">
        <v>1644</v>
      </c>
      <c r="O2165" s="7">
        <f>SUMIFS('05_상품별배치367'!$K$7:$K$373,'05_상품별배치367'!$E$7:$E$373,A2165,'05_상품별배치367'!$H$7:$H$373,"본진")</f>
        <v>0</v>
      </c>
      <c r="P2165" s="7">
        <f>SUMIFS('05_상품별배치367'!$K$7:$K$373,'05_상품별배치367'!$E$7:$E$373,A2165,'05_상품별배치367'!$H$7:$H$373,"추가 진열")</f>
        <v>0</v>
      </c>
      <c r="Q2165" s="7">
        <f>O2165+P2165</f>
        <v>0</v>
      </c>
      <c r="R2165" s="7">
        <v>0</v>
      </c>
      <c r="S2165" s="6" t="s">
        <v>1810</v>
      </c>
      <c r="T2165" s="6" t="s">
        <v>1637</v>
      </c>
      <c r="U2165" s="6"/>
      <c r="V2165" s="16"/>
      <c r="W2165" s="16"/>
      <c r="X2165" s="16"/>
      <c r="Y2165" s="6" t="s">
        <v>1627</v>
      </c>
      <c r="Z2165" s="15"/>
      <c r="AA2165" s="15" t="s">
        <v>1628</v>
      </c>
    </row>
    <row r="2166" spans="1:27" ht="33" customHeight="1">
      <c r="A2166" s="6" t="s">
        <v>3223</v>
      </c>
      <c r="B2166" s="7">
        <v>649</v>
      </c>
      <c r="C2166" s="6" t="s">
        <v>3224</v>
      </c>
      <c r="D2166" s="6" t="s">
        <v>2133</v>
      </c>
      <c r="E2166" s="6" t="s">
        <v>2134</v>
      </c>
      <c r="F2166" s="6" t="s">
        <v>162</v>
      </c>
      <c r="G2166" s="6" t="s">
        <v>404</v>
      </c>
      <c r="H2166" s="6"/>
      <c r="I2166" s="14" t="s">
        <v>1642</v>
      </c>
      <c r="J2166" s="15"/>
      <c r="K2166" s="6" t="s">
        <v>1976</v>
      </c>
      <c r="L2166" s="6"/>
      <c r="M2166" s="6" t="s">
        <v>1643</v>
      </c>
      <c r="N2166" s="6" t="s">
        <v>1644</v>
      </c>
      <c r="O2166" s="7">
        <f>SUMIFS('05_상품별배치367'!$K$7:$K$373,'05_상품별배치367'!$E$7:$E$373,A2166,'05_상품별배치367'!$H$7:$H$373,"본진")</f>
        <v>0</v>
      </c>
      <c r="P2166" s="7">
        <f>SUMIFS('05_상품별배치367'!$K$7:$K$373,'05_상품별배치367'!$E$7:$E$373,A2166,'05_상품별배치367'!$H$7:$H$373,"추가 진열")</f>
        <v>0</v>
      </c>
      <c r="Q2166" s="7">
        <f>O2166+P2166</f>
        <v>0</v>
      </c>
      <c r="R2166" s="7">
        <v>1</v>
      </c>
      <c r="S2166" s="6" t="s">
        <v>2996</v>
      </c>
      <c r="T2166" s="6" t="s">
        <v>1637</v>
      </c>
      <c r="U2166" s="6"/>
      <c r="V2166" s="16"/>
      <c r="W2166" s="16"/>
      <c r="X2166" s="16"/>
      <c r="Y2166" s="6" t="s">
        <v>1627</v>
      </c>
      <c r="Z2166" s="15"/>
      <c r="AA2166" s="15" t="s">
        <v>1628</v>
      </c>
    </row>
    <row r="2167" spans="1:27" ht="33" customHeight="1">
      <c r="A2167" s="8" t="s">
        <v>3217</v>
      </c>
      <c r="B2167" s="9">
        <v>646</v>
      </c>
      <c r="C2167" s="8" t="s">
        <v>3218</v>
      </c>
      <c r="D2167" s="8" t="s">
        <v>2133</v>
      </c>
      <c r="E2167" s="8" t="s">
        <v>2134</v>
      </c>
      <c r="F2167" s="8" t="s">
        <v>162</v>
      </c>
      <c r="G2167" s="8" t="s">
        <v>404</v>
      </c>
      <c r="H2167" s="8"/>
      <c r="I2167" s="14" t="s">
        <v>1642</v>
      </c>
      <c r="J2167" s="15"/>
      <c r="K2167" s="8" t="s">
        <v>1976</v>
      </c>
      <c r="L2167" s="8"/>
      <c r="M2167" s="6" t="s">
        <v>1643</v>
      </c>
      <c r="N2167" s="6" t="s">
        <v>1644</v>
      </c>
      <c r="O2167" s="7">
        <f>SUMIFS('05_상품별배치367'!$K$7:$K$373,'05_상품별배치367'!$E$7:$E$373,A2167,'05_상품별배치367'!$H$7:$H$373,"본진")</f>
        <v>0</v>
      </c>
      <c r="P2167" s="7">
        <f>SUMIFS('05_상품별배치367'!$K$7:$K$373,'05_상품별배치367'!$E$7:$E$373,A2167,'05_상품별배치367'!$H$7:$H$373,"추가 진열")</f>
        <v>0</v>
      </c>
      <c r="Q2167" s="7">
        <f>O2167+P2167</f>
        <v>0</v>
      </c>
      <c r="R2167" s="7">
        <v>1</v>
      </c>
      <c r="S2167" s="6" t="s">
        <v>2996</v>
      </c>
      <c r="T2167" s="6" t="s">
        <v>1637</v>
      </c>
      <c r="U2167" s="6"/>
      <c r="V2167" s="16"/>
      <c r="W2167" s="16"/>
      <c r="X2167" s="16"/>
      <c r="Y2167" s="6" t="s">
        <v>1627</v>
      </c>
      <c r="Z2167" s="15"/>
      <c r="AA2167" s="15" t="s">
        <v>1628</v>
      </c>
    </row>
    <row r="2168" spans="1:27" ht="33" customHeight="1">
      <c r="A2168" s="6" t="s">
        <v>3219</v>
      </c>
      <c r="B2168" s="7">
        <v>647</v>
      </c>
      <c r="C2168" s="6" t="s">
        <v>3220</v>
      </c>
      <c r="D2168" s="6" t="s">
        <v>2133</v>
      </c>
      <c r="E2168" s="6" t="s">
        <v>1986</v>
      </c>
      <c r="F2168" s="6" t="s">
        <v>493</v>
      </c>
      <c r="G2168" s="6" t="s">
        <v>299</v>
      </c>
      <c r="H2168" s="6"/>
      <c r="I2168" s="14" t="s">
        <v>1642</v>
      </c>
      <c r="J2168" s="15"/>
      <c r="K2168" s="6" t="s">
        <v>1976</v>
      </c>
      <c r="L2168" s="6"/>
      <c r="M2168" s="6" t="s">
        <v>1643</v>
      </c>
      <c r="N2168" s="6" t="s">
        <v>1644</v>
      </c>
      <c r="O2168" s="7">
        <f>SUMIFS('05_상품별배치367'!$K$7:$K$373,'05_상품별배치367'!$E$7:$E$373,A2168,'05_상품별배치367'!$H$7:$H$373,"본진")</f>
        <v>0</v>
      </c>
      <c r="P2168" s="7">
        <f>SUMIFS('05_상품별배치367'!$K$7:$K$373,'05_상품별배치367'!$E$7:$E$373,A2168,'05_상품별배치367'!$H$7:$H$373,"추가 진열")</f>
        <v>0</v>
      </c>
      <c r="Q2168" s="7">
        <f>O2168+P2168</f>
        <v>0</v>
      </c>
      <c r="R2168" s="7">
        <v>1</v>
      </c>
      <c r="S2168" s="6" t="s">
        <v>3084</v>
      </c>
      <c r="T2168" s="6" t="s">
        <v>1637</v>
      </c>
      <c r="U2168" s="6"/>
      <c r="V2168" s="16"/>
      <c r="W2168" s="16"/>
      <c r="X2168" s="16"/>
      <c r="Y2168" s="6" t="s">
        <v>1627</v>
      </c>
      <c r="Z2168" s="15"/>
      <c r="AA2168" s="15" t="s">
        <v>1628</v>
      </c>
    </row>
    <row r="2169" spans="1:27" ht="33" customHeight="1">
      <c r="A2169" s="8" t="s">
        <v>3225</v>
      </c>
      <c r="B2169" s="9">
        <v>650</v>
      </c>
      <c r="C2169" s="8" t="s">
        <v>3226</v>
      </c>
      <c r="D2169" s="8" t="s">
        <v>3227</v>
      </c>
      <c r="E2169" s="8" t="s">
        <v>1986</v>
      </c>
      <c r="F2169" s="8" t="s">
        <v>493</v>
      </c>
      <c r="G2169" s="8" t="s">
        <v>299</v>
      </c>
      <c r="H2169" s="8"/>
      <c r="I2169" s="14" t="s">
        <v>1642</v>
      </c>
      <c r="J2169" s="15"/>
      <c r="K2169" s="8" t="s">
        <v>1976</v>
      </c>
      <c r="L2169" s="8"/>
      <c r="M2169" s="6" t="s">
        <v>1643</v>
      </c>
      <c r="N2169" s="6" t="s">
        <v>1644</v>
      </c>
      <c r="O2169" s="7">
        <f>SUMIFS('05_상품별배치367'!$K$7:$K$373,'05_상품별배치367'!$E$7:$E$373,A2169,'05_상품별배치367'!$H$7:$H$373,"본진")</f>
        <v>0</v>
      </c>
      <c r="P2169" s="7">
        <f>SUMIFS('05_상품별배치367'!$K$7:$K$373,'05_상품별배치367'!$E$7:$E$373,A2169,'05_상품별배치367'!$H$7:$H$373,"추가 진열")</f>
        <v>0</v>
      </c>
      <c r="Q2169" s="7">
        <f>O2169+P2169</f>
        <v>0</v>
      </c>
      <c r="R2169" s="7">
        <v>1</v>
      </c>
      <c r="S2169" s="6" t="s">
        <v>3084</v>
      </c>
      <c r="T2169" s="6" t="s">
        <v>1637</v>
      </c>
      <c r="U2169" s="6"/>
      <c r="V2169" s="16"/>
      <c r="W2169" s="16"/>
      <c r="X2169" s="16"/>
      <c r="Y2169" s="6" t="s">
        <v>1627</v>
      </c>
      <c r="Z2169" s="15"/>
      <c r="AA2169" s="15" t="s">
        <v>1628</v>
      </c>
    </row>
    <row r="2170" spans="1:27" ht="33" customHeight="1">
      <c r="A2170" s="6" t="s">
        <v>3228</v>
      </c>
      <c r="B2170" s="7">
        <v>651</v>
      </c>
      <c r="C2170" s="6" t="s">
        <v>3229</v>
      </c>
      <c r="D2170" s="6" t="s">
        <v>1876</v>
      </c>
      <c r="E2170" s="6" t="s">
        <v>1986</v>
      </c>
      <c r="F2170" s="6" t="s">
        <v>913</v>
      </c>
      <c r="G2170" s="6" t="s">
        <v>201</v>
      </c>
      <c r="H2170" s="6"/>
      <c r="I2170" s="14" t="s">
        <v>1642</v>
      </c>
      <c r="J2170" s="15"/>
      <c r="K2170" s="6" t="s">
        <v>1976</v>
      </c>
      <c r="L2170" s="6"/>
      <c r="M2170" s="6" t="s">
        <v>1643</v>
      </c>
      <c r="N2170" s="6" t="s">
        <v>1644</v>
      </c>
      <c r="O2170" s="7">
        <f>SUMIFS('05_상품별배치367'!$K$7:$K$373,'05_상품별배치367'!$E$7:$E$373,A2170,'05_상품별배치367'!$H$7:$H$373,"본진")</f>
        <v>0</v>
      </c>
      <c r="P2170" s="7">
        <f>SUMIFS('05_상품별배치367'!$K$7:$K$373,'05_상품별배치367'!$E$7:$E$373,A2170,'05_상품별배치367'!$H$7:$H$373,"추가 진열")</f>
        <v>0</v>
      </c>
      <c r="Q2170" s="7">
        <f>O2170+P2170</f>
        <v>0</v>
      </c>
      <c r="R2170" s="7">
        <v>1</v>
      </c>
      <c r="S2170" s="6" t="s">
        <v>2907</v>
      </c>
      <c r="T2170" s="6" t="s">
        <v>1637</v>
      </c>
      <c r="U2170" s="6"/>
      <c r="V2170" s="16"/>
      <c r="W2170" s="16"/>
      <c r="X2170" s="16"/>
      <c r="Y2170" s="6" t="s">
        <v>1627</v>
      </c>
      <c r="Z2170" s="15"/>
      <c r="AA2170" s="15" t="s">
        <v>1628</v>
      </c>
    </row>
    <row r="2171" spans="1:27" ht="33" customHeight="1">
      <c r="A2171" s="8" t="s">
        <v>3221</v>
      </c>
      <c r="B2171" s="9">
        <v>648</v>
      </c>
      <c r="C2171" s="8" t="s">
        <v>3222</v>
      </c>
      <c r="D2171" s="8" t="s">
        <v>2133</v>
      </c>
      <c r="E2171" s="8" t="s">
        <v>1986</v>
      </c>
      <c r="F2171" s="8" t="s">
        <v>493</v>
      </c>
      <c r="G2171" s="8" t="s">
        <v>299</v>
      </c>
      <c r="H2171" s="8"/>
      <c r="I2171" s="14" t="s">
        <v>1642</v>
      </c>
      <c r="J2171" s="15"/>
      <c r="K2171" s="8" t="s">
        <v>1976</v>
      </c>
      <c r="L2171" s="8"/>
      <c r="M2171" s="6" t="s">
        <v>1643</v>
      </c>
      <c r="N2171" s="6" t="s">
        <v>1644</v>
      </c>
      <c r="O2171" s="7">
        <f>SUMIFS('05_상품별배치367'!$K$7:$K$373,'05_상품별배치367'!$E$7:$E$373,A2171,'05_상품별배치367'!$H$7:$H$373,"본진")</f>
        <v>0</v>
      </c>
      <c r="P2171" s="7">
        <f>SUMIFS('05_상품별배치367'!$K$7:$K$373,'05_상품별배치367'!$E$7:$E$373,A2171,'05_상품별배치367'!$H$7:$H$373,"추가 진열")</f>
        <v>0</v>
      </c>
      <c r="Q2171" s="7">
        <f>O2171+P2171</f>
        <v>0</v>
      </c>
      <c r="R2171" s="7">
        <v>1</v>
      </c>
      <c r="S2171" s="6" t="s">
        <v>3084</v>
      </c>
      <c r="T2171" s="6" t="s">
        <v>1637</v>
      </c>
      <c r="U2171" s="6"/>
      <c r="V2171" s="16"/>
      <c r="W2171" s="16"/>
      <c r="X2171" s="16"/>
      <c r="Y2171" s="6" t="s">
        <v>1627</v>
      </c>
      <c r="Z2171" s="15"/>
      <c r="AA2171" s="15" t="s">
        <v>1628</v>
      </c>
    </row>
    <row r="2172" spans="1:27" ht="33" customHeight="1">
      <c r="A2172" s="8" t="s">
        <v>3241</v>
      </c>
      <c r="B2172" s="9">
        <v>656</v>
      </c>
      <c r="C2172" s="8" t="s">
        <v>3242</v>
      </c>
      <c r="D2172" s="8" t="s">
        <v>2133</v>
      </c>
      <c r="E2172" s="8" t="s">
        <v>2134</v>
      </c>
      <c r="F2172" s="8" t="s">
        <v>161</v>
      </c>
      <c r="G2172" s="8" t="s">
        <v>395</v>
      </c>
      <c r="H2172" s="8"/>
      <c r="I2172" s="14" t="s">
        <v>1642</v>
      </c>
      <c r="J2172" s="15"/>
      <c r="K2172" s="8" t="s">
        <v>1976</v>
      </c>
      <c r="L2172" s="8"/>
      <c r="M2172" s="6" t="s">
        <v>1643</v>
      </c>
      <c r="N2172" s="6" t="s">
        <v>1644</v>
      </c>
      <c r="O2172" s="7">
        <f>SUMIFS('05_상품별배치367'!$K$7:$K$373,'05_상품별배치367'!$E$7:$E$373,A2172,'05_상품별배치367'!$H$7:$H$373,"본진")</f>
        <v>0</v>
      </c>
      <c r="P2172" s="7">
        <f>SUMIFS('05_상품별배치367'!$K$7:$K$373,'05_상품별배치367'!$E$7:$E$373,A2172,'05_상품별배치367'!$H$7:$H$373,"추가 진열")</f>
        <v>0</v>
      </c>
      <c r="Q2172" s="7">
        <f>O2172+P2172</f>
        <v>0</v>
      </c>
      <c r="R2172" s="7">
        <v>1</v>
      </c>
      <c r="S2172" s="6" t="s">
        <v>3070</v>
      </c>
      <c r="T2172" s="6" t="s">
        <v>1637</v>
      </c>
      <c r="U2172" s="6"/>
      <c r="V2172" s="16"/>
      <c r="W2172" s="16"/>
      <c r="X2172" s="16"/>
      <c r="Y2172" s="6" t="s">
        <v>1627</v>
      </c>
      <c r="Z2172" s="15"/>
      <c r="AA2172" s="15" t="s">
        <v>1628</v>
      </c>
    </row>
    <row r="2173" spans="1:27" ht="33" customHeight="1">
      <c r="A2173" s="8" t="s">
        <v>3235</v>
      </c>
      <c r="B2173" s="9">
        <v>654</v>
      </c>
      <c r="C2173" s="8" t="s">
        <v>3236</v>
      </c>
      <c r="D2173" s="8" t="s">
        <v>2856</v>
      </c>
      <c r="E2173" s="8" t="s">
        <v>2134</v>
      </c>
      <c r="F2173" s="8" t="s">
        <v>1081</v>
      </c>
      <c r="G2173" s="8" t="s">
        <v>290</v>
      </c>
      <c r="H2173" s="8"/>
      <c r="I2173" s="14" t="s">
        <v>1642</v>
      </c>
      <c r="J2173" s="15"/>
      <c r="K2173" s="8" t="s">
        <v>1976</v>
      </c>
      <c r="L2173" s="8"/>
      <c r="M2173" s="6" t="s">
        <v>1643</v>
      </c>
      <c r="N2173" s="6" t="s">
        <v>1644</v>
      </c>
      <c r="O2173" s="7">
        <f>SUMIFS('05_상품별배치367'!$K$7:$K$373,'05_상품별배치367'!$E$7:$E$373,A2173,'05_상품별배치367'!$H$7:$H$373,"본진")</f>
        <v>0</v>
      </c>
      <c r="P2173" s="7">
        <f>SUMIFS('05_상품별배치367'!$K$7:$K$373,'05_상품별배치367'!$E$7:$E$373,A2173,'05_상품별배치367'!$H$7:$H$373,"추가 진열")</f>
        <v>0</v>
      </c>
      <c r="Q2173" s="7">
        <f>O2173+P2173</f>
        <v>0</v>
      </c>
      <c r="R2173" s="7">
        <v>1</v>
      </c>
      <c r="S2173" s="6" t="s">
        <v>2135</v>
      </c>
      <c r="T2173" s="6" t="s">
        <v>1637</v>
      </c>
      <c r="U2173" s="6"/>
      <c r="V2173" s="16"/>
      <c r="W2173" s="16"/>
      <c r="X2173" s="16"/>
      <c r="Y2173" s="6" t="s">
        <v>1627</v>
      </c>
      <c r="Z2173" s="15"/>
      <c r="AA2173" s="15" t="s">
        <v>1628</v>
      </c>
    </row>
    <row r="2174" spans="1:27" ht="33" customHeight="1">
      <c r="A2174" s="8" t="s">
        <v>6450</v>
      </c>
      <c r="B2174" s="9">
        <v>2142</v>
      </c>
      <c r="C2174" s="8" t="s">
        <v>6451</v>
      </c>
      <c r="D2174" s="8" t="s">
        <v>2680</v>
      </c>
      <c r="E2174" s="8" t="s">
        <v>1666</v>
      </c>
      <c r="F2174" s="8" t="s">
        <v>347</v>
      </c>
      <c r="G2174" s="8" t="s">
        <v>341</v>
      </c>
      <c r="H2174" s="8"/>
      <c r="I2174" s="14" t="s">
        <v>1642</v>
      </c>
      <c r="J2174" s="15"/>
      <c r="K2174" s="8" t="s">
        <v>1670</v>
      </c>
      <c r="L2174" s="8"/>
      <c r="M2174" s="6" t="s">
        <v>1643</v>
      </c>
      <c r="N2174" s="6" t="s">
        <v>1644</v>
      </c>
      <c r="O2174" s="7">
        <f>SUMIFS('05_상품별배치367'!$K$7:$K$373,'05_상품별배치367'!$E$7:$E$373,A2174,'05_상품별배치367'!$H$7:$H$373,"본진")</f>
        <v>0</v>
      </c>
      <c r="P2174" s="7">
        <f>SUMIFS('05_상품별배치367'!$K$7:$K$373,'05_상품별배치367'!$E$7:$E$373,A2174,'05_상품별배치367'!$H$7:$H$373,"추가 진열")</f>
        <v>0</v>
      </c>
      <c r="Q2174" s="7">
        <f>O2174+P2174</f>
        <v>0</v>
      </c>
      <c r="R2174" s="7">
        <v>1</v>
      </c>
      <c r="S2174" s="6" t="s">
        <v>2018</v>
      </c>
      <c r="T2174" s="6" t="s">
        <v>1637</v>
      </c>
      <c r="U2174" s="6"/>
      <c r="V2174" s="16"/>
      <c r="W2174" s="16"/>
      <c r="X2174" s="16"/>
      <c r="Y2174" s="6" t="s">
        <v>1627</v>
      </c>
      <c r="Z2174" s="15"/>
      <c r="AA2174" s="15" t="s">
        <v>1628</v>
      </c>
    </row>
    <row r="2175" spans="1:27" ht="33" customHeight="1">
      <c r="A2175" s="6" t="s">
        <v>6452</v>
      </c>
      <c r="B2175" s="7">
        <v>2143</v>
      </c>
      <c r="C2175" s="6" t="s">
        <v>6453</v>
      </c>
      <c r="D2175" s="6" t="s">
        <v>2680</v>
      </c>
      <c r="E2175" s="6" t="s">
        <v>1666</v>
      </c>
      <c r="F2175" s="6" t="s">
        <v>347</v>
      </c>
      <c r="G2175" s="6" t="s">
        <v>341</v>
      </c>
      <c r="H2175" s="6"/>
      <c r="I2175" s="14" t="s">
        <v>1642</v>
      </c>
      <c r="J2175" s="15"/>
      <c r="K2175" s="6" t="s">
        <v>1670</v>
      </c>
      <c r="L2175" s="6"/>
      <c r="M2175" s="6" t="s">
        <v>1643</v>
      </c>
      <c r="N2175" s="6" t="s">
        <v>1644</v>
      </c>
      <c r="O2175" s="7">
        <f>SUMIFS('05_상품별배치367'!$K$7:$K$373,'05_상품별배치367'!$E$7:$E$373,A2175,'05_상품별배치367'!$H$7:$H$373,"본진")</f>
        <v>0</v>
      </c>
      <c r="P2175" s="7">
        <f>SUMIFS('05_상품별배치367'!$K$7:$K$373,'05_상품별배치367'!$E$7:$E$373,A2175,'05_상품별배치367'!$H$7:$H$373,"추가 진열")</f>
        <v>0</v>
      </c>
      <c r="Q2175" s="7">
        <f>O2175+P2175</f>
        <v>0</v>
      </c>
      <c r="R2175" s="7">
        <v>1</v>
      </c>
      <c r="S2175" s="6" t="s">
        <v>2018</v>
      </c>
      <c r="T2175" s="6" t="s">
        <v>1637</v>
      </c>
      <c r="U2175" s="6"/>
      <c r="V2175" s="16"/>
      <c r="W2175" s="16"/>
      <c r="X2175" s="16"/>
      <c r="Y2175" s="6" t="s">
        <v>1627</v>
      </c>
      <c r="Z2175" s="15"/>
      <c r="AA2175" s="15" t="s">
        <v>1628</v>
      </c>
    </row>
    <row r="2176" spans="1:27" ht="33" customHeight="1">
      <c r="A2176" s="8" t="s">
        <v>6454</v>
      </c>
      <c r="B2176" s="9">
        <v>2144</v>
      </c>
      <c r="C2176" s="8" t="s">
        <v>6455</v>
      </c>
      <c r="D2176" s="8" t="s">
        <v>2680</v>
      </c>
      <c r="E2176" s="8" t="s">
        <v>1666</v>
      </c>
      <c r="F2176" s="8" t="s">
        <v>347</v>
      </c>
      <c r="G2176" s="8" t="s">
        <v>341</v>
      </c>
      <c r="H2176" s="8"/>
      <c r="I2176" s="14" t="s">
        <v>1642</v>
      </c>
      <c r="J2176" s="15"/>
      <c r="K2176" s="8" t="s">
        <v>1670</v>
      </c>
      <c r="L2176" s="8"/>
      <c r="M2176" s="6" t="s">
        <v>1643</v>
      </c>
      <c r="N2176" s="6" t="s">
        <v>1644</v>
      </c>
      <c r="O2176" s="7">
        <f>SUMIFS('05_상품별배치367'!$K$7:$K$373,'05_상품별배치367'!$E$7:$E$373,A2176,'05_상품별배치367'!$H$7:$H$373,"본진")</f>
        <v>0</v>
      </c>
      <c r="P2176" s="7">
        <f>SUMIFS('05_상품별배치367'!$K$7:$K$373,'05_상품별배치367'!$E$7:$E$373,A2176,'05_상품별배치367'!$H$7:$H$373,"추가 진열")</f>
        <v>0</v>
      </c>
      <c r="Q2176" s="7">
        <f>O2176+P2176</f>
        <v>0</v>
      </c>
      <c r="R2176" s="7">
        <v>1</v>
      </c>
      <c r="S2176" s="6" t="s">
        <v>2018</v>
      </c>
      <c r="T2176" s="6" t="s">
        <v>1637</v>
      </c>
      <c r="U2176" s="6"/>
      <c r="V2176" s="16"/>
      <c r="W2176" s="16"/>
      <c r="X2176" s="16"/>
      <c r="Y2176" s="6" t="s">
        <v>1627</v>
      </c>
      <c r="Z2176" s="15"/>
      <c r="AA2176" s="15" t="s">
        <v>1628</v>
      </c>
    </row>
    <row r="2177" spans="1:27" ht="33" customHeight="1">
      <c r="A2177" s="6" t="s">
        <v>6456</v>
      </c>
      <c r="B2177" s="7">
        <v>2145</v>
      </c>
      <c r="C2177" s="6" t="s">
        <v>6457</v>
      </c>
      <c r="D2177" s="6" t="s">
        <v>2680</v>
      </c>
      <c r="E2177" s="6" t="s">
        <v>1666</v>
      </c>
      <c r="F2177" s="6" t="s">
        <v>347</v>
      </c>
      <c r="G2177" s="6" t="s">
        <v>341</v>
      </c>
      <c r="H2177" s="6" t="s">
        <v>1202</v>
      </c>
      <c r="I2177" s="14" t="s">
        <v>1633</v>
      </c>
      <c r="J2177" s="15"/>
      <c r="K2177" s="6" t="s">
        <v>1670</v>
      </c>
      <c r="L2177" s="6"/>
      <c r="M2177" s="6" t="s">
        <v>1635</v>
      </c>
      <c r="N2177" s="6" t="s">
        <v>1624</v>
      </c>
      <c r="O2177" s="7">
        <f>SUMIFS('05_상품별배치367'!$K$7:$K$373,'05_상품별배치367'!$E$7:$E$373,A2177,'05_상품별배치367'!$H$7:$H$373,"본진")</f>
        <v>1</v>
      </c>
      <c r="P2177" s="7">
        <f>SUMIFS('05_상품별배치367'!$K$7:$K$373,'05_상품별배치367'!$E$7:$E$373,A2177,'05_상품별배치367'!$H$7:$H$373,"추가 진열")</f>
        <v>0</v>
      </c>
      <c r="Q2177" s="7">
        <f>O2177+P2177</f>
        <v>1</v>
      </c>
      <c r="R2177" s="7">
        <v>1</v>
      </c>
      <c r="S2177" s="6" t="s">
        <v>1636</v>
      </c>
      <c r="T2177" s="6" t="s">
        <v>1637</v>
      </c>
      <c r="U2177" s="6"/>
      <c r="V2177" s="16"/>
      <c r="W2177" s="16"/>
      <c r="X2177" s="16"/>
      <c r="Y2177" s="6" t="s">
        <v>1627</v>
      </c>
      <c r="Z2177" s="15"/>
      <c r="AA2177" s="15" t="s">
        <v>1628</v>
      </c>
    </row>
    <row r="2178" spans="1:27" ht="33" customHeight="1">
      <c r="A2178" s="8" t="s">
        <v>6458</v>
      </c>
      <c r="B2178" s="9">
        <v>2146</v>
      </c>
      <c r="C2178" s="8" t="s">
        <v>6459</v>
      </c>
      <c r="D2178" s="8" t="s">
        <v>6460</v>
      </c>
      <c r="E2178" s="8" t="s">
        <v>1666</v>
      </c>
      <c r="F2178" s="8" t="s">
        <v>347</v>
      </c>
      <c r="G2178" s="8" t="s">
        <v>341</v>
      </c>
      <c r="H2178" s="8"/>
      <c r="I2178" s="14" t="s">
        <v>1642</v>
      </c>
      <c r="J2178" s="15"/>
      <c r="K2178" s="8" t="s">
        <v>1670</v>
      </c>
      <c r="L2178" s="8"/>
      <c r="M2178" s="6" t="s">
        <v>1643</v>
      </c>
      <c r="N2178" s="6" t="s">
        <v>1644</v>
      </c>
      <c r="O2178" s="7">
        <f>SUMIFS('05_상품별배치367'!$K$7:$K$373,'05_상품별배치367'!$E$7:$E$373,A2178,'05_상품별배치367'!$H$7:$H$373,"본진")</f>
        <v>0</v>
      </c>
      <c r="P2178" s="7">
        <f>SUMIFS('05_상품별배치367'!$K$7:$K$373,'05_상품별배치367'!$E$7:$E$373,A2178,'05_상품별배치367'!$H$7:$H$373,"추가 진열")</f>
        <v>0</v>
      </c>
      <c r="Q2178" s="7">
        <f>O2178+P2178</f>
        <v>0</v>
      </c>
      <c r="R2178" s="7">
        <v>1</v>
      </c>
      <c r="S2178" s="6" t="s">
        <v>2018</v>
      </c>
      <c r="T2178" s="6" t="s">
        <v>1637</v>
      </c>
      <c r="U2178" s="6"/>
      <c r="V2178" s="16"/>
      <c r="W2178" s="16"/>
      <c r="X2178" s="16"/>
      <c r="Y2178" s="6" t="s">
        <v>1627</v>
      </c>
      <c r="Z2178" s="15"/>
      <c r="AA2178" s="15" t="s">
        <v>1628</v>
      </c>
    </row>
    <row r="2179" spans="1:27" ht="33" customHeight="1">
      <c r="A2179" s="6" t="s">
        <v>6461</v>
      </c>
      <c r="B2179" s="7">
        <v>2147</v>
      </c>
      <c r="C2179" s="6" t="s">
        <v>6462</v>
      </c>
      <c r="D2179" s="6" t="s">
        <v>1931</v>
      </c>
      <c r="E2179" s="6" t="s">
        <v>1666</v>
      </c>
      <c r="F2179" s="6" t="s">
        <v>1667</v>
      </c>
      <c r="G2179" s="6" t="s">
        <v>1668</v>
      </c>
      <c r="H2179" s="6"/>
      <c r="I2179" s="14" t="s">
        <v>1669</v>
      </c>
      <c r="J2179" s="15"/>
      <c r="K2179" s="6" t="s">
        <v>1670</v>
      </c>
      <c r="L2179" s="6"/>
      <c r="M2179" s="6" t="s">
        <v>1671</v>
      </c>
      <c r="N2179" s="6" t="s">
        <v>1644</v>
      </c>
      <c r="O2179" s="7">
        <f>SUMIFS('05_상품별배치367'!$K$7:$K$373,'05_상품별배치367'!$E$7:$E$373,A2179,'05_상품별배치367'!$H$7:$H$373,"본진")</f>
        <v>0</v>
      </c>
      <c r="P2179" s="7">
        <f>SUMIFS('05_상품별배치367'!$K$7:$K$373,'05_상품별배치367'!$E$7:$E$373,A2179,'05_상품별배치367'!$H$7:$H$373,"추가 진열")</f>
        <v>0</v>
      </c>
      <c r="Q2179" s="7">
        <f>O2179+P2179</f>
        <v>0</v>
      </c>
      <c r="R2179" s="7">
        <v>0</v>
      </c>
      <c r="S2179" s="6" t="s">
        <v>1672</v>
      </c>
      <c r="T2179" s="6" t="s">
        <v>1637</v>
      </c>
      <c r="U2179" s="6"/>
      <c r="V2179" s="16"/>
      <c r="W2179" s="16"/>
      <c r="X2179" s="16"/>
      <c r="Y2179" s="6" t="s">
        <v>1627</v>
      </c>
      <c r="Z2179" s="15"/>
      <c r="AA2179" s="15" t="s">
        <v>1628</v>
      </c>
    </row>
    <row r="2180" spans="1:27" ht="33" customHeight="1">
      <c r="A2180" s="8" t="s">
        <v>6463</v>
      </c>
      <c r="B2180" s="9">
        <v>2148</v>
      </c>
      <c r="C2180" s="8" t="s">
        <v>6464</v>
      </c>
      <c r="D2180" s="8" t="s">
        <v>2680</v>
      </c>
      <c r="E2180" s="8" t="s">
        <v>1620</v>
      </c>
      <c r="F2180" s="8" t="s">
        <v>2031</v>
      </c>
      <c r="G2180" s="8" t="s">
        <v>1668</v>
      </c>
      <c r="H2180" s="8"/>
      <c r="I2180" s="14" t="s">
        <v>1642</v>
      </c>
      <c r="J2180" s="15"/>
      <c r="K2180" s="8" t="s">
        <v>1622</v>
      </c>
      <c r="L2180" s="8" t="s">
        <v>2032</v>
      </c>
      <c r="M2180" s="6" t="s">
        <v>1643</v>
      </c>
      <c r="N2180" s="6" t="s">
        <v>1644</v>
      </c>
      <c r="O2180" s="7">
        <f>SUMIFS('05_상품별배치367'!$K$7:$K$373,'05_상품별배치367'!$E$7:$E$373,A2180,'05_상품별배치367'!$H$7:$H$373,"본진")</f>
        <v>0</v>
      </c>
      <c r="P2180" s="7">
        <f>SUMIFS('05_상품별배치367'!$K$7:$K$373,'05_상품별배치367'!$E$7:$E$373,A2180,'05_상품별배치367'!$H$7:$H$373,"추가 진열")</f>
        <v>0</v>
      </c>
      <c r="Q2180" s="7">
        <f>O2180+P2180</f>
        <v>0</v>
      </c>
      <c r="R2180" s="7">
        <v>1</v>
      </c>
      <c r="S2180" s="6" t="s">
        <v>2033</v>
      </c>
      <c r="T2180" s="6" t="s">
        <v>1637</v>
      </c>
      <c r="U2180" s="6"/>
      <c r="V2180" s="16"/>
      <c r="W2180" s="16"/>
      <c r="X2180" s="16"/>
      <c r="Y2180" s="6" t="s">
        <v>1627</v>
      </c>
      <c r="Z2180" s="15"/>
      <c r="AA2180" s="15" t="s">
        <v>1628</v>
      </c>
    </row>
    <row r="2181" spans="1:27" ht="33" customHeight="1">
      <c r="A2181" s="6" t="s">
        <v>6465</v>
      </c>
      <c r="B2181" s="7">
        <v>2149</v>
      </c>
      <c r="C2181" s="6" t="s">
        <v>6466</v>
      </c>
      <c r="D2181" s="6" t="s">
        <v>2680</v>
      </c>
      <c r="E2181" s="6" t="s">
        <v>1666</v>
      </c>
      <c r="F2181" s="6" t="s">
        <v>1852</v>
      </c>
      <c r="G2181" s="6" t="s">
        <v>1853</v>
      </c>
      <c r="H2181" s="6"/>
      <c r="I2181" s="14" t="s">
        <v>1669</v>
      </c>
      <c r="J2181" s="15"/>
      <c r="K2181" s="6" t="s">
        <v>1670</v>
      </c>
      <c r="L2181" s="6"/>
      <c r="M2181" s="6" t="s">
        <v>1671</v>
      </c>
      <c r="N2181" s="6" t="s">
        <v>1644</v>
      </c>
      <c r="O2181" s="7">
        <f>SUMIFS('05_상품별배치367'!$K$7:$K$373,'05_상품별배치367'!$E$7:$E$373,A2181,'05_상품별배치367'!$H$7:$H$373,"본진")</f>
        <v>0</v>
      </c>
      <c r="P2181" s="7">
        <f>SUMIFS('05_상품별배치367'!$K$7:$K$373,'05_상품별배치367'!$E$7:$E$373,A2181,'05_상품별배치367'!$H$7:$H$373,"추가 진열")</f>
        <v>0</v>
      </c>
      <c r="Q2181" s="7">
        <f>O2181+P2181</f>
        <v>0</v>
      </c>
      <c r="R2181" s="7">
        <v>0</v>
      </c>
      <c r="S2181" s="6" t="s">
        <v>1672</v>
      </c>
      <c r="T2181" s="6" t="s">
        <v>1637</v>
      </c>
      <c r="U2181" s="6"/>
      <c r="V2181" s="16"/>
      <c r="W2181" s="16"/>
      <c r="X2181" s="16"/>
      <c r="Y2181" s="6" t="s">
        <v>1627</v>
      </c>
      <c r="Z2181" s="15"/>
      <c r="AA2181" s="15" t="s">
        <v>1628</v>
      </c>
    </row>
    <row r="2182" spans="1:27" ht="33" customHeight="1">
      <c r="A2182" s="8" t="s">
        <v>6467</v>
      </c>
      <c r="B2182" s="9">
        <v>2150</v>
      </c>
      <c r="C2182" s="8" t="s">
        <v>6468</v>
      </c>
      <c r="D2182" s="8" t="s">
        <v>1937</v>
      </c>
      <c r="E2182" s="8" t="s">
        <v>1666</v>
      </c>
      <c r="F2182" s="8" t="s">
        <v>347</v>
      </c>
      <c r="G2182" s="8" t="s">
        <v>341</v>
      </c>
      <c r="H2182" s="8"/>
      <c r="I2182" s="14" t="s">
        <v>1642</v>
      </c>
      <c r="J2182" s="15"/>
      <c r="K2182" s="8" t="s">
        <v>1670</v>
      </c>
      <c r="L2182" s="8"/>
      <c r="M2182" s="6" t="s">
        <v>1643</v>
      </c>
      <c r="N2182" s="6" t="s">
        <v>1644</v>
      </c>
      <c r="O2182" s="7">
        <f>SUMIFS('05_상품별배치367'!$K$7:$K$373,'05_상품별배치367'!$E$7:$E$373,A2182,'05_상품별배치367'!$H$7:$H$373,"본진")</f>
        <v>0</v>
      </c>
      <c r="P2182" s="7">
        <f>SUMIFS('05_상품별배치367'!$K$7:$K$373,'05_상품별배치367'!$E$7:$E$373,A2182,'05_상품별배치367'!$H$7:$H$373,"추가 진열")</f>
        <v>0</v>
      </c>
      <c r="Q2182" s="7">
        <f>O2182+P2182</f>
        <v>0</v>
      </c>
      <c r="R2182" s="7">
        <v>1</v>
      </c>
      <c r="S2182" s="6" t="s">
        <v>2018</v>
      </c>
      <c r="T2182" s="6" t="s">
        <v>1637</v>
      </c>
      <c r="U2182" s="6"/>
      <c r="V2182" s="16"/>
      <c r="W2182" s="16"/>
      <c r="X2182" s="16"/>
      <c r="Y2182" s="6" t="s">
        <v>1627</v>
      </c>
      <c r="Z2182" s="15"/>
      <c r="AA2182" s="15" t="s">
        <v>1628</v>
      </c>
    </row>
    <row r="2183" spans="1:27" ht="33" customHeight="1">
      <c r="A2183" s="6" t="s">
        <v>6469</v>
      </c>
      <c r="B2183" s="7">
        <v>2151</v>
      </c>
      <c r="C2183" s="6" t="s">
        <v>6470</v>
      </c>
      <c r="D2183" s="6" t="s">
        <v>6471</v>
      </c>
      <c r="E2183" s="6" t="s">
        <v>1666</v>
      </c>
      <c r="F2183" s="6" t="s">
        <v>347</v>
      </c>
      <c r="G2183" s="6" t="s">
        <v>341</v>
      </c>
      <c r="H2183" s="6"/>
      <c r="I2183" s="14" t="s">
        <v>1642</v>
      </c>
      <c r="J2183" s="15"/>
      <c r="K2183" s="6" t="s">
        <v>1670</v>
      </c>
      <c r="L2183" s="6"/>
      <c r="M2183" s="6" t="s">
        <v>1643</v>
      </c>
      <c r="N2183" s="6" t="s">
        <v>1644</v>
      </c>
      <c r="O2183" s="7">
        <f>SUMIFS('05_상품별배치367'!$K$7:$K$373,'05_상품별배치367'!$E$7:$E$373,A2183,'05_상품별배치367'!$H$7:$H$373,"본진")</f>
        <v>0</v>
      </c>
      <c r="P2183" s="7">
        <f>SUMIFS('05_상품별배치367'!$K$7:$K$373,'05_상품별배치367'!$E$7:$E$373,A2183,'05_상품별배치367'!$H$7:$H$373,"추가 진열")</f>
        <v>0</v>
      </c>
      <c r="Q2183" s="7">
        <f>O2183+P2183</f>
        <v>0</v>
      </c>
      <c r="R2183" s="7">
        <v>1</v>
      </c>
      <c r="S2183" s="6" t="s">
        <v>2018</v>
      </c>
      <c r="T2183" s="6" t="s">
        <v>1637</v>
      </c>
      <c r="U2183" s="6"/>
      <c r="V2183" s="16"/>
      <c r="W2183" s="16"/>
      <c r="X2183" s="16"/>
      <c r="Y2183" s="6" t="s">
        <v>1627</v>
      </c>
      <c r="Z2183" s="15"/>
      <c r="AA2183" s="15" t="s">
        <v>1628</v>
      </c>
    </row>
    <row r="2184" spans="1:27" ht="33" customHeight="1">
      <c r="A2184" s="6" t="s">
        <v>7103</v>
      </c>
      <c r="B2184" s="7">
        <v>2457</v>
      </c>
      <c r="C2184" s="6" t="s">
        <v>7104</v>
      </c>
      <c r="D2184" s="6" t="s">
        <v>2680</v>
      </c>
      <c r="E2184" s="6" t="s">
        <v>1666</v>
      </c>
      <c r="F2184" s="6" t="s">
        <v>1852</v>
      </c>
      <c r="G2184" s="6" t="s">
        <v>1853</v>
      </c>
      <c r="H2184" s="6"/>
      <c r="I2184" s="14" t="s">
        <v>1642</v>
      </c>
      <c r="J2184" s="15"/>
      <c r="K2184" s="6" t="s">
        <v>1670</v>
      </c>
      <c r="L2184" s="6" t="s">
        <v>3828</v>
      </c>
      <c r="M2184" s="6" t="s">
        <v>1643</v>
      </c>
      <c r="N2184" s="6" t="s">
        <v>1644</v>
      </c>
      <c r="O2184" s="7">
        <f>SUMIFS('05_상품별배치367'!$K$7:$K$373,'05_상품별배치367'!$E$7:$E$373,A2184,'05_상품별배치367'!$H$7:$H$373,"본진")</f>
        <v>0</v>
      </c>
      <c r="P2184" s="7">
        <f>SUMIFS('05_상품별배치367'!$K$7:$K$373,'05_상품별배치367'!$E$7:$E$373,A2184,'05_상품별배치367'!$H$7:$H$373,"추가 진열")</f>
        <v>0</v>
      </c>
      <c r="Q2184" s="7">
        <f>O2184+P2184</f>
        <v>0</v>
      </c>
      <c r="R2184" s="7">
        <v>1</v>
      </c>
      <c r="S2184" s="6" t="s">
        <v>7105</v>
      </c>
      <c r="T2184" s="6" t="s">
        <v>1637</v>
      </c>
      <c r="U2184" s="6" t="s">
        <v>6465</v>
      </c>
      <c r="V2184" s="16"/>
      <c r="W2184" s="16"/>
      <c r="X2184" s="16"/>
      <c r="Y2184" s="6" t="s">
        <v>1627</v>
      </c>
      <c r="Z2184" s="15"/>
      <c r="AA2184" s="15" t="s">
        <v>1628</v>
      </c>
    </row>
    <row r="2185" spans="1:27" ht="33" customHeight="1">
      <c r="A2185" s="8" t="s">
        <v>6472</v>
      </c>
      <c r="B2185" s="9">
        <v>2152</v>
      </c>
      <c r="C2185" s="8" t="s">
        <v>6473</v>
      </c>
      <c r="D2185" s="8" t="s">
        <v>2992</v>
      </c>
      <c r="E2185" s="8" t="s">
        <v>1666</v>
      </c>
      <c r="F2185" s="8" t="s">
        <v>347</v>
      </c>
      <c r="G2185" s="8" t="s">
        <v>341</v>
      </c>
      <c r="H2185" s="8"/>
      <c r="I2185" s="14" t="s">
        <v>1642</v>
      </c>
      <c r="J2185" s="15"/>
      <c r="K2185" s="8" t="s">
        <v>1670</v>
      </c>
      <c r="L2185" s="8"/>
      <c r="M2185" s="6" t="s">
        <v>1643</v>
      </c>
      <c r="N2185" s="6" t="s">
        <v>1644</v>
      </c>
      <c r="O2185" s="7">
        <f>SUMIFS('05_상품별배치367'!$K$7:$K$373,'05_상품별배치367'!$E$7:$E$373,A2185,'05_상품별배치367'!$H$7:$H$373,"본진")</f>
        <v>0</v>
      </c>
      <c r="P2185" s="7">
        <f>SUMIFS('05_상품별배치367'!$K$7:$K$373,'05_상품별배치367'!$E$7:$E$373,A2185,'05_상품별배치367'!$H$7:$H$373,"추가 진열")</f>
        <v>0</v>
      </c>
      <c r="Q2185" s="7">
        <f>O2185+P2185</f>
        <v>0</v>
      </c>
      <c r="R2185" s="7">
        <v>1</v>
      </c>
      <c r="S2185" s="6" t="s">
        <v>2018</v>
      </c>
      <c r="T2185" s="6" t="s">
        <v>1637</v>
      </c>
      <c r="U2185" s="6"/>
      <c r="V2185" s="16"/>
      <c r="W2185" s="16"/>
      <c r="X2185" s="16"/>
      <c r="Y2185" s="6" t="s">
        <v>1627</v>
      </c>
      <c r="Z2185" s="15"/>
      <c r="AA2185" s="15" t="s">
        <v>1628</v>
      </c>
    </row>
    <row r="2186" spans="1:27" ht="33" customHeight="1">
      <c r="A2186" s="6" t="s">
        <v>6474</v>
      </c>
      <c r="B2186" s="7">
        <v>2153</v>
      </c>
      <c r="C2186" s="6" t="s">
        <v>6475</v>
      </c>
      <c r="D2186" s="6" t="s">
        <v>1851</v>
      </c>
      <c r="E2186" s="6" t="s">
        <v>1666</v>
      </c>
      <c r="F2186" s="6" t="s">
        <v>347</v>
      </c>
      <c r="G2186" s="6" t="s">
        <v>341</v>
      </c>
      <c r="H2186" s="6"/>
      <c r="I2186" s="14" t="s">
        <v>1642</v>
      </c>
      <c r="J2186" s="15"/>
      <c r="K2186" s="6" t="s">
        <v>1670</v>
      </c>
      <c r="L2186" s="6"/>
      <c r="M2186" s="6" t="s">
        <v>1643</v>
      </c>
      <c r="N2186" s="6" t="s">
        <v>1644</v>
      </c>
      <c r="O2186" s="7">
        <f>SUMIFS('05_상품별배치367'!$K$7:$K$373,'05_상품별배치367'!$E$7:$E$373,A2186,'05_상품별배치367'!$H$7:$H$373,"본진")</f>
        <v>0</v>
      </c>
      <c r="P2186" s="7">
        <f>SUMIFS('05_상품별배치367'!$K$7:$K$373,'05_상품별배치367'!$E$7:$E$373,A2186,'05_상품별배치367'!$H$7:$H$373,"추가 진열")</f>
        <v>0</v>
      </c>
      <c r="Q2186" s="7">
        <f>O2186+P2186</f>
        <v>0</v>
      </c>
      <c r="R2186" s="7">
        <v>1</v>
      </c>
      <c r="S2186" s="6" t="s">
        <v>2018</v>
      </c>
      <c r="T2186" s="6" t="s">
        <v>1637</v>
      </c>
      <c r="U2186" s="6"/>
      <c r="V2186" s="16"/>
      <c r="W2186" s="16"/>
      <c r="X2186" s="16"/>
      <c r="Y2186" s="6" t="s">
        <v>1627</v>
      </c>
      <c r="Z2186" s="15"/>
      <c r="AA2186" s="15" t="s">
        <v>1628</v>
      </c>
    </row>
    <row r="2187" spans="1:27" ht="33" customHeight="1">
      <c r="A2187" s="8" t="s">
        <v>7242</v>
      </c>
      <c r="B2187" s="9">
        <v>2522</v>
      </c>
      <c r="C2187" s="8" t="s">
        <v>7243</v>
      </c>
      <c r="D2187" s="8" t="s">
        <v>2133</v>
      </c>
      <c r="E2187" s="8" t="s">
        <v>2134</v>
      </c>
      <c r="F2187" s="8" t="s">
        <v>162</v>
      </c>
      <c r="G2187" s="8" t="s">
        <v>404</v>
      </c>
      <c r="H2187" s="8" t="s">
        <v>1317</v>
      </c>
      <c r="I2187" s="14" t="s">
        <v>1633</v>
      </c>
      <c r="J2187" s="15"/>
      <c r="K2187" s="8" t="s">
        <v>1976</v>
      </c>
      <c r="L2187" s="8" t="s">
        <v>3828</v>
      </c>
      <c r="M2187" s="6" t="s">
        <v>1635</v>
      </c>
      <c r="N2187" s="6" t="s">
        <v>1624</v>
      </c>
      <c r="O2187" s="7">
        <f>SUMIFS('05_상품별배치367'!$K$7:$K$373,'05_상품별배치367'!$E$7:$E$373,A2187,'05_상품별배치367'!$H$7:$H$373,"본진")</f>
        <v>1</v>
      </c>
      <c r="P2187" s="7">
        <f>SUMIFS('05_상품별배치367'!$K$7:$K$373,'05_상품별배치367'!$E$7:$E$373,A2187,'05_상품별배치367'!$H$7:$H$373,"추가 진열")</f>
        <v>0</v>
      </c>
      <c r="Q2187" s="7">
        <f>O2187+P2187</f>
        <v>1</v>
      </c>
      <c r="R2187" s="7">
        <v>1</v>
      </c>
      <c r="S2187" s="6" t="s">
        <v>1636</v>
      </c>
      <c r="T2187" s="6" t="s">
        <v>7237</v>
      </c>
      <c r="U2187" s="6"/>
      <c r="V2187" s="16"/>
      <c r="W2187" s="16"/>
      <c r="X2187" s="16"/>
      <c r="Y2187" s="6" t="s">
        <v>1627</v>
      </c>
      <c r="Z2187" s="15"/>
      <c r="AA2187" s="15" t="s">
        <v>1628</v>
      </c>
    </row>
    <row r="2188" spans="1:27" ht="33" customHeight="1">
      <c r="A2188" s="6" t="s">
        <v>7240</v>
      </c>
      <c r="B2188" s="7">
        <v>2521</v>
      </c>
      <c r="C2188" s="6" t="s">
        <v>7241</v>
      </c>
      <c r="D2188" s="6"/>
      <c r="E2188" s="6" t="s">
        <v>1695</v>
      </c>
      <c r="F2188" s="6" t="s">
        <v>1049</v>
      </c>
      <c r="G2188" s="6" t="s">
        <v>272</v>
      </c>
      <c r="H2188" s="6" t="s">
        <v>1050</v>
      </c>
      <c r="I2188" s="14" t="s">
        <v>1621</v>
      </c>
      <c r="J2188" s="15"/>
      <c r="K2188" s="6" t="s">
        <v>1696</v>
      </c>
      <c r="L2188" s="6" t="s">
        <v>5771</v>
      </c>
      <c r="M2188" s="6" t="s">
        <v>1623</v>
      </c>
      <c r="N2188" s="6" t="s">
        <v>1624</v>
      </c>
      <c r="O2188" s="7">
        <f>SUMIFS('05_상품별배치367'!$K$7:$K$373,'05_상품별배치367'!$E$7:$E$373,A2188,'05_상품별배치367'!$H$7:$H$373,"본진")</f>
        <v>1</v>
      </c>
      <c r="P2188" s="7">
        <f>SUMIFS('05_상품별배치367'!$K$7:$K$373,'05_상품별배치367'!$E$7:$E$373,A2188,'05_상품별배치367'!$H$7:$H$373,"추가 진열")</f>
        <v>0</v>
      </c>
      <c r="Q2188" s="7">
        <f>O2188+P2188</f>
        <v>1</v>
      </c>
      <c r="R2188" s="7">
        <v>1</v>
      </c>
      <c r="S2188" s="6" t="s">
        <v>1625</v>
      </c>
      <c r="T2188" s="6" t="s">
        <v>1637</v>
      </c>
      <c r="U2188" s="6"/>
      <c r="V2188" s="16"/>
      <c r="W2188" s="16"/>
      <c r="X2188" s="16"/>
      <c r="Y2188" s="6" t="s">
        <v>5772</v>
      </c>
      <c r="Z2188" s="15"/>
      <c r="AA2188" s="15" t="s">
        <v>1628</v>
      </c>
    </row>
    <row r="2189" spans="1:27" ht="33" customHeight="1">
      <c r="A2189" s="8" t="s">
        <v>7238</v>
      </c>
      <c r="B2189" s="9">
        <v>2520</v>
      </c>
      <c r="C2189" s="8" t="s">
        <v>7239</v>
      </c>
      <c r="D2189" s="8" t="s">
        <v>3810</v>
      </c>
      <c r="E2189" s="8" t="s">
        <v>1986</v>
      </c>
      <c r="F2189" s="8" t="s">
        <v>493</v>
      </c>
      <c r="G2189" s="8" t="s">
        <v>299</v>
      </c>
      <c r="H2189" s="8" t="s">
        <v>1103</v>
      </c>
      <c r="I2189" s="14" t="s">
        <v>1621</v>
      </c>
      <c r="J2189" s="15"/>
      <c r="K2189" s="8" t="s">
        <v>1976</v>
      </c>
      <c r="L2189" s="8" t="s">
        <v>3828</v>
      </c>
      <c r="M2189" s="6" t="s">
        <v>1623</v>
      </c>
      <c r="N2189" s="6" t="s">
        <v>1624</v>
      </c>
      <c r="O2189" s="7">
        <f>SUMIFS('05_상품별배치367'!$K$7:$K$373,'05_상품별배치367'!$E$7:$E$373,A2189,'05_상품별배치367'!$H$7:$H$373,"본진")</f>
        <v>1</v>
      </c>
      <c r="P2189" s="7">
        <f>SUMIFS('05_상품별배치367'!$K$7:$K$373,'05_상품별배치367'!$E$7:$E$373,A2189,'05_상품별배치367'!$H$7:$H$373,"추가 진열")</f>
        <v>0</v>
      </c>
      <c r="Q2189" s="7">
        <f>O2189+P2189</f>
        <v>1</v>
      </c>
      <c r="R2189" s="7">
        <v>1</v>
      </c>
      <c r="S2189" s="6" t="s">
        <v>1625</v>
      </c>
      <c r="T2189" s="6" t="s">
        <v>7237</v>
      </c>
      <c r="U2189" s="6"/>
      <c r="V2189" s="16"/>
      <c r="W2189" s="16"/>
      <c r="X2189" s="16"/>
      <c r="Y2189" s="6" t="s">
        <v>1627</v>
      </c>
      <c r="Z2189" s="15"/>
      <c r="AA2189" s="15" t="s">
        <v>1628</v>
      </c>
    </row>
    <row r="2190" spans="1:27" ht="33" customHeight="1">
      <c r="A2190" s="6" t="s">
        <v>834</v>
      </c>
      <c r="B2190" s="7">
        <v>2519</v>
      </c>
      <c r="C2190" s="6" t="s">
        <v>833</v>
      </c>
      <c r="D2190" s="6" t="s">
        <v>2133</v>
      </c>
      <c r="E2190" s="6" t="s">
        <v>2134</v>
      </c>
      <c r="F2190" s="6" t="s">
        <v>162</v>
      </c>
      <c r="G2190" s="6" t="s">
        <v>404</v>
      </c>
      <c r="H2190" s="6" t="s">
        <v>1313</v>
      </c>
      <c r="I2190" s="14" t="s">
        <v>1621</v>
      </c>
      <c r="J2190" s="15"/>
      <c r="K2190" s="6" t="s">
        <v>1976</v>
      </c>
      <c r="L2190" s="6" t="s">
        <v>3828</v>
      </c>
      <c r="M2190" s="6" t="s">
        <v>1623</v>
      </c>
      <c r="N2190" s="6" t="s">
        <v>1624</v>
      </c>
      <c r="O2190" s="7">
        <f>SUMIFS('05_상품별배치367'!$K$7:$K$373,'05_상품별배치367'!$E$7:$E$373,A2190,'05_상품별배치367'!$H$7:$H$373,"본진")</f>
        <v>2</v>
      </c>
      <c r="P2190" s="7">
        <f>SUMIFS('05_상품별배치367'!$K$7:$K$373,'05_상품별배치367'!$E$7:$E$373,A2190,'05_상품별배치367'!$H$7:$H$373,"추가 진열")</f>
        <v>1</v>
      </c>
      <c r="Q2190" s="7">
        <f>O2190+P2190</f>
        <v>3</v>
      </c>
      <c r="R2190" s="7">
        <v>2</v>
      </c>
      <c r="S2190" s="6" t="s">
        <v>1625</v>
      </c>
      <c r="T2190" s="6" t="s">
        <v>7237</v>
      </c>
      <c r="U2190" s="6"/>
      <c r="V2190" s="16"/>
      <c r="W2190" s="16"/>
      <c r="X2190" s="16"/>
      <c r="Y2190" s="6" t="s">
        <v>1627</v>
      </c>
      <c r="Z2190" s="15"/>
      <c r="AA2190" s="15" t="s">
        <v>1628</v>
      </c>
    </row>
    <row r="2191" spans="1:27" ht="33" customHeight="1">
      <c r="A2191" s="6" t="s">
        <v>5754</v>
      </c>
      <c r="B2191" s="7">
        <v>1831</v>
      </c>
      <c r="C2191" s="6" t="s">
        <v>5755</v>
      </c>
      <c r="D2191" s="6" t="s">
        <v>1694</v>
      </c>
      <c r="E2191" s="6" t="s">
        <v>1695</v>
      </c>
      <c r="F2191" s="6" t="s">
        <v>1143</v>
      </c>
      <c r="G2191" s="6" t="s">
        <v>315</v>
      </c>
      <c r="H2191" s="6" t="s">
        <v>1147</v>
      </c>
      <c r="I2191" s="14" t="s">
        <v>1633</v>
      </c>
      <c r="J2191" s="15"/>
      <c r="K2191" s="6" t="s">
        <v>1696</v>
      </c>
      <c r="L2191" s="6"/>
      <c r="M2191" s="6" t="s">
        <v>1635</v>
      </c>
      <c r="N2191" s="6" t="s">
        <v>1624</v>
      </c>
      <c r="O2191" s="7">
        <f>SUMIFS('05_상품별배치367'!$K$7:$K$373,'05_상품별배치367'!$E$7:$E$373,A2191,'05_상품별배치367'!$H$7:$H$373,"본진")</f>
        <v>1</v>
      </c>
      <c r="P2191" s="7">
        <f>SUMIFS('05_상품별배치367'!$K$7:$K$373,'05_상품별배치367'!$E$7:$E$373,A2191,'05_상품별배치367'!$H$7:$H$373,"추가 진열")</f>
        <v>0</v>
      </c>
      <c r="Q2191" s="7">
        <f>O2191+P2191</f>
        <v>1</v>
      </c>
      <c r="R2191" s="7">
        <v>1</v>
      </c>
      <c r="S2191" s="6" t="s">
        <v>1636</v>
      </c>
      <c r="T2191" s="6" t="s">
        <v>1637</v>
      </c>
      <c r="U2191" s="6"/>
      <c r="V2191" s="16"/>
      <c r="W2191" s="16"/>
      <c r="X2191" s="16"/>
      <c r="Y2191" s="6" t="s">
        <v>1627</v>
      </c>
      <c r="Z2191" s="15"/>
      <c r="AA2191" s="15" t="s">
        <v>1628</v>
      </c>
    </row>
    <row r="2192" spans="1:27" ht="33" customHeight="1">
      <c r="A2192" s="8" t="s">
        <v>5756</v>
      </c>
      <c r="B2192" s="9">
        <v>1832</v>
      </c>
      <c r="C2192" s="8" t="s">
        <v>5757</v>
      </c>
      <c r="D2192" s="8" t="s">
        <v>1694</v>
      </c>
      <c r="E2192" s="8" t="s">
        <v>1695</v>
      </c>
      <c r="F2192" s="8" t="s">
        <v>1143</v>
      </c>
      <c r="G2192" s="8" t="s">
        <v>315</v>
      </c>
      <c r="H2192" s="8"/>
      <c r="I2192" s="14" t="s">
        <v>1642</v>
      </c>
      <c r="J2192" s="15"/>
      <c r="K2192" s="8" t="s">
        <v>1696</v>
      </c>
      <c r="L2192" s="8"/>
      <c r="M2192" s="6" t="s">
        <v>1643</v>
      </c>
      <c r="N2192" s="6" t="s">
        <v>1624</v>
      </c>
      <c r="O2192" s="7">
        <f>SUMIFS('05_상품별배치367'!$K$7:$K$373,'05_상품별배치367'!$E$7:$E$373,A2192,'05_상품별배치367'!$H$7:$H$373,"본진")</f>
        <v>0</v>
      </c>
      <c r="P2192" s="7">
        <f>SUMIFS('05_상품별배치367'!$K$7:$K$373,'05_상품별배치367'!$E$7:$E$373,A2192,'05_상품별배치367'!$H$7:$H$373,"추가 진열")</f>
        <v>0</v>
      </c>
      <c r="Q2192" s="7">
        <f>O2192+P2192</f>
        <v>0</v>
      </c>
      <c r="R2192" s="7">
        <v>1</v>
      </c>
      <c r="S2192" s="6" t="s">
        <v>1859</v>
      </c>
      <c r="T2192" s="6" t="s">
        <v>1637</v>
      </c>
      <c r="U2192" s="6"/>
      <c r="V2192" s="16"/>
      <c r="W2192" s="16"/>
      <c r="X2192" s="16"/>
      <c r="Y2192" s="6" t="s">
        <v>1627</v>
      </c>
      <c r="Z2192" s="15"/>
      <c r="AA2192" s="15" t="s">
        <v>1628</v>
      </c>
    </row>
    <row r="2193" spans="1:27" ht="33" customHeight="1">
      <c r="A2193" s="8" t="s">
        <v>5457</v>
      </c>
      <c r="B2193" s="9">
        <v>1692</v>
      </c>
      <c r="C2193" s="8" t="s">
        <v>5458</v>
      </c>
      <c r="D2193" s="8" t="s">
        <v>5459</v>
      </c>
      <c r="E2193" s="8" t="s">
        <v>1986</v>
      </c>
      <c r="F2193" s="8" t="s">
        <v>3378</v>
      </c>
      <c r="G2193" s="8" t="s">
        <v>38</v>
      </c>
      <c r="H2193" s="8"/>
      <c r="I2193" s="14" t="s">
        <v>1642</v>
      </c>
      <c r="J2193" s="15"/>
      <c r="K2193" s="8" t="s">
        <v>1976</v>
      </c>
      <c r="L2193" s="8"/>
      <c r="M2193" s="6" t="s">
        <v>1643</v>
      </c>
      <c r="N2193" s="6" t="s">
        <v>1644</v>
      </c>
      <c r="O2193" s="7">
        <f>SUMIFS('05_상품별배치367'!$K$7:$K$373,'05_상품별배치367'!$E$7:$E$373,A2193,'05_상품별배치367'!$H$7:$H$373,"본진")</f>
        <v>0</v>
      </c>
      <c r="P2193" s="7">
        <f>SUMIFS('05_상품별배치367'!$K$7:$K$373,'05_상품별배치367'!$E$7:$E$373,A2193,'05_상품별배치367'!$H$7:$H$373,"추가 진열")</f>
        <v>0</v>
      </c>
      <c r="Q2193" s="7">
        <f>O2193+P2193</f>
        <v>0</v>
      </c>
      <c r="R2193" s="7">
        <v>1</v>
      </c>
      <c r="S2193" s="6" t="s">
        <v>3379</v>
      </c>
      <c r="T2193" s="6" t="s">
        <v>1637</v>
      </c>
      <c r="U2193" s="6"/>
      <c r="V2193" s="16"/>
      <c r="W2193" s="16"/>
      <c r="X2193" s="16"/>
      <c r="Y2193" s="6" t="s">
        <v>1655</v>
      </c>
      <c r="Z2193" s="15"/>
      <c r="AA2193" s="15" t="s">
        <v>1628</v>
      </c>
    </row>
    <row r="2194" spans="1:27" ht="33" customHeight="1">
      <c r="A2194" s="6" t="s">
        <v>5460</v>
      </c>
      <c r="B2194" s="7">
        <v>1693</v>
      </c>
      <c r="C2194" s="6" t="s">
        <v>5461</v>
      </c>
      <c r="D2194" s="6" t="s">
        <v>2007</v>
      </c>
      <c r="E2194" s="6" t="s">
        <v>2134</v>
      </c>
      <c r="F2194" s="6" t="s">
        <v>163</v>
      </c>
      <c r="G2194" s="6" t="s">
        <v>414</v>
      </c>
      <c r="H2194" s="6"/>
      <c r="I2194" s="14" t="s">
        <v>1642</v>
      </c>
      <c r="J2194" s="15"/>
      <c r="K2194" s="6" t="s">
        <v>1976</v>
      </c>
      <c r="L2194" s="6"/>
      <c r="M2194" s="6" t="s">
        <v>1643</v>
      </c>
      <c r="N2194" s="6" t="s">
        <v>1644</v>
      </c>
      <c r="O2194" s="7">
        <f>SUMIFS('05_상품별배치367'!$K$7:$K$373,'05_상품별배치367'!$E$7:$E$373,A2194,'05_상품별배치367'!$H$7:$H$373,"본진")</f>
        <v>0</v>
      </c>
      <c r="P2194" s="7">
        <f>SUMIFS('05_상품별배치367'!$K$7:$K$373,'05_상품별배치367'!$E$7:$E$373,A2194,'05_상품별배치367'!$H$7:$H$373,"추가 진열")</f>
        <v>0</v>
      </c>
      <c r="Q2194" s="7">
        <f>O2194+P2194</f>
        <v>0</v>
      </c>
      <c r="R2194" s="7">
        <v>1</v>
      </c>
      <c r="S2194" s="6" t="s">
        <v>3048</v>
      </c>
      <c r="T2194" s="6" t="s">
        <v>1637</v>
      </c>
      <c r="U2194" s="6"/>
      <c r="V2194" s="16"/>
      <c r="W2194" s="16"/>
      <c r="X2194" s="16"/>
      <c r="Y2194" s="6" t="s">
        <v>1627</v>
      </c>
      <c r="Z2194" s="15"/>
      <c r="AA2194" s="15" t="s">
        <v>1628</v>
      </c>
    </row>
    <row r="2195" spans="1:27" ht="33" customHeight="1">
      <c r="A2195" s="8" t="s">
        <v>5462</v>
      </c>
      <c r="B2195" s="9">
        <v>1694</v>
      </c>
      <c r="C2195" s="8" t="s">
        <v>5463</v>
      </c>
      <c r="D2195" s="8" t="s">
        <v>1851</v>
      </c>
      <c r="E2195" s="8" t="s">
        <v>2134</v>
      </c>
      <c r="F2195" s="8" t="s">
        <v>163</v>
      </c>
      <c r="G2195" s="8" t="s">
        <v>414</v>
      </c>
      <c r="H2195" s="8"/>
      <c r="I2195" s="14" t="s">
        <v>1642</v>
      </c>
      <c r="J2195" s="15"/>
      <c r="K2195" s="8" t="s">
        <v>1976</v>
      </c>
      <c r="L2195" s="8"/>
      <c r="M2195" s="6" t="s">
        <v>1643</v>
      </c>
      <c r="N2195" s="6" t="s">
        <v>1644</v>
      </c>
      <c r="O2195" s="7">
        <f>SUMIFS('05_상품별배치367'!$K$7:$K$373,'05_상품별배치367'!$E$7:$E$373,A2195,'05_상품별배치367'!$H$7:$H$373,"본진")</f>
        <v>0</v>
      </c>
      <c r="P2195" s="7">
        <f>SUMIFS('05_상품별배치367'!$K$7:$K$373,'05_상품별배치367'!$E$7:$E$373,A2195,'05_상품별배치367'!$H$7:$H$373,"추가 진열")</f>
        <v>0</v>
      </c>
      <c r="Q2195" s="7">
        <f>O2195+P2195</f>
        <v>0</v>
      </c>
      <c r="R2195" s="7">
        <v>1</v>
      </c>
      <c r="S2195" s="6" t="s">
        <v>3048</v>
      </c>
      <c r="T2195" s="6" t="s">
        <v>1637</v>
      </c>
      <c r="U2195" s="6"/>
      <c r="V2195" s="16"/>
      <c r="W2195" s="16"/>
      <c r="X2195" s="16"/>
      <c r="Y2195" s="6" t="s">
        <v>1627</v>
      </c>
      <c r="Z2195" s="15"/>
      <c r="AA2195" s="15" t="s">
        <v>1628</v>
      </c>
    </row>
    <row r="2196" spans="1:27" ht="33" customHeight="1">
      <c r="A2196" s="6" t="s">
        <v>5528</v>
      </c>
      <c r="B2196" s="7">
        <v>1727</v>
      </c>
      <c r="C2196" s="6" t="s">
        <v>5529</v>
      </c>
      <c r="D2196" s="6" t="s">
        <v>3327</v>
      </c>
      <c r="E2196" s="6" t="s">
        <v>1986</v>
      </c>
      <c r="F2196" s="6" t="s">
        <v>493</v>
      </c>
      <c r="G2196" s="6" t="s">
        <v>299</v>
      </c>
      <c r="H2196" s="6"/>
      <c r="I2196" s="14" t="s">
        <v>1642</v>
      </c>
      <c r="J2196" s="15"/>
      <c r="K2196" s="6" t="s">
        <v>1976</v>
      </c>
      <c r="L2196" s="6"/>
      <c r="M2196" s="6" t="s">
        <v>1643</v>
      </c>
      <c r="N2196" s="6" t="s">
        <v>1644</v>
      </c>
      <c r="O2196" s="7">
        <f>SUMIFS('05_상품별배치367'!$K$7:$K$373,'05_상품별배치367'!$E$7:$E$373,A2196,'05_상품별배치367'!$H$7:$H$373,"본진")</f>
        <v>0</v>
      </c>
      <c r="P2196" s="7">
        <f>SUMIFS('05_상품별배치367'!$K$7:$K$373,'05_상품별배치367'!$E$7:$E$373,A2196,'05_상품별배치367'!$H$7:$H$373,"추가 진열")</f>
        <v>0</v>
      </c>
      <c r="Q2196" s="7">
        <f>O2196+P2196</f>
        <v>0</v>
      </c>
      <c r="R2196" s="7">
        <v>1</v>
      </c>
      <c r="S2196" s="6" t="s">
        <v>3084</v>
      </c>
      <c r="T2196" s="6" t="s">
        <v>1637</v>
      </c>
      <c r="U2196" s="6"/>
      <c r="V2196" s="16"/>
      <c r="W2196" s="16"/>
      <c r="X2196" s="16"/>
      <c r="Y2196" s="6" t="s">
        <v>1655</v>
      </c>
      <c r="Z2196" s="15"/>
      <c r="AA2196" s="15" t="s">
        <v>1628</v>
      </c>
    </row>
    <row r="2197" spans="1:27" ht="33" customHeight="1">
      <c r="A2197" s="6" t="s">
        <v>5464</v>
      </c>
      <c r="B2197" s="7">
        <v>1695</v>
      </c>
      <c r="C2197" s="6" t="s">
        <v>5465</v>
      </c>
      <c r="D2197" s="6" t="s">
        <v>2133</v>
      </c>
      <c r="E2197" s="6" t="s">
        <v>2134</v>
      </c>
      <c r="F2197" s="6" t="s">
        <v>163</v>
      </c>
      <c r="G2197" s="6" t="s">
        <v>414</v>
      </c>
      <c r="H2197" s="6"/>
      <c r="I2197" s="14" t="s">
        <v>1642</v>
      </c>
      <c r="J2197" s="15"/>
      <c r="K2197" s="6" t="s">
        <v>1976</v>
      </c>
      <c r="L2197" s="6"/>
      <c r="M2197" s="6" t="s">
        <v>1643</v>
      </c>
      <c r="N2197" s="6" t="s">
        <v>1644</v>
      </c>
      <c r="O2197" s="7">
        <f>SUMIFS('05_상품별배치367'!$K$7:$K$373,'05_상품별배치367'!$E$7:$E$373,A2197,'05_상품별배치367'!$H$7:$H$373,"본진")</f>
        <v>0</v>
      </c>
      <c r="P2197" s="7">
        <f>SUMIFS('05_상품별배치367'!$K$7:$K$373,'05_상품별배치367'!$E$7:$E$373,A2197,'05_상품별배치367'!$H$7:$H$373,"추가 진열")</f>
        <v>0</v>
      </c>
      <c r="Q2197" s="7">
        <f>O2197+P2197</f>
        <v>0</v>
      </c>
      <c r="R2197" s="7">
        <v>1</v>
      </c>
      <c r="S2197" s="6" t="s">
        <v>3048</v>
      </c>
      <c r="T2197" s="6" t="s">
        <v>1637</v>
      </c>
      <c r="U2197" s="6"/>
      <c r="V2197" s="16"/>
      <c r="W2197" s="16"/>
      <c r="X2197" s="16"/>
      <c r="Y2197" s="6" t="s">
        <v>1627</v>
      </c>
      <c r="Z2197" s="15"/>
      <c r="AA2197" s="15" t="s">
        <v>1628</v>
      </c>
    </row>
    <row r="2198" spans="1:27" ht="33" customHeight="1">
      <c r="A2198" s="8" t="s">
        <v>5466</v>
      </c>
      <c r="B2198" s="9">
        <v>1696</v>
      </c>
      <c r="C2198" s="8" t="s">
        <v>5467</v>
      </c>
      <c r="D2198" s="8" t="s">
        <v>2913</v>
      </c>
      <c r="E2198" s="8" t="s">
        <v>2134</v>
      </c>
      <c r="F2198" s="8" t="s">
        <v>163</v>
      </c>
      <c r="G2198" s="8" t="s">
        <v>414</v>
      </c>
      <c r="H2198" s="8"/>
      <c r="I2198" s="14" t="s">
        <v>1642</v>
      </c>
      <c r="J2198" s="15"/>
      <c r="K2198" s="8" t="s">
        <v>1976</v>
      </c>
      <c r="L2198" s="8"/>
      <c r="M2198" s="6" t="s">
        <v>1643</v>
      </c>
      <c r="N2198" s="6" t="s">
        <v>1644</v>
      </c>
      <c r="O2198" s="7">
        <f>SUMIFS('05_상품별배치367'!$K$7:$K$373,'05_상품별배치367'!$E$7:$E$373,A2198,'05_상품별배치367'!$H$7:$H$373,"본진")</f>
        <v>0</v>
      </c>
      <c r="P2198" s="7">
        <f>SUMIFS('05_상품별배치367'!$K$7:$K$373,'05_상품별배치367'!$E$7:$E$373,A2198,'05_상품별배치367'!$H$7:$H$373,"추가 진열")</f>
        <v>0</v>
      </c>
      <c r="Q2198" s="7">
        <f>O2198+P2198</f>
        <v>0</v>
      </c>
      <c r="R2198" s="7">
        <v>1</v>
      </c>
      <c r="S2198" s="6" t="s">
        <v>3048</v>
      </c>
      <c r="T2198" s="6" t="s">
        <v>1637</v>
      </c>
      <c r="U2198" s="6"/>
      <c r="V2198" s="16"/>
      <c r="W2198" s="16"/>
      <c r="X2198" s="16"/>
      <c r="Y2198" s="6" t="s">
        <v>1627</v>
      </c>
      <c r="Z2198" s="15"/>
      <c r="AA2198" s="15" t="s">
        <v>1628</v>
      </c>
    </row>
    <row r="2199" spans="1:27" ht="33" customHeight="1">
      <c r="A2199" s="6" t="s">
        <v>5468</v>
      </c>
      <c r="B2199" s="7">
        <v>1697</v>
      </c>
      <c r="C2199" s="6" t="s">
        <v>5469</v>
      </c>
      <c r="D2199" s="6" t="s">
        <v>2007</v>
      </c>
      <c r="E2199" s="6" t="s">
        <v>1986</v>
      </c>
      <c r="F2199" s="6" t="s">
        <v>913</v>
      </c>
      <c r="G2199" s="6" t="s">
        <v>201</v>
      </c>
      <c r="H2199" s="6"/>
      <c r="I2199" s="14" t="s">
        <v>1642</v>
      </c>
      <c r="J2199" s="15"/>
      <c r="K2199" s="6" t="s">
        <v>1976</v>
      </c>
      <c r="L2199" s="6"/>
      <c r="M2199" s="6" t="s">
        <v>1643</v>
      </c>
      <c r="N2199" s="6" t="s">
        <v>1644</v>
      </c>
      <c r="O2199" s="7">
        <f>SUMIFS('05_상품별배치367'!$K$7:$K$373,'05_상품별배치367'!$E$7:$E$373,A2199,'05_상품별배치367'!$H$7:$H$373,"본진")</f>
        <v>0</v>
      </c>
      <c r="P2199" s="7">
        <f>SUMIFS('05_상품별배치367'!$K$7:$K$373,'05_상품별배치367'!$E$7:$E$373,A2199,'05_상품별배치367'!$H$7:$H$373,"추가 진열")</f>
        <v>0</v>
      </c>
      <c r="Q2199" s="7">
        <f>O2199+P2199</f>
        <v>0</v>
      </c>
      <c r="R2199" s="7">
        <v>1</v>
      </c>
      <c r="S2199" s="6" t="s">
        <v>2907</v>
      </c>
      <c r="T2199" s="6" t="s">
        <v>1637</v>
      </c>
      <c r="U2199" s="6"/>
      <c r="V2199" s="16"/>
      <c r="W2199" s="16"/>
      <c r="X2199" s="16"/>
      <c r="Y2199" s="6" t="s">
        <v>1627</v>
      </c>
      <c r="Z2199" s="15"/>
      <c r="AA2199" s="15" t="s">
        <v>1628</v>
      </c>
    </row>
    <row r="2200" spans="1:27" ht="33" customHeight="1">
      <c r="A2200" s="8" t="s">
        <v>5470</v>
      </c>
      <c r="B2200" s="9">
        <v>1698</v>
      </c>
      <c r="C2200" s="8" t="s">
        <v>5471</v>
      </c>
      <c r="D2200" s="8" t="s">
        <v>2899</v>
      </c>
      <c r="E2200" s="8" t="s">
        <v>1986</v>
      </c>
      <c r="F2200" s="8" t="s">
        <v>913</v>
      </c>
      <c r="G2200" s="8" t="s">
        <v>201</v>
      </c>
      <c r="H2200" s="8"/>
      <c r="I2200" s="14" t="s">
        <v>1642</v>
      </c>
      <c r="J2200" s="15"/>
      <c r="K2200" s="8" t="s">
        <v>1976</v>
      </c>
      <c r="L2200" s="8"/>
      <c r="M2200" s="6" t="s">
        <v>1643</v>
      </c>
      <c r="N2200" s="6" t="s">
        <v>1644</v>
      </c>
      <c r="O2200" s="7">
        <f>SUMIFS('05_상품별배치367'!$K$7:$K$373,'05_상품별배치367'!$E$7:$E$373,A2200,'05_상품별배치367'!$H$7:$H$373,"본진")</f>
        <v>0</v>
      </c>
      <c r="P2200" s="7">
        <f>SUMIFS('05_상품별배치367'!$K$7:$K$373,'05_상품별배치367'!$E$7:$E$373,A2200,'05_상품별배치367'!$H$7:$H$373,"추가 진열")</f>
        <v>0</v>
      </c>
      <c r="Q2200" s="7">
        <f>O2200+P2200</f>
        <v>0</v>
      </c>
      <c r="R2200" s="7">
        <v>1</v>
      </c>
      <c r="S2200" s="6" t="s">
        <v>2907</v>
      </c>
      <c r="T2200" s="6" t="s">
        <v>1637</v>
      </c>
      <c r="U2200" s="6"/>
      <c r="V2200" s="16"/>
      <c r="W2200" s="16"/>
      <c r="X2200" s="16"/>
      <c r="Y2200" s="6" t="s">
        <v>1627</v>
      </c>
      <c r="Z2200" s="15"/>
      <c r="AA2200" s="15" t="s">
        <v>1628</v>
      </c>
    </row>
    <row r="2201" spans="1:27" ht="33" customHeight="1">
      <c r="A2201" s="8" t="s">
        <v>5530</v>
      </c>
      <c r="B2201" s="9">
        <v>1728</v>
      </c>
      <c r="C2201" s="8" t="s">
        <v>5531</v>
      </c>
      <c r="D2201" s="8" t="s">
        <v>5532</v>
      </c>
      <c r="E2201" s="8" t="s">
        <v>1986</v>
      </c>
      <c r="F2201" s="8" t="s">
        <v>913</v>
      </c>
      <c r="G2201" s="8" t="s">
        <v>201</v>
      </c>
      <c r="H2201" s="8"/>
      <c r="I2201" s="14" t="s">
        <v>1642</v>
      </c>
      <c r="J2201" s="15"/>
      <c r="K2201" s="8" t="s">
        <v>1976</v>
      </c>
      <c r="L2201" s="8"/>
      <c r="M2201" s="6" t="s">
        <v>1643</v>
      </c>
      <c r="N2201" s="6" t="s">
        <v>1644</v>
      </c>
      <c r="O2201" s="7">
        <f>SUMIFS('05_상품별배치367'!$K$7:$K$373,'05_상품별배치367'!$E$7:$E$373,A2201,'05_상품별배치367'!$H$7:$H$373,"본진")</f>
        <v>0</v>
      </c>
      <c r="P2201" s="7">
        <f>SUMIFS('05_상품별배치367'!$K$7:$K$373,'05_상품별배치367'!$E$7:$E$373,A2201,'05_상품별배치367'!$H$7:$H$373,"추가 진열")</f>
        <v>0</v>
      </c>
      <c r="Q2201" s="7">
        <f>O2201+P2201</f>
        <v>0</v>
      </c>
      <c r="R2201" s="7">
        <v>1</v>
      </c>
      <c r="S2201" s="6" t="s">
        <v>2907</v>
      </c>
      <c r="T2201" s="6" t="s">
        <v>1637</v>
      </c>
      <c r="U2201" s="6"/>
      <c r="V2201" s="16"/>
      <c r="W2201" s="16"/>
      <c r="X2201" s="16"/>
      <c r="Y2201" s="6" t="s">
        <v>1627</v>
      </c>
      <c r="Z2201" s="15"/>
      <c r="AA2201" s="15" t="s">
        <v>1628</v>
      </c>
    </row>
    <row r="2202" spans="1:27" ht="33" customHeight="1">
      <c r="A2202" s="6" t="s">
        <v>5472</v>
      </c>
      <c r="B2202" s="7">
        <v>1699</v>
      </c>
      <c r="C2202" s="6" t="s">
        <v>5473</v>
      </c>
      <c r="D2202" s="6" t="s">
        <v>2007</v>
      </c>
      <c r="E2202" s="6" t="s">
        <v>2134</v>
      </c>
      <c r="F2202" s="6" t="s">
        <v>163</v>
      </c>
      <c r="G2202" s="6" t="s">
        <v>414</v>
      </c>
      <c r="H2202" s="6"/>
      <c r="I2202" s="14" t="s">
        <v>1642</v>
      </c>
      <c r="J2202" s="15"/>
      <c r="K2202" s="6" t="s">
        <v>1976</v>
      </c>
      <c r="L2202" s="6"/>
      <c r="M2202" s="6" t="s">
        <v>1643</v>
      </c>
      <c r="N2202" s="6" t="s">
        <v>1644</v>
      </c>
      <c r="O2202" s="7">
        <f>SUMIFS('05_상품별배치367'!$K$7:$K$373,'05_상품별배치367'!$E$7:$E$373,A2202,'05_상품별배치367'!$H$7:$H$373,"본진")</f>
        <v>0</v>
      </c>
      <c r="P2202" s="7">
        <f>SUMIFS('05_상품별배치367'!$K$7:$K$373,'05_상품별배치367'!$E$7:$E$373,A2202,'05_상품별배치367'!$H$7:$H$373,"추가 진열")</f>
        <v>0</v>
      </c>
      <c r="Q2202" s="7">
        <f>O2202+P2202</f>
        <v>0</v>
      </c>
      <c r="R2202" s="7">
        <v>1</v>
      </c>
      <c r="S2202" s="6" t="s">
        <v>3048</v>
      </c>
      <c r="T2202" s="6" t="s">
        <v>1637</v>
      </c>
      <c r="U2202" s="6"/>
      <c r="V2202" s="16"/>
      <c r="W2202" s="16"/>
      <c r="X2202" s="16"/>
      <c r="Y2202" s="6" t="s">
        <v>1627</v>
      </c>
      <c r="Z2202" s="15"/>
      <c r="AA2202" s="15" t="s">
        <v>1628</v>
      </c>
    </row>
    <row r="2203" spans="1:27" ht="33" customHeight="1">
      <c r="A2203" s="8" t="s">
        <v>5474</v>
      </c>
      <c r="B2203" s="9">
        <v>1700</v>
      </c>
      <c r="C2203" s="8" t="s">
        <v>5475</v>
      </c>
      <c r="D2203" s="8" t="s">
        <v>1941</v>
      </c>
      <c r="E2203" s="8" t="s">
        <v>1986</v>
      </c>
      <c r="F2203" s="8" t="s">
        <v>913</v>
      </c>
      <c r="G2203" s="8" t="s">
        <v>201</v>
      </c>
      <c r="H2203" s="8"/>
      <c r="I2203" s="14" t="s">
        <v>1642</v>
      </c>
      <c r="J2203" s="15"/>
      <c r="K2203" s="8" t="s">
        <v>1976</v>
      </c>
      <c r="L2203" s="8"/>
      <c r="M2203" s="6" t="s">
        <v>1643</v>
      </c>
      <c r="N2203" s="6" t="s">
        <v>1644</v>
      </c>
      <c r="O2203" s="7">
        <f>SUMIFS('05_상품별배치367'!$K$7:$K$373,'05_상품별배치367'!$E$7:$E$373,A2203,'05_상품별배치367'!$H$7:$H$373,"본진")</f>
        <v>0</v>
      </c>
      <c r="P2203" s="7">
        <f>SUMIFS('05_상품별배치367'!$K$7:$K$373,'05_상품별배치367'!$E$7:$E$373,A2203,'05_상품별배치367'!$H$7:$H$373,"추가 진열")</f>
        <v>0</v>
      </c>
      <c r="Q2203" s="7">
        <f>O2203+P2203</f>
        <v>0</v>
      </c>
      <c r="R2203" s="7">
        <v>1</v>
      </c>
      <c r="S2203" s="6" t="s">
        <v>2907</v>
      </c>
      <c r="T2203" s="6" t="s">
        <v>1637</v>
      </c>
      <c r="U2203" s="6"/>
      <c r="V2203" s="16"/>
      <c r="W2203" s="16"/>
      <c r="X2203" s="16"/>
      <c r="Y2203" s="6" t="s">
        <v>1627</v>
      </c>
      <c r="Z2203" s="15"/>
      <c r="AA2203" s="15" t="s">
        <v>1628</v>
      </c>
    </row>
    <row r="2204" spans="1:27" ht="33" customHeight="1">
      <c r="A2204" s="6" t="s">
        <v>5476</v>
      </c>
      <c r="B2204" s="7">
        <v>1701</v>
      </c>
      <c r="C2204" s="6" t="s">
        <v>5477</v>
      </c>
      <c r="D2204" s="6" t="s">
        <v>2856</v>
      </c>
      <c r="E2204" s="6" t="s">
        <v>2134</v>
      </c>
      <c r="F2204" s="6" t="s">
        <v>156</v>
      </c>
      <c r="G2204" s="6" t="s">
        <v>3239</v>
      </c>
      <c r="H2204" s="6"/>
      <c r="I2204" s="14" t="s">
        <v>1642</v>
      </c>
      <c r="J2204" s="15"/>
      <c r="K2204" s="6" t="s">
        <v>1976</v>
      </c>
      <c r="L2204" s="6"/>
      <c r="M2204" s="6" t="s">
        <v>1643</v>
      </c>
      <c r="N2204" s="6" t="s">
        <v>1644</v>
      </c>
      <c r="O2204" s="7">
        <f>SUMIFS('05_상품별배치367'!$K$7:$K$373,'05_상품별배치367'!$E$7:$E$373,A2204,'05_상품별배치367'!$H$7:$H$373,"본진")</f>
        <v>0</v>
      </c>
      <c r="P2204" s="7">
        <f>SUMIFS('05_상품별배치367'!$K$7:$K$373,'05_상품별배치367'!$E$7:$E$373,A2204,'05_상품별배치367'!$H$7:$H$373,"추가 진열")</f>
        <v>0</v>
      </c>
      <c r="Q2204" s="7">
        <f>O2204+P2204</f>
        <v>0</v>
      </c>
      <c r="R2204" s="7">
        <v>1</v>
      </c>
      <c r="S2204" s="6" t="s">
        <v>3240</v>
      </c>
      <c r="T2204" s="6" t="s">
        <v>1637</v>
      </c>
      <c r="U2204" s="6"/>
      <c r="V2204" s="16"/>
      <c r="W2204" s="16"/>
      <c r="X2204" s="16"/>
      <c r="Y2204" s="6" t="s">
        <v>1627</v>
      </c>
      <c r="Z2204" s="15"/>
      <c r="AA2204" s="15" t="s">
        <v>1628</v>
      </c>
    </row>
    <row r="2205" spans="1:27" ht="33" customHeight="1">
      <c r="A2205" s="8" t="s">
        <v>5478</v>
      </c>
      <c r="B2205" s="9">
        <v>1702</v>
      </c>
      <c r="C2205" s="8" t="s">
        <v>5479</v>
      </c>
      <c r="D2205" s="8" t="s">
        <v>3374</v>
      </c>
      <c r="E2205" s="8" t="s">
        <v>2134</v>
      </c>
      <c r="F2205" s="8" t="s">
        <v>156</v>
      </c>
      <c r="G2205" s="8" t="s">
        <v>3239</v>
      </c>
      <c r="H2205" s="8"/>
      <c r="I2205" s="14" t="s">
        <v>1642</v>
      </c>
      <c r="J2205" s="15"/>
      <c r="K2205" s="8" t="s">
        <v>1976</v>
      </c>
      <c r="L2205" s="8"/>
      <c r="M2205" s="6" t="s">
        <v>1643</v>
      </c>
      <c r="N2205" s="6" t="s">
        <v>1644</v>
      </c>
      <c r="O2205" s="7">
        <f>SUMIFS('05_상품별배치367'!$K$7:$K$373,'05_상품별배치367'!$E$7:$E$373,A2205,'05_상품별배치367'!$H$7:$H$373,"본진")</f>
        <v>0</v>
      </c>
      <c r="P2205" s="7">
        <f>SUMIFS('05_상품별배치367'!$K$7:$K$373,'05_상품별배치367'!$E$7:$E$373,A2205,'05_상품별배치367'!$H$7:$H$373,"추가 진열")</f>
        <v>0</v>
      </c>
      <c r="Q2205" s="7">
        <f>O2205+P2205</f>
        <v>0</v>
      </c>
      <c r="R2205" s="7">
        <v>1</v>
      </c>
      <c r="S2205" s="6" t="s">
        <v>3240</v>
      </c>
      <c r="T2205" s="6" t="s">
        <v>1637</v>
      </c>
      <c r="U2205" s="6"/>
      <c r="V2205" s="16"/>
      <c r="W2205" s="16"/>
      <c r="X2205" s="16"/>
      <c r="Y2205" s="6" t="s">
        <v>1627</v>
      </c>
      <c r="Z2205" s="15"/>
      <c r="AA2205" s="15" t="s">
        <v>1628</v>
      </c>
    </row>
    <row r="2206" spans="1:27" ht="33" customHeight="1">
      <c r="A2206" s="6" t="s">
        <v>5480</v>
      </c>
      <c r="B2206" s="7">
        <v>1703</v>
      </c>
      <c r="C2206" s="6" t="s">
        <v>5481</v>
      </c>
      <c r="D2206" s="6" t="s">
        <v>2133</v>
      </c>
      <c r="E2206" s="6" t="s">
        <v>2134</v>
      </c>
      <c r="F2206" s="6" t="s">
        <v>1263</v>
      </c>
      <c r="G2206" s="6" t="s">
        <v>376</v>
      </c>
      <c r="H2206" s="6"/>
      <c r="I2206" s="14" t="s">
        <v>1642</v>
      </c>
      <c r="J2206" s="15"/>
      <c r="K2206" s="6" t="s">
        <v>1976</v>
      </c>
      <c r="L2206" s="6"/>
      <c r="M2206" s="6" t="s">
        <v>1643</v>
      </c>
      <c r="N2206" s="6" t="s">
        <v>1644</v>
      </c>
      <c r="O2206" s="7">
        <f>SUMIFS('05_상품별배치367'!$K$7:$K$373,'05_상품별배치367'!$E$7:$E$373,A2206,'05_상품별배치367'!$H$7:$H$373,"본진")</f>
        <v>0</v>
      </c>
      <c r="P2206" s="7">
        <f>SUMIFS('05_상품별배치367'!$K$7:$K$373,'05_상품별배치367'!$E$7:$E$373,A2206,'05_상품별배치367'!$H$7:$H$373,"추가 진열")</f>
        <v>0</v>
      </c>
      <c r="Q2206" s="7">
        <f>O2206+P2206</f>
        <v>0</v>
      </c>
      <c r="R2206" s="7">
        <v>1</v>
      </c>
      <c r="S2206" s="6" t="s">
        <v>3016</v>
      </c>
      <c r="T2206" s="6" t="s">
        <v>1637</v>
      </c>
      <c r="U2206" s="6"/>
      <c r="V2206" s="16"/>
      <c r="W2206" s="16"/>
      <c r="X2206" s="16"/>
      <c r="Y2206" s="6" t="s">
        <v>1627</v>
      </c>
      <c r="Z2206" s="15"/>
      <c r="AA2206" s="15" t="s">
        <v>1628</v>
      </c>
    </row>
    <row r="2207" spans="1:27" ht="33" customHeight="1">
      <c r="A2207" s="8" t="s">
        <v>5482</v>
      </c>
      <c r="B2207" s="9">
        <v>1704</v>
      </c>
      <c r="C2207" s="8" t="s">
        <v>5483</v>
      </c>
      <c r="D2207" s="8" t="s">
        <v>2856</v>
      </c>
      <c r="E2207" s="8" t="s">
        <v>2134</v>
      </c>
      <c r="F2207" s="8" t="s">
        <v>1263</v>
      </c>
      <c r="G2207" s="8" t="s">
        <v>376</v>
      </c>
      <c r="H2207" s="8"/>
      <c r="I2207" s="14" t="s">
        <v>1642</v>
      </c>
      <c r="J2207" s="15"/>
      <c r="K2207" s="8" t="s">
        <v>1976</v>
      </c>
      <c r="L2207" s="8"/>
      <c r="M2207" s="6" t="s">
        <v>1643</v>
      </c>
      <c r="N2207" s="6" t="s">
        <v>1644</v>
      </c>
      <c r="O2207" s="7">
        <f>SUMIFS('05_상품별배치367'!$K$7:$K$373,'05_상품별배치367'!$E$7:$E$373,A2207,'05_상품별배치367'!$H$7:$H$373,"본진")</f>
        <v>0</v>
      </c>
      <c r="P2207" s="7">
        <f>SUMIFS('05_상품별배치367'!$K$7:$K$373,'05_상품별배치367'!$E$7:$E$373,A2207,'05_상품별배치367'!$H$7:$H$373,"추가 진열")</f>
        <v>0</v>
      </c>
      <c r="Q2207" s="7">
        <f>O2207+P2207</f>
        <v>0</v>
      </c>
      <c r="R2207" s="7">
        <v>1</v>
      </c>
      <c r="S2207" s="6" t="s">
        <v>3016</v>
      </c>
      <c r="T2207" s="6" t="s">
        <v>1637</v>
      </c>
      <c r="U2207" s="6"/>
      <c r="V2207" s="16"/>
      <c r="W2207" s="16"/>
      <c r="X2207" s="16"/>
      <c r="Y2207" s="6" t="s">
        <v>1627</v>
      </c>
      <c r="Z2207" s="15"/>
      <c r="AA2207" s="15" t="s">
        <v>1628</v>
      </c>
    </row>
    <row r="2208" spans="1:27" ht="33" customHeight="1">
      <c r="A2208" s="6" t="s">
        <v>5484</v>
      </c>
      <c r="B2208" s="7">
        <v>1705</v>
      </c>
      <c r="C2208" s="6" t="s">
        <v>5485</v>
      </c>
      <c r="D2208" s="6" t="s">
        <v>2856</v>
      </c>
      <c r="E2208" s="6" t="s">
        <v>1814</v>
      </c>
      <c r="F2208" s="6" t="s">
        <v>1376</v>
      </c>
      <c r="G2208" s="6" t="s">
        <v>431</v>
      </c>
      <c r="H2208" s="6"/>
      <c r="I2208" s="14" t="s">
        <v>1642</v>
      </c>
      <c r="J2208" s="15"/>
      <c r="K2208" s="6" t="s">
        <v>1976</v>
      </c>
      <c r="L2208" s="6"/>
      <c r="M2208" s="6" t="s">
        <v>1643</v>
      </c>
      <c r="N2208" s="6" t="s">
        <v>1644</v>
      </c>
      <c r="O2208" s="7">
        <f>SUMIFS('05_상품별배치367'!$K$7:$K$373,'05_상품별배치367'!$E$7:$E$373,A2208,'05_상품별배치367'!$H$7:$H$373,"본진")</f>
        <v>0</v>
      </c>
      <c r="P2208" s="7">
        <f>SUMIFS('05_상품별배치367'!$K$7:$K$373,'05_상품별배치367'!$E$7:$E$373,A2208,'05_상품별배치367'!$H$7:$H$373,"추가 진열")</f>
        <v>0</v>
      </c>
      <c r="Q2208" s="7">
        <f>O2208+P2208</f>
        <v>0</v>
      </c>
      <c r="R2208" s="7">
        <v>1</v>
      </c>
      <c r="S2208" s="6" t="s">
        <v>1978</v>
      </c>
      <c r="T2208" s="6" t="s">
        <v>1637</v>
      </c>
      <c r="U2208" s="6"/>
      <c r="V2208" s="16"/>
      <c r="W2208" s="16"/>
      <c r="X2208" s="16"/>
      <c r="Y2208" s="6" t="s">
        <v>1627</v>
      </c>
      <c r="Z2208" s="15"/>
      <c r="AA2208" s="15" t="s">
        <v>1628</v>
      </c>
    </row>
    <row r="2209" spans="1:27" ht="33" customHeight="1">
      <c r="A2209" s="8" t="s">
        <v>5486</v>
      </c>
      <c r="B2209" s="9">
        <v>1706</v>
      </c>
      <c r="C2209" s="8" t="s">
        <v>5487</v>
      </c>
      <c r="D2209" s="8" t="s">
        <v>4179</v>
      </c>
      <c r="E2209" s="8" t="s">
        <v>2134</v>
      </c>
      <c r="F2209" s="8" t="s">
        <v>1263</v>
      </c>
      <c r="G2209" s="8" t="s">
        <v>376</v>
      </c>
      <c r="H2209" s="8"/>
      <c r="I2209" s="14" t="s">
        <v>1642</v>
      </c>
      <c r="J2209" s="15"/>
      <c r="K2209" s="8" t="s">
        <v>1976</v>
      </c>
      <c r="L2209" s="8"/>
      <c r="M2209" s="6" t="s">
        <v>1643</v>
      </c>
      <c r="N2209" s="6" t="s">
        <v>1644</v>
      </c>
      <c r="O2209" s="7">
        <f>SUMIFS('05_상품별배치367'!$K$7:$K$373,'05_상품별배치367'!$E$7:$E$373,A2209,'05_상품별배치367'!$H$7:$H$373,"본진")</f>
        <v>0</v>
      </c>
      <c r="P2209" s="7">
        <f>SUMIFS('05_상품별배치367'!$K$7:$K$373,'05_상품별배치367'!$E$7:$E$373,A2209,'05_상품별배치367'!$H$7:$H$373,"추가 진열")</f>
        <v>0</v>
      </c>
      <c r="Q2209" s="7">
        <f>O2209+P2209</f>
        <v>0</v>
      </c>
      <c r="R2209" s="7">
        <v>1</v>
      </c>
      <c r="S2209" s="6" t="s">
        <v>3016</v>
      </c>
      <c r="T2209" s="6" t="s">
        <v>1637</v>
      </c>
      <c r="U2209" s="6"/>
      <c r="V2209" s="16"/>
      <c r="W2209" s="16"/>
      <c r="X2209" s="16"/>
      <c r="Y2209" s="6" t="s">
        <v>1627</v>
      </c>
      <c r="Z2209" s="15"/>
      <c r="AA2209" s="15" t="s">
        <v>1628</v>
      </c>
    </row>
    <row r="2210" spans="1:27" ht="33" customHeight="1">
      <c r="A2210" s="6" t="s">
        <v>5488</v>
      </c>
      <c r="B2210" s="7">
        <v>1707</v>
      </c>
      <c r="C2210" s="6" t="s">
        <v>5489</v>
      </c>
      <c r="D2210" s="6" t="s">
        <v>2133</v>
      </c>
      <c r="E2210" s="6" t="s">
        <v>2134</v>
      </c>
      <c r="F2210" s="6" t="s">
        <v>2933</v>
      </c>
      <c r="G2210" s="6" t="s">
        <v>1668</v>
      </c>
      <c r="H2210" s="6"/>
      <c r="I2210" s="14" t="s">
        <v>1807</v>
      </c>
      <c r="J2210" s="15"/>
      <c r="K2210" s="6" t="s">
        <v>1976</v>
      </c>
      <c r="L2210" s="6" t="s">
        <v>2032</v>
      </c>
      <c r="M2210" s="6" t="s">
        <v>1809</v>
      </c>
      <c r="N2210" s="6" t="s">
        <v>1624</v>
      </c>
      <c r="O2210" s="7">
        <f>SUMIFS('05_상품별배치367'!$K$7:$K$373,'05_상품별배치367'!$E$7:$E$373,A2210,'05_상품별배치367'!$H$7:$H$373,"본진")</f>
        <v>0</v>
      </c>
      <c r="P2210" s="7">
        <f>SUMIFS('05_상품별배치367'!$K$7:$K$373,'05_상품별배치367'!$E$7:$E$373,A2210,'05_상품별배치367'!$H$7:$H$373,"추가 진열")</f>
        <v>0</v>
      </c>
      <c r="Q2210" s="7">
        <f>O2210+P2210</f>
        <v>0</v>
      </c>
      <c r="R2210" s="7">
        <v>0</v>
      </c>
      <c r="S2210" s="6" t="s">
        <v>1810</v>
      </c>
      <c r="T2210" s="6" t="s">
        <v>1637</v>
      </c>
      <c r="U2210" s="6"/>
      <c r="V2210" s="16"/>
      <c r="W2210" s="16"/>
      <c r="X2210" s="16"/>
      <c r="Y2210" s="6" t="s">
        <v>1627</v>
      </c>
      <c r="Z2210" s="15"/>
      <c r="AA2210" s="15" t="s">
        <v>1628</v>
      </c>
    </row>
    <row r="2211" spans="1:27" ht="33" customHeight="1">
      <c r="A2211" s="8" t="s">
        <v>5490</v>
      </c>
      <c r="B2211" s="9">
        <v>1708</v>
      </c>
      <c r="C2211" s="8" t="s">
        <v>5491</v>
      </c>
      <c r="D2211" s="8" t="s">
        <v>2007</v>
      </c>
      <c r="E2211" s="8" t="s">
        <v>2134</v>
      </c>
      <c r="F2211" s="8" t="s">
        <v>2933</v>
      </c>
      <c r="G2211" s="8" t="s">
        <v>1668</v>
      </c>
      <c r="H2211" s="8"/>
      <c r="I2211" s="14" t="s">
        <v>1807</v>
      </c>
      <c r="J2211" s="15"/>
      <c r="K2211" s="8" t="s">
        <v>1976</v>
      </c>
      <c r="L2211" s="8" t="s">
        <v>2032</v>
      </c>
      <c r="M2211" s="6" t="s">
        <v>1809</v>
      </c>
      <c r="N2211" s="6" t="s">
        <v>1624</v>
      </c>
      <c r="O2211" s="7">
        <f>SUMIFS('05_상품별배치367'!$K$7:$K$373,'05_상품별배치367'!$E$7:$E$373,A2211,'05_상품별배치367'!$H$7:$H$373,"본진")</f>
        <v>0</v>
      </c>
      <c r="P2211" s="7">
        <f>SUMIFS('05_상품별배치367'!$K$7:$K$373,'05_상품별배치367'!$E$7:$E$373,A2211,'05_상품별배치367'!$H$7:$H$373,"추가 진열")</f>
        <v>0</v>
      </c>
      <c r="Q2211" s="7">
        <f>O2211+P2211</f>
        <v>0</v>
      </c>
      <c r="R2211" s="7">
        <v>0</v>
      </c>
      <c r="S2211" s="6" t="s">
        <v>1810</v>
      </c>
      <c r="T2211" s="6" t="s">
        <v>1637</v>
      </c>
      <c r="U2211" s="6"/>
      <c r="V2211" s="16"/>
      <c r="W2211" s="16"/>
      <c r="X2211" s="16"/>
      <c r="Y2211" s="6" t="s">
        <v>1627</v>
      </c>
      <c r="Z2211" s="15"/>
      <c r="AA2211" s="15" t="s">
        <v>1628</v>
      </c>
    </row>
    <row r="2212" spans="1:27" ht="33" customHeight="1">
      <c r="A2212" s="6" t="s">
        <v>5492</v>
      </c>
      <c r="B2212" s="7">
        <v>1709</v>
      </c>
      <c r="C2212" s="6" t="s">
        <v>5493</v>
      </c>
      <c r="D2212" s="6" t="s">
        <v>2133</v>
      </c>
      <c r="E2212" s="6" t="s">
        <v>2134</v>
      </c>
      <c r="F2212" s="6" t="s">
        <v>2933</v>
      </c>
      <c r="G2212" s="6" t="s">
        <v>1668</v>
      </c>
      <c r="H2212" s="6"/>
      <c r="I2212" s="14" t="s">
        <v>1807</v>
      </c>
      <c r="J2212" s="15"/>
      <c r="K2212" s="6" t="s">
        <v>1976</v>
      </c>
      <c r="L2212" s="6" t="s">
        <v>2032</v>
      </c>
      <c r="M2212" s="6" t="s">
        <v>1809</v>
      </c>
      <c r="N2212" s="6" t="s">
        <v>1624</v>
      </c>
      <c r="O2212" s="7">
        <f>SUMIFS('05_상품별배치367'!$K$7:$K$373,'05_상품별배치367'!$E$7:$E$373,A2212,'05_상품별배치367'!$H$7:$H$373,"본진")</f>
        <v>0</v>
      </c>
      <c r="P2212" s="7">
        <f>SUMIFS('05_상품별배치367'!$K$7:$K$373,'05_상품별배치367'!$E$7:$E$373,A2212,'05_상품별배치367'!$H$7:$H$373,"추가 진열")</f>
        <v>0</v>
      </c>
      <c r="Q2212" s="7">
        <f>O2212+P2212</f>
        <v>0</v>
      </c>
      <c r="R2212" s="7">
        <v>0</v>
      </c>
      <c r="S2212" s="6" t="s">
        <v>1810</v>
      </c>
      <c r="T2212" s="6" t="s">
        <v>1637</v>
      </c>
      <c r="U2212" s="6"/>
      <c r="V2212" s="16"/>
      <c r="W2212" s="16"/>
      <c r="X2212" s="16"/>
      <c r="Y2212" s="6" t="s">
        <v>1627</v>
      </c>
      <c r="Z2212" s="15"/>
      <c r="AA2212" s="15" t="s">
        <v>1628</v>
      </c>
    </row>
    <row r="2213" spans="1:27" ht="33" customHeight="1">
      <c r="A2213" s="8" t="s">
        <v>5494</v>
      </c>
      <c r="B2213" s="9">
        <v>1710</v>
      </c>
      <c r="C2213" s="8" t="s">
        <v>5495</v>
      </c>
      <c r="D2213" s="8" t="s">
        <v>2007</v>
      </c>
      <c r="E2213" s="8" t="s">
        <v>2134</v>
      </c>
      <c r="F2213" s="8" t="s">
        <v>2933</v>
      </c>
      <c r="G2213" s="8" t="s">
        <v>1668</v>
      </c>
      <c r="H2213" s="8"/>
      <c r="I2213" s="14" t="s">
        <v>1807</v>
      </c>
      <c r="J2213" s="15"/>
      <c r="K2213" s="8" t="s">
        <v>1976</v>
      </c>
      <c r="L2213" s="8" t="s">
        <v>2032</v>
      </c>
      <c r="M2213" s="6" t="s">
        <v>1809</v>
      </c>
      <c r="N2213" s="6" t="s">
        <v>1624</v>
      </c>
      <c r="O2213" s="7">
        <f>SUMIFS('05_상품별배치367'!$K$7:$K$373,'05_상품별배치367'!$E$7:$E$373,A2213,'05_상품별배치367'!$H$7:$H$373,"본진")</f>
        <v>0</v>
      </c>
      <c r="P2213" s="7">
        <f>SUMIFS('05_상품별배치367'!$K$7:$K$373,'05_상품별배치367'!$E$7:$E$373,A2213,'05_상품별배치367'!$H$7:$H$373,"추가 진열")</f>
        <v>0</v>
      </c>
      <c r="Q2213" s="7">
        <f>O2213+P2213</f>
        <v>0</v>
      </c>
      <c r="R2213" s="7">
        <v>0</v>
      </c>
      <c r="S2213" s="6" t="s">
        <v>1810</v>
      </c>
      <c r="T2213" s="6" t="s">
        <v>1637</v>
      </c>
      <c r="U2213" s="6"/>
      <c r="V2213" s="16"/>
      <c r="W2213" s="16"/>
      <c r="X2213" s="16"/>
      <c r="Y2213" s="6" t="s">
        <v>1627</v>
      </c>
      <c r="Z2213" s="15"/>
      <c r="AA2213" s="15" t="s">
        <v>1628</v>
      </c>
    </row>
    <row r="2214" spans="1:27" ht="33" customHeight="1">
      <c r="A2214" s="6" t="s">
        <v>5496</v>
      </c>
      <c r="B2214" s="7">
        <v>1711</v>
      </c>
      <c r="C2214" s="6" t="s">
        <v>5497</v>
      </c>
      <c r="D2214" s="6" t="s">
        <v>2899</v>
      </c>
      <c r="E2214" s="6" t="s">
        <v>2134</v>
      </c>
      <c r="F2214" s="6" t="s">
        <v>161</v>
      </c>
      <c r="G2214" s="6" t="s">
        <v>395</v>
      </c>
      <c r="H2214" s="6"/>
      <c r="I2214" s="14" t="s">
        <v>1642</v>
      </c>
      <c r="J2214" s="15"/>
      <c r="K2214" s="6" t="s">
        <v>1976</v>
      </c>
      <c r="L2214" s="6"/>
      <c r="M2214" s="6" t="s">
        <v>1643</v>
      </c>
      <c r="N2214" s="6" t="s">
        <v>1644</v>
      </c>
      <c r="O2214" s="7">
        <f>SUMIFS('05_상품별배치367'!$K$7:$K$373,'05_상품별배치367'!$E$7:$E$373,A2214,'05_상품별배치367'!$H$7:$H$373,"본진")</f>
        <v>0</v>
      </c>
      <c r="P2214" s="7">
        <f>SUMIFS('05_상품별배치367'!$K$7:$K$373,'05_상품별배치367'!$E$7:$E$373,A2214,'05_상품별배치367'!$H$7:$H$373,"추가 진열")</f>
        <v>0</v>
      </c>
      <c r="Q2214" s="7">
        <f>O2214+P2214</f>
        <v>0</v>
      </c>
      <c r="R2214" s="7">
        <v>1</v>
      </c>
      <c r="S2214" s="6" t="s">
        <v>3070</v>
      </c>
      <c r="T2214" s="6" t="s">
        <v>1637</v>
      </c>
      <c r="U2214" s="6"/>
      <c r="V2214" s="16"/>
      <c r="W2214" s="16"/>
      <c r="X2214" s="16"/>
      <c r="Y2214" s="6" t="s">
        <v>1627</v>
      </c>
      <c r="Z2214" s="15"/>
      <c r="AA2214" s="15" t="s">
        <v>1628</v>
      </c>
    </row>
    <row r="2215" spans="1:27" ht="33" customHeight="1">
      <c r="A2215" s="8" t="s">
        <v>5498</v>
      </c>
      <c r="B2215" s="9">
        <v>1712</v>
      </c>
      <c r="C2215" s="8" t="s">
        <v>5499</v>
      </c>
      <c r="D2215" s="8" t="s">
        <v>2701</v>
      </c>
      <c r="E2215" s="8" t="s">
        <v>2134</v>
      </c>
      <c r="F2215" s="8" t="s">
        <v>161</v>
      </c>
      <c r="G2215" s="8" t="s">
        <v>395</v>
      </c>
      <c r="H2215" s="8"/>
      <c r="I2215" s="14" t="s">
        <v>1642</v>
      </c>
      <c r="J2215" s="15"/>
      <c r="K2215" s="8" t="s">
        <v>1976</v>
      </c>
      <c r="L2215" s="8"/>
      <c r="M2215" s="6" t="s">
        <v>1643</v>
      </c>
      <c r="N2215" s="6" t="s">
        <v>1644</v>
      </c>
      <c r="O2215" s="7">
        <f>SUMIFS('05_상품별배치367'!$K$7:$K$373,'05_상품별배치367'!$E$7:$E$373,A2215,'05_상품별배치367'!$H$7:$H$373,"본진")</f>
        <v>0</v>
      </c>
      <c r="P2215" s="7">
        <f>SUMIFS('05_상품별배치367'!$K$7:$K$373,'05_상품별배치367'!$E$7:$E$373,A2215,'05_상품별배치367'!$H$7:$H$373,"추가 진열")</f>
        <v>0</v>
      </c>
      <c r="Q2215" s="7">
        <f>O2215+P2215</f>
        <v>0</v>
      </c>
      <c r="R2215" s="7">
        <v>1</v>
      </c>
      <c r="S2215" s="6" t="s">
        <v>3070</v>
      </c>
      <c r="T2215" s="6" t="s">
        <v>1637</v>
      </c>
      <c r="U2215" s="6"/>
      <c r="V2215" s="16"/>
      <c r="W2215" s="16"/>
      <c r="X2215" s="16"/>
      <c r="Y2215" s="6" t="s">
        <v>1627</v>
      </c>
      <c r="Z2215" s="15"/>
      <c r="AA2215" s="15" t="s">
        <v>1628</v>
      </c>
    </row>
    <row r="2216" spans="1:27" ht="33" customHeight="1">
      <c r="A2216" s="6" t="s">
        <v>5500</v>
      </c>
      <c r="B2216" s="7">
        <v>1713</v>
      </c>
      <c r="C2216" s="6" t="s">
        <v>5501</v>
      </c>
      <c r="D2216" s="6" t="s">
        <v>1851</v>
      </c>
      <c r="E2216" s="6" t="s">
        <v>2134</v>
      </c>
      <c r="F2216" s="6" t="s">
        <v>161</v>
      </c>
      <c r="G2216" s="6" t="s">
        <v>395</v>
      </c>
      <c r="H2216" s="6"/>
      <c r="I2216" s="14" t="s">
        <v>1642</v>
      </c>
      <c r="J2216" s="15"/>
      <c r="K2216" s="6" t="s">
        <v>1976</v>
      </c>
      <c r="L2216" s="6"/>
      <c r="M2216" s="6" t="s">
        <v>1643</v>
      </c>
      <c r="N2216" s="6" t="s">
        <v>1644</v>
      </c>
      <c r="O2216" s="7">
        <f>SUMIFS('05_상품별배치367'!$K$7:$K$373,'05_상품별배치367'!$E$7:$E$373,A2216,'05_상품별배치367'!$H$7:$H$373,"본진")</f>
        <v>0</v>
      </c>
      <c r="P2216" s="7">
        <f>SUMIFS('05_상품별배치367'!$K$7:$K$373,'05_상품별배치367'!$E$7:$E$373,A2216,'05_상품별배치367'!$H$7:$H$373,"추가 진열")</f>
        <v>0</v>
      </c>
      <c r="Q2216" s="7">
        <f>O2216+P2216</f>
        <v>0</v>
      </c>
      <c r="R2216" s="7">
        <v>1</v>
      </c>
      <c r="S2216" s="6" t="s">
        <v>3070</v>
      </c>
      <c r="T2216" s="6" t="s">
        <v>1637</v>
      </c>
      <c r="U2216" s="6"/>
      <c r="V2216" s="16"/>
      <c r="W2216" s="16"/>
      <c r="X2216" s="16"/>
      <c r="Y2216" s="6" t="s">
        <v>1627</v>
      </c>
      <c r="Z2216" s="15"/>
      <c r="AA2216" s="15" t="s">
        <v>1628</v>
      </c>
    </row>
    <row r="2217" spans="1:27" ht="33" customHeight="1">
      <c r="A2217" s="8" t="s">
        <v>5502</v>
      </c>
      <c r="B2217" s="9">
        <v>1714</v>
      </c>
      <c r="C2217" s="8" t="s">
        <v>5503</v>
      </c>
      <c r="D2217" s="8" t="s">
        <v>3327</v>
      </c>
      <c r="E2217" s="8" t="s">
        <v>1986</v>
      </c>
      <c r="F2217" s="8" t="s">
        <v>3378</v>
      </c>
      <c r="G2217" s="8" t="s">
        <v>38</v>
      </c>
      <c r="H2217" s="8"/>
      <c r="I2217" s="14" t="s">
        <v>1642</v>
      </c>
      <c r="J2217" s="15"/>
      <c r="K2217" s="8" t="s">
        <v>1976</v>
      </c>
      <c r="L2217" s="8"/>
      <c r="M2217" s="6" t="s">
        <v>1643</v>
      </c>
      <c r="N2217" s="6" t="s">
        <v>1644</v>
      </c>
      <c r="O2217" s="7">
        <f>SUMIFS('05_상품별배치367'!$K$7:$K$373,'05_상품별배치367'!$E$7:$E$373,A2217,'05_상품별배치367'!$H$7:$H$373,"본진")</f>
        <v>0</v>
      </c>
      <c r="P2217" s="7">
        <f>SUMIFS('05_상품별배치367'!$K$7:$K$373,'05_상품별배치367'!$E$7:$E$373,A2217,'05_상품별배치367'!$H$7:$H$373,"추가 진열")</f>
        <v>0</v>
      </c>
      <c r="Q2217" s="7">
        <f>O2217+P2217</f>
        <v>0</v>
      </c>
      <c r="R2217" s="7">
        <v>1</v>
      </c>
      <c r="S2217" s="6" t="s">
        <v>3379</v>
      </c>
      <c r="T2217" s="6" t="s">
        <v>1637</v>
      </c>
      <c r="U2217" s="6"/>
      <c r="V2217" s="16"/>
      <c r="W2217" s="16"/>
      <c r="X2217" s="16"/>
      <c r="Y2217" s="6" t="s">
        <v>1655</v>
      </c>
      <c r="Z2217" s="15"/>
      <c r="AA2217" s="15" t="s">
        <v>1628</v>
      </c>
    </row>
    <row r="2218" spans="1:27" ht="33" customHeight="1">
      <c r="A2218" s="6" t="s">
        <v>5504</v>
      </c>
      <c r="B2218" s="7">
        <v>1715</v>
      </c>
      <c r="C2218" s="6" t="s">
        <v>5505</v>
      </c>
      <c r="D2218" s="6" t="s">
        <v>1876</v>
      </c>
      <c r="E2218" s="6" t="s">
        <v>2134</v>
      </c>
      <c r="F2218" s="6" t="s">
        <v>156</v>
      </c>
      <c r="G2218" s="6" t="s">
        <v>3239</v>
      </c>
      <c r="H2218" s="6"/>
      <c r="I2218" s="14" t="s">
        <v>1642</v>
      </c>
      <c r="J2218" s="15"/>
      <c r="K2218" s="6" t="s">
        <v>1976</v>
      </c>
      <c r="L2218" s="6"/>
      <c r="M2218" s="6" t="s">
        <v>1643</v>
      </c>
      <c r="N2218" s="6" t="s">
        <v>1644</v>
      </c>
      <c r="O2218" s="7">
        <f>SUMIFS('05_상품별배치367'!$K$7:$K$373,'05_상품별배치367'!$E$7:$E$373,A2218,'05_상품별배치367'!$H$7:$H$373,"본진")</f>
        <v>0</v>
      </c>
      <c r="P2218" s="7">
        <f>SUMIFS('05_상품별배치367'!$K$7:$K$373,'05_상품별배치367'!$E$7:$E$373,A2218,'05_상품별배치367'!$H$7:$H$373,"추가 진열")</f>
        <v>0</v>
      </c>
      <c r="Q2218" s="7">
        <f>O2218+P2218</f>
        <v>0</v>
      </c>
      <c r="R2218" s="7">
        <v>1</v>
      </c>
      <c r="S2218" s="6" t="s">
        <v>3240</v>
      </c>
      <c r="T2218" s="6" t="s">
        <v>1637</v>
      </c>
      <c r="U2218" s="6"/>
      <c r="V2218" s="16"/>
      <c r="W2218" s="16"/>
      <c r="X2218" s="16"/>
      <c r="Y2218" s="6" t="s">
        <v>1627</v>
      </c>
      <c r="Z2218" s="15"/>
      <c r="AA2218" s="15" t="s">
        <v>1628</v>
      </c>
    </row>
    <row r="2219" spans="1:27" ht="33" customHeight="1">
      <c r="A2219" s="8" t="s">
        <v>5506</v>
      </c>
      <c r="B2219" s="9">
        <v>1716</v>
      </c>
      <c r="C2219" s="8" t="s">
        <v>5507</v>
      </c>
      <c r="D2219" s="8" t="s">
        <v>2856</v>
      </c>
      <c r="E2219" s="8" t="s">
        <v>1814</v>
      </c>
      <c r="F2219" s="8" t="s">
        <v>1376</v>
      </c>
      <c r="G2219" s="8" t="s">
        <v>431</v>
      </c>
      <c r="H2219" s="8"/>
      <c r="I2219" s="14" t="s">
        <v>1642</v>
      </c>
      <c r="J2219" s="15"/>
      <c r="K2219" s="8" t="s">
        <v>1976</v>
      </c>
      <c r="L2219" s="8"/>
      <c r="M2219" s="6" t="s">
        <v>1643</v>
      </c>
      <c r="N2219" s="6" t="s">
        <v>1644</v>
      </c>
      <c r="O2219" s="7">
        <f>SUMIFS('05_상품별배치367'!$K$7:$K$373,'05_상품별배치367'!$E$7:$E$373,A2219,'05_상품별배치367'!$H$7:$H$373,"본진")</f>
        <v>0</v>
      </c>
      <c r="P2219" s="7">
        <f>SUMIFS('05_상품별배치367'!$K$7:$K$373,'05_상품별배치367'!$E$7:$E$373,A2219,'05_상품별배치367'!$H$7:$H$373,"추가 진열")</f>
        <v>0</v>
      </c>
      <c r="Q2219" s="7">
        <f>O2219+P2219</f>
        <v>0</v>
      </c>
      <c r="R2219" s="7">
        <v>1</v>
      </c>
      <c r="S2219" s="6" t="s">
        <v>1978</v>
      </c>
      <c r="T2219" s="6" t="s">
        <v>1637</v>
      </c>
      <c r="U2219" s="6"/>
      <c r="V2219" s="16"/>
      <c r="W2219" s="16"/>
      <c r="X2219" s="16"/>
      <c r="Y2219" s="6" t="s">
        <v>1627</v>
      </c>
      <c r="Z2219" s="15"/>
      <c r="AA2219" s="15" t="s">
        <v>1628</v>
      </c>
    </row>
    <row r="2220" spans="1:27" ht="33" customHeight="1">
      <c r="A2220" s="6" t="s">
        <v>5508</v>
      </c>
      <c r="B2220" s="7">
        <v>1717</v>
      </c>
      <c r="C2220" s="6" t="s">
        <v>5509</v>
      </c>
      <c r="D2220" s="6" t="s">
        <v>2133</v>
      </c>
      <c r="E2220" s="6" t="s">
        <v>2134</v>
      </c>
      <c r="F2220" s="6" t="s">
        <v>156</v>
      </c>
      <c r="G2220" s="6" t="s">
        <v>3239</v>
      </c>
      <c r="H2220" s="6"/>
      <c r="I2220" s="14" t="s">
        <v>1642</v>
      </c>
      <c r="J2220" s="15"/>
      <c r="K2220" s="6" t="s">
        <v>1976</v>
      </c>
      <c r="L2220" s="6"/>
      <c r="M2220" s="6" t="s">
        <v>1643</v>
      </c>
      <c r="N2220" s="6" t="s">
        <v>1644</v>
      </c>
      <c r="O2220" s="7">
        <f>SUMIFS('05_상품별배치367'!$K$7:$K$373,'05_상품별배치367'!$E$7:$E$373,A2220,'05_상품별배치367'!$H$7:$H$373,"본진")</f>
        <v>0</v>
      </c>
      <c r="P2220" s="7">
        <f>SUMIFS('05_상품별배치367'!$K$7:$K$373,'05_상품별배치367'!$E$7:$E$373,A2220,'05_상품별배치367'!$H$7:$H$373,"추가 진열")</f>
        <v>0</v>
      </c>
      <c r="Q2220" s="7">
        <f>O2220+P2220</f>
        <v>0</v>
      </c>
      <c r="R2220" s="7">
        <v>1</v>
      </c>
      <c r="S2220" s="6" t="s">
        <v>3240</v>
      </c>
      <c r="T2220" s="6" t="s">
        <v>1637</v>
      </c>
      <c r="U2220" s="6"/>
      <c r="V2220" s="16"/>
      <c r="W2220" s="16"/>
      <c r="X2220" s="16"/>
      <c r="Y2220" s="6" t="s">
        <v>1627</v>
      </c>
      <c r="Z2220" s="15"/>
      <c r="AA2220" s="15" t="s">
        <v>1628</v>
      </c>
    </row>
    <row r="2221" spans="1:27" ht="33" customHeight="1">
      <c r="A2221" s="6" t="s">
        <v>5455</v>
      </c>
      <c r="B2221" s="7">
        <v>1691</v>
      </c>
      <c r="C2221" s="6" t="s">
        <v>5456</v>
      </c>
      <c r="D2221" s="6" t="s">
        <v>3327</v>
      </c>
      <c r="E2221" s="6" t="s">
        <v>1986</v>
      </c>
      <c r="F2221" s="6" t="s">
        <v>3378</v>
      </c>
      <c r="G2221" s="6" t="s">
        <v>38</v>
      </c>
      <c r="H2221" s="6"/>
      <c r="I2221" s="14" t="s">
        <v>1642</v>
      </c>
      <c r="J2221" s="15"/>
      <c r="K2221" s="6" t="s">
        <v>1976</v>
      </c>
      <c r="L2221" s="6"/>
      <c r="M2221" s="6" t="s">
        <v>1643</v>
      </c>
      <c r="N2221" s="6" t="s">
        <v>1644</v>
      </c>
      <c r="O2221" s="7">
        <f>SUMIFS('05_상품별배치367'!$K$7:$K$373,'05_상품별배치367'!$E$7:$E$373,A2221,'05_상품별배치367'!$H$7:$H$373,"본진")</f>
        <v>0</v>
      </c>
      <c r="P2221" s="7">
        <f>SUMIFS('05_상품별배치367'!$K$7:$K$373,'05_상품별배치367'!$E$7:$E$373,A2221,'05_상품별배치367'!$H$7:$H$373,"추가 진열")</f>
        <v>0</v>
      </c>
      <c r="Q2221" s="7">
        <f>O2221+P2221</f>
        <v>0</v>
      </c>
      <c r="R2221" s="7">
        <v>1</v>
      </c>
      <c r="S2221" s="6" t="s">
        <v>3379</v>
      </c>
      <c r="T2221" s="6" t="s">
        <v>1637</v>
      </c>
      <c r="U2221" s="6"/>
      <c r="V2221" s="16"/>
      <c r="W2221" s="16"/>
      <c r="X2221" s="16"/>
      <c r="Y2221" s="6" t="s">
        <v>1655</v>
      </c>
      <c r="Z2221" s="15"/>
      <c r="AA2221" s="15" t="s">
        <v>1628</v>
      </c>
    </row>
    <row r="2222" spans="1:27" ht="33" customHeight="1">
      <c r="A2222" s="8" t="s">
        <v>5510</v>
      </c>
      <c r="B2222" s="9">
        <v>1718</v>
      </c>
      <c r="C2222" s="8" t="s">
        <v>5511</v>
      </c>
      <c r="D2222" s="8" t="s">
        <v>1876</v>
      </c>
      <c r="E2222" s="8" t="s">
        <v>2134</v>
      </c>
      <c r="F2222" s="8" t="s">
        <v>156</v>
      </c>
      <c r="G2222" s="8" t="s">
        <v>3239</v>
      </c>
      <c r="H2222" s="8"/>
      <c r="I2222" s="14" t="s">
        <v>1642</v>
      </c>
      <c r="J2222" s="15"/>
      <c r="K2222" s="8" t="s">
        <v>1976</v>
      </c>
      <c r="L2222" s="8"/>
      <c r="M2222" s="6" t="s">
        <v>1643</v>
      </c>
      <c r="N2222" s="6" t="s">
        <v>1644</v>
      </c>
      <c r="O2222" s="7">
        <f>SUMIFS('05_상품별배치367'!$K$7:$K$373,'05_상품별배치367'!$E$7:$E$373,A2222,'05_상품별배치367'!$H$7:$H$373,"본진")</f>
        <v>0</v>
      </c>
      <c r="P2222" s="7">
        <f>SUMIFS('05_상품별배치367'!$K$7:$K$373,'05_상품별배치367'!$E$7:$E$373,A2222,'05_상품별배치367'!$H$7:$H$373,"추가 진열")</f>
        <v>0</v>
      </c>
      <c r="Q2222" s="7">
        <f>O2222+P2222</f>
        <v>0</v>
      </c>
      <c r="R2222" s="7">
        <v>1</v>
      </c>
      <c r="S2222" s="6" t="s">
        <v>3240</v>
      </c>
      <c r="T2222" s="6" t="s">
        <v>1637</v>
      </c>
      <c r="U2222" s="6"/>
      <c r="V2222" s="16"/>
      <c r="W2222" s="16"/>
      <c r="X2222" s="16"/>
      <c r="Y2222" s="6" t="s">
        <v>1627</v>
      </c>
      <c r="Z2222" s="15"/>
      <c r="AA2222" s="15" t="s">
        <v>1628</v>
      </c>
    </row>
    <row r="2223" spans="1:27" ht="33" customHeight="1">
      <c r="A2223" s="6" t="s">
        <v>5512</v>
      </c>
      <c r="B2223" s="7">
        <v>1719</v>
      </c>
      <c r="C2223" s="6" t="s">
        <v>5513</v>
      </c>
      <c r="D2223" s="6" t="s">
        <v>5459</v>
      </c>
      <c r="E2223" s="6" t="s">
        <v>1986</v>
      </c>
      <c r="F2223" s="6" t="s">
        <v>3378</v>
      </c>
      <c r="G2223" s="6" t="s">
        <v>38</v>
      </c>
      <c r="H2223" s="6"/>
      <c r="I2223" s="14" t="s">
        <v>1642</v>
      </c>
      <c r="J2223" s="15"/>
      <c r="K2223" s="6" t="s">
        <v>1976</v>
      </c>
      <c r="L2223" s="6"/>
      <c r="M2223" s="6" t="s">
        <v>1643</v>
      </c>
      <c r="N2223" s="6" t="s">
        <v>1644</v>
      </c>
      <c r="O2223" s="7">
        <f>SUMIFS('05_상품별배치367'!$K$7:$K$373,'05_상품별배치367'!$E$7:$E$373,A2223,'05_상품별배치367'!$H$7:$H$373,"본진")</f>
        <v>0</v>
      </c>
      <c r="P2223" s="7">
        <f>SUMIFS('05_상품별배치367'!$K$7:$K$373,'05_상품별배치367'!$E$7:$E$373,A2223,'05_상품별배치367'!$H$7:$H$373,"추가 진열")</f>
        <v>0</v>
      </c>
      <c r="Q2223" s="7">
        <f>O2223+P2223</f>
        <v>0</v>
      </c>
      <c r="R2223" s="7">
        <v>1</v>
      </c>
      <c r="S2223" s="6" t="s">
        <v>3379</v>
      </c>
      <c r="T2223" s="6" t="s">
        <v>1637</v>
      </c>
      <c r="U2223" s="6"/>
      <c r="V2223" s="16"/>
      <c r="W2223" s="16"/>
      <c r="X2223" s="16"/>
      <c r="Y2223" s="6" t="s">
        <v>1655</v>
      </c>
      <c r="Z2223" s="15"/>
      <c r="AA2223" s="15" t="s">
        <v>1628</v>
      </c>
    </row>
    <row r="2224" spans="1:27" ht="33" customHeight="1">
      <c r="A2224" s="8" t="s">
        <v>5514</v>
      </c>
      <c r="B2224" s="9">
        <v>1720</v>
      </c>
      <c r="C2224" s="8" t="s">
        <v>5515</v>
      </c>
      <c r="D2224" s="8" t="s">
        <v>2007</v>
      </c>
      <c r="E2224" s="8" t="s">
        <v>2134</v>
      </c>
      <c r="F2224" s="8" t="s">
        <v>162</v>
      </c>
      <c r="G2224" s="8" t="s">
        <v>404</v>
      </c>
      <c r="H2224" s="8"/>
      <c r="I2224" s="14" t="s">
        <v>1642</v>
      </c>
      <c r="J2224" s="15"/>
      <c r="K2224" s="8" t="s">
        <v>1976</v>
      </c>
      <c r="L2224" s="8"/>
      <c r="M2224" s="6" t="s">
        <v>1643</v>
      </c>
      <c r="N2224" s="6" t="s">
        <v>1644</v>
      </c>
      <c r="O2224" s="7">
        <f>SUMIFS('05_상품별배치367'!$K$7:$K$373,'05_상품별배치367'!$E$7:$E$373,A2224,'05_상품별배치367'!$H$7:$H$373,"본진")</f>
        <v>0</v>
      </c>
      <c r="P2224" s="7">
        <f>SUMIFS('05_상품별배치367'!$K$7:$K$373,'05_상품별배치367'!$E$7:$E$373,A2224,'05_상품별배치367'!$H$7:$H$373,"추가 진열")</f>
        <v>0</v>
      </c>
      <c r="Q2224" s="7">
        <f>O2224+P2224</f>
        <v>0</v>
      </c>
      <c r="R2224" s="7">
        <v>1</v>
      </c>
      <c r="S2224" s="6" t="s">
        <v>2996</v>
      </c>
      <c r="T2224" s="6" t="s">
        <v>1637</v>
      </c>
      <c r="U2224" s="6"/>
      <c r="V2224" s="16"/>
      <c r="W2224" s="16"/>
      <c r="X2224" s="16"/>
      <c r="Y2224" s="6" t="s">
        <v>1627</v>
      </c>
      <c r="Z2224" s="15"/>
      <c r="AA2224" s="15" t="s">
        <v>1628</v>
      </c>
    </row>
    <row r="2225" spans="1:27" ht="33" customHeight="1">
      <c r="A2225" s="6" t="s">
        <v>5516</v>
      </c>
      <c r="B2225" s="7">
        <v>1721</v>
      </c>
      <c r="C2225" s="6" t="s">
        <v>5517</v>
      </c>
      <c r="D2225" s="6" t="s">
        <v>2845</v>
      </c>
      <c r="E2225" s="6" t="s">
        <v>1986</v>
      </c>
      <c r="F2225" s="6" t="s">
        <v>913</v>
      </c>
      <c r="G2225" s="6" t="s">
        <v>201</v>
      </c>
      <c r="H2225" s="6"/>
      <c r="I2225" s="14" t="s">
        <v>1642</v>
      </c>
      <c r="J2225" s="15"/>
      <c r="K2225" s="6" t="s">
        <v>1976</v>
      </c>
      <c r="L2225" s="6"/>
      <c r="M2225" s="6" t="s">
        <v>1643</v>
      </c>
      <c r="N2225" s="6" t="s">
        <v>1644</v>
      </c>
      <c r="O2225" s="7">
        <f>SUMIFS('05_상품별배치367'!$K$7:$K$373,'05_상품별배치367'!$E$7:$E$373,A2225,'05_상품별배치367'!$H$7:$H$373,"본진")</f>
        <v>0</v>
      </c>
      <c r="P2225" s="7">
        <f>SUMIFS('05_상품별배치367'!$K$7:$K$373,'05_상품별배치367'!$E$7:$E$373,A2225,'05_상품별배치367'!$H$7:$H$373,"추가 진열")</f>
        <v>0</v>
      </c>
      <c r="Q2225" s="7">
        <f>O2225+P2225</f>
        <v>0</v>
      </c>
      <c r="R2225" s="7">
        <v>1</v>
      </c>
      <c r="S2225" s="6" t="s">
        <v>2907</v>
      </c>
      <c r="T2225" s="6" t="s">
        <v>1637</v>
      </c>
      <c r="U2225" s="6"/>
      <c r="V2225" s="16"/>
      <c r="W2225" s="16"/>
      <c r="X2225" s="16"/>
      <c r="Y2225" s="6" t="s">
        <v>1627</v>
      </c>
      <c r="Z2225" s="15"/>
      <c r="AA2225" s="15" t="s">
        <v>1628</v>
      </c>
    </row>
    <row r="2226" spans="1:27" ht="33" customHeight="1">
      <c r="A2226" s="8" t="s">
        <v>5518</v>
      </c>
      <c r="B2226" s="9">
        <v>1722</v>
      </c>
      <c r="C2226" s="8" t="s">
        <v>5519</v>
      </c>
      <c r="D2226" s="8" t="s">
        <v>2845</v>
      </c>
      <c r="E2226" s="8" t="s">
        <v>1986</v>
      </c>
      <c r="F2226" s="8" t="s">
        <v>913</v>
      </c>
      <c r="G2226" s="8" t="s">
        <v>201</v>
      </c>
      <c r="H2226" s="8"/>
      <c r="I2226" s="14" t="s">
        <v>1642</v>
      </c>
      <c r="J2226" s="15"/>
      <c r="K2226" s="8" t="s">
        <v>1976</v>
      </c>
      <c r="L2226" s="8"/>
      <c r="M2226" s="6" t="s">
        <v>1643</v>
      </c>
      <c r="N2226" s="6" t="s">
        <v>1644</v>
      </c>
      <c r="O2226" s="7">
        <f>SUMIFS('05_상품별배치367'!$K$7:$K$373,'05_상품별배치367'!$E$7:$E$373,A2226,'05_상품별배치367'!$H$7:$H$373,"본진")</f>
        <v>0</v>
      </c>
      <c r="P2226" s="7">
        <f>SUMIFS('05_상품별배치367'!$K$7:$K$373,'05_상품별배치367'!$E$7:$E$373,A2226,'05_상품별배치367'!$H$7:$H$373,"추가 진열")</f>
        <v>0</v>
      </c>
      <c r="Q2226" s="7">
        <f>O2226+P2226</f>
        <v>0</v>
      </c>
      <c r="R2226" s="7">
        <v>1</v>
      </c>
      <c r="S2226" s="6" t="s">
        <v>2907</v>
      </c>
      <c r="T2226" s="6" t="s">
        <v>1637</v>
      </c>
      <c r="U2226" s="6"/>
      <c r="V2226" s="16"/>
      <c r="W2226" s="16"/>
      <c r="X2226" s="16"/>
      <c r="Y2226" s="6" t="s">
        <v>1627</v>
      </c>
      <c r="Z2226" s="15"/>
      <c r="AA2226" s="15" t="s">
        <v>1628</v>
      </c>
    </row>
    <row r="2227" spans="1:27" ht="33" customHeight="1">
      <c r="A2227" s="6" t="s">
        <v>5520</v>
      </c>
      <c r="B2227" s="7">
        <v>1723</v>
      </c>
      <c r="C2227" s="6" t="s">
        <v>5521</v>
      </c>
      <c r="D2227" s="6" t="s">
        <v>2007</v>
      </c>
      <c r="E2227" s="6" t="s">
        <v>2134</v>
      </c>
      <c r="F2227" s="6" t="s">
        <v>162</v>
      </c>
      <c r="G2227" s="6" t="s">
        <v>404</v>
      </c>
      <c r="H2227" s="6"/>
      <c r="I2227" s="14" t="s">
        <v>1642</v>
      </c>
      <c r="J2227" s="15"/>
      <c r="K2227" s="6" t="s">
        <v>1976</v>
      </c>
      <c r="L2227" s="6"/>
      <c r="M2227" s="6" t="s">
        <v>1643</v>
      </c>
      <c r="N2227" s="6" t="s">
        <v>1644</v>
      </c>
      <c r="O2227" s="7">
        <f>SUMIFS('05_상품별배치367'!$K$7:$K$373,'05_상품별배치367'!$E$7:$E$373,A2227,'05_상품별배치367'!$H$7:$H$373,"본진")</f>
        <v>0</v>
      </c>
      <c r="P2227" s="7">
        <f>SUMIFS('05_상품별배치367'!$K$7:$K$373,'05_상품별배치367'!$E$7:$E$373,A2227,'05_상품별배치367'!$H$7:$H$373,"추가 진열")</f>
        <v>0</v>
      </c>
      <c r="Q2227" s="7">
        <f>O2227+P2227</f>
        <v>0</v>
      </c>
      <c r="R2227" s="7">
        <v>1</v>
      </c>
      <c r="S2227" s="6" t="s">
        <v>2996</v>
      </c>
      <c r="T2227" s="6" t="s">
        <v>1637</v>
      </c>
      <c r="U2227" s="6"/>
      <c r="V2227" s="16"/>
      <c r="W2227" s="16"/>
      <c r="X2227" s="16"/>
      <c r="Y2227" s="6" t="s">
        <v>1627</v>
      </c>
      <c r="Z2227" s="15"/>
      <c r="AA2227" s="15" t="s">
        <v>1628</v>
      </c>
    </row>
    <row r="2228" spans="1:27" ht="33" customHeight="1">
      <c r="A2228" s="8" t="s">
        <v>5522</v>
      </c>
      <c r="B2228" s="9">
        <v>1724</v>
      </c>
      <c r="C2228" s="8" t="s">
        <v>5523</v>
      </c>
      <c r="D2228" s="8" t="s">
        <v>2899</v>
      </c>
      <c r="E2228" s="8" t="s">
        <v>2134</v>
      </c>
      <c r="F2228" s="8" t="s">
        <v>161</v>
      </c>
      <c r="G2228" s="8" t="s">
        <v>395</v>
      </c>
      <c r="H2228" s="8"/>
      <c r="I2228" s="14" t="s">
        <v>1642</v>
      </c>
      <c r="J2228" s="15"/>
      <c r="K2228" s="8" t="s">
        <v>1976</v>
      </c>
      <c r="L2228" s="8"/>
      <c r="M2228" s="6" t="s">
        <v>1643</v>
      </c>
      <c r="N2228" s="6" t="s">
        <v>1644</v>
      </c>
      <c r="O2228" s="7">
        <f>SUMIFS('05_상품별배치367'!$K$7:$K$373,'05_상품별배치367'!$E$7:$E$373,A2228,'05_상품별배치367'!$H$7:$H$373,"본진")</f>
        <v>0</v>
      </c>
      <c r="P2228" s="7">
        <f>SUMIFS('05_상품별배치367'!$K$7:$K$373,'05_상품별배치367'!$E$7:$E$373,A2228,'05_상품별배치367'!$H$7:$H$373,"추가 진열")</f>
        <v>0</v>
      </c>
      <c r="Q2228" s="7">
        <f>O2228+P2228</f>
        <v>0</v>
      </c>
      <c r="R2228" s="7">
        <v>1</v>
      </c>
      <c r="S2228" s="6" t="s">
        <v>3070</v>
      </c>
      <c r="T2228" s="6" t="s">
        <v>1637</v>
      </c>
      <c r="U2228" s="6"/>
      <c r="V2228" s="16"/>
      <c r="W2228" s="16"/>
      <c r="X2228" s="16"/>
      <c r="Y2228" s="6" t="s">
        <v>1627</v>
      </c>
      <c r="Z2228" s="15"/>
      <c r="AA2228" s="15" t="s">
        <v>1628</v>
      </c>
    </row>
    <row r="2229" spans="1:27" ht="33" customHeight="1">
      <c r="A2229" s="8" t="s">
        <v>5535</v>
      </c>
      <c r="B2229" s="9">
        <v>1730</v>
      </c>
      <c r="C2229" s="8" t="s">
        <v>5536</v>
      </c>
      <c r="D2229" s="8" t="s">
        <v>2701</v>
      </c>
      <c r="E2229" s="8" t="s">
        <v>2134</v>
      </c>
      <c r="F2229" s="8" t="s">
        <v>2933</v>
      </c>
      <c r="G2229" s="8" t="s">
        <v>1668</v>
      </c>
      <c r="H2229" s="8"/>
      <c r="I2229" s="14" t="s">
        <v>1807</v>
      </c>
      <c r="J2229" s="15"/>
      <c r="K2229" s="8" t="s">
        <v>1976</v>
      </c>
      <c r="L2229" s="8" t="s">
        <v>2032</v>
      </c>
      <c r="M2229" s="6" t="s">
        <v>1809</v>
      </c>
      <c r="N2229" s="6" t="s">
        <v>1624</v>
      </c>
      <c r="O2229" s="7">
        <f>SUMIFS('05_상품별배치367'!$K$7:$K$373,'05_상품별배치367'!$E$7:$E$373,A2229,'05_상품별배치367'!$H$7:$H$373,"본진")</f>
        <v>0</v>
      </c>
      <c r="P2229" s="7">
        <f>SUMIFS('05_상품별배치367'!$K$7:$K$373,'05_상품별배치367'!$E$7:$E$373,A2229,'05_상품별배치367'!$H$7:$H$373,"추가 진열")</f>
        <v>0</v>
      </c>
      <c r="Q2229" s="7">
        <f>O2229+P2229</f>
        <v>0</v>
      </c>
      <c r="R2229" s="7">
        <v>0</v>
      </c>
      <c r="S2229" s="6" t="s">
        <v>1810</v>
      </c>
      <c r="T2229" s="6" t="s">
        <v>1637</v>
      </c>
      <c r="U2229" s="6"/>
      <c r="V2229" s="16"/>
      <c r="W2229" s="16"/>
      <c r="X2229" s="16"/>
      <c r="Y2229" s="6" t="s">
        <v>1627</v>
      </c>
      <c r="Z2229" s="15"/>
      <c r="AA2229" s="15" t="s">
        <v>1628</v>
      </c>
    </row>
    <row r="2230" spans="1:27" ht="33" customHeight="1">
      <c r="A2230" s="6" t="s">
        <v>5533</v>
      </c>
      <c r="B2230" s="7">
        <v>1729</v>
      </c>
      <c r="C2230" s="6" t="s">
        <v>5534</v>
      </c>
      <c r="D2230" s="6" t="s">
        <v>2701</v>
      </c>
      <c r="E2230" s="6" t="s">
        <v>2134</v>
      </c>
      <c r="F2230" s="6" t="s">
        <v>481</v>
      </c>
      <c r="G2230" s="6" t="s">
        <v>193</v>
      </c>
      <c r="H2230" s="6"/>
      <c r="I2230" s="14" t="s">
        <v>1642</v>
      </c>
      <c r="J2230" s="15"/>
      <c r="K2230" s="6" t="s">
        <v>1976</v>
      </c>
      <c r="L2230" s="6"/>
      <c r="M2230" s="6" t="s">
        <v>1643</v>
      </c>
      <c r="N2230" s="6" t="s">
        <v>1644</v>
      </c>
      <c r="O2230" s="7">
        <f>SUMIFS('05_상품별배치367'!$K$7:$K$373,'05_상품별배치367'!$E$7:$E$373,A2230,'05_상품별배치367'!$H$7:$H$373,"본진")</f>
        <v>0</v>
      </c>
      <c r="P2230" s="7">
        <f>SUMIFS('05_상품별배치367'!$K$7:$K$373,'05_상품별배치367'!$E$7:$E$373,A2230,'05_상품별배치367'!$H$7:$H$373,"추가 진열")</f>
        <v>0</v>
      </c>
      <c r="Q2230" s="7">
        <f>O2230+P2230</f>
        <v>0</v>
      </c>
      <c r="R2230" s="7">
        <v>1</v>
      </c>
      <c r="S2230" s="6" t="s">
        <v>3000</v>
      </c>
      <c r="T2230" s="6" t="s">
        <v>1637</v>
      </c>
      <c r="U2230" s="6"/>
      <c r="V2230" s="16"/>
      <c r="W2230" s="16"/>
      <c r="X2230" s="16"/>
      <c r="Y2230" s="6" t="s">
        <v>1627</v>
      </c>
      <c r="Z2230" s="15"/>
      <c r="AA2230" s="15" t="s">
        <v>1628</v>
      </c>
    </row>
    <row r="2231" spans="1:27" ht="33" customHeight="1">
      <c r="A2231" s="6" t="s">
        <v>5524</v>
      </c>
      <c r="B2231" s="7">
        <v>1725</v>
      </c>
      <c r="C2231" s="6" t="s">
        <v>5525</v>
      </c>
      <c r="D2231" s="6" t="s">
        <v>1851</v>
      </c>
      <c r="E2231" s="6" t="s">
        <v>2134</v>
      </c>
      <c r="F2231" s="6" t="s">
        <v>163</v>
      </c>
      <c r="G2231" s="6" t="s">
        <v>414</v>
      </c>
      <c r="H2231" s="6"/>
      <c r="I2231" s="14" t="s">
        <v>1642</v>
      </c>
      <c r="J2231" s="15"/>
      <c r="K2231" s="6" t="s">
        <v>1976</v>
      </c>
      <c r="L2231" s="6"/>
      <c r="M2231" s="6" t="s">
        <v>1643</v>
      </c>
      <c r="N2231" s="6" t="s">
        <v>1644</v>
      </c>
      <c r="O2231" s="7">
        <f>SUMIFS('05_상품별배치367'!$K$7:$K$373,'05_상품별배치367'!$E$7:$E$373,A2231,'05_상품별배치367'!$H$7:$H$373,"본진")</f>
        <v>0</v>
      </c>
      <c r="P2231" s="7">
        <f>SUMIFS('05_상품별배치367'!$K$7:$K$373,'05_상품별배치367'!$E$7:$E$373,A2231,'05_상품별배치367'!$H$7:$H$373,"추가 진열")</f>
        <v>0</v>
      </c>
      <c r="Q2231" s="7">
        <f>O2231+P2231</f>
        <v>0</v>
      </c>
      <c r="R2231" s="7">
        <v>1</v>
      </c>
      <c r="S2231" s="6" t="s">
        <v>3048</v>
      </c>
      <c r="T2231" s="6" t="s">
        <v>1637</v>
      </c>
      <c r="U2231" s="6"/>
      <c r="V2231" s="16"/>
      <c r="W2231" s="16"/>
      <c r="X2231" s="16"/>
      <c r="Y2231" s="6" t="s">
        <v>1627</v>
      </c>
      <c r="Z2231" s="15"/>
      <c r="AA2231" s="15" t="s">
        <v>1628</v>
      </c>
    </row>
    <row r="2232" spans="1:27" ht="33" customHeight="1">
      <c r="A2232" s="8" t="s">
        <v>5526</v>
      </c>
      <c r="B2232" s="9">
        <v>1726</v>
      </c>
      <c r="C2232" s="8" t="s">
        <v>5527</v>
      </c>
      <c r="D2232" s="8" t="s">
        <v>2701</v>
      </c>
      <c r="E2232" s="8" t="s">
        <v>2134</v>
      </c>
      <c r="F2232" s="8" t="s">
        <v>163</v>
      </c>
      <c r="G2232" s="8" t="s">
        <v>414</v>
      </c>
      <c r="H2232" s="8"/>
      <c r="I2232" s="14" t="s">
        <v>1642</v>
      </c>
      <c r="J2232" s="15"/>
      <c r="K2232" s="8" t="s">
        <v>1976</v>
      </c>
      <c r="L2232" s="8"/>
      <c r="M2232" s="6" t="s">
        <v>1643</v>
      </c>
      <c r="N2232" s="6" t="s">
        <v>1644</v>
      </c>
      <c r="O2232" s="7">
        <f>SUMIFS('05_상품별배치367'!$K$7:$K$373,'05_상품별배치367'!$E$7:$E$373,A2232,'05_상품별배치367'!$H$7:$H$373,"본진")</f>
        <v>0</v>
      </c>
      <c r="P2232" s="7">
        <f>SUMIFS('05_상품별배치367'!$K$7:$K$373,'05_상품별배치367'!$E$7:$E$373,A2232,'05_상품별배치367'!$H$7:$H$373,"추가 진열")</f>
        <v>0</v>
      </c>
      <c r="Q2232" s="7">
        <f>O2232+P2232</f>
        <v>0</v>
      </c>
      <c r="R2232" s="7">
        <v>1</v>
      </c>
      <c r="S2232" s="6" t="s">
        <v>3048</v>
      </c>
      <c r="T2232" s="6" t="s">
        <v>1637</v>
      </c>
      <c r="U2232" s="6"/>
      <c r="V2232" s="16"/>
      <c r="W2232" s="16"/>
      <c r="X2232" s="16"/>
      <c r="Y2232" s="6" t="s">
        <v>1627</v>
      </c>
      <c r="Z2232" s="15"/>
      <c r="AA2232" s="15" t="s">
        <v>1628</v>
      </c>
    </row>
    <row r="2233" spans="1:27" ht="33" customHeight="1">
      <c r="A2233" s="8" t="s">
        <v>6992</v>
      </c>
      <c r="B2233" s="9">
        <v>2404</v>
      </c>
      <c r="C2233" s="8" t="s">
        <v>6993</v>
      </c>
      <c r="D2233" s="8" t="s">
        <v>2856</v>
      </c>
      <c r="E2233" s="8" t="s">
        <v>2134</v>
      </c>
      <c r="F2233" s="8" t="s">
        <v>481</v>
      </c>
      <c r="G2233" s="8" t="s">
        <v>193</v>
      </c>
      <c r="H2233" s="8" t="s">
        <v>900</v>
      </c>
      <c r="I2233" s="14" t="s">
        <v>1992</v>
      </c>
      <c r="J2233" s="15"/>
      <c r="K2233" s="8" t="s">
        <v>1976</v>
      </c>
      <c r="L2233" s="8" t="s">
        <v>3828</v>
      </c>
      <c r="M2233" s="6" t="s">
        <v>1993</v>
      </c>
      <c r="N2233" s="6" t="s">
        <v>1624</v>
      </c>
      <c r="O2233" s="7">
        <f>SUMIFS('05_상품별배치367'!$K$7:$K$373,'05_상품별배치367'!$E$7:$E$373,A2233,'05_상품별배치367'!$H$7:$H$373,"본진")</f>
        <v>1</v>
      </c>
      <c r="P2233" s="7">
        <f>SUMIFS('05_상품별배치367'!$K$7:$K$373,'05_상품별배치367'!$E$7:$E$373,A2233,'05_상품별배치367'!$H$7:$H$373,"추가 진열")</f>
        <v>0</v>
      </c>
      <c r="Q2233" s="7">
        <f>O2233+P2233</f>
        <v>1</v>
      </c>
      <c r="R2233" s="7">
        <v>1</v>
      </c>
      <c r="S2233" s="6" t="s">
        <v>1994</v>
      </c>
      <c r="T2233" s="6" t="s">
        <v>5537</v>
      </c>
      <c r="U2233" s="6"/>
      <c r="V2233" s="16"/>
      <c r="W2233" s="16"/>
      <c r="X2233" s="16"/>
      <c r="Y2233" s="6" t="s">
        <v>1627</v>
      </c>
      <c r="Z2233" s="15"/>
      <c r="AA2233" s="15" t="s">
        <v>1628</v>
      </c>
    </row>
    <row r="2234" spans="1:27" ht="33" customHeight="1">
      <c r="A2234" s="6" t="s">
        <v>845</v>
      </c>
      <c r="B2234" s="7">
        <v>1731</v>
      </c>
      <c r="C2234" s="6" t="s">
        <v>844</v>
      </c>
      <c r="D2234" s="6" t="s">
        <v>2856</v>
      </c>
      <c r="E2234" s="6" t="s">
        <v>2134</v>
      </c>
      <c r="F2234" s="6" t="s">
        <v>842</v>
      </c>
      <c r="G2234" s="6" t="s">
        <v>164</v>
      </c>
      <c r="H2234" s="6" t="s">
        <v>843</v>
      </c>
      <c r="I2234" s="14" t="s">
        <v>1992</v>
      </c>
      <c r="J2234" s="15"/>
      <c r="K2234" s="6" t="s">
        <v>1976</v>
      </c>
      <c r="L2234" s="6"/>
      <c r="M2234" s="6" t="s">
        <v>1993</v>
      </c>
      <c r="N2234" s="6" t="s">
        <v>1624</v>
      </c>
      <c r="O2234" s="7">
        <f>SUMIFS('05_상품별배치367'!$K$7:$K$373,'05_상품별배치367'!$E$7:$E$373,A2234,'05_상품별배치367'!$H$7:$H$373,"본진")</f>
        <v>1</v>
      </c>
      <c r="P2234" s="7">
        <f>SUMIFS('05_상품별배치367'!$K$7:$K$373,'05_상품별배치367'!$E$7:$E$373,A2234,'05_상품별배치367'!$H$7:$H$373,"추가 진열")</f>
        <v>0</v>
      </c>
      <c r="Q2234" s="7">
        <f>O2234+P2234</f>
        <v>1</v>
      </c>
      <c r="R2234" s="7">
        <v>1</v>
      </c>
      <c r="S2234" s="6" t="s">
        <v>1994</v>
      </c>
      <c r="T2234" s="6" t="s">
        <v>5537</v>
      </c>
      <c r="U2234" s="6"/>
      <c r="V2234" s="16"/>
      <c r="W2234" s="16"/>
      <c r="X2234" s="16"/>
      <c r="Y2234" s="6" t="s">
        <v>1627</v>
      </c>
      <c r="Z2234" s="15"/>
      <c r="AA2234" s="15" t="s">
        <v>1628</v>
      </c>
    </row>
    <row r="2235" spans="1:27" ht="33" customHeight="1">
      <c r="A2235" s="8" t="s">
        <v>850</v>
      </c>
      <c r="B2235" s="9">
        <v>1734</v>
      </c>
      <c r="C2235" s="8" t="s">
        <v>849</v>
      </c>
      <c r="D2235" s="8" t="s">
        <v>2856</v>
      </c>
      <c r="E2235" s="8" t="s">
        <v>2134</v>
      </c>
      <c r="F2235" s="8" t="s">
        <v>842</v>
      </c>
      <c r="G2235" s="8" t="s">
        <v>164</v>
      </c>
      <c r="H2235" s="8" t="s">
        <v>848</v>
      </c>
      <c r="I2235" s="14" t="s">
        <v>1992</v>
      </c>
      <c r="J2235" s="15"/>
      <c r="K2235" s="8" t="s">
        <v>1976</v>
      </c>
      <c r="L2235" s="8"/>
      <c r="M2235" s="6" t="s">
        <v>1993</v>
      </c>
      <c r="N2235" s="6" t="s">
        <v>1624</v>
      </c>
      <c r="O2235" s="7">
        <f>SUMIFS('05_상품별배치367'!$K$7:$K$373,'05_상품별배치367'!$E$7:$E$373,A2235,'05_상품별배치367'!$H$7:$H$373,"본진")</f>
        <v>1</v>
      </c>
      <c r="P2235" s="7">
        <f>SUMIFS('05_상품별배치367'!$K$7:$K$373,'05_상품별배치367'!$E$7:$E$373,A2235,'05_상품별배치367'!$H$7:$H$373,"추가 진열")</f>
        <v>0</v>
      </c>
      <c r="Q2235" s="7">
        <f>O2235+P2235</f>
        <v>1</v>
      </c>
      <c r="R2235" s="7">
        <v>1</v>
      </c>
      <c r="S2235" s="6" t="s">
        <v>1994</v>
      </c>
      <c r="T2235" s="6" t="s">
        <v>5537</v>
      </c>
      <c r="U2235" s="6"/>
      <c r="V2235" s="16"/>
      <c r="W2235" s="16"/>
      <c r="X2235" s="16"/>
      <c r="Y2235" s="6" t="s">
        <v>1627</v>
      </c>
      <c r="Z2235" s="15"/>
      <c r="AA2235" s="15" t="s">
        <v>1628</v>
      </c>
    </row>
    <row r="2236" spans="1:27" ht="33" customHeight="1">
      <c r="A2236" s="6" t="s">
        <v>854</v>
      </c>
      <c r="B2236" s="7">
        <v>1735</v>
      </c>
      <c r="C2236" s="6" t="s">
        <v>853</v>
      </c>
      <c r="D2236" s="6" t="s">
        <v>2913</v>
      </c>
      <c r="E2236" s="6" t="s">
        <v>2134</v>
      </c>
      <c r="F2236" s="6" t="s">
        <v>842</v>
      </c>
      <c r="G2236" s="6" t="s">
        <v>164</v>
      </c>
      <c r="H2236" s="6" t="s">
        <v>852</v>
      </c>
      <c r="I2236" s="14" t="s">
        <v>1992</v>
      </c>
      <c r="J2236" s="15"/>
      <c r="K2236" s="6" t="s">
        <v>1976</v>
      </c>
      <c r="L2236" s="6"/>
      <c r="M2236" s="6" t="s">
        <v>1993</v>
      </c>
      <c r="N2236" s="6" t="s">
        <v>1624</v>
      </c>
      <c r="O2236" s="7">
        <f>SUMIFS('05_상품별배치367'!$K$7:$K$373,'05_상품별배치367'!$E$7:$E$373,A2236,'05_상품별배치367'!$H$7:$H$373,"본진")</f>
        <v>1</v>
      </c>
      <c r="P2236" s="7">
        <f>SUMIFS('05_상품별배치367'!$K$7:$K$373,'05_상품별배치367'!$E$7:$E$373,A2236,'05_상품별배치367'!$H$7:$H$373,"추가 진열")</f>
        <v>0</v>
      </c>
      <c r="Q2236" s="7">
        <f>O2236+P2236</f>
        <v>1</v>
      </c>
      <c r="R2236" s="7">
        <v>1</v>
      </c>
      <c r="S2236" s="6" t="s">
        <v>1994</v>
      </c>
      <c r="T2236" s="6" t="s">
        <v>5537</v>
      </c>
      <c r="U2236" s="6"/>
      <c r="V2236" s="16"/>
      <c r="W2236" s="16"/>
      <c r="X2236" s="16"/>
      <c r="Y2236" s="6" t="s">
        <v>1627</v>
      </c>
      <c r="Z2236" s="15"/>
      <c r="AA2236" s="15" t="s">
        <v>1628</v>
      </c>
    </row>
    <row r="2237" spans="1:27" ht="33" customHeight="1">
      <c r="A2237" s="8" t="s">
        <v>5538</v>
      </c>
      <c r="B2237" s="9">
        <v>1732</v>
      </c>
      <c r="C2237" s="8" t="s">
        <v>5539</v>
      </c>
      <c r="D2237" s="8" t="s">
        <v>2133</v>
      </c>
      <c r="E2237" s="8" t="s">
        <v>2134</v>
      </c>
      <c r="F2237" s="8" t="s">
        <v>2933</v>
      </c>
      <c r="G2237" s="8" t="s">
        <v>164</v>
      </c>
      <c r="H2237" s="8" t="s">
        <v>843</v>
      </c>
      <c r="I2237" s="14" t="s">
        <v>1807</v>
      </c>
      <c r="J2237" s="15"/>
      <c r="K2237" s="8" t="s">
        <v>1976</v>
      </c>
      <c r="L2237" s="8" t="s">
        <v>2032</v>
      </c>
      <c r="M2237" s="6" t="s">
        <v>1809</v>
      </c>
      <c r="N2237" s="6" t="s">
        <v>1624</v>
      </c>
      <c r="O2237" s="7">
        <f>SUMIFS('05_상품별배치367'!$K$7:$K$373,'05_상품별배치367'!$E$7:$E$373,A2237,'05_상품별배치367'!$H$7:$H$373,"본진")</f>
        <v>0</v>
      </c>
      <c r="P2237" s="7">
        <f>SUMIFS('05_상품별배치367'!$K$7:$K$373,'05_상품별배치367'!$E$7:$E$373,A2237,'05_상품별배치367'!$H$7:$H$373,"추가 진열")</f>
        <v>0</v>
      </c>
      <c r="Q2237" s="7">
        <f>O2237+P2237</f>
        <v>0</v>
      </c>
      <c r="R2237" s="7">
        <v>0</v>
      </c>
      <c r="S2237" s="6" t="s">
        <v>1810</v>
      </c>
      <c r="T2237" s="6" t="s">
        <v>5537</v>
      </c>
      <c r="U2237" s="6"/>
      <c r="V2237" s="16"/>
      <c r="W2237" s="16"/>
      <c r="X2237" s="16"/>
      <c r="Y2237" s="6" t="s">
        <v>1627</v>
      </c>
      <c r="Z2237" s="15"/>
      <c r="AA2237" s="15" t="s">
        <v>1628</v>
      </c>
    </row>
    <row r="2238" spans="1:27" ht="33" customHeight="1">
      <c r="A2238" s="6" t="s">
        <v>5540</v>
      </c>
      <c r="B2238" s="7">
        <v>1733</v>
      </c>
      <c r="C2238" s="6" t="s">
        <v>5541</v>
      </c>
      <c r="D2238" s="6" t="s">
        <v>2133</v>
      </c>
      <c r="E2238" s="6" t="s">
        <v>2134</v>
      </c>
      <c r="F2238" s="6" t="s">
        <v>2933</v>
      </c>
      <c r="G2238" s="6" t="s">
        <v>1668</v>
      </c>
      <c r="H2238" s="6"/>
      <c r="I2238" s="14" t="s">
        <v>1807</v>
      </c>
      <c r="J2238" s="15"/>
      <c r="K2238" s="6" t="s">
        <v>1976</v>
      </c>
      <c r="L2238" s="6" t="s">
        <v>2032</v>
      </c>
      <c r="M2238" s="6" t="s">
        <v>1809</v>
      </c>
      <c r="N2238" s="6" t="s">
        <v>1624</v>
      </c>
      <c r="O2238" s="7">
        <f>SUMIFS('05_상품별배치367'!$K$7:$K$373,'05_상품별배치367'!$E$7:$E$373,A2238,'05_상품별배치367'!$H$7:$H$373,"본진")</f>
        <v>0</v>
      </c>
      <c r="P2238" s="7">
        <f>SUMIFS('05_상품별배치367'!$K$7:$K$373,'05_상품별배치367'!$E$7:$E$373,A2238,'05_상품별배치367'!$H$7:$H$373,"추가 진열")</f>
        <v>0</v>
      </c>
      <c r="Q2238" s="7">
        <f>O2238+P2238</f>
        <v>0</v>
      </c>
      <c r="R2238" s="7">
        <v>0</v>
      </c>
      <c r="S2238" s="6" t="s">
        <v>1810</v>
      </c>
      <c r="T2238" s="6" t="s">
        <v>5537</v>
      </c>
      <c r="U2238" s="6"/>
      <c r="V2238" s="16"/>
      <c r="W2238" s="16"/>
      <c r="X2238" s="16"/>
      <c r="Y2238" s="6" t="s">
        <v>1627</v>
      </c>
      <c r="Z2238" s="15"/>
      <c r="AA2238" s="15" t="s">
        <v>1628</v>
      </c>
    </row>
    <row r="2239" spans="1:27" ht="33" customHeight="1">
      <c r="A2239" s="6" t="s">
        <v>598</v>
      </c>
      <c r="B2239" s="7">
        <v>2403</v>
      </c>
      <c r="C2239" s="6" t="s">
        <v>597</v>
      </c>
      <c r="D2239" s="6" t="s">
        <v>4191</v>
      </c>
      <c r="E2239" s="6" t="s">
        <v>2134</v>
      </c>
      <c r="F2239" s="6" t="s">
        <v>161</v>
      </c>
      <c r="G2239" s="6" t="s">
        <v>395</v>
      </c>
      <c r="H2239" s="6" t="s">
        <v>1306</v>
      </c>
      <c r="I2239" s="14" t="s">
        <v>1621</v>
      </c>
      <c r="J2239" s="15"/>
      <c r="K2239" s="6" t="s">
        <v>1976</v>
      </c>
      <c r="L2239" s="6" t="s">
        <v>3828</v>
      </c>
      <c r="M2239" s="6" t="s">
        <v>1623</v>
      </c>
      <c r="N2239" s="6" t="s">
        <v>1624</v>
      </c>
      <c r="O2239" s="7">
        <f>SUMIFS('05_상품별배치367'!$K$7:$K$373,'05_상품별배치367'!$E$7:$E$373,A2239,'05_상품별배치367'!$H$7:$H$373,"본진")</f>
        <v>1</v>
      </c>
      <c r="P2239" s="7">
        <f>SUMIFS('05_상품별배치367'!$K$7:$K$373,'05_상품별배치367'!$E$7:$E$373,A2239,'05_상품별배치367'!$H$7:$H$373,"추가 진열")</f>
        <v>1</v>
      </c>
      <c r="Q2239" s="7">
        <f>O2239+P2239</f>
        <v>2</v>
      </c>
      <c r="R2239" s="7">
        <v>1</v>
      </c>
      <c r="S2239" s="6" t="s">
        <v>1625</v>
      </c>
      <c r="T2239" s="6" t="s">
        <v>5537</v>
      </c>
      <c r="U2239" s="6"/>
      <c r="V2239" s="16"/>
      <c r="W2239" s="16"/>
      <c r="X2239" s="16"/>
      <c r="Y2239" s="6" t="s">
        <v>1627</v>
      </c>
      <c r="Z2239" s="15"/>
      <c r="AA2239" s="15" t="s">
        <v>1628</v>
      </c>
    </row>
    <row r="2240" spans="1:27" ht="33" customHeight="1">
      <c r="A2240" s="6" t="s">
        <v>5552</v>
      </c>
      <c r="B2240" s="7">
        <v>1741</v>
      </c>
      <c r="C2240" s="6" t="s">
        <v>5553</v>
      </c>
      <c r="D2240" s="6" t="s">
        <v>2078</v>
      </c>
      <c r="E2240" s="6" t="s">
        <v>1743</v>
      </c>
      <c r="F2240" s="6" t="s">
        <v>4924</v>
      </c>
      <c r="G2240" s="6" t="s">
        <v>1668</v>
      </c>
      <c r="H2240" s="6"/>
      <c r="I2240" s="14" t="s">
        <v>1807</v>
      </c>
      <c r="J2240" s="15"/>
      <c r="K2240" s="6" t="s">
        <v>1976</v>
      </c>
      <c r="L2240" s="6" t="s">
        <v>4925</v>
      </c>
      <c r="M2240" s="6" t="s">
        <v>1809</v>
      </c>
      <c r="N2240" s="6" t="s">
        <v>1644</v>
      </c>
      <c r="O2240" s="7">
        <f>SUMIFS('05_상품별배치367'!$K$7:$K$373,'05_상품별배치367'!$E$7:$E$373,A2240,'05_상품별배치367'!$H$7:$H$373,"본진")</f>
        <v>0</v>
      </c>
      <c r="P2240" s="7">
        <f>SUMIFS('05_상품별배치367'!$K$7:$K$373,'05_상품별배치367'!$E$7:$E$373,A2240,'05_상품별배치367'!$H$7:$H$373,"추가 진열")</f>
        <v>0</v>
      </c>
      <c r="Q2240" s="7">
        <f>O2240+P2240</f>
        <v>0</v>
      </c>
      <c r="R2240" s="7">
        <v>0</v>
      </c>
      <c r="S2240" s="6" t="s">
        <v>1810</v>
      </c>
      <c r="T2240" s="6" t="s">
        <v>5537</v>
      </c>
      <c r="U2240" s="6"/>
      <c r="V2240" s="16"/>
      <c r="W2240" s="16"/>
      <c r="X2240" s="16"/>
      <c r="Y2240" s="6" t="s">
        <v>1655</v>
      </c>
      <c r="Z2240" s="15"/>
      <c r="AA2240" s="15" t="s">
        <v>1628</v>
      </c>
    </row>
    <row r="2241" spans="1:27" ht="33" customHeight="1">
      <c r="A2241" s="8" t="s">
        <v>5550</v>
      </c>
      <c r="B2241" s="9">
        <v>1740</v>
      </c>
      <c r="C2241" s="8" t="s">
        <v>5551</v>
      </c>
      <c r="D2241" s="8" t="s">
        <v>2078</v>
      </c>
      <c r="E2241" s="8" t="s">
        <v>1743</v>
      </c>
      <c r="F2241" s="8" t="s">
        <v>4924</v>
      </c>
      <c r="G2241" s="8" t="s">
        <v>1668</v>
      </c>
      <c r="H2241" s="8"/>
      <c r="I2241" s="14" t="s">
        <v>1807</v>
      </c>
      <c r="J2241" s="15"/>
      <c r="K2241" s="8" t="s">
        <v>1976</v>
      </c>
      <c r="L2241" s="8" t="s">
        <v>4925</v>
      </c>
      <c r="M2241" s="6" t="s">
        <v>1809</v>
      </c>
      <c r="N2241" s="6" t="s">
        <v>1644</v>
      </c>
      <c r="O2241" s="7">
        <f>SUMIFS('05_상품별배치367'!$K$7:$K$373,'05_상품별배치367'!$E$7:$E$373,A2241,'05_상품별배치367'!$H$7:$H$373,"본진")</f>
        <v>0</v>
      </c>
      <c r="P2241" s="7">
        <f>SUMIFS('05_상품별배치367'!$K$7:$K$373,'05_상품별배치367'!$E$7:$E$373,A2241,'05_상품별배치367'!$H$7:$H$373,"추가 진열")</f>
        <v>0</v>
      </c>
      <c r="Q2241" s="7">
        <f>O2241+P2241</f>
        <v>0</v>
      </c>
      <c r="R2241" s="7">
        <v>0</v>
      </c>
      <c r="S2241" s="6" t="s">
        <v>1810</v>
      </c>
      <c r="T2241" s="6" t="s">
        <v>5537</v>
      </c>
      <c r="U2241" s="6"/>
      <c r="V2241" s="16"/>
      <c r="W2241" s="16"/>
      <c r="X2241" s="16"/>
      <c r="Y2241" s="6" t="s">
        <v>1655</v>
      </c>
      <c r="Z2241" s="15"/>
      <c r="AA2241" s="15" t="s">
        <v>1628</v>
      </c>
    </row>
    <row r="2242" spans="1:27" ht="33" customHeight="1">
      <c r="A2242" s="6" t="s">
        <v>5548</v>
      </c>
      <c r="B2242" s="7">
        <v>1739</v>
      </c>
      <c r="C2242" s="6" t="s">
        <v>5549</v>
      </c>
      <c r="D2242" s="6" t="s">
        <v>2572</v>
      </c>
      <c r="E2242" s="6" t="s">
        <v>2134</v>
      </c>
      <c r="F2242" s="6" t="s">
        <v>842</v>
      </c>
      <c r="G2242" s="6" t="s">
        <v>164</v>
      </c>
      <c r="H2242" s="6"/>
      <c r="I2242" s="14" t="s">
        <v>1642</v>
      </c>
      <c r="J2242" s="15"/>
      <c r="K2242" s="6" t="s">
        <v>1976</v>
      </c>
      <c r="L2242" s="6"/>
      <c r="M2242" s="6" t="s">
        <v>1643</v>
      </c>
      <c r="N2242" s="6" t="s">
        <v>1644</v>
      </c>
      <c r="O2242" s="7">
        <f>SUMIFS('05_상품별배치367'!$K$7:$K$373,'05_상품별배치367'!$E$7:$E$373,A2242,'05_상품별배치367'!$H$7:$H$373,"본진")</f>
        <v>0</v>
      </c>
      <c r="P2242" s="7">
        <f>SUMIFS('05_상품별배치367'!$K$7:$K$373,'05_상품별배치367'!$E$7:$E$373,A2242,'05_상품별배치367'!$H$7:$H$373,"추가 진열")</f>
        <v>0</v>
      </c>
      <c r="Q2242" s="7">
        <f>O2242+P2242</f>
        <v>0</v>
      </c>
      <c r="R2242" s="7">
        <v>1</v>
      </c>
      <c r="S2242" s="6" t="s">
        <v>3009</v>
      </c>
      <c r="T2242" s="6" t="s">
        <v>5537</v>
      </c>
      <c r="U2242" s="6"/>
      <c r="V2242" s="16"/>
      <c r="W2242" s="16"/>
      <c r="X2242" s="16"/>
      <c r="Y2242" s="6" t="s">
        <v>1627</v>
      </c>
      <c r="Z2242" s="15"/>
      <c r="AA2242" s="15" t="s">
        <v>1628</v>
      </c>
    </row>
    <row r="2243" spans="1:27" ht="33" customHeight="1">
      <c r="A2243" s="8" t="s">
        <v>5546</v>
      </c>
      <c r="B2243" s="9">
        <v>1738</v>
      </c>
      <c r="C2243" s="8" t="s">
        <v>5547</v>
      </c>
      <c r="D2243" s="8" t="s">
        <v>2572</v>
      </c>
      <c r="E2243" s="8" t="s">
        <v>2134</v>
      </c>
      <c r="F2243" s="8" t="s">
        <v>1263</v>
      </c>
      <c r="G2243" s="8" t="s">
        <v>376</v>
      </c>
      <c r="H2243" s="8"/>
      <c r="I2243" s="14" t="s">
        <v>1642</v>
      </c>
      <c r="J2243" s="15"/>
      <c r="K2243" s="8" t="s">
        <v>1976</v>
      </c>
      <c r="L2243" s="8"/>
      <c r="M2243" s="6" t="s">
        <v>1643</v>
      </c>
      <c r="N2243" s="6" t="s">
        <v>1644</v>
      </c>
      <c r="O2243" s="7">
        <f>SUMIFS('05_상품별배치367'!$K$7:$K$373,'05_상품별배치367'!$E$7:$E$373,A2243,'05_상품별배치367'!$H$7:$H$373,"본진")</f>
        <v>0</v>
      </c>
      <c r="P2243" s="7">
        <f>SUMIFS('05_상품별배치367'!$K$7:$K$373,'05_상품별배치367'!$E$7:$E$373,A2243,'05_상품별배치367'!$H$7:$H$373,"추가 진열")</f>
        <v>0</v>
      </c>
      <c r="Q2243" s="7">
        <f>O2243+P2243</f>
        <v>0</v>
      </c>
      <c r="R2243" s="7">
        <v>1</v>
      </c>
      <c r="S2243" s="6" t="s">
        <v>3016</v>
      </c>
      <c r="T2243" s="6" t="s">
        <v>5537</v>
      </c>
      <c r="U2243" s="6"/>
      <c r="V2243" s="16"/>
      <c r="W2243" s="16"/>
      <c r="X2243" s="16"/>
      <c r="Y2243" s="6" t="s">
        <v>1627</v>
      </c>
      <c r="Z2243" s="15"/>
      <c r="AA2243" s="15" t="s">
        <v>1628</v>
      </c>
    </row>
    <row r="2244" spans="1:27" ht="33" customHeight="1">
      <c r="A2244" s="8" t="s">
        <v>5542</v>
      </c>
      <c r="B2244" s="9">
        <v>1736</v>
      </c>
      <c r="C2244" s="8" t="s">
        <v>5543</v>
      </c>
      <c r="D2244" s="8" t="s">
        <v>2572</v>
      </c>
      <c r="E2244" s="8" t="s">
        <v>2134</v>
      </c>
      <c r="F2244" s="8" t="s">
        <v>1263</v>
      </c>
      <c r="G2244" s="8" t="s">
        <v>376</v>
      </c>
      <c r="H2244" s="8" t="s">
        <v>1271</v>
      </c>
      <c r="I2244" s="14" t="s">
        <v>1633</v>
      </c>
      <c r="J2244" s="15"/>
      <c r="K2244" s="8" t="s">
        <v>1976</v>
      </c>
      <c r="L2244" s="8"/>
      <c r="M2244" s="6" t="s">
        <v>1635</v>
      </c>
      <c r="N2244" s="6" t="s">
        <v>1624</v>
      </c>
      <c r="O2244" s="7">
        <f>SUMIFS('05_상품별배치367'!$K$7:$K$373,'05_상품별배치367'!$E$7:$E$373,A2244,'05_상품별배치367'!$H$7:$H$373,"본진")</f>
        <v>1</v>
      </c>
      <c r="P2244" s="7">
        <f>SUMIFS('05_상품별배치367'!$K$7:$K$373,'05_상품별배치367'!$E$7:$E$373,A2244,'05_상품별배치367'!$H$7:$H$373,"추가 진열")</f>
        <v>0</v>
      </c>
      <c r="Q2244" s="7">
        <f>O2244+P2244</f>
        <v>1</v>
      </c>
      <c r="R2244" s="7">
        <v>1</v>
      </c>
      <c r="S2244" s="6" t="s">
        <v>1636</v>
      </c>
      <c r="T2244" s="6" t="s">
        <v>5537</v>
      </c>
      <c r="U2244" s="6"/>
      <c r="V2244" s="16"/>
      <c r="W2244" s="16"/>
      <c r="X2244" s="16"/>
      <c r="Y2244" s="6" t="s">
        <v>1627</v>
      </c>
      <c r="Z2244" s="15"/>
      <c r="AA2244" s="15" t="s">
        <v>1628</v>
      </c>
    </row>
    <row r="2245" spans="1:27" ht="33" customHeight="1">
      <c r="A2245" s="6" t="s">
        <v>5544</v>
      </c>
      <c r="B2245" s="7">
        <v>1737</v>
      </c>
      <c r="C2245" s="6" t="s">
        <v>5545</v>
      </c>
      <c r="D2245" s="6" t="s">
        <v>1631</v>
      </c>
      <c r="E2245" s="6" t="s">
        <v>2134</v>
      </c>
      <c r="F2245" s="6" t="s">
        <v>163</v>
      </c>
      <c r="G2245" s="6" t="s">
        <v>414</v>
      </c>
      <c r="H2245" s="6" t="s">
        <v>1330</v>
      </c>
      <c r="I2245" s="14" t="s">
        <v>1633</v>
      </c>
      <c r="J2245" s="15"/>
      <c r="K2245" s="6" t="s">
        <v>1976</v>
      </c>
      <c r="L2245" s="6"/>
      <c r="M2245" s="6" t="s">
        <v>1635</v>
      </c>
      <c r="N2245" s="6" t="s">
        <v>1624</v>
      </c>
      <c r="O2245" s="7">
        <f>SUMIFS('05_상품별배치367'!$K$7:$K$373,'05_상품별배치367'!$E$7:$E$373,A2245,'05_상품별배치367'!$H$7:$H$373,"본진")</f>
        <v>1</v>
      </c>
      <c r="P2245" s="7">
        <f>SUMIFS('05_상품별배치367'!$K$7:$K$373,'05_상품별배치367'!$E$7:$E$373,A2245,'05_상품별배치367'!$H$7:$H$373,"추가 진열")</f>
        <v>0</v>
      </c>
      <c r="Q2245" s="7">
        <f>O2245+P2245</f>
        <v>1</v>
      </c>
      <c r="R2245" s="7">
        <v>1</v>
      </c>
      <c r="S2245" s="6" t="s">
        <v>1636</v>
      </c>
      <c r="T2245" s="6" t="s">
        <v>5537</v>
      </c>
      <c r="U2245" s="6"/>
      <c r="V2245" s="16"/>
      <c r="W2245" s="16"/>
      <c r="X2245" s="16"/>
      <c r="Y2245" s="6" t="s">
        <v>1627</v>
      </c>
      <c r="Z2245" s="15"/>
      <c r="AA2245" s="15" t="s">
        <v>1628</v>
      </c>
    </row>
    <row r="2246" spans="1:27" ht="33" customHeight="1">
      <c r="A2246" s="8" t="s">
        <v>3579</v>
      </c>
      <c r="B2246" s="9">
        <v>812</v>
      </c>
      <c r="C2246" s="8" t="s">
        <v>3580</v>
      </c>
      <c r="D2246" s="8" t="s">
        <v>2913</v>
      </c>
      <c r="E2246" s="8" t="s">
        <v>1986</v>
      </c>
      <c r="F2246" s="8" t="s">
        <v>493</v>
      </c>
      <c r="G2246" s="8" t="s">
        <v>299</v>
      </c>
      <c r="H2246" s="8"/>
      <c r="I2246" s="14" t="s">
        <v>1642</v>
      </c>
      <c r="J2246" s="15"/>
      <c r="K2246" s="8" t="s">
        <v>1976</v>
      </c>
      <c r="L2246" s="8"/>
      <c r="M2246" s="6" t="s">
        <v>1643</v>
      </c>
      <c r="N2246" s="6" t="s">
        <v>1644</v>
      </c>
      <c r="O2246" s="7">
        <f>SUMIFS('05_상품별배치367'!$K$7:$K$373,'05_상품별배치367'!$E$7:$E$373,A2246,'05_상품별배치367'!$H$7:$H$373,"본진")</f>
        <v>0</v>
      </c>
      <c r="P2246" s="7">
        <f>SUMIFS('05_상품별배치367'!$K$7:$K$373,'05_상품별배치367'!$E$7:$E$373,A2246,'05_상품별배치367'!$H$7:$H$373,"추가 진열")</f>
        <v>0</v>
      </c>
      <c r="Q2246" s="7">
        <f>O2246+P2246</f>
        <v>0</v>
      </c>
      <c r="R2246" s="7">
        <v>1</v>
      </c>
      <c r="S2246" s="6" t="s">
        <v>3084</v>
      </c>
      <c r="T2246" s="6" t="s">
        <v>1637</v>
      </c>
      <c r="U2246" s="6"/>
      <c r="V2246" s="16"/>
      <c r="W2246" s="16"/>
      <c r="X2246" s="16"/>
      <c r="Y2246" s="6" t="s">
        <v>1627</v>
      </c>
      <c r="Z2246" s="15"/>
      <c r="AA2246" s="15" t="s">
        <v>1628</v>
      </c>
    </row>
    <row r="2247" spans="1:27" ht="33" customHeight="1">
      <c r="A2247" s="6" t="s">
        <v>3581</v>
      </c>
      <c r="B2247" s="7">
        <v>813</v>
      </c>
      <c r="C2247" s="6" t="s">
        <v>3582</v>
      </c>
      <c r="D2247" s="6" t="s">
        <v>2845</v>
      </c>
      <c r="E2247" s="6" t="s">
        <v>1986</v>
      </c>
      <c r="F2247" s="6" t="s">
        <v>913</v>
      </c>
      <c r="G2247" s="6" t="s">
        <v>201</v>
      </c>
      <c r="H2247" s="6"/>
      <c r="I2247" s="14" t="s">
        <v>1642</v>
      </c>
      <c r="J2247" s="15"/>
      <c r="K2247" s="6" t="s">
        <v>1976</v>
      </c>
      <c r="L2247" s="6"/>
      <c r="M2247" s="6" t="s">
        <v>1643</v>
      </c>
      <c r="N2247" s="6" t="s">
        <v>1644</v>
      </c>
      <c r="O2247" s="7">
        <f>SUMIFS('05_상품별배치367'!$K$7:$K$373,'05_상품별배치367'!$E$7:$E$373,A2247,'05_상품별배치367'!$H$7:$H$373,"본진")</f>
        <v>0</v>
      </c>
      <c r="P2247" s="7">
        <f>SUMIFS('05_상품별배치367'!$K$7:$K$373,'05_상품별배치367'!$E$7:$E$373,A2247,'05_상품별배치367'!$H$7:$H$373,"추가 진열")</f>
        <v>0</v>
      </c>
      <c r="Q2247" s="7">
        <f>O2247+P2247</f>
        <v>0</v>
      </c>
      <c r="R2247" s="7">
        <v>1</v>
      </c>
      <c r="S2247" s="6" t="s">
        <v>2907</v>
      </c>
      <c r="T2247" s="6" t="s">
        <v>1637</v>
      </c>
      <c r="U2247" s="6"/>
      <c r="V2247" s="16"/>
      <c r="W2247" s="16"/>
      <c r="X2247" s="16"/>
      <c r="Y2247" s="6" t="s">
        <v>1627</v>
      </c>
      <c r="Z2247" s="15"/>
      <c r="AA2247" s="15" t="s">
        <v>1628</v>
      </c>
    </row>
    <row r="2248" spans="1:27" ht="33" customHeight="1">
      <c r="A2248" s="6" t="s">
        <v>3573</v>
      </c>
      <c r="B2248" s="7">
        <v>809</v>
      </c>
      <c r="C2248" s="6" t="s">
        <v>3574</v>
      </c>
      <c r="D2248" s="6" t="s">
        <v>1851</v>
      </c>
      <c r="E2248" s="6" t="s">
        <v>2134</v>
      </c>
      <c r="F2248" s="6" t="s">
        <v>162</v>
      </c>
      <c r="G2248" s="6" t="s">
        <v>404</v>
      </c>
      <c r="H2248" s="6"/>
      <c r="I2248" s="14" t="s">
        <v>1642</v>
      </c>
      <c r="J2248" s="15"/>
      <c r="K2248" s="6" t="s">
        <v>1976</v>
      </c>
      <c r="L2248" s="6"/>
      <c r="M2248" s="6" t="s">
        <v>1643</v>
      </c>
      <c r="N2248" s="6" t="s">
        <v>1644</v>
      </c>
      <c r="O2248" s="7">
        <f>SUMIFS('05_상품별배치367'!$K$7:$K$373,'05_상품별배치367'!$E$7:$E$373,A2248,'05_상품별배치367'!$H$7:$H$373,"본진")</f>
        <v>0</v>
      </c>
      <c r="P2248" s="7">
        <f>SUMIFS('05_상품별배치367'!$K$7:$K$373,'05_상품별배치367'!$E$7:$E$373,A2248,'05_상품별배치367'!$H$7:$H$373,"추가 진열")</f>
        <v>0</v>
      </c>
      <c r="Q2248" s="7">
        <f>O2248+P2248</f>
        <v>0</v>
      </c>
      <c r="R2248" s="7">
        <v>1</v>
      </c>
      <c r="S2248" s="6" t="s">
        <v>2996</v>
      </c>
      <c r="T2248" s="6" t="s">
        <v>1637</v>
      </c>
      <c r="U2248" s="6"/>
      <c r="V2248" s="16"/>
      <c r="W2248" s="16"/>
      <c r="X2248" s="16"/>
      <c r="Y2248" s="6" t="s">
        <v>1627</v>
      </c>
      <c r="Z2248" s="15"/>
      <c r="AA2248" s="15" t="s">
        <v>1628</v>
      </c>
    </row>
    <row r="2249" spans="1:27" ht="33" customHeight="1">
      <c r="A2249" s="6" t="s">
        <v>3577</v>
      </c>
      <c r="B2249" s="7">
        <v>811</v>
      </c>
      <c r="C2249" s="6" t="s">
        <v>3578</v>
      </c>
      <c r="D2249" s="6" t="s">
        <v>2899</v>
      </c>
      <c r="E2249" s="6" t="s">
        <v>2134</v>
      </c>
      <c r="F2249" s="6" t="s">
        <v>161</v>
      </c>
      <c r="G2249" s="6" t="s">
        <v>395</v>
      </c>
      <c r="H2249" s="6"/>
      <c r="I2249" s="14" t="s">
        <v>1642</v>
      </c>
      <c r="J2249" s="15"/>
      <c r="K2249" s="6" t="s">
        <v>1976</v>
      </c>
      <c r="L2249" s="6"/>
      <c r="M2249" s="6" t="s">
        <v>1643</v>
      </c>
      <c r="N2249" s="6" t="s">
        <v>1644</v>
      </c>
      <c r="O2249" s="7">
        <f>SUMIFS('05_상품별배치367'!$K$7:$K$373,'05_상품별배치367'!$E$7:$E$373,A2249,'05_상품별배치367'!$H$7:$H$373,"본진")</f>
        <v>0</v>
      </c>
      <c r="P2249" s="7">
        <f>SUMIFS('05_상품별배치367'!$K$7:$K$373,'05_상품별배치367'!$E$7:$E$373,A2249,'05_상품별배치367'!$H$7:$H$373,"추가 진열")</f>
        <v>0</v>
      </c>
      <c r="Q2249" s="7">
        <f>O2249+P2249</f>
        <v>0</v>
      </c>
      <c r="R2249" s="7">
        <v>1</v>
      </c>
      <c r="S2249" s="6" t="s">
        <v>3070</v>
      </c>
      <c r="T2249" s="6" t="s">
        <v>1637</v>
      </c>
      <c r="U2249" s="6"/>
      <c r="V2249" s="16"/>
      <c r="W2249" s="16"/>
      <c r="X2249" s="16"/>
      <c r="Y2249" s="6" t="s">
        <v>1627</v>
      </c>
      <c r="Z2249" s="15"/>
      <c r="AA2249" s="15" t="s">
        <v>1628</v>
      </c>
    </row>
    <row r="2250" spans="1:27" ht="33" customHeight="1">
      <c r="A2250" s="8" t="s">
        <v>3575</v>
      </c>
      <c r="B2250" s="9">
        <v>810</v>
      </c>
      <c r="C2250" s="8" t="s">
        <v>3576</v>
      </c>
      <c r="D2250" s="8" t="s">
        <v>1876</v>
      </c>
      <c r="E2250" s="8" t="s">
        <v>2134</v>
      </c>
      <c r="F2250" s="8" t="s">
        <v>161</v>
      </c>
      <c r="G2250" s="8" t="s">
        <v>395</v>
      </c>
      <c r="H2250" s="8"/>
      <c r="I2250" s="14" t="s">
        <v>1642</v>
      </c>
      <c r="J2250" s="15"/>
      <c r="K2250" s="8" t="s">
        <v>1976</v>
      </c>
      <c r="L2250" s="8"/>
      <c r="M2250" s="6" t="s">
        <v>1643</v>
      </c>
      <c r="N2250" s="6" t="s">
        <v>1644</v>
      </c>
      <c r="O2250" s="7">
        <f>SUMIFS('05_상품별배치367'!$K$7:$K$373,'05_상품별배치367'!$E$7:$E$373,A2250,'05_상품별배치367'!$H$7:$H$373,"본진")</f>
        <v>0</v>
      </c>
      <c r="P2250" s="7">
        <f>SUMIFS('05_상품별배치367'!$K$7:$K$373,'05_상품별배치367'!$E$7:$E$373,A2250,'05_상품별배치367'!$H$7:$H$373,"추가 진열")</f>
        <v>0</v>
      </c>
      <c r="Q2250" s="7">
        <f>O2250+P2250</f>
        <v>0</v>
      </c>
      <c r="R2250" s="7">
        <v>1</v>
      </c>
      <c r="S2250" s="6" t="s">
        <v>3070</v>
      </c>
      <c r="T2250" s="6" t="s">
        <v>1637</v>
      </c>
      <c r="U2250" s="6"/>
      <c r="V2250" s="16"/>
      <c r="W2250" s="16"/>
      <c r="X2250" s="16"/>
      <c r="Y2250" s="6" t="s">
        <v>1627</v>
      </c>
      <c r="Z2250" s="15"/>
      <c r="AA2250" s="15" t="s">
        <v>1628</v>
      </c>
    </row>
    <row r="2251" spans="1:27" ht="33" customHeight="1">
      <c r="A2251" s="8" t="s">
        <v>3583</v>
      </c>
      <c r="B2251" s="9">
        <v>814</v>
      </c>
      <c r="C2251" s="8" t="s">
        <v>3584</v>
      </c>
      <c r="D2251" s="8" t="s">
        <v>2701</v>
      </c>
      <c r="E2251" s="8" t="s">
        <v>1695</v>
      </c>
      <c r="F2251" s="8" t="s">
        <v>954</v>
      </c>
      <c r="G2251" s="8" t="s">
        <v>219</v>
      </c>
      <c r="H2251" s="8"/>
      <c r="I2251" s="14" t="s">
        <v>1642</v>
      </c>
      <c r="J2251" s="15"/>
      <c r="K2251" s="8" t="s">
        <v>1696</v>
      </c>
      <c r="L2251" s="8"/>
      <c r="M2251" s="6" t="s">
        <v>1643</v>
      </c>
      <c r="N2251" s="6" t="s">
        <v>1644</v>
      </c>
      <c r="O2251" s="7">
        <f>SUMIFS('05_상품별배치367'!$K$7:$K$373,'05_상품별배치367'!$E$7:$E$373,A2251,'05_상품별배치367'!$H$7:$H$373,"본진")</f>
        <v>0</v>
      </c>
      <c r="P2251" s="7">
        <f>SUMIFS('05_상품별배치367'!$K$7:$K$373,'05_상품별배치367'!$E$7:$E$373,A2251,'05_상품별배치367'!$H$7:$H$373,"추가 진열")</f>
        <v>0</v>
      </c>
      <c r="Q2251" s="7">
        <f>O2251+P2251</f>
        <v>0</v>
      </c>
      <c r="R2251" s="7">
        <v>1</v>
      </c>
      <c r="S2251" s="6" t="s">
        <v>2884</v>
      </c>
      <c r="T2251" s="6" t="s">
        <v>1637</v>
      </c>
      <c r="U2251" s="6"/>
      <c r="V2251" s="16"/>
      <c r="W2251" s="16"/>
      <c r="X2251" s="16"/>
      <c r="Y2251" s="6" t="s">
        <v>1627</v>
      </c>
      <c r="Z2251" s="15"/>
      <c r="AA2251" s="15" t="s">
        <v>1628</v>
      </c>
    </row>
    <row r="2252" spans="1:27" ht="33" customHeight="1">
      <c r="A2252" s="8" t="s">
        <v>6119</v>
      </c>
      <c r="B2252" s="9">
        <v>2002</v>
      </c>
      <c r="C2252" s="8" t="s">
        <v>6120</v>
      </c>
      <c r="D2252" s="8" t="s">
        <v>6121</v>
      </c>
      <c r="E2252" s="8" t="s">
        <v>1620</v>
      </c>
      <c r="F2252" s="8" t="s">
        <v>606</v>
      </c>
      <c r="G2252" s="8" t="s">
        <v>59</v>
      </c>
      <c r="H2252" s="8"/>
      <c r="I2252" s="14" t="s">
        <v>1642</v>
      </c>
      <c r="J2252" s="15"/>
      <c r="K2252" s="8" t="s">
        <v>1622</v>
      </c>
      <c r="L2252" s="8" t="s">
        <v>3828</v>
      </c>
      <c r="M2252" s="6" t="s">
        <v>1643</v>
      </c>
      <c r="N2252" s="6" t="s">
        <v>1624</v>
      </c>
      <c r="O2252" s="7">
        <f>SUMIFS('05_상품별배치367'!$K$7:$K$373,'05_상품별배치367'!$E$7:$E$373,A2252,'05_상품별배치367'!$H$7:$H$373,"본진")</f>
        <v>0</v>
      </c>
      <c r="P2252" s="7">
        <f>SUMIFS('05_상품별배치367'!$K$7:$K$373,'05_상품별배치367'!$E$7:$E$373,A2252,'05_상품별배치367'!$H$7:$H$373,"추가 진열")</f>
        <v>0</v>
      </c>
      <c r="Q2252" s="7">
        <f>O2252+P2252</f>
        <v>0</v>
      </c>
      <c r="R2252" s="7">
        <v>1</v>
      </c>
      <c r="S2252" s="6" t="s">
        <v>6111</v>
      </c>
      <c r="T2252" s="6" t="s">
        <v>1637</v>
      </c>
      <c r="U2252" s="6"/>
      <c r="V2252" s="16"/>
      <c r="W2252" s="16"/>
      <c r="X2252" s="16"/>
      <c r="Y2252" s="6" t="s">
        <v>1627</v>
      </c>
      <c r="Z2252" s="15"/>
      <c r="AA2252" s="15" t="s">
        <v>1628</v>
      </c>
    </row>
    <row r="2253" spans="1:27" ht="33" customHeight="1">
      <c r="A2253" s="6" t="s">
        <v>1077</v>
      </c>
      <c r="B2253" s="7">
        <v>1851</v>
      </c>
      <c r="C2253" s="6" t="s">
        <v>1076</v>
      </c>
      <c r="D2253" s="6" t="s">
        <v>2036</v>
      </c>
      <c r="E2253" s="6" t="s">
        <v>1632</v>
      </c>
      <c r="F2253" s="6" t="s">
        <v>288</v>
      </c>
      <c r="G2253" s="6" t="s">
        <v>282</v>
      </c>
      <c r="H2253" s="6" t="s">
        <v>1075</v>
      </c>
      <c r="I2253" s="14" t="s">
        <v>1633</v>
      </c>
      <c r="J2253" s="15"/>
      <c r="K2253" s="6" t="s">
        <v>1634</v>
      </c>
      <c r="L2253" s="6" t="s">
        <v>3828</v>
      </c>
      <c r="M2253" s="6" t="s">
        <v>1635</v>
      </c>
      <c r="N2253" s="6" t="s">
        <v>1624</v>
      </c>
      <c r="O2253" s="7">
        <f>SUMIFS('05_상품별배치367'!$K$7:$K$373,'05_상품별배치367'!$E$7:$E$373,A2253,'05_상품별배치367'!$H$7:$H$373,"본진")</f>
        <v>1</v>
      </c>
      <c r="P2253" s="7">
        <f>SUMIFS('05_상품별배치367'!$K$7:$K$373,'05_상품별배치367'!$E$7:$E$373,A2253,'05_상품별배치367'!$H$7:$H$373,"추가 진열")</f>
        <v>0</v>
      </c>
      <c r="Q2253" s="7">
        <f>O2253+P2253</f>
        <v>1</v>
      </c>
      <c r="R2253" s="7">
        <v>1</v>
      </c>
      <c r="S2253" s="6" t="s">
        <v>1636</v>
      </c>
      <c r="T2253" s="6" t="s">
        <v>1637</v>
      </c>
      <c r="U2253" s="6"/>
      <c r="V2253" s="16"/>
      <c r="W2253" s="16"/>
      <c r="X2253" s="16"/>
      <c r="Y2253" s="6" t="s">
        <v>1627</v>
      </c>
      <c r="Z2253" s="15"/>
      <c r="AA2253" s="15" t="s">
        <v>1628</v>
      </c>
    </row>
    <row r="2254" spans="1:27" ht="33" customHeight="1">
      <c r="A2254" s="8" t="s">
        <v>7009</v>
      </c>
      <c r="B2254" s="9">
        <v>2412</v>
      </c>
      <c r="C2254" s="8" t="s">
        <v>7010</v>
      </c>
      <c r="D2254" s="8" t="s">
        <v>5953</v>
      </c>
      <c r="E2254" s="8" t="s">
        <v>1641</v>
      </c>
      <c r="F2254" s="8" t="s">
        <v>656</v>
      </c>
      <c r="G2254" s="8" t="s">
        <v>79</v>
      </c>
      <c r="H2254" s="8"/>
      <c r="I2254" s="14" t="s">
        <v>1642</v>
      </c>
      <c r="J2254" s="15"/>
      <c r="K2254" s="8" t="s">
        <v>1634</v>
      </c>
      <c r="L2254" s="8" t="s">
        <v>3828</v>
      </c>
      <c r="M2254" s="6" t="s">
        <v>1643</v>
      </c>
      <c r="N2254" s="6" t="s">
        <v>1624</v>
      </c>
      <c r="O2254" s="7">
        <f>SUMIFS('05_상품별배치367'!$K$7:$K$373,'05_상품별배치367'!$E$7:$E$373,A2254,'05_상품별배치367'!$H$7:$H$373,"본진")</f>
        <v>0</v>
      </c>
      <c r="P2254" s="7">
        <f>SUMIFS('05_상품별배치367'!$K$7:$K$373,'05_상품별배치367'!$E$7:$E$373,A2254,'05_상품별배치367'!$H$7:$H$373,"추가 진열")</f>
        <v>0</v>
      </c>
      <c r="Q2254" s="7">
        <f>O2254+P2254</f>
        <v>0</v>
      </c>
      <c r="R2254" s="7">
        <v>1</v>
      </c>
      <c r="S2254" s="6" t="s">
        <v>6285</v>
      </c>
      <c r="T2254" s="6" t="s">
        <v>1637</v>
      </c>
      <c r="U2254" s="6"/>
      <c r="V2254" s="16"/>
      <c r="W2254" s="16"/>
      <c r="X2254" s="16"/>
      <c r="Y2254" s="6" t="s">
        <v>1655</v>
      </c>
      <c r="Z2254" s="15"/>
      <c r="AA2254" s="15" t="s">
        <v>1628</v>
      </c>
    </row>
    <row r="2255" spans="1:27" ht="33" customHeight="1">
      <c r="A2255" s="6" t="s">
        <v>3901</v>
      </c>
      <c r="B2255" s="7">
        <v>961</v>
      </c>
      <c r="C2255" s="6" t="s">
        <v>3902</v>
      </c>
      <c r="D2255" s="6" t="s">
        <v>2913</v>
      </c>
      <c r="E2255" s="6" t="s">
        <v>2134</v>
      </c>
      <c r="F2255" s="6" t="s">
        <v>161</v>
      </c>
      <c r="G2255" s="6" t="s">
        <v>395</v>
      </c>
      <c r="H2255" s="6"/>
      <c r="I2255" s="14" t="s">
        <v>1642</v>
      </c>
      <c r="J2255" s="15"/>
      <c r="K2255" s="6" t="s">
        <v>1976</v>
      </c>
      <c r="L2255" s="6"/>
      <c r="M2255" s="6" t="s">
        <v>1643</v>
      </c>
      <c r="N2255" s="6" t="s">
        <v>1644</v>
      </c>
      <c r="O2255" s="7">
        <f>SUMIFS('05_상품별배치367'!$K$7:$K$373,'05_상품별배치367'!$E$7:$E$373,A2255,'05_상품별배치367'!$H$7:$H$373,"본진")</f>
        <v>0</v>
      </c>
      <c r="P2255" s="7">
        <f>SUMIFS('05_상품별배치367'!$K$7:$K$373,'05_상품별배치367'!$E$7:$E$373,A2255,'05_상품별배치367'!$H$7:$H$373,"추가 진열")</f>
        <v>0</v>
      </c>
      <c r="Q2255" s="7">
        <f>O2255+P2255</f>
        <v>0</v>
      </c>
      <c r="R2255" s="7">
        <v>1</v>
      </c>
      <c r="S2255" s="6" t="s">
        <v>3070</v>
      </c>
      <c r="T2255" s="6" t="s">
        <v>1637</v>
      </c>
      <c r="U2255" s="6"/>
      <c r="V2255" s="16"/>
      <c r="W2255" s="16"/>
      <c r="X2255" s="16"/>
      <c r="Y2255" s="6" t="s">
        <v>1627</v>
      </c>
      <c r="Z2255" s="15"/>
      <c r="AA2255" s="15" t="s">
        <v>1628</v>
      </c>
    </row>
    <row r="2256" spans="1:27" ht="33" customHeight="1">
      <c r="A2256" s="8" t="s">
        <v>3899</v>
      </c>
      <c r="B2256" s="9">
        <v>960</v>
      </c>
      <c r="C2256" s="8" t="s">
        <v>3900</v>
      </c>
      <c r="D2256" s="8" t="s">
        <v>2133</v>
      </c>
      <c r="E2256" s="8" t="s">
        <v>2134</v>
      </c>
      <c r="F2256" s="8" t="s">
        <v>163</v>
      </c>
      <c r="G2256" s="8" t="s">
        <v>414</v>
      </c>
      <c r="H2256" s="8"/>
      <c r="I2256" s="14" t="s">
        <v>1642</v>
      </c>
      <c r="J2256" s="15"/>
      <c r="K2256" s="8" t="s">
        <v>1976</v>
      </c>
      <c r="L2256" s="8"/>
      <c r="M2256" s="6" t="s">
        <v>1643</v>
      </c>
      <c r="N2256" s="6" t="s">
        <v>1644</v>
      </c>
      <c r="O2256" s="7">
        <f>SUMIFS('05_상품별배치367'!$K$7:$K$373,'05_상품별배치367'!$E$7:$E$373,A2256,'05_상품별배치367'!$H$7:$H$373,"본진")</f>
        <v>0</v>
      </c>
      <c r="P2256" s="7">
        <f>SUMIFS('05_상품별배치367'!$K$7:$K$373,'05_상품별배치367'!$E$7:$E$373,A2256,'05_상품별배치367'!$H$7:$H$373,"추가 진열")</f>
        <v>0</v>
      </c>
      <c r="Q2256" s="7">
        <f>O2256+P2256</f>
        <v>0</v>
      </c>
      <c r="R2256" s="7">
        <v>1</v>
      </c>
      <c r="S2256" s="6" t="s">
        <v>3048</v>
      </c>
      <c r="T2256" s="6" t="s">
        <v>1637</v>
      </c>
      <c r="U2256" s="6"/>
      <c r="V2256" s="16"/>
      <c r="W2256" s="16"/>
      <c r="X2256" s="16"/>
      <c r="Y2256" s="6" t="s">
        <v>1627</v>
      </c>
      <c r="Z2256" s="15"/>
      <c r="AA2256" s="15" t="s">
        <v>1628</v>
      </c>
    </row>
    <row r="2257" spans="1:27" ht="33" customHeight="1">
      <c r="A2257" s="6" t="s">
        <v>3905</v>
      </c>
      <c r="B2257" s="7">
        <v>963</v>
      </c>
      <c r="C2257" s="6" t="s">
        <v>3906</v>
      </c>
      <c r="D2257" s="6" t="s">
        <v>2133</v>
      </c>
      <c r="E2257" s="6" t="s">
        <v>1986</v>
      </c>
      <c r="F2257" s="6" t="s">
        <v>493</v>
      </c>
      <c r="G2257" s="6" t="s">
        <v>299</v>
      </c>
      <c r="H2257" s="6"/>
      <c r="I2257" s="14" t="s">
        <v>1642</v>
      </c>
      <c r="J2257" s="15"/>
      <c r="K2257" s="6" t="s">
        <v>1976</v>
      </c>
      <c r="L2257" s="6"/>
      <c r="M2257" s="6" t="s">
        <v>1643</v>
      </c>
      <c r="N2257" s="6" t="s">
        <v>1644</v>
      </c>
      <c r="O2257" s="7">
        <f>SUMIFS('05_상품별배치367'!$K$7:$K$373,'05_상품별배치367'!$E$7:$E$373,A2257,'05_상품별배치367'!$H$7:$H$373,"본진")</f>
        <v>0</v>
      </c>
      <c r="P2257" s="7">
        <f>SUMIFS('05_상품별배치367'!$K$7:$K$373,'05_상품별배치367'!$E$7:$E$373,A2257,'05_상품별배치367'!$H$7:$H$373,"추가 진열")</f>
        <v>0</v>
      </c>
      <c r="Q2257" s="7">
        <f>O2257+P2257</f>
        <v>0</v>
      </c>
      <c r="R2257" s="7">
        <v>1</v>
      </c>
      <c r="S2257" s="6" t="s">
        <v>3084</v>
      </c>
      <c r="T2257" s="6" t="s">
        <v>1637</v>
      </c>
      <c r="U2257" s="6"/>
      <c r="V2257" s="16"/>
      <c r="W2257" s="16"/>
      <c r="X2257" s="16"/>
      <c r="Y2257" s="6" t="s">
        <v>1627</v>
      </c>
      <c r="Z2257" s="15"/>
      <c r="AA2257" s="15" t="s">
        <v>1628</v>
      </c>
    </row>
    <row r="2258" spans="1:27" ht="33" customHeight="1">
      <c r="A2258" s="8" t="s">
        <v>3903</v>
      </c>
      <c r="B2258" s="9">
        <v>962</v>
      </c>
      <c r="C2258" s="8" t="s">
        <v>3904</v>
      </c>
      <c r="D2258" s="8" t="s">
        <v>3393</v>
      </c>
      <c r="E2258" s="8" t="s">
        <v>1986</v>
      </c>
      <c r="F2258" s="8" t="s">
        <v>913</v>
      </c>
      <c r="G2258" s="8" t="s">
        <v>201</v>
      </c>
      <c r="H2258" s="8"/>
      <c r="I2258" s="14" t="s">
        <v>1642</v>
      </c>
      <c r="J2258" s="15"/>
      <c r="K2258" s="8" t="s">
        <v>1976</v>
      </c>
      <c r="L2258" s="8"/>
      <c r="M2258" s="6" t="s">
        <v>1643</v>
      </c>
      <c r="N2258" s="6" t="s">
        <v>1644</v>
      </c>
      <c r="O2258" s="7">
        <f>SUMIFS('05_상품별배치367'!$K$7:$K$373,'05_상품별배치367'!$E$7:$E$373,A2258,'05_상품별배치367'!$H$7:$H$373,"본진")</f>
        <v>0</v>
      </c>
      <c r="P2258" s="7">
        <f>SUMIFS('05_상품별배치367'!$K$7:$K$373,'05_상품별배치367'!$E$7:$E$373,A2258,'05_상품별배치367'!$H$7:$H$373,"추가 진열")</f>
        <v>0</v>
      </c>
      <c r="Q2258" s="7">
        <f>O2258+P2258</f>
        <v>0</v>
      </c>
      <c r="R2258" s="7">
        <v>1</v>
      </c>
      <c r="S2258" s="6" t="s">
        <v>2907</v>
      </c>
      <c r="T2258" s="6" t="s">
        <v>1637</v>
      </c>
      <c r="U2258" s="6"/>
      <c r="V2258" s="16"/>
      <c r="W2258" s="16"/>
      <c r="X2258" s="16"/>
      <c r="Y2258" s="6" t="s">
        <v>1627</v>
      </c>
      <c r="Z2258" s="15"/>
      <c r="AA2258" s="15" t="s">
        <v>1628</v>
      </c>
    </row>
    <row r="2259" spans="1:27" ht="33" customHeight="1">
      <c r="A2259" s="6" t="s">
        <v>3897</v>
      </c>
      <c r="B2259" s="7">
        <v>959</v>
      </c>
      <c r="C2259" s="6" t="s">
        <v>3898</v>
      </c>
      <c r="D2259" s="6" t="s">
        <v>2133</v>
      </c>
      <c r="E2259" s="6" t="s">
        <v>2134</v>
      </c>
      <c r="F2259" s="6" t="s">
        <v>2933</v>
      </c>
      <c r="G2259" s="6" t="s">
        <v>1668</v>
      </c>
      <c r="H2259" s="6"/>
      <c r="I2259" s="14" t="s">
        <v>1807</v>
      </c>
      <c r="J2259" s="15"/>
      <c r="K2259" s="6" t="s">
        <v>1976</v>
      </c>
      <c r="L2259" s="6" t="s">
        <v>2032</v>
      </c>
      <c r="M2259" s="6" t="s">
        <v>1809</v>
      </c>
      <c r="N2259" s="6" t="s">
        <v>1644</v>
      </c>
      <c r="O2259" s="7">
        <f>SUMIFS('05_상품별배치367'!$K$7:$K$373,'05_상품별배치367'!$E$7:$E$373,A2259,'05_상품별배치367'!$H$7:$H$373,"본진")</f>
        <v>0</v>
      </c>
      <c r="P2259" s="7">
        <f>SUMIFS('05_상품별배치367'!$K$7:$K$373,'05_상품별배치367'!$E$7:$E$373,A2259,'05_상품별배치367'!$H$7:$H$373,"추가 진열")</f>
        <v>0</v>
      </c>
      <c r="Q2259" s="7">
        <f>O2259+P2259</f>
        <v>0</v>
      </c>
      <c r="R2259" s="7">
        <v>0</v>
      </c>
      <c r="S2259" s="6" t="s">
        <v>1810</v>
      </c>
      <c r="T2259" s="6" t="s">
        <v>1637</v>
      </c>
      <c r="U2259" s="6"/>
      <c r="V2259" s="16"/>
      <c r="W2259" s="16"/>
      <c r="X2259" s="16"/>
      <c r="Y2259" s="6" t="s">
        <v>1627</v>
      </c>
      <c r="Z2259" s="15"/>
      <c r="AA2259" s="15" t="s">
        <v>1628</v>
      </c>
    </row>
    <row r="2260" spans="1:27" ht="33" customHeight="1">
      <c r="A2260" s="6" t="s">
        <v>3889</v>
      </c>
      <c r="B2260" s="7">
        <v>955</v>
      </c>
      <c r="C2260" s="6" t="s">
        <v>3890</v>
      </c>
      <c r="D2260" s="6" t="s">
        <v>3338</v>
      </c>
      <c r="E2260" s="6" t="s">
        <v>2134</v>
      </c>
      <c r="F2260" s="6" t="s">
        <v>2933</v>
      </c>
      <c r="G2260" s="6" t="s">
        <v>1668</v>
      </c>
      <c r="H2260" s="6"/>
      <c r="I2260" s="14" t="s">
        <v>1807</v>
      </c>
      <c r="J2260" s="15"/>
      <c r="K2260" s="6" t="s">
        <v>1976</v>
      </c>
      <c r="L2260" s="6" t="s">
        <v>2032</v>
      </c>
      <c r="M2260" s="6" t="s">
        <v>1809</v>
      </c>
      <c r="N2260" s="6" t="s">
        <v>1644</v>
      </c>
      <c r="O2260" s="7">
        <f>SUMIFS('05_상품별배치367'!$K$7:$K$373,'05_상품별배치367'!$E$7:$E$373,A2260,'05_상품별배치367'!$H$7:$H$373,"본진")</f>
        <v>0</v>
      </c>
      <c r="P2260" s="7">
        <f>SUMIFS('05_상품별배치367'!$K$7:$K$373,'05_상품별배치367'!$E$7:$E$373,A2260,'05_상품별배치367'!$H$7:$H$373,"추가 진열")</f>
        <v>0</v>
      </c>
      <c r="Q2260" s="7">
        <f>O2260+P2260</f>
        <v>0</v>
      </c>
      <c r="R2260" s="7">
        <v>0</v>
      </c>
      <c r="S2260" s="6" t="s">
        <v>1810</v>
      </c>
      <c r="T2260" s="6" t="s">
        <v>1637</v>
      </c>
      <c r="U2260" s="6"/>
      <c r="V2260" s="16"/>
      <c r="W2260" s="16"/>
      <c r="X2260" s="16"/>
      <c r="Y2260" s="6" t="s">
        <v>1627</v>
      </c>
      <c r="Z2260" s="15"/>
      <c r="AA2260" s="15" t="s">
        <v>1628</v>
      </c>
    </row>
    <row r="2261" spans="1:27" ht="33" customHeight="1">
      <c r="A2261" s="6" t="s">
        <v>3893</v>
      </c>
      <c r="B2261" s="7">
        <v>957</v>
      </c>
      <c r="C2261" s="6" t="s">
        <v>3894</v>
      </c>
      <c r="D2261" s="6" t="s">
        <v>3338</v>
      </c>
      <c r="E2261" s="6" t="s">
        <v>2134</v>
      </c>
      <c r="F2261" s="6" t="s">
        <v>2933</v>
      </c>
      <c r="G2261" s="6" t="s">
        <v>1668</v>
      </c>
      <c r="H2261" s="6"/>
      <c r="I2261" s="14" t="s">
        <v>1807</v>
      </c>
      <c r="J2261" s="15"/>
      <c r="K2261" s="6" t="s">
        <v>1976</v>
      </c>
      <c r="L2261" s="6" t="s">
        <v>2032</v>
      </c>
      <c r="M2261" s="6" t="s">
        <v>1809</v>
      </c>
      <c r="N2261" s="6" t="s">
        <v>1644</v>
      </c>
      <c r="O2261" s="7">
        <f>SUMIFS('05_상품별배치367'!$K$7:$K$373,'05_상품별배치367'!$E$7:$E$373,A2261,'05_상품별배치367'!$H$7:$H$373,"본진")</f>
        <v>0</v>
      </c>
      <c r="P2261" s="7">
        <f>SUMIFS('05_상품별배치367'!$K$7:$K$373,'05_상품별배치367'!$E$7:$E$373,A2261,'05_상품별배치367'!$H$7:$H$373,"추가 진열")</f>
        <v>0</v>
      </c>
      <c r="Q2261" s="7">
        <f>O2261+P2261</f>
        <v>0</v>
      </c>
      <c r="R2261" s="7">
        <v>0</v>
      </c>
      <c r="S2261" s="6" t="s">
        <v>1810</v>
      </c>
      <c r="T2261" s="6" t="s">
        <v>1637</v>
      </c>
      <c r="U2261" s="6"/>
      <c r="V2261" s="16"/>
      <c r="W2261" s="16"/>
      <c r="X2261" s="16"/>
      <c r="Y2261" s="6" t="s">
        <v>1627</v>
      </c>
      <c r="Z2261" s="15"/>
      <c r="AA2261" s="15" t="s">
        <v>1628</v>
      </c>
    </row>
    <row r="2262" spans="1:27" ht="33" customHeight="1">
      <c r="A2262" s="8" t="s">
        <v>3895</v>
      </c>
      <c r="B2262" s="9">
        <v>958</v>
      </c>
      <c r="C2262" s="8" t="s">
        <v>3896</v>
      </c>
      <c r="D2262" s="8" t="s">
        <v>3338</v>
      </c>
      <c r="E2262" s="8" t="s">
        <v>2134</v>
      </c>
      <c r="F2262" s="8" t="s">
        <v>2933</v>
      </c>
      <c r="G2262" s="8" t="s">
        <v>1668</v>
      </c>
      <c r="H2262" s="8"/>
      <c r="I2262" s="14" t="s">
        <v>1807</v>
      </c>
      <c r="J2262" s="15"/>
      <c r="K2262" s="8" t="s">
        <v>1976</v>
      </c>
      <c r="L2262" s="8" t="s">
        <v>2032</v>
      </c>
      <c r="M2262" s="6" t="s">
        <v>1809</v>
      </c>
      <c r="N2262" s="6" t="s">
        <v>1644</v>
      </c>
      <c r="O2262" s="7">
        <f>SUMIFS('05_상품별배치367'!$K$7:$K$373,'05_상품별배치367'!$E$7:$E$373,A2262,'05_상품별배치367'!$H$7:$H$373,"본진")</f>
        <v>0</v>
      </c>
      <c r="P2262" s="7">
        <f>SUMIFS('05_상품별배치367'!$K$7:$K$373,'05_상품별배치367'!$E$7:$E$373,A2262,'05_상품별배치367'!$H$7:$H$373,"추가 진열")</f>
        <v>0</v>
      </c>
      <c r="Q2262" s="7">
        <f>O2262+P2262</f>
        <v>0</v>
      </c>
      <c r="R2262" s="7">
        <v>0</v>
      </c>
      <c r="S2262" s="6" t="s">
        <v>1810</v>
      </c>
      <c r="T2262" s="6" t="s">
        <v>1637</v>
      </c>
      <c r="U2262" s="6"/>
      <c r="V2262" s="16"/>
      <c r="W2262" s="16"/>
      <c r="X2262" s="16"/>
      <c r="Y2262" s="6" t="s">
        <v>1627</v>
      </c>
      <c r="Z2262" s="15"/>
      <c r="AA2262" s="15" t="s">
        <v>1628</v>
      </c>
    </row>
    <row r="2263" spans="1:27" ht="33" customHeight="1">
      <c r="A2263" s="8" t="s">
        <v>3891</v>
      </c>
      <c r="B2263" s="9">
        <v>956</v>
      </c>
      <c r="C2263" s="8" t="s">
        <v>3892</v>
      </c>
      <c r="D2263" s="8" t="s">
        <v>3338</v>
      </c>
      <c r="E2263" s="8" t="s">
        <v>2134</v>
      </c>
      <c r="F2263" s="8" t="s">
        <v>2933</v>
      </c>
      <c r="G2263" s="8" t="s">
        <v>1668</v>
      </c>
      <c r="H2263" s="8"/>
      <c r="I2263" s="14" t="s">
        <v>1807</v>
      </c>
      <c r="J2263" s="15"/>
      <c r="K2263" s="8" t="s">
        <v>1976</v>
      </c>
      <c r="L2263" s="8" t="s">
        <v>2032</v>
      </c>
      <c r="M2263" s="6" t="s">
        <v>1809</v>
      </c>
      <c r="N2263" s="6" t="s">
        <v>1644</v>
      </c>
      <c r="O2263" s="7">
        <f>SUMIFS('05_상품별배치367'!$K$7:$K$373,'05_상품별배치367'!$E$7:$E$373,A2263,'05_상품별배치367'!$H$7:$H$373,"본진")</f>
        <v>0</v>
      </c>
      <c r="P2263" s="7">
        <f>SUMIFS('05_상품별배치367'!$K$7:$K$373,'05_상품별배치367'!$E$7:$E$373,A2263,'05_상품별배치367'!$H$7:$H$373,"추가 진열")</f>
        <v>0</v>
      </c>
      <c r="Q2263" s="7">
        <f>O2263+P2263</f>
        <v>0</v>
      </c>
      <c r="R2263" s="7">
        <v>0</v>
      </c>
      <c r="S2263" s="6" t="s">
        <v>1810</v>
      </c>
      <c r="T2263" s="6" t="s">
        <v>1637</v>
      </c>
      <c r="U2263" s="6"/>
      <c r="V2263" s="16"/>
      <c r="W2263" s="16"/>
      <c r="X2263" s="16"/>
      <c r="Y2263" s="6" t="s">
        <v>1627</v>
      </c>
      <c r="Z2263" s="15"/>
      <c r="AA2263" s="15" t="s">
        <v>1628</v>
      </c>
    </row>
    <row r="2264" spans="1:27" ht="33" customHeight="1">
      <c r="A2264" s="8" t="s">
        <v>3814</v>
      </c>
      <c r="B2264" s="9">
        <v>920</v>
      </c>
      <c r="C2264" s="8" t="s">
        <v>3815</v>
      </c>
      <c r="D2264" s="8" t="s">
        <v>1658</v>
      </c>
      <c r="E2264" s="8" t="s">
        <v>2134</v>
      </c>
      <c r="F2264" s="8" t="s">
        <v>1263</v>
      </c>
      <c r="G2264" s="8" t="s">
        <v>376</v>
      </c>
      <c r="H2264" s="8"/>
      <c r="I2264" s="14" t="s">
        <v>1642</v>
      </c>
      <c r="J2264" s="15"/>
      <c r="K2264" s="8" t="s">
        <v>1976</v>
      </c>
      <c r="L2264" s="8"/>
      <c r="M2264" s="6" t="s">
        <v>1643</v>
      </c>
      <c r="N2264" s="6" t="s">
        <v>1644</v>
      </c>
      <c r="O2264" s="7">
        <f>SUMIFS('05_상품별배치367'!$K$7:$K$373,'05_상품별배치367'!$E$7:$E$373,A2264,'05_상품별배치367'!$H$7:$H$373,"본진")</f>
        <v>0</v>
      </c>
      <c r="P2264" s="7">
        <f>SUMIFS('05_상품별배치367'!$K$7:$K$373,'05_상품별배치367'!$E$7:$E$373,A2264,'05_상품별배치367'!$H$7:$H$373,"추가 진열")</f>
        <v>0</v>
      </c>
      <c r="Q2264" s="7">
        <f>O2264+P2264</f>
        <v>0</v>
      </c>
      <c r="R2264" s="7">
        <v>1</v>
      </c>
      <c r="S2264" s="6" t="s">
        <v>3016</v>
      </c>
      <c r="T2264" s="6" t="s">
        <v>1637</v>
      </c>
      <c r="U2264" s="6"/>
      <c r="V2264" s="16"/>
      <c r="W2264" s="16"/>
      <c r="X2264" s="16"/>
      <c r="Y2264" s="6" t="s">
        <v>1627</v>
      </c>
      <c r="Z2264" s="15"/>
      <c r="AA2264" s="15" t="s">
        <v>1628</v>
      </c>
    </row>
    <row r="2265" spans="1:27" ht="33" customHeight="1">
      <c r="A2265" s="8" t="s">
        <v>3818</v>
      </c>
      <c r="B2265" s="9">
        <v>922</v>
      </c>
      <c r="C2265" s="8" t="s">
        <v>3815</v>
      </c>
      <c r="D2265" s="8" t="s">
        <v>1926</v>
      </c>
      <c r="E2265" s="8" t="s">
        <v>2134</v>
      </c>
      <c r="F2265" s="8" t="s">
        <v>1263</v>
      </c>
      <c r="G2265" s="8" t="s">
        <v>376</v>
      </c>
      <c r="H2265" s="8"/>
      <c r="I2265" s="14" t="s">
        <v>1642</v>
      </c>
      <c r="J2265" s="15"/>
      <c r="K2265" s="8" t="s">
        <v>1976</v>
      </c>
      <c r="L2265" s="8"/>
      <c r="M2265" s="6" t="s">
        <v>1643</v>
      </c>
      <c r="N2265" s="6" t="s">
        <v>1644</v>
      </c>
      <c r="O2265" s="7">
        <f>SUMIFS('05_상품별배치367'!$K$7:$K$373,'05_상품별배치367'!$E$7:$E$373,A2265,'05_상품별배치367'!$H$7:$H$373,"본진")</f>
        <v>0</v>
      </c>
      <c r="P2265" s="7">
        <f>SUMIFS('05_상품별배치367'!$K$7:$K$373,'05_상품별배치367'!$E$7:$E$373,A2265,'05_상품별배치367'!$H$7:$H$373,"추가 진열")</f>
        <v>0</v>
      </c>
      <c r="Q2265" s="7">
        <f>O2265+P2265</f>
        <v>0</v>
      </c>
      <c r="R2265" s="7">
        <v>1</v>
      </c>
      <c r="S2265" s="6" t="s">
        <v>3016</v>
      </c>
      <c r="T2265" s="6" t="s">
        <v>1637</v>
      </c>
      <c r="U2265" s="6"/>
      <c r="V2265" s="16"/>
      <c r="W2265" s="16"/>
      <c r="X2265" s="16"/>
      <c r="Y2265" s="6" t="s">
        <v>1627</v>
      </c>
      <c r="Z2265" s="15"/>
      <c r="AA2265" s="15" t="s">
        <v>1628</v>
      </c>
    </row>
    <row r="2266" spans="1:27" ht="33" customHeight="1">
      <c r="A2266" s="6" t="s">
        <v>3816</v>
      </c>
      <c r="B2266" s="7">
        <v>921</v>
      </c>
      <c r="C2266" s="6" t="s">
        <v>3817</v>
      </c>
      <c r="D2266" s="6" t="s">
        <v>1658</v>
      </c>
      <c r="E2266" s="6" t="s">
        <v>1986</v>
      </c>
      <c r="F2266" s="6" t="s">
        <v>1276</v>
      </c>
      <c r="G2266" s="6" t="s">
        <v>1987</v>
      </c>
      <c r="H2266" s="6"/>
      <c r="I2266" s="14" t="s">
        <v>1642</v>
      </c>
      <c r="J2266" s="15"/>
      <c r="K2266" s="6" t="s">
        <v>1976</v>
      </c>
      <c r="L2266" s="6"/>
      <c r="M2266" s="6" t="s">
        <v>1643</v>
      </c>
      <c r="N2266" s="6" t="s">
        <v>1644</v>
      </c>
      <c r="O2266" s="7">
        <f>SUMIFS('05_상품별배치367'!$K$7:$K$373,'05_상품별배치367'!$E$7:$E$373,A2266,'05_상품별배치367'!$H$7:$H$373,"본진")</f>
        <v>0</v>
      </c>
      <c r="P2266" s="7">
        <f>SUMIFS('05_상품별배치367'!$K$7:$K$373,'05_상품별배치367'!$E$7:$E$373,A2266,'05_상품별배치367'!$H$7:$H$373,"추가 진열")</f>
        <v>0</v>
      </c>
      <c r="Q2266" s="7">
        <f>O2266+P2266</f>
        <v>0</v>
      </c>
      <c r="R2266" s="7">
        <v>1</v>
      </c>
      <c r="S2266" s="6" t="s">
        <v>1988</v>
      </c>
      <c r="T2266" s="6" t="s">
        <v>1637</v>
      </c>
      <c r="U2266" s="6"/>
      <c r="V2266" s="16"/>
      <c r="W2266" s="16"/>
      <c r="X2266" s="16"/>
      <c r="Y2266" s="6" t="s">
        <v>1627</v>
      </c>
      <c r="Z2266" s="15"/>
      <c r="AA2266" s="15" t="s">
        <v>1628</v>
      </c>
    </row>
    <row r="2267" spans="1:27" ht="33" customHeight="1">
      <c r="A2267" s="6" t="s">
        <v>3819</v>
      </c>
      <c r="B2267" s="7">
        <v>923</v>
      </c>
      <c r="C2267" s="6" t="s">
        <v>3817</v>
      </c>
      <c r="D2267" s="6" t="s">
        <v>1926</v>
      </c>
      <c r="E2267" s="6" t="s">
        <v>1986</v>
      </c>
      <c r="F2267" s="6" t="s">
        <v>1276</v>
      </c>
      <c r="G2267" s="6" t="s">
        <v>1987</v>
      </c>
      <c r="H2267" s="6"/>
      <c r="I2267" s="14" t="s">
        <v>1642</v>
      </c>
      <c r="J2267" s="15"/>
      <c r="K2267" s="6" t="s">
        <v>1976</v>
      </c>
      <c r="L2267" s="6"/>
      <c r="M2267" s="6" t="s">
        <v>1643</v>
      </c>
      <c r="N2267" s="6" t="s">
        <v>1644</v>
      </c>
      <c r="O2267" s="7">
        <f>SUMIFS('05_상품별배치367'!$K$7:$K$373,'05_상품별배치367'!$E$7:$E$373,A2267,'05_상품별배치367'!$H$7:$H$373,"본진")</f>
        <v>0</v>
      </c>
      <c r="P2267" s="7">
        <f>SUMIFS('05_상품별배치367'!$K$7:$K$373,'05_상품별배치367'!$E$7:$E$373,A2267,'05_상품별배치367'!$H$7:$H$373,"추가 진열")</f>
        <v>0</v>
      </c>
      <c r="Q2267" s="7">
        <f>O2267+P2267</f>
        <v>0</v>
      </c>
      <c r="R2267" s="7">
        <v>1</v>
      </c>
      <c r="S2267" s="6" t="s">
        <v>1988</v>
      </c>
      <c r="T2267" s="6" t="s">
        <v>1637</v>
      </c>
      <c r="U2267" s="6"/>
      <c r="V2267" s="16"/>
      <c r="W2267" s="16"/>
      <c r="X2267" s="16"/>
      <c r="Y2267" s="6" t="s">
        <v>1627</v>
      </c>
      <c r="Z2267" s="15"/>
      <c r="AA2267" s="15" t="s">
        <v>1628</v>
      </c>
    </row>
    <row r="2268" spans="1:27" ht="33" customHeight="1">
      <c r="A2268" s="8" t="s">
        <v>6957</v>
      </c>
      <c r="B2268" s="9">
        <v>2388</v>
      </c>
      <c r="C2268" s="8" t="s">
        <v>6958</v>
      </c>
      <c r="D2268" s="8" t="s">
        <v>6959</v>
      </c>
      <c r="E2268" s="8" t="s">
        <v>1641</v>
      </c>
      <c r="F2268" s="8" t="s">
        <v>670</v>
      </c>
      <c r="G2268" s="8" t="s">
        <v>91</v>
      </c>
      <c r="H2268" s="8" t="s">
        <v>674</v>
      </c>
      <c r="I2268" s="14" t="s">
        <v>1633</v>
      </c>
      <c r="J2268" s="15"/>
      <c r="K2268" s="8" t="s">
        <v>1634</v>
      </c>
      <c r="L2268" s="8" t="s">
        <v>3828</v>
      </c>
      <c r="M2268" s="6" t="s">
        <v>1635</v>
      </c>
      <c r="N2268" s="6" t="s">
        <v>1624</v>
      </c>
      <c r="O2268" s="7">
        <f>SUMIFS('05_상품별배치367'!$K$7:$K$373,'05_상품별배치367'!$E$7:$E$373,A2268,'05_상품별배치367'!$H$7:$H$373,"본진")</f>
        <v>1</v>
      </c>
      <c r="P2268" s="7">
        <f>SUMIFS('05_상품별배치367'!$K$7:$K$373,'05_상품별배치367'!$E$7:$E$373,A2268,'05_상품별배치367'!$H$7:$H$373,"추가 진열")</f>
        <v>0</v>
      </c>
      <c r="Q2268" s="7">
        <f>O2268+P2268</f>
        <v>1</v>
      </c>
      <c r="R2268" s="7">
        <v>1</v>
      </c>
      <c r="S2268" s="6" t="s">
        <v>1636</v>
      </c>
      <c r="T2268" s="6" t="s">
        <v>1637</v>
      </c>
      <c r="U2268" s="6"/>
      <c r="V2268" s="16"/>
      <c r="W2268" s="16"/>
      <c r="X2268" s="16"/>
      <c r="Y2268" s="6" t="s">
        <v>1655</v>
      </c>
      <c r="Z2268" s="15"/>
      <c r="AA2268" s="15" t="s">
        <v>1628</v>
      </c>
    </row>
    <row r="2269" spans="1:27" ht="33" customHeight="1">
      <c r="A2269" s="8" t="s">
        <v>4540</v>
      </c>
      <c r="B2269" s="9">
        <v>1258</v>
      </c>
      <c r="C2269" s="8" t="s">
        <v>4541</v>
      </c>
      <c r="D2269" s="8" t="s">
        <v>2133</v>
      </c>
      <c r="E2269" s="8" t="s">
        <v>2134</v>
      </c>
      <c r="F2269" s="8" t="s">
        <v>2933</v>
      </c>
      <c r="G2269" s="8" t="s">
        <v>1668</v>
      </c>
      <c r="H2269" s="8"/>
      <c r="I2269" s="14" t="s">
        <v>1807</v>
      </c>
      <c r="J2269" s="15"/>
      <c r="K2269" s="8" t="s">
        <v>1976</v>
      </c>
      <c r="L2269" s="8" t="s">
        <v>2032</v>
      </c>
      <c r="M2269" s="6" t="s">
        <v>1809</v>
      </c>
      <c r="N2269" s="6" t="s">
        <v>1644</v>
      </c>
      <c r="O2269" s="7">
        <f>SUMIFS('05_상품별배치367'!$K$7:$K$373,'05_상품별배치367'!$E$7:$E$373,A2269,'05_상품별배치367'!$H$7:$H$373,"본진")</f>
        <v>0</v>
      </c>
      <c r="P2269" s="7">
        <f>SUMIFS('05_상품별배치367'!$K$7:$K$373,'05_상품별배치367'!$E$7:$E$373,A2269,'05_상품별배치367'!$H$7:$H$373,"추가 진열")</f>
        <v>0</v>
      </c>
      <c r="Q2269" s="7">
        <f>O2269+P2269</f>
        <v>0</v>
      </c>
      <c r="R2269" s="7">
        <v>0</v>
      </c>
      <c r="S2269" s="6" t="s">
        <v>1810</v>
      </c>
      <c r="T2269" s="6" t="s">
        <v>1637</v>
      </c>
      <c r="U2269" s="6"/>
      <c r="V2269" s="16"/>
      <c r="W2269" s="16"/>
      <c r="X2269" s="16"/>
      <c r="Y2269" s="6" t="s">
        <v>1627</v>
      </c>
      <c r="Z2269" s="15"/>
      <c r="AA2269" s="15" t="s">
        <v>1628</v>
      </c>
    </row>
    <row r="2270" spans="1:27" ht="33" customHeight="1">
      <c r="A2270" s="8" t="s">
        <v>1816</v>
      </c>
      <c r="B2270" s="9">
        <v>66</v>
      </c>
      <c r="C2270" s="8" t="s">
        <v>1817</v>
      </c>
      <c r="D2270" s="8" t="s">
        <v>1813</v>
      </c>
      <c r="E2270" s="8" t="s">
        <v>1814</v>
      </c>
      <c r="F2270" s="8" t="s">
        <v>1359</v>
      </c>
      <c r="G2270" s="8" t="s">
        <v>431</v>
      </c>
      <c r="H2270" s="8"/>
      <c r="I2270" s="14" t="s">
        <v>1642</v>
      </c>
      <c r="J2270" s="15"/>
      <c r="K2270" s="8" t="s">
        <v>1634</v>
      </c>
      <c r="L2270" s="8"/>
      <c r="M2270" s="6" t="s">
        <v>1643</v>
      </c>
      <c r="N2270" s="6" t="s">
        <v>1644</v>
      </c>
      <c r="O2270" s="7">
        <f>SUMIFS('05_상품별배치367'!$K$7:$K$373,'05_상품별배치367'!$E$7:$E$373,A2270,'05_상품별배치367'!$H$7:$H$373,"본진")</f>
        <v>0</v>
      </c>
      <c r="P2270" s="7">
        <f>SUMIFS('05_상품별배치367'!$K$7:$K$373,'05_상품별배치367'!$E$7:$E$373,A2270,'05_상품별배치367'!$H$7:$H$373,"추가 진열")</f>
        <v>0</v>
      </c>
      <c r="Q2270" s="7">
        <f>O2270+P2270</f>
        <v>0</v>
      </c>
      <c r="R2270" s="7">
        <v>1</v>
      </c>
      <c r="S2270" s="6" t="s">
        <v>1815</v>
      </c>
      <c r="T2270" s="6" t="s">
        <v>1637</v>
      </c>
      <c r="U2270" s="6"/>
      <c r="V2270" s="16"/>
      <c r="W2270" s="16"/>
      <c r="X2270" s="16"/>
      <c r="Y2270" s="6" t="s">
        <v>1655</v>
      </c>
      <c r="Z2270" s="15"/>
      <c r="AA2270" s="15" t="s">
        <v>1628</v>
      </c>
    </row>
    <row r="2271" spans="1:27" ht="33" customHeight="1">
      <c r="A2271" s="6" t="s">
        <v>2653</v>
      </c>
      <c r="B2271" s="7">
        <v>395</v>
      </c>
      <c r="C2271" s="6" t="s">
        <v>2654</v>
      </c>
      <c r="D2271" s="6" t="s">
        <v>2655</v>
      </c>
      <c r="E2271" s="6" t="s">
        <v>1666</v>
      </c>
      <c r="F2271" s="6" t="s">
        <v>1852</v>
      </c>
      <c r="G2271" s="6" t="s">
        <v>1853</v>
      </c>
      <c r="H2271" s="6"/>
      <c r="I2271" s="14" t="s">
        <v>1669</v>
      </c>
      <c r="J2271" s="15"/>
      <c r="K2271" s="6" t="s">
        <v>1670</v>
      </c>
      <c r="L2271" s="6"/>
      <c r="M2271" s="6" t="s">
        <v>1671</v>
      </c>
      <c r="N2271" s="6" t="s">
        <v>1644</v>
      </c>
      <c r="O2271" s="7">
        <f>SUMIFS('05_상품별배치367'!$K$7:$K$373,'05_상품별배치367'!$E$7:$E$373,A2271,'05_상품별배치367'!$H$7:$H$373,"본진")</f>
        <v>0</v>
      </c>
      <c r="P2271" s="7">
        <f>SUMIFS('05_상품별배치367'!$K$7:$K$373,'05_상품별배치367'!$E$7:$E$373,A2271,'05_상품별배치367'!$H$7:$H$373,"추가 진열")</f>
        <v>0</v>
      </c>
      <c r="Q2271" s="7">
        <f>O2271+P2271</f>
        <v>0</v>
      </c>
      <c r="R2271" s="7">
        <v>0</v>
      </c>
      <c r="S2271" s="6" t="s">
        <v>1672</v>
      </c>
      <c r="T2271" s="6" t="s">
        <v>1637</v>
      </c>
      <c r="U2271" s="6"/>
      <c r="V2271" s="16"/>
      <c r="W2271" s="16"/>
      <c r="X2271" s="16"/>
      <c r="Y2271" s="6" t="s">
        <v>1655</v>
      </c>
      <c r="Z2271" s="15"/>
      <c r="AA2271" s="15" t="s">
        <v>1628</v>
      </c>
    </row>
    <row r="2272" spans="1:27" ht="33" customHeight="1">
      <c r="A2272" s="6" t="s">
        <v>2648</v>
      </c>
      <c r="B2272" s="7">
        <v>393</v>
      </c>
      <c r="C2272" s="6" t="s">
        <v>2649</v>
      </c>
      <c r="D2272" s="6" t="s">
        <v>2631</v>
      </c>
      <c r="E2272" s="6" t="s">
        <v>1666</v>
      </c>
      <c r="F2272" s="6" t="s">
        <v>1852</v>
      </c>
      <c r="G2272" s="6" t="s">
        <v>1853</v>
      </c>
      <c r="H2272" s="6"/>
      <c r="I2272" s="14" t="s">
        <v>1669</v>
      </c>
      <c r="J2272" s="15"/>
      <c r="K2272" s="6" t="s">
        <v>1670</v>
      </c>
      <c r="L2272" s="6"/>
      <c r="M2272" s="6" t="s">
        <v>1671</v>
      </c>
      <c r="N2272" s="6" t="s">
        <v>1644</v>
      </c>
      <c r="O2272" s="7">
        <f>SUMIFS('05_상품별배치367'!$K$7:$K$373,'05_상품별배치367'!$E$7:$E$373,A2272,'05_상품별배치367'!$H$7:$H$373,"본진")</f>
        <v>0</v>
      </c>
      <c r="P2272" s="7">
        <f>SUMIFS('05_상품별배치367'!$K$7:$K$373,'05_상품별배치367'!$E$7:$E$373,A2272,'05_상품별배치367'!$H$7:$H$373,"추가 진열")</f>
        <v>0</v>
      </c>
      <c r="Q2272" s="7">
        <f>O2272+P2272</f>
        <v>0</v>
      </c>
      <c r="R2272" s="7">
        <v>0</v>
      </c>
      <c r="S2272" s="6" t="s">
        <v>1672</v>
      </c>
      <c r="T2272" s="6" t="s">
        <v>1637</v>
      </c>
      <c r="U2272" s="6"/>
      <c r="V2272" s="16"/>
      <c r="W2272" s="16"/>
      <c r="X2272" s="16"/>
      <c r="Y2272" s="6" t="s">
        <v>1655</v>
      </c>
      <c r="Z2272" s="15"/>
      <c r="AA2272" s="15" t="s">
        <v>1628</v>
      </c>
    </row>
    <row r="2273" spans="1:27" ht="33" customHeight="1">
      <c r="A2273" s="8" t="s">
        <v>2650</v>
      </c>
      <c r="B2273" s="9">
        <v>394</v>
      </c>
      <c r="C2273" s="8" t="s">
        <v>2651</v>
      </c>
      <c r="D2273" s="8" t="s">
        <v>2652</v>
      </c>
      <c r="E2273" s="8" t="s">
        <v>1666</v>
      </c>
      <c r="F2273" s="8" t="s">
        <v>1852</v>
      </c>
      <c r="G2273" s="8" t="s">
        <v>1853</v>
      </c>
      <c r="H2273" s="8"/>
      <c r="I2273" s="14" t="s">
        <v>1669</v>
      </c>
      <c r="J2273" s="15"/>
      <c r="K2273" s="8" t="s">
        <v>1670</v>
      </c>
      <c r="L2273" s="8"/>
      <c r="M2273" s="6" t="s">
        <v>1671</v>
      </c>
      <c r="N2273" s="6" t="s">
        <v>1644</v>
      </c>
      <c r="O2273" s="7">
        <f>SUMIFS('05_상품별배치367'!$K$7:$K$373,'05_상품별배치367'!$E$7:$E$373,A2273,'05_상품별배치367'!$H$7:$H$373,"본진")</f>
        <v>0</v>
      </c>
      <c r="P2273" s="7">
        <f>SUMIFS('05_상품별배치367'!$K$7:$K$373,'05_상품별배치367'!$E$7:$E$373,A2273,'05_상품별배치367'!$H$7:$H$373,"추가 진열")</f>
        <v>0</v>
      </c>
      <c r="Q2273" s="7">
        <f>O2273+P2273</f>
        <v>0</v>
      </c>
      <c r="R2273" s="7">
        <v>0</v>
      </c>
      <c r="S2273" s="6" t="s">
        <v>1672</v>
      </c>
      <c r="T2273" s="6" t="s">
        <v>1637</v>
      </c>
      <c r="U2273" s="6"/>
      <c r="V2273" s="16"/>
      <c r="W2273" s="16"/>
      <c r="X2273" s="16"/>
      <c r="Y2273" s="6" t="s">
        <v>1655</v>
      </c>
      <c r="Z2273" s="15"/>
      <c r="AA2273" s="15" t="s">
        <v>1628</v>
      </c>
    </row>
    <row r="2274" spans="1:27" ht="33" customHeight="1">
      <c r="A2274" s="6" t="s">
        <v>2670</v>
      </c>
      <c r="B2274" s="7">
        <v>403</v>
      </c>
      <c r="C2274" s="6" t="s">
        <v>2671</v>
      </c>
      <c r="D2274" s="6" t="s">
        <v>2672</v>
      </c>
      <c r="E2274" s="6" t="s">
        <v>1666</v>
      </c>
      <c r="F2274" s="6" t="s">
        <v>1852</v>
      </c>
      <c r="G2274" s="6" t="s">
        <v>1853</v>
      </c>
      <c r="H2274" s="6"/>
      <c r="I2274" s="14" t="s">
        <v>1669</v>
      </c>
      <c r="J2274" s="15"/>
      <c r="K2274" s="6" t="s">
        <v>1670</v>
      </c>
      <c r="L2274" s="6"/>
      <c r="M2274" s="6" t="s">
        <v>1671</v>
      </c>
      <c r="N2274" s="6" t="s">
        <v>1644</v>
      </c>
      <c r="O2274" s="7">
        <f>SUMIFS('05_상품별배치367'!$K$7:$K$373,'05_상품별배치367'!$E$7:$E$373,A2274,'05_상품별배치367'!$H$7:$H$373,"본진")</f>
        <v>0</v>
      </c>
      <c r="P2274" s="7">
        <f>SUMIFS('05_상품별배치367'!$K$7:$K$373,'05_상품별배치367'!$E$7:$E$373,A2274,'05_상품별배치367'!$H$7:$H$373,"추가 진열")</f>
        <v>0</v>
      </c>
      <c r="Q2274" s="7">
        <f>O2274+P2274</f>
        <v>0</v>
      </c>
      <c r="R2274" s="7">
        <v>0</v>
      </c>
      <c r="S2274" s="6" t="s">
        <v>1672</v>
      </c>
      <c r="T2274" s="6" t="s">
        <v>1637</v>
      </c>
      <c r="U2274" s="6"/>
      <c r="V2274" s="16"/>
      <c r="W2274" s="16"/>
      <c r="X2274" s="16"/>
      <c r="Y2274" s="6" t="s">
        <v>1627</v>
      </c>
      <c r="Z2274" s="15"/>
      <c r="AA2274" s="15" t="s">
        <v>1628</v>
      </c>
    </row>
    <row r="2275" spans="1:27" ht="33" customHeight="1">
      <c r="A2275" s="6" t="s">
        <v>2644</v>
      </c>
      <c r="B2275" s="7">
        <v>391</v>
      </c>
      <c r="C2275" s="6" t="s">
        <v>2645</v>
      </c>
      <c r="D2275" s="6" t="s">
        <v>2631</v>
      </c>
      <c r="E2275" s="6" t="s">
        <v>1666</v>
      </c>
      <c r="F2275" s="6" t="s">
        <v>1852</v>
      </c>
      <c r="G2275" s="6" t="s">
        <v>1853</v>
      </c>
      <c r="H2275" s="6"/>
      <c r="I2275" s="14" t="s">
        <v>1669</v>
      </c>
      <c r="J2275" s="15"/>
      <c r="K2275" s="6" t="s">
        <v>1670</v>
      </c>
      <c r="L2275" s="6"/>
      <c r="M2275" s="6" t="s">
        <v>1671</v>
      </c>
      <c r="N2275" s="6" t="s">
        <v>1644</v>
      </c>
      <c r="O2275" s="7">
        <f>SUMIFS('05_상품별배치367'!$K$7:$K$373,'05_상품별배치367'!$E$7:$E$373,A2275,'05_상품별배치367'!$H$7:$H$373,"본진")</f>
        <v>0</v>
      </c>
      <c r="P2275" s="7">
        <f>SUMIFS('05_상품별배치367'!$K$7:$K$373,'05_상품별배치367'!$E$7:$E$373,A2275,'05_상품별배치367'!$H$7:$H$373,"추가 진열")</f>
        <v>0</v>
      </c>
      <c r="Q2275" s="7">
        <f>O2275+P2275</f>
        <v>0</v>
      </c>
      <c r="R2275" s="7">
        <v>0</v>
      </c>
      <c r="S2275" s="6" t="s">
        <v>1672</v>
      </c>
      <c r="T2275" s="6" t="s">
        <v>1637</v>
      </c>
      <c r="U2275" s="6"/>
      <c r="V2275" s="16"/>
      <c r="W2275" s="16"/>
      <c r="X2275" s="16"/>
      <c r="Y2275" s="6" t="s">
        <v>1655</v>
      </c>
      <c r="Z2275" s="15"/>
      <c r="AA2275" s="15" t="s">
        <v>1628</v>
      </c>
    </row>
    <row r="2276" spans="1:27" ht="33" customHeight="1">
      <c r="A2276" s="8" t="s">
        <v>2646</v>
      </c>
      <c r="B2276" s="9">
        <v>392</v>
      </c>
      <c r="C2276" s="8" t="s">
        <v>2647</v>
      </c>
      <c r="D2276" s="8" t="s">
        <v>2631</v>
      </c>
      <c r="E2276" s="8" t="s">
        <v>1666</v>
      </c>
      <c r="F2276" s="8" t="s">
        <v>1852</v>
      </c>
      <c r="G2276" s="8" t="s">
        <v>1853</v>
      </c>
      <c r="H2276" s="8"/>
      <c r="I2276" s="14" t="s">
        <v>1669</v>
      </c>
      <c r="J2276" s="15"/>
      <c r="K2276" s="8" t="s">
        <v>1670</v>
      </c>
      <c r="L2276" s="8"/>
      <c r="M2276" s="6" t="s">
        <v>1671</v>
      </c>
      <c r="N2276" s="6" t="s">
        <v>1644</v>
      </c>
      <c r="O2276" s="7">
        <f>SUMIFS('05_상품별배치367'!$K$7:$K$373,'05_상품별배치367'!$E$7:$E$373,A2276,'05_상품별배치367'!$H$7:$H$373,"본진")</f>
        <v>0</v>
      </c>
      <c r="P2276" s="7">
        <f>SUMIFS('05_상품별배치367'!$K$7:$K$373,'05_상품별배치367'!$E$7:$E$373,A2276,'05_상품별배치367'!$H$7:$H$373,"추가 진열")</f>
        <v>0</v>
      </c>
      <c r="Q2276" s="7">
        <f>O2276+P2276</f>
        <v>0</v>
      </c>
      <c r="R2276" s="7">
        <v>0</v>
      </c>
      <c r="S2276" s="6" t="s">
        <v>1672</v>
      </c>
      <c r="T2276" s="6" t="s">
        <v>1637</v>
      </c>
      <c r="U2276" s="6"/>
      <c r="V2276" s="16"/>
      <c r="W2276" s="16"/>
      <c r="X2276" s="16"/>
      <c r="Y2276" s="6" t="s">
        <v>1655</v>
      </c>
      <c r="Z2276" s="15"/>
      <c r="AA2276" s="15" t="s">
        <v>1628</v>
      </c>
    </row>
    <row r="2277" spans="1:27" ht="33" customHeight="1">
      <c r="A2277" s="6" t="s">
        <v>2666</v>
      </c>
      <c r="B2277" s="7">
        <v>401</v>
      </c>
      <c r="C2277" s="6" t="s">
        <v>2667</v>
      </c>
      <c r="D2277" s="6" t="s">
        <v>2631</v>
      </c>
      <c r="E2277" s="6" t="s">
        <v>1666</v>
      </c>
      <c r="F2277" s="6" t="s">
        <v>520</v>
      </c>
      <c r="G2277" s="6" t="s">
        <v>463</v>
      </c>
      <c r="H2277" s="6"/>
      <c r="I2277" s="14" t="s">
        <v>1642</v>
      </c>
      <c r="J2277" s="15"/>
      <c r="K2277" s="6" t="s">
        <v>1670</v>
      </c>
      <c r="L2277" s="6"/>
      <c r="M2277" s="6" t="s">
        <v>1643</v>
      </c>
      <c r="N2277" s="6" t="s">
        <v>1644</v>
      </c>
      <c r="O2277" s="7">
        <f>SUMIFS('05_상품별배치367'!$K$7:$K$373,'05_상품별배치367'!$E$7:$E$373,A2277,'05_상품별배치367'!$H$7:$H$373,"본진")</f>
        <v>0</v>
      </c>
      <c r="P2277" s="7">
        <f>SUMIFS('05_상품별배치367'!$K$7:$K$373,'05_상품별배치367'!$E$7:$E$373,A2277,'05_상품별배치367'!$H$7:$H$373,"추가 진열")</f>
        <v>0</v>
      </c>
      <c r="Q2277" s="7">
        <f>O2277+P2277</f>
        <v>0</v>
      </c>
      <c r="R2277" s="7">
        <v>1</v>
      </c>
      <c r="S2277" s="6" t="s">
        <v>2142</v>
      </c>
      <c r="T2277" s="6" t="s">
        <v>1637</v>
      </c>
      <c r="U2277" s="6"/>
      <c r="V2277" s="16"/>
      <c r="W2277" s="16"/>
      <c r="X2277" s="16"/>
      <c r="Y2277" s="6" t="s">
        <v>1655</v>
      </c>
      <c r="Z2277" s="15"/>
      <c r="AA2277" s="15" t="s">
        <v>1628</v>
      </c>
    </row>
    <row r="2278" spans="1:27" ht="33" customHeight="1">
      <c r="A2278" s="8" t="s">
        <v>2629</v>
      </c>
      <c r="B2278" s="9">
        <v>384</v>
      </c>
      <c r="C2278" s="8" t="s">
        <v>2630</v>
      </c>
      <c r="D2278" s="8" t="s">
        <v>2631</v>
      </c>
      <c r="E2278" s="8" t="s">
        <v>1666</v>
      </c>
      <c r="F2278" s="8" t="s">
        <v>1852</v>
      </c>
      <c r="G2278" s="8" t="s">
        <v>1853</v>
      </c>
      <c r="H2278" s="8"/>
      <c r="I2278" s="14" t="s">
        <v>1669</v>
      </c>
      <c r="J2278" s="15"/>
      <c r="K2278" s="8" t="s">
        <v>1670</v>
      </c>
      <c r="L2278" s="8"/>
      <c r="M2278" s="6" t="s">
        <v>1671</v>
      </c>
      <c r="N2278" s="6" t="s">
        <v>1644</v>
      </c>
      <c r="O2278" s="7">
        <f>SUMIFS('05_상품별배치367'!$K$7:$K$373,'05_상품별배치367'!$E$7:$E$373,A2278,'05_상품별배치367'!$H$7:$H$373,"본진")</f>
        <v>0</v>
      </c>
      <c r="P2278" s="7">
        <f>SUMIFS('05_상품별배치367'!$K$7:$K$373,'05_상품별배치367'!$E$7:$E$373,A2278,'05_상품별배치367'!$H$7:$H$373,"추가 진열")</f>
        <v>0</v>
      </c>
      <c r="Q2278" s="7">
        <f>O2278+P2278</f>
        <v>0</v>
      </c>
      <c r="R2278" s="7">
        <v>0</v>
      </c>
      <c r="S2278" s="6" t="s">
        <v>1672</v>
      </c>
      <c r="T2278" s="6" t="s">
        <v>1637</v>
      </c>
      <c r="U2278" s="6"/>
      <c r="V2278" s="16"/>
      <c r="W2278" s="16"/>
      <c r="X2278" s="16"/>
      <c r="Y2278" s="6" t="s">
        <v>1655</v>
      </c>
      <c r="Z2278" s="15"/>
      <c r="AA2278" s="15" t="s">
        <v>1628</v>
      </c>
    </row>
    <row r="2279" spans="1:27" ht="33" customHeight="1">
      <c r="A2279" s="6" t="s">
        <v>2636</v>
      </c>
      <c r="B2279" s="7">
        <v>387</v>
      </c>
      <c r="C2279" s="6" t="s">
        <v>2637</v>
      </c>
      <c r="D2279" s="6" t="s">
        <v>2631</v>
      </c>
      <c r="E2279" s="6" t="s">
        <v>1666</v>
      </c>
      <c r="F2279" s="6" t="s">
        <v>1852</v>
      </c>
      <c r="G2279" s="6" t="s">
        <v>1853</v>
      </c>
      <c r="H2279" s="6"/>
      <c r="I2279" s="14" t="s">
        <v>1669</v>
      </c>
      <c r="J2279" s="15"/>
      <c r="K2279" s="6" t="s">
        <v>1670</v>
      </c>
      <c r="L2279" s="6"/>
      <c r="M2279" s="6" t="s">
        <v>1671</v>
      </c>
      <c r="N2279" s="6" t="s">
        <v>1644</v>
      </c>
      <c r="O2279" s="7">
        <f>SUMIFS('05_상품별배치367'!$K$7:$K$373,'05_상품별배치367'!$E$7:$E$373,A2279,'05_상품별배치367'!$H$7:$H$373,"본진")</f>
        <v>0</v>
      </c>
      <c r="P2279" s="7">
        <f>SUMIFS('05_상품별배치367'!$K$7:$K$373,'05_상품별배치367'!$E$7:$E$373,A2279,'05_상품별배치367'!$H$7:$H$373,"추가 진열")</f>
        <v>0</v>
      </c>
      <c r="Q2279" s="7">
        <f>O2279+P2279</f>
        <v>0</v>
      </c>
      <c r="R2279" s="7">
        <v>0</v>
      </c>
      <c r="S2279" s="6" t="s">
        <v>1672</v>
      </c>
      <c r="T2279" s="6" t="s">
        <v>1637</v>
      </c>
      <c r="U2279" s="6"/>
      <c r="V2279" s="16"/>
      <c r="W2279" s="16"/>
      <c r="X2279" s="16"/>
      <c r="Y2279" s="6" t="s">
        <v>1655</v>
      </c>
      <c r="Z2279" s="15"/>
      <c r="AA2279" s="15" t="s">
        <v>1628</v>
      </c>
    </row>
    <row r="2280" spans="1:27" ht="33" customHeight="1">
      <c r="A2280" s="8" t="s">
        <v>2642</v>
      </c>
      <c r="B2280" s="9">
        <v>390</v>
      </c>
      <c r="C2280" s="8" t="s">
        <v>2643</v>
      </c>
      <c r="D2280" s="8" t="s">
        <v>2631</v>
      </c>
      <c r="E2280" s="8" t="s">
        <v>1666</v>
      </c>
      <c r="F2280" s="8" t="s">
        <v>1852</v>
      </c>
      <c r="G2280" s="8" t="s">
        <v>1853</v>
      </c>
      <c r="H2280" s="8"/>
      <c r="I2280" s="14" t="s">
        <v>1669</v>
      </c>
      <c r="J2280" s="15"/>
      <c r="K2280" s="8" t="s">
        <v>1670</v>
      </c>
      <c r="L2280" s="8"/>
      <c r="M2280" s="6" t="s">
        <v>1671</v>
      </c>
      <c r="N2280" s="6" t="s">
        <v>1644</v>
      </c>
      <c r="O2280" s="7">
        <f>SUMIFS('05_상품별배치367'!$K$7:$K$373,'05_상품별배치367'!$E$7:$E$373,A2280,'05_상품별배치367'!$H$7:$H$373,"본진")</f>
        <v>0</v>
      </c>
      <c r="P2280" s="7">
        <f>SUMIFS('05_상품별배치367'!$K$7:$K$373,'05_상품별배치367'!$E$7:$E$373,A2280,'05_상품별배치367'!$H$7:$H$373,"추가 진열")</f>
        <v>0</v>
      </c>
      <c r="Q2280" s="7">
        <f>O2280+P2280</f>
        <v>0</v>
      </c>
      <c r="R2280" s="7">
        <v>0</v>
      </c>
      <c r="S2280" s="6" t="s">
        <v>1672</v>
      </c>
      <c r="T2280" s="6" t="s">
        <v>1637</v>
      </c>
      <c r="U2280" s="6"/>
      <c r="V2280" s="16"/>
      <c r="W2280" s="16"/>
      <c r="X2280" s="16"/>
      <c r="Y2280" s="6" t="s">
        <v>1655</v>
      </c>
      <c r="Z2280" s="15"/>
      <c r="AA2280" s="15" t="s">
        <v>1628</v>
      </c>
    </row>
    <row r="2281" spans="1:27" ht="33" customHeight="1">
      <c r="A2281" s="8" t="s">
        <v>2634</v>
      </c>
      <c r="B2281" s="9">
        <v>386</v>
      </c>
      <c r="C2281" s="8" t="s">
        <v>2635</v>
      </c>
      <c r="D2281" s="8" t="s">
        <v>2631</v>
      </c>
      <c r="E2281" s="8" t="s">
        <v>1666</v>
      </c>
      <c r="F2281" s="8" t="s">
        <v>1852</v>
      </c>
      <c r="G2281" s="8" t="s">
        <v>1853</v>
      </c>
      <c r="H2281" s="8"/>
      <c r="I2281" s="14" t="s">
        <v>1669</v>
      </c>
      <c r="J2281" s="15"/>
      <c r="K2281" s="8" t="s">
        <v>1670</v>
      </c>
      <c r="L2281" s="8"/>
      <c r="M2281" s="6" t="s">
        <v>1671</v>
      </c>
      <c r="N2281" s="6" t="s">
        <v>1644</v>
      </c>
      <c r="O2281" s="7">
        <f>SUMIFS('05_상품별배치367'!$K$7:$K$373,'05_상품별배치367'!$E$7:$E$373,A2281,'05_상품별배치367'!$H$7:$H$373,"본진")</f>
        <v>0</v>
      </c>
      <c r="P2281" s="7">
        <f>SUMIFS('05_상품별배치367'!$K$7:$K$373,'05_상품별배치367'!$E$7:$E$373,A2281,'05_상품별배치367'!$H$7:$H$373,"추가 진열")</f>
        <v>0</v>
      </c>
      <c r="Q2281" s="7">
        <f>O2281+P2281</f>
        <v>0</v>
      </c>
      <c r="R2281" s="7">
        <v>0</v>
      </c>
      <c r="S2281" s="6" t="s">
        <v>1672</v>
      </c>
      <c r="T2281" s="6" t="s">
        <v>1637</v>
      </c>
      <c r="U2281" s="6"/>
      <c r="V2281" s="16"/>
      <c r="W2281" s="16"/>
      <c r="X2281" s="16"/>
      <c r="Y2281" s="6" t="s">
        <v>1655</v>
      </c>
      <c r="Z2281" s="15"/>
      <c r="AA2281" s="15" t="s">
        <v>1628</v>
      </c>
    </row>
    <row r="2282" spans="1:27" ht="33" customHeight="1">
      <c r="A2282" s="8" t="s">
        <v>2668</v>
      </c>
      <c r="B2282" s="9">
        <v>402</v>
      </c>
      <c r="C2282" s="8" t="s">
        <v>2669</v>
      </c>
      <c r="D2282" s="8" t="s">
        <v>2631</v>
      </c>
      <c r="E2282" s="8" t="s">
        <v>1666</v>
      </c>
      <c r="F2282" s="8" t="s">
        <v>1852</v>
      </c>
      <c r="G2282" s="8" t="s">
        <v>1853</v>
      </c>
      <c r="H2282" s="8"/>
      <c r="I2282" s="14" t="s">
        <v>1669</v>
      </c>
      <c r="J2282" s="15"/>
      <c r="K2282" s="8" t="s">
        <v>1670</v>
      </c>
      <c r="L2282" s="8"/>
      <c r="M2282" s="6" t="s">
        <v>1671</v>
      </c>
      <c r="N2282" s="6" t="s">
        <v>1644</v>
      </c>
      <c r="O2282" s="7">
        <f>SUMIFS('05_상품별배치367'!$K$7:$K$373,'05_상품별배치367'!$E$7:$E$373,A2282,'05_상품별배치367'!$H$7:$H$373,"본진")</f>
        <v>0</v>
      </c>
      <c r="P2282" s="7">
        <f>SUMIFS('05_상품별배치367'!$K$7:$K$373,'05_상품별배치367'!$E$7:$E$373,A2282,'05_상품별배치367'!$H$7:$H$373,"추가 진열")</f>
        <v>0</v>
      </c>
      <c r="Q2282" s="7">
        <f>O2282+P2282</f>
        <v>0</v>
      </c>
      <c r="R2282" s="7">
        <v>0</v>
      </c>
      <c r="S2282" s="6" t="s">
        <v>1672</v>
      </c>
      <c r="T2282" s="6" t="s">
        <v>1637</v>
      </c>
      <c r="U2282" s="6"/>
      <c r="V2282" s="16"/>
      <c r="W2282" s="16"/>
      <c r="X2282" s="16"/>
      <c r="Y2282" s="6" t="s">
        <v>1655</v>
      </c>
      <c r="Z2282" s="15"/>
      <c r="AA2282" s="15" t="s">
        <v>1628</v>
      </c>
    </row>
    <row r="2283" spans="1:27" ht="33" customHeight="1">
      <c r="A2283" s="8" t="s">
        <v>2638</v>
      </c>
      <c r="B2283" s="9">
        <v>388</v>
      </c>
      <c r="C2283" s="8" t="s">
        <v>2639</v>
      </c>
      <c r="D2283" s="8" t="s">
        <v>2631</v>
      </c>
      <c r="E2283" s="8" t="s">
        <v>1666</v>
      </c>
      <c r="F2283" s="8" t="s">
        <v>1852</v>
      </c>
      <c r="G2283" s="8" t="s">
        <v>1853</v>
      </c>
      <c r="H2283" s="8"/>
      <c r="I2283" s="14" t="s">
        <v>1669</v>
      </c>
      <c r="J2283" s="15"/>
      <c r="K2283" s="8" t="s">
        <v>1670</v>
      </c>
      <c r="L2283" s="8"/>
      <c r="M2283" s="6" t="s">
        <v>1671</v>
      </c>
      <c r="N2283" s="6" t="s">
        <v>1644</v>
      </c>
      <c r="O2283" s="7">
        <f>SUMIFS('05_상품별배치367'!$K$7:$K$373,'05_상품별배치367'!$E$7:$E$373,A2283,'05_상품별배치367'!$H$7:$H$373,"본진")</f>
        <v>0</v>
      </c>
      <c r="P2283" s="7">
        <f>SUMIFS('05_상품별배치367'!$K$7:$K$373,'05_상품별배치367'!$E$7:$E$373,A2283,'05_상품별배치367'!$H$7:$H$373,"추가 진열")</f>
        <v>0</v>
      </c>
      <c r="Q2283" s="7">
        <f>O2283+P2283</f>
        <v>0</v>
      </c>
      <c r="R2283" s="7">
        <v>0</v>
      </c>
      <c r="S2283" s="6" t="s">
        <v>1672</v>
      </c>
      <c r="T2283" s="6" t="s">
        <v>1637</v>
      </c>
      <c r="U2283" s="6"/>
      <c r="V2283" s="16"/>
      <c r="W2283" s="16"/>
      <c r="X2283" s="16"/>
      <c r="Y2283" s="6" t="s">
        <v>1655</v>
      </c>
      <c r="Z2283" s="15"/>
      <c r="AA2283" s="15" t="s">
        <v>1628</v>
      </c>
    </row>
    <row r="2284" spans="1:27" ht="33" customHeight="1">
      <c r="A2284" s="6" t="s">
        <v>2640</v>
      </c>
      <c r="B2284" s="7">
        <v>389</v>
      </c>
      <c r="C2284" s="6" t="s">
        <v>2641</v>
      </c>
      <c r="D2284" s="6" t="s">
        <v>2631</v>
      </c>
      <c r="E2284" s="6" t="s">
        <v>1666</v>
      </c>
      <c r="F2284" s="6" t="s">
        <v>1852</v>
      </c>
      <c r="G2284" s="6" t="s">
        <v>1853</v>
      </c>
      <c r="H2284" s="6"/>
      <c r="I2284" s="14" t="s">
        <v>1669</v>
      </c>
      <c r="J2284" s="15"/>
      <c r="K2284" s="6" t="s">
        <v>1670</v>
      </c>
      <c r="L2284" s="6"/>
      <c r="M2284" s="6" t="s">
        <v>1671</v>
      </c>
      <c r="N2284" s="6" t="s">
        <v>1644</v>
      </c>
      <c r="O2284" s="7">
        <f>SUMIFS('05_상품별배치367'!$K$7:$K$373,'05_상품별배치367'!$E$7:$E$373,A2284,'05_상품별배치367'!$H$7:$H$373,"본진")</f>
        <v>0</v>
      </c>
      <c r="P2284" s="7">
        <f>SUMIFS('05_상품별배치367'!$K$7:$K$373,'05_상품별배치367'!$E$7:$E$373,A2284,'05_상품별배치367'!$H$7:$H$373,"추가 진열")</f>
        <v>0</v>
      </c>
      <c r="Q2284" s="7">
        <f>O2284+P2284</f>
        <v>0</v>
      </c>
      <c r="R2284" s="7">
        <v>0</v>
      </c>
      <c r="S2284" s="6" t="s">
        <v>1672</v>
      </c>
      <c r="T2284" s="6" t="s">
        <v>1637</v>
      </c>
      <c r="U2284" s="6"/>
      <c r="V2284" s="16"/>
      <c r="W2284" s="16"/>
      <c r="X2284" s="16"/>
      <c r="Y2284" s="6" t="s">
        <v>1655</v>
      </c>
      <c r="Z2284" s="15"/>
      <c r="AA2284" s="15" t="s">
        <v>1628</v>
      </c>
    </row>
    <row r="2285" spans="1:27" ht="33" customHeight="1">
      <c r="A2285" s="6" t="s">
        <v>2632</v>
      </c>
      <c r="B2285" s="7">
        <v>385</v>
      </c>
      <c r="C2285" s="6" t="s">
        <v>2633</v>
      </c>
      <c r="D2285" s="6" t="s">
        <v>2631</v>
      </c>
      <c r="E2285" s="6" t="s">
        <v>1666</v>
      </c>
      <c r="F2285" s="6" t="s">
        <v>1852</v>
      </c>
      <c r="G2285" s="6" t="s">
        <v>1853</v>
      </c>
      <c r="H2285" s="6"/>
      <c r="I2285" s="14" t="s">
        <v>1669</v>
      </c>
      <c r="J2285" s="15"/>
      <c r="K2285" s="6" t="s">
        <v>1670</v>
      </c>
      <c r="L2285" s="6"/>
      <c r="M2285" s="6" t="s">
        <v>1671</v>
      </c>
      <c r="N2285" s="6" t="s">
        <v>1644</v>
      </c>
      <c r="O2285" s="7">
        <f>SUMIFS('05_상품별배치367'!$K$7:$K$373,'05_상품별배치367'!$E$7:$E$373,A2285,'05_상품별배치367'!$H$7:$H$373,"본진")</f>
        <v>0</v>
      </c>
      <c r="P2285" s="7">
        <f>SUMIFS('05_상품별배치367'!$K$7:$K$373,'05_상품별배치367'!$E$7:$E$373,A2285,'05_상품별배치367'!$H$7:$H$373,"추가 진열")</f>
        <v>0</v>
      </c>
      <c r="Q2285" s="7">
        <f>O2285+P2285</f>
        <v>0</v>
      </c>
      <c r="R2285" s="7">
        <v>0</v>
      </c>
      <c r="S2285" s="6" t="s">
        <v>1672</v>
      </c>
      <c r="T2285" s="6" t="s">
        <v>1637</v>
      </c>
      <c r="U2285" s="6"/>
      <c r="V2285" s="16"/>
      <c r="W2285" s="16"/>
      <c r="X2285" s="16"/>
      <c r="Y2285" s="6" t="s">
        <v>1655</v>
      </c>
      <c r="Z2285" s="15"/>
      <c r="AA2285" s="15" t="s">
        <v>1628</v>
      </c>
    </row>
    <row r="2286" spans="1:27" ht="33" customHeight="1">
      <c r="A2286" s="6" t="s">
        <v>2658</v>
      </c>
      <c r="B2286" s="7">
        <v>397</v>
      </c>
      <c r="C2286" s="6" t="s">
        <v>2659</v>
      </c>
      <c r="D2286" s="6" t="s">
        <v>1945</v>
      </c>
      <c r="E2286" s="6" t="s">
        <v>1666</v>
      </c>
      <c r="F2286" s="6" t="s">
        <v>1667</v>
      </c>
      <c r="G2286" s="6" t="s">
        <v>1668</v>
      </c>
      <c r="H2286" s="6"/>
      <c r="I2286" s="14" t="s">
        <v>1669</v>
      </c>
      <c r="J2286" s="15"/>
      <c r="K2286" s="6" t="s">
        <v>1670</v>
      </c>
      <c r="L2286" s="6"/>
      <c r="M2286" s="6" t="s">
        <v>1671</v>
      </c>
      <c r="N2286" s="6" t="s">
        <v>1644</v>
      </c>
      <c r="O2286" s="7">
        <f>SUMIFS('05_상품별배치367'!$K$7:$K$373,'05_상품별배치367'!$E$7:$E$373,A2286,'05_상품별배치367'!$H$7:$H$373,"본진")</f>
        <v>0</v>
      </c>
      <c r="P2286" s="7">
        <f>SUMIFS('05_상품별배치367'!$K$7:$K$373,'05_상품별배치367'!$E$7:$E$373,A2286,'05_상품별배치367'!$H$7:$H$373,"추가 진열")</f>
        <v>0</v>
      </c>
      <c r="Q2286" s="7">
        <f>O2286+P2286</f>
        <v>0</v>
      </c>
      <c r="R2286" s="7">
        <v>0</v>
      </c>
      <c r="S2286" s="6" t="s">
        <v>1672</v>
      </c>
      <c r="T2286" s="6" t="s">
        <v>1637</v>
      </c>
      <c r="U2286" s="6"/>
      <c r="V2286" s="16"/>
      <c r="W2286" s="16"/>
      <c r="X2286" s="16"/>
      <c r="Y2286" s="6" t="s">
        <v>1627</v>
      </c>
      <c r="Z2286" s="15"/>
      <c r="AA2286" s="15" t="s">
        <v>1628</v>
      </c>
    </row>
    <row r="2287" spans="1:27" ht="33" customHeight="1">
      <c r="A2287" s="8" t="s">
        <v>2660</v>
      </c>
      <c r="B2287" s="9">
        <v>398</v>
      </c>
      <c r="C2287" s="8" t="s">
        <v>2661</v>
      </c>
      <c r="D2287" s="8" t="s">
        <v>1937</v>
      </c>
      <c r="E2287" s="8" t="s">
        <v>1666</v>
      </c>
      <c r="F2287" s="8" t="s">
        <v>1667</v>
      </c>
      <c r="G2287" s="8" t="s">
        <v>1668</v>
      </c>
      <c r="H2287" s="8"/>
      <c r="I2287" s="14" t="s">
        <v>1669</v>
      </c>
      <c r="J2287" s="15"/>
      <c r="K2287" s="8" t="s">
        <v>1670</v>
      </c>
      <c r="L2287" s="8"/>
      <c r="M2287" s="6" t="s">
        <v>1671</v>
      </c>
      <c r="N2287" s="6" t="s">
        <v>1644</v>
      </c>
      <c r="O2287" s="7">
        <f>SUMIFS('05_상품별배치367'!$K$7:$K$373,'05_상품별배치367'!$E$7:$E$373,A2287,'05_상품별배치367'!$H$7:$H$373,"본진")</f>
        <v>0</v>
      </c>
      <c r="P2287" s="7">
        <f>SUMIFS('05_상품별배치367'!$K$7:$K$373,'05_상품별배치367'!$E$7:$E$373,A2287,'05_상품별배치367'!$H$7:$H$373,"추가 진열")</f>
        <v>0</v>
      </c>
      <c r="Q2287" s="7">
        <f>O2287+P2287</f>
        <v>0</v>
      </c>
      <c r="R2287" s="7">
        <v>0</v>
      </c>
      <c r="S2287" s="6" t="s">
        <v>1672</v>
      </c>
      <c r="T2287" s="6" t="s">
        <v>1637</v>
      </c>
      <c r="U2287" s="6"/>
      <c r="V2287" s="16"/>
      <c r="W2287" s="16"/>
      <c r="X2287" s="16"/>
      <c r="Y2287" s="6" t="s">
        <v>1627</v>
      </c>
      <c r="Z2287" s="15"/>
      <c r="AA2287" s="15" t="s">
        <v>1628</v>
      </c>
    </row>
    <row r="2288" spans="1:27" ht="33" customHeight="1">
      <c r="A2288" s="8" t="s">
        <v>2656</v>
      </c>
      <c r="B2288" s="9">
        <v>396</v>
      </c>
      <c r="C2288" s="8" t="s">
        <v>2657</v>
      </c>
      <c r="D2288" s="8" t="s">
        <v>1945</v>
      </c>
      <c r="E2288" s="8" t="s">
        <v>1666</v>
      </c>
      <c r="F2288" s="8" t="s">
        <v>1667</v>
      </c>
      <c r="G2288" s="8" t="s">
        <v>1668</v>
      </c>
      <c r="H2288" s="8"/>
      <c r="I2288" s="14" t="s">
        <v>1669</v>
      </c>
      <c r="J2288" s="15"/>
      <c r="K2288" s="8" t="s">
        <v>1670</v>
      </c>
      <c r="L2288" s="8"/>
      <c r="M2288" s="6" t="s">
        <v>1671</v>
      </c>
      <c r="N2288" s="6" t="s">
        <v>1644</v>
      </c>
      <c r="O2288" s="7">
        <f>SUMIFS('05_상품별배치367'!$K$7:$K$373,'05_상품별배치367'!$E$7:$E$373,A2288,'05_상품별배치367'!$H$7:$H$373,"본진")</f>
        <v>0</v>
      </c>
      <c r="P2288" s="7">
        <f>SUMIFS('05_상품별배치367'!$K$7:$K$373,'05_상품별배치367'!$E$7:$E$373,A2288,'05_상품별배치367'!$H$7:$H$373,"추가 진열")</f>
        <v>0</v>
      </c>
      <c r="Q2288" s="7">
        <f>O2288+P2288</f>
        <v>0</v>
      </c>
      <c r="R2288" s="7">
        <v>0</v>
      </c>
      <c r="S2288" s="6" t="s">
        <v>1672</v>
      </c>
      <c r="T2288" s="6" t="s">
        <v>1637</v>
      </c>
      <c r="U2288" s="6"/>
      <c r="V2288" s="16"/>
      <c r="W2288" s="16"/>
      <c r="X2288" s="16"/>
      <c r="Y2288" s="6" t="s">
        <v>1627</v>
      </c>
      <c r="Z2288" s="15"/>
      <c r="AA2288" s="15" t="s">
        <v>1628</v>
      </c>
    </row>
    <row r="2289" spans="1:27" ht="33" customHeight="1">
      <c r="A2289" s="6" t="s">
        <v>2662</v>
      </c>
      <c r="B2289" s="7">
        <v>399</v>
      </c>
      <c r="C2289" s="6" t="s">
        <v>2663</v>
      </c>
      <c r="D2289" s="6" t="s">
        <v>1937</v>
      </c>
      <c r="E2289" s="6" t="s">
        <v>1666</v>
      </c>
      <c r="F2289" s="6" t="s">
        <v>1667</v>
      </c>
      <c r="G2289" s="6" t="s">
        <v>1668</v>
      </c>
      <c r="H2289" s="6"/>
      <c r="I2289" s="14" t="s">
        <v>1669</v>
      </c>
      <c r="J2289" s="15"/>
      <c r="K2289" s="6" t="s">
        <v>1670</v>
      </c>
      <c r="L2289" s="6"/>
      <c r="M2289" s="6" t="s">
        <v>1671</v>
      </c>
      <c r="N2289" s="6" t="s">
        <v>1644</v>
      </c>
      <c r="O2289" s="7">
        <f>SUMIFS('05_상품별배치367'!$K$7:$K$373,'05_상품별배치367'!$E$7:$E$373,A2289,'05_상품별배치367'!$H$7:$H$373,"본진")</f>
        <v>0</v>
      </c>
      <c r="P2289" s="7">
        <f>SUMIFS('05_상품별배치367'!$K$7:$K$373,'05_상품별배치367'!$E$7:$E$373,A2289,'05_상품별배치367'!$H$7:$H$373,"추가 진열")</f>
        <v>0</v>
      </c>
      <c r="Q2289" s="7">
        <f>O2289+P2289</f>
        <v>0</v>
      </c>
      <c r="R2289" s="7">
        <v>0</v>
      </c>
      <c r="S2289" s="6" t="s">
        <v>1672</v>
      </c>
      <c r="T2289" s="6" t="s">
        <v>1637</v>
      </c>
      <c r="U2289" s="6"/>
      <c r="V2289" s="16"/>
      <c r="W2289" s="16"/>
      <c r="X2289" s="16"/>
      <c r="Y2289" s="6" t="s">
        <v>1627</v>
      </c>
      <c r="Z2289" s="15"/>
      <c r="AA2289" s="15" t="s">
        <v>1628</v>
      </c>
    </row>
    <row r="2290" spans="1:27" ht="33" customHeight="1">
      <c r="A2290" s="8" t="s">
        <v>2664</v>
      </c>
      <c r="B2290" s="9">
        <v>400</v>
      </c>
      <c r="C2290" s="8" t="s">
        <v>2665</v>
      </c>
      <c r="D2290" s="8" t="s">
        <v>1937</v>
      </c>
      <c r="E2290" s="8" t="s">
        <v>1666</v>
      </c>
      <c r="F2290" s="8" t="s">
        <v>1667</v>
      </c>
      <c r="G2290" s="8" t="s">
        <v>1668</v>
      </c>
      <c r="H2290" s="8"/>
      <c r="I2290" s="14" t="s">
        <v>1669</v>
      </c>
      <c r="J2290" s="15"/>
      <c r="K2290" s="8" t="s">
        <v>1670</v>
      </c>
      <c r="L2290" s="8"/>
      <c r="M2290" s="6" t="s">
        <v>1671</v>
      </c>
      <c r="N2290" s="6" t="s">
        <v>1644</v>
      </c>
      <c r="O2290" s="7">
        <f>SUMIFS('05_상품별배치367'!$K$7:$K$373,'05_상품별배치367'!$E$7:$E$373,A2290,'05_상품별배치367'!$H$7:$H$373,"본진")</f>
        <v>0</v>
      </c>
      <c r="P2290" s="7">
        <f>SUMIFS('05_상품별배치367'!$K$7:$K$373,'05_상품별배치367'!$E$7:$E$373,A2290,'05_상품별배치367'!$H$7:$H$373,"추가 진열")</f>
        <v>0</v>
      </c>
      <c r="Q2290" s="7">
        <f>O2290+P2290</f>
        <v>0</v>
      </c>
      <c r="R2290" s="7">
        <v>0</v>
      </c>
      <c r="S2290" s="6" t="s">
        <v>1672</v>
      </c>
      <c r="T2290" s="6" t="s">
        <v>1637</v>
      </c>
      <c r="U2290" s="6"/>
      <c r="V2290" s="16"/>
      <c r="W2290" s="16"/>
      <c r="X2290" s="16"/>
      <c r="Y2290" s="6" t="s">
        <v>1627</v>
      </c>
      <c r="Z2290" s="15"/>
      <c r="AA2290" s="15" t="s">
        <v>1628</v>
      </c>
    </row>
    <row r="2291" spans="1:27" ht="33" customHeight="1">
      <c r="A2291" s="6" t="s">
        <v>2742</v>
      </c>
      <c r="B2291" s="7">
        <v>435</v>
      </c>
      <c r="C2291" s="6" t="s">
        <v>2743</v>
      </c>
      <c r="D2291" s="6" t="s">
        <v>2259</v>
      </c>
      <c r="E2291" s="6" t="s">
        <v>1666</v>
      </c>
      <c r="F2291" s="6" t="s">
        <v>1667</v>
      </c>
      <c r="G2291" s="6" t="s">
        <v>1668</v>
      </c>
      <c r="H2291" s="6"/>
      <c r="I2291" s="14" t="s">
        <v>1669</v>
      </c>
      <c r="J2291" s="15"/>
      <c r="K2291" s="6" t="s">
        <v>1670</v>
      </c>
      <c r="L2291" s="6"/>
      <c r="M2291" s="6" t="s">
        <v>1671</v>
      </c>
      <c r="N2291" s="6" t="s">
        <v>1644</v>
      </c>
      <c r="O2291" s="7">
        <f>SUMIFS('05_상품별배치367'!$K$7:$K$373,'05_상품별배치367'!$E$7:$E$373,A2291,'05_상품별배치367'!$H$7:$H$373,"본진")</f>
        <v>0</v>
      </c>
      <c r="P2291" s="7">
        <f>SUMIFS('05_상품별배치367'!$K$7:$K$373,'05_상품별배치367'!$E$7:$E$373,A2291,'05_상품별배치367'!$H$7:$H$373,"추가 진열")</f>
        <v>0</v>
      </c>
      <c r="Q2291" s="7">
        <f>O2291+P2291</f>
        <v>0</v>
      </c>
      <c r="R2291" s="7">
        <v>0</v>
      </c>
      <c r="S2291" s="6" t="s">
        <v>1672</v>
      </c>
      <c r="T2291" s="6" t="s">
        <v>1637</v>
      </c>
      <c r="U2291" s="6"/>
      <c r="V2291" s="16"/>
      <c r="W2291" s="16"/>
      <c r="X2291" s="16"/>
      <c r="Y2291" s="6" t="s">
        <v>1627</v>
      </c>
      <c r="Z2291" s="15"/>
      <c r="AA2291" s="15" t="s">
        <v>1628</v>
      </c>
    </row>
    <row r="2292" spans="1:27" ht="33" customHeight="1">
      <c r="A2292" s="8" t="s">
        <v>2735</v>
      </c>
      <c r="B2292" s="9">
        <v>432</v>
      </c>
      <c r="C2292" s="8" t="s">
        <v>2736</v>
      </c>
      <c r="D2292" s="8" t="s">
        <v>2732</v>
      </c>
      <c r="E2292" s="8" t="s">
        <v>1666</v>
      </c>
      <c r="F2292" s="8" t="s">
        <v>1852</v>
      </c>
      <c r="G2292" s="8" t="s">
        <v>1853</v>
      </c>
      <c r="H2292" s="8"/>
      <c r="I2292" s="14" t="s">
        <v>1669</v>
      </c>
      <c r="J2292" s="15"/>
      <c r="K2292" s="8" t="s">
        <v>1670</v>
      </c>
      <c r="L2292" s="8"/>
      <c r="M2292" s="6" t="s">
        <v>1671</v>
      </c>
      <c r="N2292" s="6" t="s">
        <v>1644</v>
      </c>
      <c r="O2292" s="7">
        <f>SUMIFS('05_상품별배치367'!$K$7:$K$373,'05_상품별배치367'!$E$7:$E$373,A2292,'05_상품별배치367'!$H$7:$H$373,"본진")</f>
        <v>0</v>
      </c>
      <c r="P2292" s="7">
        <f>SUMIFS('05_상품별배치367'!$K$7:$K$373,'05_상품별배치367'!$E$7:$E$373,A2292,'05_상품별배치367'!$H$7:$H$373,"추가 진열")</f>
        <v>0</v>
      </c>
      <c r="Q2292" s="7">
        <f>O2292+P2292</f>
        <v>0</v>
      </c>
      <c r="R2292" s="7">
        <v>0</v>
      </c>
      <c r="S2292" s="6" t="s">
        <v>1672</v>
      </c>
      <c r="T2292" s="6" t="s">
        <v>1637</v>
      </c>
      <c r="U2292" s="6"/>
      <c r="V2292" s="16"/>
      <c r="W2292" s="16"/>
      <c r="X2292" s="16"/>
      <c r="Y2292" s="6" t="s">
        <v>1627</v>
      </c>
      <c r="Z2292" s="15"/>
      <c r="AA2292" s="15" t="s">
        <v>1628</v>
      </c>
    </row>
    <row r="2293" spans="1:27" ht="33" customHeight="1">
      <c r="A2293" s="6" t="s">
        <v>2733</v>
      </c>
      <c r="B2293" s="7">
        <v>431</v>
      </c>
      <c r="C2293" s="6" t="s">
        <v>2734</v>
      </c>
      <c r="D2293" s="6" t="s">
        <v>2732</v>
      </c>
      <c r="E2293" s="6" t="s">
        <v>1666</v>
      </c>
      <c r="F2293" s="6" t="s">
        <v>1852</v>
      </c>
      <c r="G2293" s="6" t="s">
        <v>1853</v>
      </c>
      <c r="H2293" s="6"/>
      <c r="I2293" s="14" t="s">
        <v>1669</v>
      </c>
      <c r="J2293" s="15"/>
      <c r="K2293" s="6" t="s">
        <v>1670</v>
      </c>
      <c r="L2293" s="6"/>
      <c r="M2293" s="6" t="s">
        <v>1671</v>
      </c>
      <c r="N2293" s="6" t="s">
        <v>1644</v>
      </c>
      <c r="O2293" s="7">
        <f>SUMIFS('05_상품별배치367'!$K$7:$K$373,'05_상품별배치367'!$E$7:$E$373,A2293,'05_상품별배치367'!$H$7:$H$373,"본진")</f>
        <v>0</v>
      </c>
      <c r="P2293" s="7">
        <f>SUMIFS('05_상품별배치367'!$K$7:$K$373,'05_상품별배치367'!$E$7:$E$373,A2293,'05_상품별배치367'!$H$7:$H$373,"추가 진열")</f>
        <v>0</v>
      </c>
      <c r="Q2293" s="7">
        <f>O2293+P2293</f>
        <v>0</v>
      </c>
      <c r="R2293" s="7">
        <v>0</v>
      </c>
      <c r="S2293" s="6" t="s">
        <v>1672</v>
      </c>
      <c r="T2293" s="6" t="s">
        <v>1637</v>
      </c>
      <c r="U2293" s="6"/>
      <c r="V2293" s="16"/>
      <c r="W2293" s="16"/>
      <c r="X2293" s="16"/>
      <c r="Y2293" s="6" t="s">
        <v>1627</v>
      </c>
      <c r="Z2293" s="15"/>
      <c r="AA2293" s="15" t="s">
        <v>1628</v>
      </c>
    </row>
    <row r="2294" spans="1:27" ht="33" customHeight="1">
      <c r="A2294" s="8" t="s">
        <v>2739</v>
      </c>
      <c r="B2294" s="9">
        <v>434</v>
      </c>
      <c r="C2294" s="8" t="s">
        <v>2740</v>
      </c>
      <c r="D2294" s="8" t="s">
        <v>2741</v>
      </c>
      <c r="E2294" s="8" t="s">
        <v>1666</v>
      </c>
      <c r="F2294" s="8" t="s">
        <v>1852</v>
      </c>
      <c r="G2294" s="8" t="s">
        <v>1853</v>
      </c>
      <c r="H2294" s="8"/>
      <c r="I2294" s="14" t="s">
        <v>1669</v>
      </c>
      <c r="J2294" s="15"/>
      <c r="K2294" s="8" t="s">
        <v>1670</v>
      </c>
      <c r="L2294" s="8"/>
      <c r="M2294" s="6" t="s">
        <v>1671</v>
      </c>
      <c r="N2294" s="6" t="s">
        <v>1644</v>
      </c>
      <c r="O2294" s="7">
        <f>SUMIFS('05_상품별배치367'!$K$7:$K$373,'05_상품별배치367'!$E$7:$E$373,A2294,'05_상품별배치367'!$H$7:$H$373,"본진")</f>
        <v>0</v>
      </c>
      <c r="P2294" s="7">
        <f>SUMIFS('05_상품별배치367'!$K$7:$K$373,'05_상품별배치367'!$E$7:$E$373,A2294,'05_상품별배치367'!$H$7:$H$373,"추가 진열")</f>
        <v>0</v>
      </c>
      <c r="Q2294" s="7">
        <f>O2294+P2294</f>
        <v>0</v>
      </c>
      <c r="R2294" s="7">
        <v>0</v>
      </c>
      <c r="S2294" s="6" t="s">
        <v>1672</v>
      </c>
      <c r="T2294" s="6" t="s">
        <v>1637</v>
      </c>
      <c r="U2294" s="6"/>
      <c r="V2294" s="16"/>
      <c r="W2294" s="16"/>
      <c r="X2294" s="16"/>
      <c r="Y2294" s="6" t="s">
        <v>1627</v>
      </c>
      <c r="Z2294" s="15"/>
      <c r="AA2294" s="15" t="s">
        <v>1628</v>
      </c>
    </row>
    <row r="2295" spans="1:27" ht="33" customHeight="1">
      <c r="A2295" s="8" t="s">
        <v>2730</v>
      </c>
      <c r="B2295" s="9">
        <v>430</v>
      </c>
      <c r="C2295" s="8" t="s">
        <v>2731</v>
      </c>
      <c r="D2295" s="8" t="s">
        <v>2732</v>
      </c>
      <c r="E2295" s="8" t="s">
        <v>1666</v>
      </c>
      <c r="F2295" s="8" t="s">
        <v>1852</v>
      </c>
      <c r="G2295" s="8" t="s">
        <v>1853</v>
      </c>
      <c r="H2295" s="8"/>
      <c r="I2295" s="14" t="s">
        <v>1669</v>
      </c>
      <c r="J2295" s="15"/>
      <c r="K2295" s="8" t="s">
        <v>1670</v>
      </c>
      <c r="L2295" s="8"/>
      <c r="M2295" s="6" t="s">
        <v>1671</v>
      </c>
      <c r="N2295" s="6" t="s">
        <v>1644</v>
      </c>
      <c r="O2295" s="7">
        <f>SUMIFS('05_상품별배치367'!$K$7:$K$373,'05_상품별배치367'!$E$7:$E$373,A2295,'05_상품별배치367'!$H$7:$H$373,"본진")</f>
        <v>0</v>
      </c>
      <c r="P2295" s="7">
        <f>SUMIFS('05_상품별배치367'!$K$7:$K$373,'05_상품별배치367'!$E$7:$E$373,A2295,'05_상품별배치367'!$H$7:$H$373,"추가 진열")</f>
        <v>0</v>
      </c>
      <c r="Q2295" s="7">
        <f>O2295+P2295</f>
        <v>0</v>
      </c>
      <c r="R2295" s="7">
        <v>0</v>
      </c>
      <c r="S2295" s="6" t="s">
        <v>1672</v>
      </c>
      <c r="T2295" s="6" t="s">
        <v>1637</v>
      </c>
      <c r="U2295" s="6"/>
      <c r="V2295" s="16"/>
      <c r="W2295" s="16"/>
      <c r="X2295" s="16"/>
      <c r="Y2295" s="6" t="s">
        <v>1627</v>
      </c>
      <c r="Z2295" s="15"/>
      <c r="AA2295" s="15" t="s">
        <v>1628</v>
      </c>
    </row>
    <row r="2296" spans="1:27" ht="33" customHeight="1">
      <c r="A2296" s="6" t="s">
        <v>2737</v>
      </c>
      <c r="B2296" s="7">
        <v>433</v>
      </c>
      <c r="C2296" s="6" t="s">
        <v>2738</v>
      </c>
      <c r="D2296" s="6" t="s">
        <v>2701</v>
      </c>
      <c r="E2296" s="6" t="s">
        <v>1666</v>
      </c>
      <c r="F2296" s="6" t="s">
        <v>1852</v>
      </c>
      <c r="G2296" s="6" t="s">
        <v>1853</v>
      </c>
      <c r="H2296" s="6"/>
      <c r="I2296" s="14" t="s">
        <v>1669</v>
      </c>
      <c r="J2296" s="15"/>
      <c r="K2296" s="6" t="s">
        <v>1670</v>
      </c>
      <c r="L2296" s="6"/>
      <c r="M2296" s="6" t="s">
        <v>1671</v>
      </c>
      <c r="N2296" s="6" t="s">
        <v>1644</v>
      </c>
      <c r="O2296" s="7">
        <f>SUMIFS('05_상품별배치367'!$K$7:$K$373,'05_상품별배치367'!$E$7:$E$373,A2296,'05_상품별배치367'!$H$7:$H$373,"본진")</f>
        <v>0</v>
      </c>
      <c r="P2296" s="7">
        <f>SUMIFS('05_상품별배치367'!$K$7:$K$373,'05_상품별배치367'!$E$7:$E$373,A2296,'05_상품별배치367'!$H$7:$H$373,"추가 진열")</f>
        <v>0</v>
      </c>
      <c r="Q2296" s="7">
        <f>O2296+P2296</f>
        <v>0</v>
      </c>
      <c r="R2296" s="7">
        <v>0</v>
      </c>
      <c r="S2296" s="6" t="s">
        <v>1672</v>
      </c>
      <c r="T2296" s="6" t="s">
        <v>1637</v>
      </c>
      <c r="U2296" s="6"/>
      <c r="V2296" s="16"/>
      <c r="W2296" s="16"/>
      <c r="X2296" s="16"/>
      <c r="Y2296" s="6" t="s">
        <v>1627</v>
      </c>
      <c r="Z2296" s="15"/>
      <c r="AA2296" s="15" t="s">
        <v>1628</v>
      </c>
    </row>
    <row r="2297" spans="1:27" ht="33" customHeight="1">
      <c r="A2297" s="6" t="s">
        <v>1764</v>
      </c>
      <c r="B2297" s="7">
        <v>49</v>
      </c>
      <c r="C2297" s="6" t="s">
        <v>1765</v>
      </c>
      <c r="D2297" s="6" t="s">
        <v>1640</v>
      </c>
      <c r="E2297" s="6" t="s">
        <v>1641</v>
      </c>
      <c r="F2297" s="6" t="s">
        <v>670</v>
      </c>
      <c r="G2297" s="6" t="s">
        <v>91</v>
      </c>
      <c r="H2297" s="6"/>
      <c r="I2297" s="14" t="s">
        <v>1642</v>
      </c>
      <c r="J2297" s="15"/>
      <c r="K2297" s="6" t="s">
        <v>1634</v>
      </c>
      <c r="L2297" s="6"/>
      <c r="M2297" s="6" t="s">
        <v>1643</v>
      </c>
      <c r="N2297" s="6" t="s">
        <v>1644</v>
      </c>
      <c r="O2297" s="7">
        <f>SUMIFS('05_상품별배치367'!$K$7:$K$373,'05_상품별배치367'!$E$7:$E$373,A2297,'05_상품별배치367'!$H$7:$H$373,"본진")</f>
        <v>0</v>
      </c>
      <c r="P2297" s="7">
        <f>SUMIFS('05_상품별배치367'!$K$7:$K$373,'05_상품별배치367'!$E$7:$E$373,A2297,'05_상품별배치367'!$H$7:$H$373,"추가 진열")</f>
        <v>0</v>
      </c>
      <c r="Q2297" s="7">
        <f>O2297+P2297</f>
        <v>0</v>
      </c>
      <c r="R2297" s="7">
        <v>1</v>
      </c>
      <c r="S2297" s="6" t="s">
        <v>1645</v>
      </c>
      <c r="T2297" s="6" t="s">
        <v>1637</v>
      </c>
      <c r="U2297" s="6"/>
      <c r="V2297" s="16"/>
      <c r="W2297" s="16"/>
      <c r="X2297" s="16"/>
      <c r="Y2297" s="6" t="s">
        <v>1627</v>
      </c>
      <c r="Z2297" s="15"/>
      <c r="AA2297" s="15" t="s">
        <v>1628</v>
      </c>
    </row>
    <row r="2298" spans="1:27" ht="33" customHeight="1">
      <c r="A2298" s="8" t="s">
        <v>3708</v>
      </c>
      <c r="B2298" s="9">
        <v>872</v>
      </c>
      <c r="C2298" s="8" t="s">
        <v>3709</v>
      </c>
      <c r="D2298" s="8" t="s">
        <v>1851</v>
      </c>
      <c r="E2298" s="8" t="s">
        <v>2134</v>
      </c>
      <c r="F2298" s="8" t="s">
        <v>2933</v>
      </c>
      <c r="G2298" s="8" t="s">
        <v>1668</v>
      </c>
      <c r="H2298" s="8"/>
      <c r="I2298" s="14" t="s">
        <v>1807</v>
      </c>
      <c r="J2298" s="15"/>
      <c r="K2298" s="8" t="s">
        <v>1976</v>
      </c>
      <c r="L2298" s="8" t="s">
        <v>2032</v>
      </c>
      <c r="M2298" s="6" t="s">
        <v>1809</v>
      </c>
      <c r="N2298" s="6" t="s">
        <v>1644</v>
      </c>
      <c r="O2298" s="7">
        <f>SUMIFS('05_상품별배치367'!$K$7:$K$373,'05_상품별배치367'!$E$7:$E$373,A2298,'05_상품별배치367'!$H$7:$H$373,"본진")</f>
        <v>0</v>
      </c>
      <c r="P2298" s="7">
        <f>SUMIFS('05_상품별배치367'!$K$7:$K$373,'05_상품별배치367'!$E$7:$E$373,A2298,'05_상품별배치367'!$H$7:$H$373,"추가 진열")</f>
        <v>0</v>
      </c>
      <c r="Q2298" s="7">
        <f>O2298+P2298</f>
        <v>0</v>
      </c>
      <c r="R2298" s="7">
        <v>0</v>
      </c>
      <c r="S2298" s="6" t="s">
        <v>1810</v>
      </c>
      <c r="T2298" s="6" t="s">
        <v>1637</v>
      </c>
      <c r="U2298" s="6"/>
      <c r="V2298" s="16"/>
      <c r="W2298" s="16"/>
      <c r="X2298" s="16"/>
      <c r="Y2298" s="6" t="s">
        <v>1627</v>
      </c>
      <c r="Z2298" s="15"/>
      <c r="AA2298" s="15" t="s">
        <v>1628</v>
      </c>
    </row>
    <row r="2299" spans="1:27" ht="33" customHeight="1">
      <c r="A2299" s="6" t="s">
        <v>3706</v>
      </c>
      <c r="B2299" s="7">
        <v>871</v>
      </c>
      <c r="C2299" s="6" t="s">
        <v>3707</v>
      </c>
      <c r="D2299" s="6" t="s">
        <v>3705</v>
      </c>
      <c r="E2299" s="6" t="s">
        <v>2134</v>
      </c>
      <c r="F2299" s="6" t="s">
        <v>1263</v>
      </c>
      <c r="G2299" s="6" t="s">
        <v>376</v>
      </c>
      <c r="H2299" s="6"/>
      <c r="I2299" s="14" t="s">
        <v>1642</v>
      </c>
      <c r="J2299" s="15"/>
      <c r="K2299" s="6" t="s">
        <v>1976</v>
      </c>
      <c r="L2299" s="6"/>
      <c r="M2299" s="6" t="s">
        <v>1643</v>
      </c>
      <c r="N2299" s="6" t="s">
        <v>1644</v>
      </c>
      <c r="O2299" s="7">
        <f>SUMIFS('05_상품별배치367'!$K$7:$K$373,'05_상품별배치367'!$E$7:$E$373,A2299,'05_상품별배치367'!$H$7:$H$373,"본진")</f>
        <v>0</v>
      </c>
      <c r="P2299" s="7">
        <f>SUMIFS('05_상품별배치367'!$K$7:$K$373,'05_상품별배치367'!$E$7:$E$373,A2299,'05_상품별배치367'!$H$7:$H$373,"추가 진열")</f>
        <v>0</v>
      </c>
      <c r="Q2299" s="7">
        <f>O2299+P2299</f>
        <v>0</v>
      </c>
      <c r="R2299" s="7">
        <v>1</v>
      </c>
      <c r="S2299" s="6" t="s">
        <v>3016</v>
      </c>
      <c r="T2299" s="6" t="s">
        <v>1637</v>
      </c>
      <c r="U2299" s="6"/>
      <c r="V2299" s="16"/>
      <c r="W2299" s="16"/>
      <c r="X2299" s="16"/>
      <c r="Y2299" s="6" t="s">
        <v>1627</v>
      </c>
      <c r="Z2299" s="15"/>
      <c r="AA2299" s="15" t="s">
        <v>1628</v>
      </c>
    </row>
    <row r="2300" spans="1:27" ht="33" customHeight="1">
      <c r="A2300" s="8" t="s">
        <v>3703</v>
      </c>
      <c r="B2300" s="9">
        <v>870</v>
      </c>
      <c r="C2300" s="8" t="s">
        <v>3704</v>
      </c>
      <c r="D2300" s="8" t="s">
        <v>3705</v>
      </c>
      <c r="E2300" s="8" t="s">
        <v>1986</v>
      </c>
      <c r="F2300" s="8" t="s">
        <v>1276</v>
      </c>
      <c r="G2300" s="8" t="s">
        <v>1987</v>
      </c>
      <c r="H2300" s="8"/>
      <c r="I2300" s="14" t="s">
        <v>1642</v>
      </c>
      <c r="J2300" s="15"/>
      <c r="K2300" s="8" t="s">
        <v>1976</v>
      </c>
      <c r="L2300" s="8"/>
      <c r="M2300" s="6" t="s">
        <v>1643</v>
      </c>
      <c r="N2300" s="6" t="s">
        <v>1644</v>
      </c>
      <c r="O2300" s="7">
        <f>SUMIFS('05_상품별배치367'!$K$7:$K$373,'05_상품별배치367'!$E$7:$E$373,A2300,'05_상품별배치367'!$H$7:$H$373,"본진")</f>
        <v>0</v>
      </c>
      <c r="P2300" s="7">
        <f>SUMIFS('05_상품별배치367'!$K$7:$K$373,'05_상품별배치367'!$E$7:$E$373,A2300,'05_상품별배치367'!$H$7:$H$373,"추가 진열")</f>
        <v>0</v>
      </c>
      <c r="Q2300" s="7">
        <f>O2300+P2300</f>
        <v>0</v>
      </c>
      <c r="R2300" s="7">
        <v>1</v>
      </c>
      <c r="S2300" s="6" t="s">
        <v>1988</v>
      </c>
      <c r="T2300" s="6" t="s">
        <v>1637</v>
      </c>
      <c r="U2300" s="6"/>
      <c r="V2300" s="16"/>
      <c r="W2300" s="16"/>
      <c r="X2300" s="16"/>
      <c r="Y2300" s="6" t="s">
        <v>1627</v>
      </c>
      <c r="Z2300" s="15"/>
      <c r="AA2300" s="15" t="s">
        <v>1628</v>
      </c>
    </row>
    <row r="2301" spans="1:27" ht="33" customHeight="1">
      <c r="A2301" s="8" t="s">
        <v>3699</v>
      </c>
      <c r="B2301" s="9">
        <v>868</v>
      </c>
      <c r="C2301" s="8" t="s">
        <v>3700</v>
      </c>
      <c r="D2301" s="8" t="s">
        <v>1876</v>
      </c>
      <c r="E2301" s="8" t="s">
        <v>2134</v>
      </c>
      <c r="F2301" s="8" t="s">
        <v>2933</v>
      </c>
      <c r="G2301" s="8" t="s">
        <v>1668</v>
      </c>
      <c r="H2301" s="8"/>
      <c r="I2301" s="14" t="s">
        <v>1807</v>
      </c>
      <c r="J2301" s="15"/>
      <c r="K2301" s="8" t="s">
        <v>1976</v>
      </c>
      <c r="L2301" s="8" t="s">
        <v>2032</v>
      </c>
      <c r="M2301" s="6" t="s">
        <v>1809</v>
      </c>
      <c r="N2301" s="6" t="s">
        <v>1644</v>
      </c>
      <c r="O2301" s="7">
        <f>SUMIFS('05_상품별배치367'!$K$7:$K$373,'05_상품별배치367'!$E$7:$E$373,A2301,'05_상품별배치367'!$H$7:$H$373,"본진")</f>
        <v>0</v>
      </c>
      <c r="P2301" s="7">
        <f>SUMIFS('05_상품별배치367'!$K$7:$K$373,'05_상품별배치367'!$E$7:$E$373,A2301,'05_상품별배치367'!$H$7:$H$373,"추가 진열")</f>
        <v>0</v>
      </c>
      <c r="Q2301" s="7">
        <f>O2301+P2301</f>
        <v>0</v>
      </c>
      <c r="R2301" s="7">
        <v>0</v>
      </c>
      <c r="S2301" s="6" t="s">
        <v>1810</v>
      </c>
      <c r="T2301" s="6" t="s">
        <v>1637</v>
      </c>
      <c r="U2301" s="6"/>
      <c r="V2301" s="16"/>
      <c r="W2301" s="16"/>
      <c r="X2301" s="16"/>
      <c r="Y2301" s="6" t="s">
        <v>1627</v>
      </c>
      <c r="Z2301" s="15"/>
      <c r="AA2301" s="15" t="s">
        <v>1628</v>
      </c>
    </row>
    <row r="2302" spans="1:27" ht="33" customHeight="1">
      <c r="A2302" s="6" t="s">
        <v>3697</v>
      </c>
      <c r="B2302" s="7">
        <v>867</v>
      </c>
      <c r="C2302" s="6" t="s">
        <v>3698</v>
      </c>
      <c r="D2302" s="6" t="s">
        <v>2856</v>
      </c>
      <c r="E2302" s="6" t="s">
        <v>2134</v>
      </c>
      <c r="F2302" s="6" t="s">
        <v>2933</v>
      </c>
      <c r="G2302" s="6" t="s">
        <v>1668</v>
      </c>
      <c r="H2302" s="6"/>
      <c r="I2302" s="14" t="s">
        <v>1807</v>
      </c>
      <c r="J2302" s="15"/>
      <c r="K2302" s="6" t="s">
        <v>1976</v>
      </c>
      <c r="L2302" s="6" t="s">
        <v>2032</v>
      </c>
      <c r="M2302" s="6" t="s">
        <v>1809</v>
      </c>
      <c r="N2302" s="6" t="s">
        <v>1644</v>
      </c>
      <c r="O2302" s="7">
        <f>SUMIFS('05_상품별배치367'!$K$7:$K$373,'05_상품별배치367'!$E$7:$E$373,A2302,'05_상품별배치367'!$H$7:$H$373,"본진")</f>
        <v>0</v>
      </c>
      <c r="P2302" s="7">
        <f>SUMIFS('05_상품별배치367'!$K$7:$K$373,'05_상품별배치367'!$E$7:$E$373,A2302,'05_상품별배치367'!$H$7:$H$373,"추가 진열")</f>
        <v>0</v>
      </c>
      <c r="Q2302" s="7">
        <f>O2302+P2302</f>
        <v>0</v>
      </c>
      <c r="R2302" s="7">
        <v>0</v>
      </c>
      <c r="S2302" s="6" t="s">
        <v>1810</v>
      </c>
      <c r="T2302" s="6" t="s">
        <v>1637</v>
      </c>
      <c r="U2302" s="6"/>
      <c r="V2302" s="16"/>
      <c r="W2302" s="16"/>
      <c r="X2302" s="16"/>
      <c r="Y2302" s="6" t="s">
        <v>1627</v>
      </c>
      <c r="Z2302" s="15"/>
      <c r="AA2302" s="15" t="s">
        <v>1628</v>
      </c>
    </row>
    <row r="2303" spans="1:27" ht="33" customHeight="1">
      <c r="A2303" s="6" t="s">
        <v>3701</v>
      </c>
      <c r="B2303" s="7">
        <v>869</v>
      </c>
      <c r="C2303" s="6" t="s">
        <v>3702</v>
      </c>
      <c r="D2303" s="6" t="s">
        <v>2138</v>
      </c>
      <c r="E2303" s="6" t="s">
        <v>2134</v>
      </c>
      <c r="F2303" s="6" t="s">
        <v>2933</v>
      </c>
      <c r="G2303" s="6" t="s">
        <v>1668</v>
      </c>
      <c r="H2303" s="6"/>
      <c r="I2303" s="14" t="s">
        <v>1807</v>
      </c>
      <c r="J2303" s="15"/>
      <c r="K2303" s="6" t="s">
        <v>1976</v>
      </c>
      <c r="L2303" s="6" t="s">
        <v>2032</v>
      </c>
      <c r="M2303" s="6" t="s">
        <v>1809</v>
      </c>
      <c r="N2303" s="6" t="s">
        <v>1644</v>
      </c>
      <c r="O2303" s="7">
        <f>SUMIFS('05_상품별배치367'!$K$7:$K$373,'05_상품별배치367'!$E$7:$E$373,A2303,'05_상품별배치367'!$H$7:$H$373,"본진")</f>
        <v>0</v>
      </c>
      <c r="P2303" s="7">
        <f>SUMIFS('05_상품별배치367'!$K$7:$K$373,'05_상품별배치367'!$E$7:$E$373,A2303,'05_상품별배치367'!$H$7:$H$373,"추가 진열")</f>
        <v>0</v>
      </c>
      <c r="Q2303" s="7">
        <f>O2303+P2303</f>
        <v>0</v>
      </c>
      <c r="R2303" s="7">
        <v>0</v>
      </c>
      <c r="S2303" s="6" t="s">
        <v>1810</v>
      </c>
      <c r="T2303" s="6" t="s">
        <v>1637</v>
      </c>
      <c r="U2303" s="6"/>
      <c r="V2303" s="16"/>
      <c r="W2303" s="16"/>
      <c r="X2303" s="16"/>
      <c r="Y2303" s="6" t="s">
        <v>1627</v>
      </c>
      <c r="Z2303" s="15"/>
      <c r="AA2303" s="15" t="s">
        <v>1628</v>
      </c>
    </row>
    <row r="2304" spans="1:27" ht="33" customHeight="1">
      <c r="A2304" s="6" t="s">
        <v>3710</v>
      </c>
      <c r="B2304" s="7">
        <v>873</v>
      </c>
      <c r="C2304" s="6" t="s">
        <v>3711</v>
      </c>
      <c r="D2304" s="6" t="s">
        <v>1686</v>
      </c>
      <c r="E2304" s="6" t="s">
        <v>1814</v>
      </c>
      <c r="F2304" s="6" t="s">
        <v>514</v>
      </c>
      <c r="G2304" s="6" t="s">
        <v>423</v>
      </c>
      <c r="H2304" s="6"/>
      <c r="I2304" s="14" t="s">
        <v>1642</v>
      </c>
      <c r="J2304" s="15"/>
      <c r="K2304" s="6" t="s">
        <v>1976</v>
      </c>
      <c r="L2304" s="6"/>
      <c r="M2304" s="6" t="s">
        <v>1643</v>
      </c>
      <c r="N2304" s="6" t="s">
        <v>1644</v>
      </c>
      <c r="O2304" s="7">
        <f>SUMIFS('05_상품별배치367'!$K$7:$K$373,'05_상품별배치367'!$E$7:$E$373,A2304,'05_상품별배치367'!$H$7:$H$373,"본진")</f>
        <v>0</v>
      </c>
      <c r="P2304" s="7">
        <f>SUMIFS('05_상품별배치367'!$K$7:$K$373,'05_상품별배치367'!$E$7:$E$373,A2304,'05_상품별배치367'!$H$7:$H$373,"추가 진열")</f>
        <v>0</v>
      </c>
      <c r="Q2304" s="7">
        <f>O2304+P2304</f>
        <v>0</v>
      </c>
      <c r="R2304" s="7">
        <v>1</v>
      </c>
      <c r="S2304" s="6" t="s">
        <v>1991</v>
      </c>
      <c r="T2304" s="6" t="s">
        <v>1637</v>
      </c>
      <c r="U2304" s="6"/>
      <c r="V2304" s="16"/>
      <c r="W2304" s="16"/>
      <c r="X2304" s="16"/>
      <c r="Y2304" s="6" t="s">
        <v>1627</v>
      </c>
      <c r="Z2304" s="15"/>
      <c r="AA2304" s="15" t="s">
        <v>1628</v>
      </c>
    </row>
    <row r="2305" spans="1:27" ht="33" customHeight="1">
      <c r="A2305" s="8" t="s">
        <v>3196</v>
      </c>
      <c r="B2305" s="9">
        <v>636</v>
      </c>
      <c r="C2305" s="8" t="s">
        <v>3197</v>
      </c>
      <c r="D2305" s="8" t="s">
        <v>3198</v>
      </c>
      <c r="E2305" s="8" t="s">
        <v>2134</v>
      </c>
      <c r="F2305" s="8" t="s">
        <v>2933</v>
      </c>
      <c r="G2305" s="8" t="s">
        <v>1668</v>
      </c>
      <c r="H2305" s="8"/>
      <c r="I2305" s="14" t="s">
        <v>1807</v>
      </c>
      <c r="J2305" s="15"/>
      <c r="K2305" s="8" t="s">
        <v>1976</v>
      </c>
      <c r="L2305" s="8" t="s">
        <v>2032</v>
      </c>
      <c r="M2305" s="6" t="s">
        <v>1809</v>
      </c>
      <c r="N2305" s="6" t="s">
        <v>1644</v>
      </c>
      <c r="O2305" s="7">
        <f>SUMIFS('05_상품별배치367'!$K$7:$K$373,'05_상품별배치367'!$E$7:$E$373,A2305,'05_상품별배치367'!$H$7:$H$373,"본진")</f>
        <v>0</v>
      </c>
      <c r="P2305" s="7">
        <f>SUMIFS('05_상품별배치367'!$K$7:$K$373,'05_상품별배치367'!$E$7:$E$373,A2305,'05_상품별배치367'!$H$7:$H$373,"추가 진열")</f>
        <v>0</v>
      </c>
      <c r="Q2305" s="7">
        <f>O2305+P2305</f>
        <v>0</v>
      </c>
      <c r="R2305" s="7">
        <v>0</v>
      </c>
      <c r="S2305" s="6" t="s">
        <v>1810</v>
      </c>
      <c r="T2305" s="6" t="s">
        <v>1637</v>
      </c>
      <c r="U2305" s="6"/>
      <c r="V2305" s="16"/>
      <c r="W2305" s="16"/>
      <c r="X2305" s="16"/>
      <c r="Y2305" s="6" t="s">
        <v>1627</v>
      </c>
      <c r="Z2305" s="15"/>
      <c r="AA2305" s="15" t="s">
        <v>1628</v>
      </c>
    </row>
    <row r="2306" spans="1:27" ht="33" customHeight="1">
      <c r="A2306" s="8" t="s">
        <v>3201</v>
      </c>
      <c r="B2306" s="9">
        <v>638</v>
      </c>
      <c r="C2306" s="8" t="s">
        <v>3202</v>
      </c>
      <c r="D2306" s="8" t="s">
        <v>1851</v>
      </c>
      <c r="E2306" s="8" t="s">
        <v>2134</v>
      </c>
      <c r="F2306" s="8" t="s">
        <v>2933</v>
      </c>
      <c r="G2306" s="8" t="s">
        <v>1668</v>
      </c>
      <c r="H2306" s="8"/>
      <c r="I2306" s="14" t="s">
        <v>1807</v>
      </c>
      <c r="J2306" s="15"/>
      <c r="K2306" s="8" t="s">
        <v>1976</v>
      </c>
      <c r="L2306" s="8" t="s">
        <v>2032</v>
      </c>
      <c r="M2306" s="6" t="s">
        <v>1809</v>
      </c>
      <c r="N2306" s="6" t="s">
        <v>1644</v>
      </c>
      <c r="O2306" s="7">
        <f>SUMIFS('05_상품별배치367'!$K$7:$K$373,'05_상품별배치367'!$E$7:$E$373,A2306,'05_상품별배치367'!$H$7:$H$373,"본진")</f>
        <v>0</v>
      </c>
      <c r="P2306" s="7">
        <f>SUMIFS('05_상품별배치367'!$K$7:$K$373,'05_상품별배치367'!$E$7:$E$373,A2306,'05_상품별배치367'!$H$7:$H$373,"추가 진열")</f>
        <v>0</v>
      </c>
      <c r="Q2306" s="7">
        <f>O2306+P2306</f>
        <v>0</v>
      </c>
      <c r="R2306" s="7">
        <v>0</v>
      </c>
      <c r="S2306" s="6" t="s">
        <v>1810</v>
      </c>
      <c r="T2306" s="6" t="s">
        <v>1637</v>
      </c>
      <c r="U2306" s="6"/>
      <c r="V2306" s="16"/>
      <c r="W2306" s="16"/>
      <c r="X2306" s="16"/>
      <c r="Y2306" s="6" t="s">
        <v>1627</v>
      </c>
      <c r="Z2306" s="15"/>
      <c r="AA2306" s="15" t="s">
        <v>1628</v>
      </c>
    </row>
    <row r="2307" spans="1:27" ht="33" customHeight="1">
      <c r="A2307" s="6" t="s">
        <v>3199</v>
      </c>
      <c r="B2307" s="7">
        <v>637</v>
      </c>
      <c r="C2307" s="6" t="s">
        <v>3200</v>
      </c>
      <c r="D2307" s="6" t="s">
        <v>3008</v>
      </c>
      <c r="E2307" s="6" t="s">
        <v>2134</v>
      </c>
      <c r="F2307" s="6" t="s">
        <v>2933</v>
      </c>
      <c r="G2307" s="6" t="s">
        <v>1668</v>
      </c>
      <c r="H2307" s="6"/>
      <c r="I2307" s="14" t="s">
        <v>1807</v>
      </c>
      <c r="J2307" s="15"/>
      <c r="K2307" s="6" t="s">
        <v>1976</v>
      </c>
      <c r="L2307" s="6" t="s">
        <v>2032</v>
      </c>
      <c r="M2307" s="6" t="s">
        <v>1809</v>
      </c>
      <c r="N2307" s="6" t="s">
        <v>1644</v>
      </c>
      <c r="O2307" s="7">
        <f>SUMIFS('05_상품별배치367'!$K$7:$K$373,'05_상품별배치367'!$E$7:$E$373,A2307,'05_상품별배치367'!$H$7:$H$373,"본진")</f>
        <v>0</v>
      </c>
      <c r="P2307" s="7">
        <f>SUMIFS('05_상품별배치367'!$K$7:$K$373,'05_상품별배치367'!$E$7:$E$373,A2307,'05_상품별배치367'!$H$7:$H$373,"추가 진열")</f>
        <v>0</v>
      </c>
      <c r="Q2307" s="7">
        <f>O2307+P2307</f>
        <v>0</v>
      </c>
      <c r="R2307" s="7">
        <v>0</v>
      </c>
      <c r="S2307" s="6" t="s">
        <v>1810</v>
      </c>
      <c r="T2307" s="6" t="s">
        <v>1637</v>
      </c>
      <c r="U2307" s="6"/>
      <c r="V2307" s="16"/>
      <c r="W2307" s="16"/>
      <c r="X2307" s="16"/>
      <c r="Y2307" s="6" t="s">
        <v>1627</v>
      </c>
      <c r="Z2307" s="15"/>
      <c r="AA2307" s="15" t="s">
        <v>1628</v>
      </c>
    </row>
    <row r="2308" spans="1:27" ht="33" customHeight="1">
      <c r="A2308" s="6" t="s">
        <v>3194</v>
      </c>
      <c r="B2308" s="7">
        <v>635</v>
      </c>
      <c r="C2308" s="6" t="s">
        <v>3195</v>
      </c>
      <c r="D2308" s="6" t="s">
        <v>3055</v>
      </c>
      <c r="E2308" s="6" t="s">
        <v>2134</v>
      </c>
      <c r="F2308" s="6" t="s">
        <v>162</v>
      </c>
      <c r="G2308" s="6" t="s">
        <v>404</v>
      </c>
      <c r="H2308" s="6"/>
      <c r="I2308" s="14" t="s">
        <v>1642</v>
      </c>
      <c r="J2308" s="15"/>
      <c r="K2308" s="6" t="s">
        <v>1976</v>
      </c>
      <c r="L2308" s="6"/>
      <c r="M2308" s="6" t="s">
        <v>1643</v>
      </c>
      <c r="N2308" s="6" t="s">
        <v>1644</v>
      </c>
      <c r="O2308" s="7">
        <f>SUMIFS('05_상품별배치367'!$K$7:$K$373,'05_상품별배치367'!$E$7:$E$373,A2308,'05_상품별배치367'!$H$7:$H$373,"본진")</f>
        <v>0</v>
      </c>
      <c r="P2308" s="7">
        <f>SUMIFS('05_상품별배치367'!$K$7:$K$373,'05_상품별배치367'!$E$7:$E$373,A2308,'05_상품별배치367'!$H$7:$H$373,"추가 진열")</f>
        <v>0</v>
      </c>
      <c r="Q2308" s="7">
        <f>O2308+P2308</f>
        <v>0</v>
      </c>
      <c r="R2308" s="7">
        <v>1</v>
      </c>
      <c r="S2308" s="6" t="s">
        <v>2996</v>
      </c>
      <c r="T2308" s="6" t="s">
        <v>1637</v>
      </c>
      <c r="U2308" s="6"/>
      <c r="V2308" s="16"/>
      <c r="W2308" s="16"/>
      <c r="X2308" s="16"/>
      <c r="Y2308" s="6" t="s">
        <v>1627</v>
      </c>
      <c r="Z2308" s="15"/>
      <c r="AA2308" s="15" t="s">
        <v>1628</v>
      </c>
    </row>
    <row r="2309" spans="1:27" ht="33" customHeight="1">
      <c r="A2309" s="8" t="s">
        <v>3205</v>
      </c>
      <c r="B2309" s="9">
        <v>640</v>
      </c>
      <c r="C2309" s="8" t="s">
        <v>3206</v>
      </c>
      <c r="D2309" s="8" t="s">
        <v>3008</v>
      </c>
      <c r="E2309" s="8" t="s">
        <v>1986</v>
      </c>
      <c r="F2309" s="8" t="s">
        <v>493</v>
      </c>
      <c r="G2309" s="8" t="s">
        <v>299</v>
      </c>
      <c r="H2309" s="8"/>
      <c r="I2309" s="14" t="s">
        <v>1642</v>
      </c>
      <c r="J2309" s="15"/>
      <c r="K2309" s="8" t="s">
        <v>1976</v>
      </c>
      <c r="L2309" s="8"/>
      <c r="M2309" s="6" t="s">
        <v>1643</v>
      </c>
      <c r="N2309" s="6" t="s">
        <v>1644</v>
      </c>
      <c r="O2309" s="7">
        <f>SUMIFS('05_상품별배치367'!$K$7:$K$373,'05_상품별배치367'!$E$7:$E$373,A2309,'05_상품별배치367'!$H$7:$H$373,"본진")</f>
        <v>0</v>
      </c>
      <c r="P2309" s="7">
        <f>SUMIFS('05_상품별배치367'!$K$7:$K$373,'05_상품별배치367'!$E$7:$E$373,A2309,'05_상품별배치367'!$H$7:$H$373,"추가 진열")</f>
        <v>0</v>
      </c>
      <c r="Q2309" s="7">
        <f>O2309+P2309</f>
        <v>0</v>
      </c>
      <c r="R2309" s="7">
        <v>1</v>
      </c>
      <c r="S2309" s="6" t="s">
        <v>3084</v>
      </c>
      <c r="T2309" s="6" t="s">
        <v>1637</v>
      </c>
      <c r="U2309" s="6"/>
      <c r="V2309" s="16"/>
      <c r="W2309" s="16"/>
      <c r="X2309" s="16"/>
      <c r="Y2309" s="6" t="s">
        <v>1627</v>
      </c>
      <c r="Z2309" s="15"/>
      <c r="AA2309" s="15" t="s">
        <v>1628</v>
      </c>
    </row>
    <row r="2310" spans="1:27" ht="33" customHeight="1">
      <c r="A2310" s="6" t="s">
        <v>3207</v>
      </c>
      <c r="B2310" s="7">
        <v>641</v>
      </c>
      <c r="C2310" s="6" t="s">
        <v>3208</v>
      </c>
      <c r="D2310" s="6" t="s">
        <v>1876</v>
      </c>
      <c r="E2310" s="6" t="s">
        <v>1986</v>
      </c>
      <c r="F2310" s="6" t="s">
        <v>913</v>
      </c>
      <c r="G2310" s="6" t="s">
        <v>201</v>
      </c>
      <c r="H2310" s="6"/>
      <c r="I2310" s="14" t="s">
        <v>1642</v>
      </c>
      <c r="J2310" s="15"/>
      <c r="K2310" s="6" t="s">
        <v>1976</v>
      </c>
      <c r="L2310" s="6"/>
      <c r="M2310" s="6" t="s">
        <v>1643</v>
      </c>
      <c r="N2310" s="6" t="s">
        <v>1644</v>
      </c>
      <c r="O2310" s="7">
        <f>SUMIFS('05_상품별배치367'!$K$7:$K$373,'05_상품별배치367'!$E$7:$E$373,A2310,'05_상품별배치367'!$H$7:$H$373,"본진")</f>
        <v>0</v>
      </c>
      <c r="P2310" s="7">
        <f>SUMIFS('05_상품별배치367'!$K$7:$K$373,'05_상품별배치367'!$E$7:$E$373,A2310,'05_상품별배치367'!$H$7:$H$373,"추가 진열")</f>
        <v>0</v>
      </c>
      <c r="Q2310" s="7">
        <f>O2310+P2310</f>
        <v>0</v>
      </c>
      <c r="R2310" s="7">
        <v>1</v>
      </c>
      <c r="S2310" s="6" t="s">
        <v>2907</v>
      </c>
      <c r="T2310" s="6" t="s">
        <v>1637</v>
      </c>
      <c r="U2310" s="6"/>
      <c r="V2310" s="16"/>
      <c r="W2310" s="16"/>
      <c r="X2310" s="16"/>
      <c r="Y2310" s="6" t="s">
        <v>1627</v>
      </c>
      <c r="Z2310" s="15"/>
      <c r="AA2310" s="15" t="s">
        <v>1628</v>
      </c>
    </row>
    <row r="2311" spans="1:27" ht="33" customHeight="1">
      <c r="A2311" s="8" t="s">
        <v>3209</v>
      </c>
      <c r="B2311" s="9">
        <v>642</v>
      </c>
      <c r="C2311" s="8" t="s">
        <v>3210</v>
      </c>
      <c r="D2311" s="8" t="s">
        <v>2680</v>
      </c>
      <c r="E2311" s="8" t="s">
        <v>1986</v>
      </c>
      <c r="F2311" s="8" t="s">
        <v>1276</v>
      </c>
      <c r="G2311" s="8" t="s">
        <v>1987</v>
      </c>
      <c r="H2311" s="8"/>
      <c r="I2311" s="14" t="s">
        <v>1642</v>
      </c>
      <c r="J2311" s="15"/>
      <c r="K2311" s="8" t="s">
        <v>1976</v>
      </c>
      <c r="L2311" s="8"/>
      <c r="M2311" s="6" t="s">
        <v>1643</v>
      </c>
      <c r="N2311" s="6" t="s">
        <v>1644</v>
      </c>
      <c r="O2311" s="7">
        <f>SUMIFS('05_상품별배치367'!$K$7:$K$373,'05_상품별배치367'!$E$7:$E$373,A2311,'05_상품별배치367'!$H$7:$H$373,"본진")</f>
        <v>0</v>
      </c>
      <c r="P2311" s="7">
        <f>SUMIFS('05_상품별배치367'!$K$7:$K$373,'05_상품별배치367'!$E$7:$E$373,A2311,'05_상품별배치367'!$H$7:$H$373,"추가 진열")</f>
        <v>0</v>
      </c>
      <c r="Q2311" s="7">
        <f>O2311+P2311</f>
        <v>0</v>
      </c>
      <c r="R2311" s="7">
        <v>1</v>
      </c>
      <c r="S2311" s="6" t="s">
        <v>1988</v>
      </c>
      <c r="T2311" s="6" t="s">
        <v>1637</v>
      </c>
      <c r="U2311" s="6"/>
      <c r="V2311" s="16"/>
      <c r="W2311" s="16"/>
      <c r="X2311" s="16"/>
      <c r="Y2311" s="6" t="s">
        <v>1627</v>
      </c>
      <c r="Z2311" s="15"/>
      <c r="AA2311" s="15" t="s">
        <v>1628</v>
      </c>
    </row>
    <row r="2312" spans="1:27" ht="33" customHeight="1">
      <c r="A2312" s="6" t="s">
        <v>3203</v>
      </c>
      <c r="B2312" s="7">
        <v>639</v>
      </c>
      <c r="C2312" s="6" t="s">
        <v>3204</v>
      </c>
      <c r="D2312" s="6" t="s">
        <v>2133</v>
      </c>
      <c r="E2312" s="6" t="s">
        <v>2134</v>
      </c>
      <c r="F2312" s="6" t="s">
        <v>481</v>
      </c>
      <c r="G2312" s="6" t="s">
        <v>193</v>
      </c>
      <c r="H2312" s="6"/>
      <c r="I2312" s="14" t="s">
        <v>1642</v>
      </c>
      <c r="J2312" s="15"/>
      <c r="K2312" s="6" t="s">
        <v>1976</v>
      </c>
      <c r="L2312" s="6"/>
      <c r="M2312" s="6" t="s">
        <v>1643</v>
      </c>
      <c r="N2312" s="6" t="s">
        <v>1644</v>
      </c>
      <c r="O2312" s="7">
        <f>SUMIFS('05_상품별배치367'!$K$7:$K$373,'05_상품별배치367'!$E$7:$E$373,A2312,'05_상품별배치367'!$H$7:$H$373,"본진")</f>
        <v>0</v>
      </c>
      <c r="P2312" s="7">
        <f>SUMIFS('05_상품별배치367'!$K$7:$K$373,'05_상품별배치367'!$E$7:$E$373,A2312,'05_상품별배치367'!$H$7:$H$373,"추가 진열")</f>
        <v>0</v>
      </c>
      <c r="Q2312" s="7">
        <f>O2312+P2312</f>
        <v>0</v>
      </c>
      <c r="R2312" s="7">
        <v>1</v>
      </c>
      <c r="S2312" s="6" t="s">
        <v>3000</v>
      </c>
      <c r="T2312" s="6" t="s">
        <v>1637</v>
      </c>
      <c r="U2312" s="6"/>
      <c r="V2312" s="16"/>
      <c r="W2312" s="16"/>
      <c r="X2312" s="16"/>
      <c r="Y2312" s="6" t="s">
        <v>1627</v>
      </c>
      <c r="Z2312" s="15"/>
      <c r="AA2312" s="15" t="s">
        <v>1628</v>
      </c>
    </row>
    <row r="2313" spans="1:27" ht="33" customHeight="1">
      <c r="A2313" s="8" t="s">
        <v>2862</v>
      </c>
      <c r="B2313" s="9">
        <v>486</v>
      </c>
      <c r="C2313" s="8" t="s">
        <v>2863</v>
      </c>
      <c r="D2313" s="8" t="s">
        <v>2701</v>
      </c>
      <c r="E2313" s="8" t="s">
        <v>1695</v>
      </c>
      <c r="F2313" s="8" t="s">
        <v>482</v>
      </c>
      <c r="G2313" s="8" t="s">
        <v>272</v>
      </c>
      <c r="H2313" s="8"/>
      <c r="I2313" s="14" t="s">
        <v>1642</v>
      </c>
      <c r="J2313" s="15"/>
      <c r="K2313" s="8" t="s">
        <v>1696</v>
      </c>
      <c r="L2313" s="8"/>
      <c r="M2313" s="6" t="s">
        <v>1643</v>
      </c>
      <c r="N2313" s="6" t="s">
        <v>1644</v>
      </c>
      <c r="O2313" s="7">
        <f>SUMIFS('05_상품별배치367'!$K$7:$K$373,'05_상품별배치367'!$E$7:$E$373,A2313,'05_상품별배치367'!$H$7:$H$373,"본진")</f>
        <v>0</v>
      </c>
      <c r="P2313" s="7">
        <f>SUMIFS('05_상품별배치367'!$K$7:$K$373,'05_상품별배치367'!$E$7:$E$373,A2313,'05_상품별배치367'!$H$7:$H$373,"추가 진열")</f>
        <v>0</v>
      </c>
      <c r="Q2313" s="7">
        <f>O2313+P2313</f>
        <v>0</v>
      </c>
      <c r="R2313" s="7">
        <v>1</v>
      </c>
      <c r="S2313" s="6" t="s">
        <v>1942</v>
      </c>
      <c r="T2313" s="6" t="s">
        <v>1637</v>
      </c>
      <c r="U2313" s="6"/>
      <c r="V2313" s="16"/>
      <c r="W2313" s="16"/>
      <c r="X2313" s="16"/>
      <c r="Y2313" s="6" t="s">
        <v>1627</v>
      </c>
      <c r="Z2313" s="15"/>
      <c r="AA2313" s="15" t="s">
        <v>1628</v>
      </c>
    </row>
    <row r="2314" spans="1:27" ht="33" customHeight="1">
      <c r="A2314" s="8" t="s">
        <v>3213</v>
      </c>
      <c r="B2314" s="9">
        <v>644</v>
      </c>
      <c r="C2314" s="8" t="s">
        <v>3214</v>
      </c>
      <c r="D2314" s="8" t="s">
        <v>2133</v>
      </c>
      <c r="E2314" s="8" t="s">
        <v>2134</v>
      </c>
      <c r="F2314" s="8" t="s">
        <v>162</v>
      </c>
      <c r="G2314" s="8" t="s">
        <v>404</v>
      </c>
      <c r="H2314" s="8"/>
      <c r="I2314" s="14" t="s">
        <v>1642</v>
      </c>
      <c r="J2314" s="15"/>
      <c r="K2314" s="8" t="s">
        <v>1976</v>
      </c>
      <c r="L2314" s="8"/>
      <c r="M2314" s="6" t="s">
        <v>1643</v>
      </c>
      <c r="N2314" s="6" t="s">
        <v>1644</v>
      </c>
      <c r="O2314" s="7">
        <f>SUMIFS('05_상품별배치367'!$K$7:$K$373,'05_상품별배치367'!$E$7:$E$373,A2314,'05_상품별배치367'!$H$7:$H$373,"본진")</f>
        <v>0</v>
      </c>
      <c r="P2314" s="7">
        <f>SUMIFS('05_상품별배치367'!$K$7:$K$373,'05_상품별배치367'!$E$7:$E$373,A2314,'05_상품별배치367'!$H$7:$H$373,"추가 진열")</f>
        <v>0</v>
      </c>
      <c r="Q2314" s="7">
        <f>O2314+P2314</f>
        <v>0</v>
      </c>
      <c r="R2314" s="7">
        <v>1</v>
      </c>
      <c r="S2314" s="6" t="s">
        <v>2996</v>
      </c>
      <c r="T2314" s="6" t="s">
        <v>1637</v>
      </c>
      <c r="U2314" s="6"/>
      <c r="V2314" s="16"/>
      <c r="W2314" s="16"/>
      <c r="X2314" s="16"/>
      <c r="Y2314" s="6" t="s">
        <v>1627</v>
      </c>
      <c r="Z2314" s="15"/>
      <c r="AA2314" s="15" t="s">
        <v>1628</v>
      </c>
    </row>
    <row r="2315" spans="1:27" ht="33" customHeight="1">
      <c r="A2315" s="6" t="s">
        <v>3211</v>
      </c>
      <c r="B2315" s="7">
        <v>643</v>
      </c>
      <c r="C2315" s="6" t="s">
        <v>3212</v>
      </c>
      <c r="D2315" s="6" t="s">
        <v>2133</v>
      </c>
      <c r="E2315" s="6" t="s">
        <v>2134</v>
      </c>
      <c r="F2315" s="6" t="s">
        <v>162</v>
      </c>
      <c r="G2315" s="6" t="s">
        <v>404</v>
      </c>
      <c r="H2315" s="6"/>
      <c r="I2315" s="14" t="s">
        <v>1642</v>
      </c>
      <c r="J2315" s="15"/>
      <c r="K2315" s="6" t="s">
        <v>1976</v>
      </c>
      <c r="L2315" s="6"/>
      <c r="M2315" s="6" t="s">
        <v>1643</v>
      </c>
      <c r="N2315" s="6" t="s">
        <v>1644</v>
      </c>
      <c r="O2315" s="7">
        <f>SUMIFS('05_상품별배치367'!$K$7:$K$373,'05_상품별배치367'!$E$7:$E$373,A2315,'05_상품별배치367'!$H$7:$H$373,"본진")</f>
        <v>0</v>
      </c>
      <c r="P2315" s="7">
        <f>SUMIFS('05_상품별배치367'!$K$7:$K$373,'05_상품별배치367'!$E$7:$E$373,A2315,'05_상품별배치367'!$H$7:$H$373,"추가 진열")</f>
        <v>0</v>
      </c>
      <c r="Q2315" s="7">
        <f>O2315+P2315</f>
        <v>0</v>
      </c>
      <c r="R2315" s="7">
        <v>1</v>
      </c>
      <c r="S2315" s="6" t="s">
        <v>2996</v>
      </c>
      <c r="T2315" s="6" t="s">
        <v>1637</v>
      </c>
      <c r="U2315" s="6"/>
      <c r="V2315" s="16"/>
      <c r="W2315" s="16"/>
      <c r="X2315" s="16"/>
      <c r="Y2315" s="6" t="s">
        <v>1627</v>
      </c>
      <c r="Z2315" s="15"/>
      <c r="AA2315" s="15" t="s">
        <v>1628</v>
      </c>
    </row>
    <row r="2316" spans="1:27" ht="33" customHeight="1">
      <c r="A2316" s="6" t="s">
        <v>3215</v>
      </c>
      <c r="B2316" s="7">
        <v>645</v>
      </c>
      <c r="C2316" s="6" t="s">
        <v>3216</v>
      </c>
      <c r="D2316" s="6" t="s">
        <v>3130</v>
      </c>
      <c r="E2316" s="6" t="s">
        <v>2134</v>
      </c>
      <c r="F2316" s="6" t="s">
        <v>162</v>
      </c>
      <c r="G2316" s="6" t="s">
        <v>404</v>
      </c>
      <c r="H2316" s="6"/>
      <c r="I2316" s="14" t="s">
        <v>1642</v>
      </c>
      <c r="J2316" s="15"/>
      <c r="K2316" s="6" t="s">
        <v>1976</v>
      </c>
      <c r="L2316" s="6"/>
      <c r="M2316" s="6" t="s">
        <v>1643</v>
      </c>
      <c r="N2316" s="6" t="s">
        <v>1644</v>
      </c>
      <c r="O2316" s="7">
        <f>SUMIFS('05_상품별배치367'!$K$7:$K$373,'05_상품별배치367'!$E$7:$E$373,A2316,'05_상품별배치367'!$H$7:$H$373,"본진")</f>
        <v>0</v>
      </c>
      <c r="P2316" s="7">
        <f>SUMIFS('05_상품별배치367'!$K$7:$K$373,'05_상품별배치367'!$E$7:$E$373,A2316,'05_상품별배치367'!$H$7:$H$373,"추가 진열")</f>
        <v>0</v>
      </c>
      <c r="Q2316" s="7">
        <f>O2316+P2316</f>
        <v>0</v>
      </c>
      <c r="R2316" s="7">
        <v>1</v>
      </c>
      <c r="S2316" s="6" t="s">
        <v>2996</v>
      </c>
      <c r="T2316" s="6" t="s">
        <v>1637</v>
      </c>
      <c r="U2316" s="6"/>
      <c r="V2316" s="16"/>
      <c r="W2316" s="16"/>
      <c r="X2316" s="16"/>
      <c r="Y2316" s="6" t="s">
        <v>1627</v>
      </c>
      <c r="Z2316" s="15"/>
      <c r="AA2316" s="15" t="s">
        <v>1628</v>
      </c>
    </row>
    <row r="2317" spans="1:27" ht="33" customHeight="1">
      <c r="A2317" s="6" t="s">
        <v>3448</v>
      </c>
      <c r="B2317" s="7">
        <v>749</v>
      </c>
      <c r="C2317" s="6" t="s">
        <v>3449</v>
      </c>
      <c r="D2317" s="6" t="s">
        <v>2007</v>
      </c>
      <c r="E2317" s="6" t="s">
        <v>2134</v>
      </c>
      <c r="F2317" s="6" t="s">
        <v>156</v>
      </c>
      <c r="G2317" s="6" t="s">
        <v>3239</v>
      </c>
      <c r="H2317" s="6"/>
      <c r="I2317" s="14" t="s">
        <v>1642</v>
      </c>
      <c r="J2317" s="15"/>
      <c r="K2317" s="6" t="s">
        <v>1976</v>
      </c>
      <c r="L2317" s="6"/>
      <c r="M2317" s="6" t="s">
        <v>1643</v>
      </c>
      <c r="N2317" s="6" t="s">
        <v>1644</v>
      </c>
      <c r="O2317" s="7">
        <f>SUMIFS('05_상품별배치367'!$K$7:$K$373,'05_상품별배치367'!$E$7:$E$373,A2317,'05_상품별배치367'!$H$7:$H$373,"본진")</f>
        <v>0</v>
      </c>
      <c r="P2317" s="7">
        <f>SUMIFS('05_상품별배치367'!$K$7:$K$373,'05_상품별배치367'!$E$7:$E$373,A2317,'05_상품별배치367'!$H$7:$H$373,"추가 진열")</f>
        <v>0</v>
      </c>
      <c r="Q2317" s="7">
        <f>O2317+P2317</f>
        <v>0</v>
      </c>
      <c r="R2317" s="7">
        <v>1</v>
      </c>
      <c r="S2317" s="6" t="s">
        <v>3240</v>
      </c>
      <c r="T2317" s="6" t="s">
        <v>1637</v>
      </c>
      <c r="U2317" s="6"/>
      <c r="V2317" s="16"/>
      <c r="W2317" s="16"/>
      <c r="X2317" s="16"/>
      <c r="Y2317" s="6" t="s">
        <v>1627</v>
      </c>
      <c r="Z2317" s="15"/>
      <c r="AA2317" s="15" t="s">
        <v>1628</v>
      </c>
    </row>
    <row r="2318" spans="1:27" ht="33" customHeight="1">
      <c r="A2318" s="6" t="s">
        <v>3452</v>
      </c>
      <c r="B2318" s="7">
        <v>751</v>
      </c>
      <c r="C2318" s="6" t="s">
        <v>3453</v>
      </c>
      <c r="D2318" s="6" t="s">
        <v>2714</v>
      </c>
      <c r="E2318" s="6" t="s">
        <v>2134</v>
      </c>
      <c r="F2318" s="6" t="s">
        <v>156</v>
      </c>
      <c r="G2318" s="6" t="s">
        <v>3239</v>
      </c>
      <c r="H2318" s="6"/>
      <c r="I2318" s="14" t="s">
        <v>1642</v>
      </c>
      <c r="J2318" s="15"/>
      <c r="K2318" s="6" t="s">
        <v>1976</v>
      </c>
      <c r="L2318" s="6"/>
      <c r="M2318" s="6" t="s">
        <v>1643</v>
      </c>
      <c r="N2318" s="6" t="s">
        <v>1644</v>
      </c>
      <c r="O2318" s="7">
        <f>SUMIFS('05_상품별배치367'!$K$7:$K$373,'05_상품별배치367'!$E$7:$E$373,A2318,'05_상품별배치367'!$H$7:$H$373,"본진")</f>
        <v>0</v>
      </c>
      <c r="P2318" s="7">
        <f>SUMIFS('05_상품별배치367'!$K$7:$K$373,'05_상품별배치367'!$E$7:$E$373,A2318,'05_상품별배치367'!$H$7:$H$373,"추가 진열")</f>
        <v>0</v>
      </c>
      <c r="Q2318" s="7">
        <f>O2318+P2318</f>
        <v>0</v>
      </c>
      <c r="R2318" s="7">
        <v>1</v>
      </c>
      <c r="S2318" s="6" t="s">
        <v>3240</v>
      </c>
      <c r="T2318" s="6" t="s">
        <v>1637</v>
      </c>
      <c r="U2318" s="6"/>
      <c r="V2318" s="16"/>
      <c r="W2318" s="16"/>
      <c r="X2318" s="16"/>
      <c r="Y2318" s="6" t="s">
        <v>1627</v>
      </c>
      <c r="Z2318" s="15"/>
      <c r="AA2318" s="15" t="s">
        <v>1628</v>
      </c>
    </row>
    <row r="2319" spans="1:27" ht="33" customHeight="1">
      <c r="A2319" s="8" t="s">
        <v>3450</v>
      </c>
      <c r="B2319" s="9">
        <v>750</v>
      </c>
      <c r="C2319" s="8" t="s">
        <v>3451</v>
      </c>
      <c r="D2319" s="8" t="s">
        <v>1894</v>
      </c>
      <c r="E2319" s="8" t="s">
        <v>2134</v>
      </c>
      <c r="F2319" s="8" t="s">
        <v>156</v>
      </c>
      <c r="G2319" s="8" t="s">
        <v>3239</v>
      </c>
      <c r="H2319" s="8"/>
      <c r="I2319" s="14" t="s">
        <v>1642</v>
      </c>
      <c r="J2319" s="15"/>
      <c r="K2319" s="8" t="s">
        <v>1976</v>
      </c>
      <c r="L2319" s="8"/>
      <c r="M2319" s="6" t="s">
        <v>1643</v>
      </c>
      <c r="N2319" s="6" t="s">
        <v>1644</v>
      </c>
      <c r="O2319" s="7">
        <f>SUMIFS('05_상품별배치367'!$K$7:$K$373,'05_상품별배치367'!$E$7:$E$373,A2319,'05_상품별배치367'!$H$7:$H$373,"본진")</f>
        <v>0</v>
      </c>
      <c r="P2319" s="7">
        <f>SUMIFS('05_상품별배치367'!$K$7:$K$373,'05_상품별배치367'!$E$7:$E$373,A2319,'05_상품별배치367'!$H$7:$H$373,"추가 진열")</f>
        <v>0</v>
      </c>
      <c r="Q2319" s="7">
        <f>O2319+P2319</f>
        <v>0</v>
      </c>
      <c r="R2319" s="7">
        <v>1</v>
      </c>
      <c r="S2319" s="6" t="s">
        <v>3240</v>
      </c>
      <c r="T2319" s="6" t="s">
        <v>1637</v>
      </c>
      <c r="U2319" s="6"/>
      <c r="V2319" s="16"/>
      <c r="W2319" s="16"/>
      <c r="X2319" s="16"/>
      <c r="Y2319" s="6" t="s">
        <v>1627</v>
      </c>
      <c r="Z2319" s="15"/>
      <c r="AA2319" s="15" t="s">
        <v>1628</v>
      </c>
    </row>
    <row r="2320" spans="1:27" ht="33" customHeight="1">
      <c r="A2320" s="6" t="s">
        <v>3443</v>
      </c>
      <c r="B2320" s="7">
        <v>747</v>
      </c>
      <c r="C2320" s="6" t="s">
        <v>3444</v>
      </c>
      <c r="D2320" s="6" t="s">
        <v>3445</v>
      </c>
      <c r="E2320" s="6" t="s">
        <v>1814</v>
      </c>
      <c r="F2320" s="6" t="s">
        <v>514</v>
      </c>
      <c r="G2320" s="6" t="s">
        <v>423</v>
      </c>
      <c r="H2320" s="6"/>
      <c r="I2320" s="14" t="s">
        <v>1642</v>
      </c>
      <c r="J2320" s="15"/>
      <c r="K2320" s="6" t="s">
        <v>1976</v>
      </c>
      <c r="L2320" s="6"/>
      <c r="M2320" s="6" t="s">
        <v>1643</v>
      </c>
      <c r="N2320" s="6" t="s">
        <v>1644</v>
      </c>
      <c r="O2320" s="7">
        <f>SUMIFS('05_상품별배치367'!$K$7:$K$373,'05_상품별배치367'!$E$7:$E$373,A2320,'05_상품별배치367'!$H$7:$H$373,"본진")</f>
        <v>0</v>
      </c>
      <c r="P2320" s="7">
        <f>SUMIFS('05_상품별배치367'!$K$7:$K$373,'05_상품별배치367'!$E$7:$E$373,A2320,'05_상품별배치367'!$H$7:$H$373,"추가 진열")</f>
        <v>0</v>
      </c>
      <c r="Q2320" s="7">
        <f>O2320+P2320</f>
        <v>0</v>
      </c>
      <c r="R2320" s="7">
        <v>1</v>
      </c>
      <c r="S2320" s="6" t="s">
        <v>1991</v>
      </c>
      <c r="T2320" s="6" t="s">
        <v>1637</v>
      </c>
      <c r="U2320" s="6"/>
      <c r="V2320" s="16"/>
      <c r="W2320" s="16"/>
      <c r="X2320" s="16"/>
      <c r="Y2320" s="6" t="s">
        <v>1627</v>
      </c>
      <c r="Z2320" s="15"/>
      <c r="AA2320" s="15" t="s">
        <v>1628</v>
      </c>
    </row>
    <row r="2321" spans="1:27" ht="33" customHeight="1">
      <c r="A2321" s="6" t="s">
        <v>3439</v>
      </c>
      <c r="B2321" s="7">
        <v>745</v>
      </c>
      <c r="C2321" s="6" t="s">
        <v>3440</v>
      </c>
      <c r="D2321" s="6" t="s">
        <v>2856</v>
      </c>
      <c r="E2321" s="6" t="s">
        <v>2134</v>
      </c>
      <c r="F2321" s="6" t="s">
        <v>1263</v>
      </c>
      <c r="G2321" s="6" t="s">
        <v>376</v>
      </c>
      <c r="H2321" s="6"/>
      <c r="I2321" s="14" t="s">
        <v>1642</v>
      </c>
      <c r="J2321" s="15"/>
      <c r="K2321" s="6" t="s">
        <v>1976</v>
      </c>
      <c r="L2321" s="6"/>
      <c r="M2321" s="6" t="s">
        <v>1643</v>
      </c>
      <c r="N2321" s="6" t="s">
        <v>1644</v>
      </c>
      <c r="O2321" s="7">
        <f>SUMIFS('05_상품별배치367'!$K$7:$K$373,'05_상품별배치367'!$E$7:$E$373,A2321,'05_상품별배치367'!$H$7:$H$373,"본진")</f>
        <v>0</v>
      </c>
      <c r="P2321" s="7">
        <f>SUMIFS('05_상품별배치367'!$K$7:$K$373,'05_상품별배치367'!$E$7:$E$373,A2321,'05_상품별배치367'!$H$7:$H$373,"추가 진열")</f>
        <v>0</v>
      </c>
      <c r="Q2321" s="7">
        <f>O2321+P2321</f>
        <v>0</v>
      </c>
      <c r="R2321" s="7">
        <v>1</v>
      </c>
      <c r="S2321" s="6" t="s">
        <v>3016</v>
      </c>
      <c r="T2321" s="6" t="s">
        <v>1637</v>
      </c>
      <c r="U2321" s="6"/>
      <c r="V2321" s="16"/>
      <c r="W2321" s="16"/>
      <c r="X2321" s="16"/>
      <c r="Y2321" s="6" t="s">
        <v>1627</v>
      </c>
      <c r="Z2321" s="15"/>
      <c r="AA2321" s="15" t="s">
        <v>1628</v>
      </c>
    </row>
    <row r="2322" spans="1:27" ht="33" customHeight="1">
      <c r="A2322" s="8" t="s">
        <v>3437</v>
      </c>
      <c r="B2322" s="9">
        <v>744</v>
      </c>
      <c r="C2322" s="8" t="s">
        <v>3438</v>
      </c>
      <c r="D2322" s="8" t="s">
        <v>2007</v>
      </c>
      <c r="E2322" s="8" t="s">
        <v>2134</v>
      </c>
      <c r="F2322" s="8" t="s">
        <v>1263</v>
      </c>
      <c r="G2322" s="8" t="s">
        <v>376</v>
      </c>
      <c r="H2322" s="8"/>
      <c r="I2322" s="14" t="s">
        <v>1642</v>
      </c>
      <c r="J2322" s="15"/>
      <c r="K2322" s="8" t="s">
        <v>1976</v>
      </c>
      <c r="L2322" s="8"/>
      <c r="M2322" s="6" t="s">
        <v>1643</v>
      </c>
      <c r="N2322" s="6" t="s">
        <v>1644</v>
      </c>
      <c r="O2322" s="7">
        <f>SUMIFS('05_상품별배치367'!$K$7:$K$373,'05_상품별배치367'!$E$7:$E$373,A2322,'05_상품별배치367'!$H$7:$H$373,"본진")</f>
        <v>0</v>
      </c>
      <c r="P2322" s="7">
        <f>SUMIFS('05_상품별배치367'!$K$7:$K$373,'05_상품별배치367'!$E$7:$E$373,A2322,'05_상품별배치367'!$H$7:$H$373,"추가 진열")</f>
        <v>0</v>
      </c>
      <c r="Q2322" s="7">
        <f>O2322+P2322</f>
        <v>0</v>
      </c>
      <c r="R2322" s="7">
        <v>1</v>
      </c>
      <c r="S2322" s="6" t="s">
        <v>3016</v>
      </c>
      <c r="T2322" s="6" t="s">
        <v>1637</v>
      </c>
      <c r="U2322" s="6"/>
      <c r="V2322" s="16"/>
      <c r="W2322" s="16"/>
      <c r="X2322" s="16"/>
      <c r="Y2322" s="6" t="s">
        <v>1627</v>
      </c>
      <c r="Z2322" s="15"/>
      <c r="AA2322" s="15" t="s">
        <v>1628</v>
      </c>
    </row>
    <row r="2323" spans="1:27" ht="33" customHeight="1">
      <c r="A2323" s="8" t="s">
        <v>3446</v>
      </c>
      <c r="B2323" s="9">
        <v>748</v>
      </c>
      <c r="C2323" s="8" t="s">
        <v>3447</v>
      </c>
      <c r="D2323" s="8" t="s">
        <v>1711</v>
      </c>
      <c r="E2323" s="8" t="s">
        <v>1986</v>
      </c>
      <c r="F2323" s="8" t="s">
        <v>913</v>
      </c>
      <c r="G2323" s="8" t="s">
        <v>201</v>
      </c>
      <c r="H2323" s="8"/>
      <c r="I2323" s="14" t="s">
        <v>1642</v>
      </c>
      <c r="J2323" s="15"/>
      <c r="K2323" s="8" t="s">
        <v>1976</v>
      </c>
      <c r="L2323" s="8"/>
      <c r="M2323" s="6" t="s">
        <v>1643</v>
      </c>
      <c r="N2323" s="6" t="s">
        <v>1644</v>
      </c>
      <c r="O2323" s="7">
        <f>SUMIFS('05_상품별배치367'!$K$7:$K$373,'05_상품별배치367'!$E$7:$E$373,A2323,'05_상품별배치367'!$H$7:$H$373,"본진")</f>
        <v>0</v>
      </c>
      <c r="P2323" s="7">
        <f>SUMIFS('05_상품별배치367'!$K$7:$K$373,'05_상품별배치367'!$E$7:$E$373,A2323,'05_상품별배치367'!$H$7:$H$373,"추가 진열")</f>
        <v>0</v>
      </c>
      <c r="Q2323" s="7">
        <f>O2323+P2323</f>
        <v>0</v>
      </c>
      <c r="R2323" s="7">
        <v>1</v>
      </c>
      <c r="S2323" s="6" t="s">
        <v>2907</v>
      </c>
      <c r="T2323" s="6" t="s">
        <v>1637</v>
      </c>
      <c r="U2323" s="6"/>
      <c r="V2323" s="16"/>
      <c r="W2323" s="16"/>
      <c r="X2323" s="16"/>
      <c r="Y2323" s="6" t="s">
        <v>1627</v>
      </c>
      <c r="Z2323" s="15"/>
      <c r="AA2323" s="15" t="s">
        <v>1628</v>
      </c>
    </row>
    <row r="2324" spans="1:27" ht="33" customHeight="1">
      <c r="A2324" s="8" t="s">
        <v>3441</v>
      </c>
      <c r="B2324" s="9">
        <v>746</v>
      </c>
      <c r="C2324" s="8" t="s">
        <v>3442</v>
      </c>
      <c r="D2324" s="8" t="s">
        <v>1658</v>
      </c>
      <c r="E2324" s="8" t="s">
        <v>2134</v>
      </c>
      <c r="F2324" s="8" t="s">
        <v>1263</v>
      </c>
      <c r="G2324" s="8" t="s">
        <v>376</v>
      </c>
      <c r="H2324" s="8"/>
      <c r="I2324" s="14" t="s">
        <v>1642</v>
      </c>
      <c r="J2324" s="15"/>
      <c r="K2324" s="8" t="s">
        <v>1976</v>
      </c>
      <c r="L2324" s="8"/>
      <c r="M2324" s="6" t="s">
        <v>1643</v>
      </c>
      <c r="N2324" s="6" t="s">
        <v>1644</v>
      </c>
      <c r="O2324" s="7">
        <f>SUMIFS('05_상품별배치367'!$K$7:$K$373,'05_상품별배치367'!$E$7:$E$373,A2324,'05_상품별배치367'!$H$7:$H$373,"본진")</f>
        <v>0</v>
      </c>
      <c r="P2324" s="7">
        <f>SUMIFS('05_상품별배치367'!$K$7:$K$373,'05_상품별배치367'!$E$7:$E$373,A2324,'05_상품별배치367'!$H$7:$H$373,"추가 진열")</f>
        <v>0</v>
      </c>
      <c r="Q2324" s="7">
        <f>O2324+P2324</f>
        <v>0</v>
      </c>
      <c r="R2324" s="7">
        <v>1</v>
      </c>
      <c r="S2324" s="6" t="s">
        <v>3016</v>
      </c>
      <c r="T2324" s="6" t="s">
        <v>1637</v>
      </c>
      <c r="U2324" s="6"/>
      <c r="V2324" s="16"/>
      <c r="W2324" s="16"/>
      <c r="X2324" s="16"/>
      <c r="Y2324" s="6" t="s">
        <v>1627</v>
      </c>
      <c r="Z2324" s="15"/>
      <c r="AA2324" s="15" t="s">
        <v>1628</v>
      </c>
    </row>
    <row r="2325" spans="1:27" ht="33" customHeight="1">
      <c r="A2325" s="6" t="s">
        <v>5793</v>
      </c>
      <c r="B2325" s="7">
        <v>1853</v>
      </c>
      <c r="C2325" s="6" t="s">
        <v>5794</v>
      </c>
      <c r="D2325" s="6" t="s">
        <v>1631</v>
      </c>
      <c r="E2325" s="6" t="s">
        <v>1632</v>
      </c>
      <c r="F2325" s="6" t="s">
        <v>870</v>
      </c>
      <c r="G2325" s="6" t="s">
        <v>173</v>
      </c>
      <c r="H2325" s="6" t="s">
        <v>869</v>
      </c>
      <c r="I2325" s="14" t="s">
        <v>1633</v>
      </c>
      <c r="J2325" s="15"/>
      <c r="K2325" s="6" t="s">
        <v>1634</v>
      </c>
      <c r="L2325" s="6" t="s">
        <v>3828</v>
      </c>
      <c r="M2325" s="6" t="s">
        <v>1635</v>
      </c>
      <c r="N2325" s="6" t="s">
        <v>1624</v>
      </c>
      <c r="O2325" s="7">
        <f>SUMIFS('05_상품별배치367'!$K$7:$K$373,'05_상품별배치367'!$E$7:$E$373,A2325,'05_상품별배치367'!$H$7:$H$373,"본진")</f>
        <v>1</v>
      </c>
      <c r="P2325" s="7">
        <f>SUMIFS('05_상품별배치367'!$K$7:$K$373,'05_상품별배치367'!$E$7:$E$373,A2325,'05_상품별배치367'!$H$7:$H$373,"추가 진열")</f>
        <v>0</v>
      </c>
      <c r="Q2325" s="7">
        <f>O2325+P2325</f>
        <v>1</v>
      </c>
      <c r="R2325" s="7">
        <v>1</v>
      </c>
      <c r="S2325" s="6" t="s">
        <v>1636</v>
      </c>
      <c r="T2325" s="6" t="s">
        <v>1637</v>
      </c>
      <c r="U2325" s="6"/>
      <c r="V2325" s="16"/>
      <c r="W2325" s="16"/>
      <c r="X2325" s="16"/>
      <c r="Y2325" s="6" t="s">
        <v>1627</v>
      </c>
      <c r="Z2325" s="15"/>
      <c r="AA2325" s="15" t="s">
        <v>1628</v>
      </c>
    </row>
    <row r="2326" spans="1:27" ht="33" customHeight="1">
      <c r="A2326" s="8" t="s">
        <v>6689</v>
      </c>
      <c r="B2326" s="9">
        <v>2254</v>
      </c>
      <c r="C2326" s="8" t="s">
        <v>6690</v>
      </c>
      <c r="D2326" s="8" t="s">
        <v>5928</v>
      </c>
      <c r="E2326" s="8" t="s">
        <v>1620</v>
      </c>
      <c r="F2326" s="8" t="s">
        <v>2125</v>
      </c>
      <c r="G2326" s="8" t="s">
        <v>307</v>
      </c>
      <c r="H2326" s="8"/>
      <c r="I2326" s="14" t="s">
        <v>1642</v>
      </c>
      <c r="J2326" s="15"/>
      <c r="K2326" s="8" t="s">
        <v>1622</v>
      </c>
      <c r="L2326" s="8" t="s">
        <v>3828</v>
      </c>
      <c r="M2326" s="6" t="s">
        <v>1643</v>
      </c>
      <c r="N2326" s="6" t="s">
        <v>1624</v>
      </c>
      <c r="O2326" s="7">
        <f>SUMIFS('05_상품별배치367'!$K$7:$K$373,'05_상품별배치367'!$E$7:$E$373,A2326,'05_상품별배치367'!$H$7:$H$373,"본진")</f>
        <v>0</v>
      </c>
      <c r="P2326" s="7">
        <f>SUMIFS('05_상품별배치367'!$K$7:$K$373,'05_상품별배치367'!$E$7:$E$373,A2326,'05_상품별배치367'!$H$7:$H$373,"추가 진열")</f>
        <v>0</v>
      </c>
      <c r="Q2326" s="7">
        <f>O2326+P2326</f>
        <v>0</v>
      </c>
      <c r="R2326" s="7">
        <v>1</v>
      </c>
      <c r="S2326" s="6" t="s">
        <v>2126</v>
      </c>
      <c r="T2326" s="6" t="s">
        <v>1637</v>
      </c>
      <c r="U2326" s="6"/>
      <c r="V2326" s="16"/>
      <c r="W2326" s="16"/>
      <c r="X2326" s="16"/>
      <c r="Y2326" s="6" t="s">
        <v>1627</v>
      </c>
      <c r="Z2326" s="15"/>
      <c r="AA2326" s="15" t="s">
        <v>1628</v>
      </c>
    </row>
    <row r="2327" spans="1:27" ht="33" customHeight="1">
      <c r="A2327" s="8" t="s">
        <v>6694</v>
      </c>
      <c r="B2327" s="9">
        <v>2256</v>
      </c>
      <c r="C2327" s="8" t="s">
        <v>6695</v>
      </c>
      <c r="D2327" s="8" t="s">
        <v>6696</v>
      </c>
      <c r="E2327" s="8" t="s">
        <v>1620</v>
      </c>
      <c r="F2327" s="8" t="s">
        <v>2125</v>
      </c>
      <c r="G2327" s="8" t="s">
        <v>307</v>
      </c>
      <c r="H2327" s="8"/>
      <c r="I2327" s="14" t="s">
        <v>1642</v>
      </c>
      <c r="J2327" s="15"/>
      <c r="K2327" s="8" t="s">
        <v>1622</v>
      </c>
      <c r="L2327" s="8" t="s">
        <v>3828</v>
      </c>
      <c r="M2327" s="6" t="s">
        <v>1643</v>
      </c>
      <c r="N2327" s="6" t="s">
        <v>1624</v>
      </c>
      <c r="O2327" s="7">
        <f>SUMIFS('05_상품별배치367'!$K$7:$K$373,'05_상품별배치367'!$E$7:$E$373,A2327,'05_상품별배치367'!$H$7:$H$373,"본진")</f>
        <v>0</v>
      </c>
      <c r="P2327" s="7">
        <f>SUMIFS('05_상품별배치367'!$K$7:$K$373,'05_상품별배치367'!$E$7:$E$373,A2327,'05_상품별배치367'!$H$7:$H$373,"추가 진열")</f>
        <v>0</v>
      </c>
      <c r="Q2327" s="7">
        <f>O2327+P2327</f>
        <v>0</v>
      </c>
      <c r="R2327" s="7">
        <v>1</v>
      </c>
      <c r="S2327" s="6" t="s">
        <v>2126</v>
      </c>
      <c r="T2327" s="6" t="s">
        <v>1637</v>
      </c>
      <c r="U2327" s="6"/>
      <c r="V2327" s="16"/>
      <c r="W2327" s="16"/>
      <c r="X2327" s="16"/>
      <c r="Y2327" s="6" t="s">
        <v>1627</v>
      </c>
      <c r="Z2327" s="15"/>
      <c r="AA2327" s="15" t="s">
        <v>1628</v>
      </c>
    </row>
    <row r="2328" spans="1:27" ht="33" customHeight="1">
      <c r="A2328" s="6" t="s">
        <v>6691</v>
      </c>
      <c r="B2328" s="7">
        <v>2255</v>
      </c>
      <c r="C2328" s="6" t="s">
        <v>6692</v>
      </c>
      <c r="D2328" s="6" t="s">
        <v>6693</v>
      </c>
      <c r="E2328" s="6" t="s">
        <v>1620</v>
      </c>
      <c r="F2328" s="6" t="s">
        <v>2125</v>
      </c>
      <c r="G2328" s="6" t="s">
        <v>307</v>
      </c>
      <c r="H2328" s="6" t="s">
        <v>1128</v>
      </c>
      <c r="I2328" s="14" t="s">
        <v>1642</v>
      </c>
      <c r="J2328" s="15"/>
      <c r="K2328" s="6" t="s">
        <v>1622</v>
      </c>
      <c r="L2328" s="6" t="s">
        <v>3828</v>
      </c>
      <c r="M2328" s="6" t="s">
        <v>1643</v>
      </c>
      <c r="N2328" s="6" t="s">
        <v>1624</v>
      </c>
      <c r="O2328" s="7">
        <f>SUMIFS('05_상품별배치367'!$K$7:$K$373,'05_상품별배치367'!$E$7:$E$373,A2328,'05_상품별배치367'!$H$7:$H$373,"본진")</f>
        <v>0</v>
      </c>
      <c r="P2328" s="7">
        <f>SUMIFS('05_상품별배치367'!$K$7:$K$373,'05_상품별배치367'!$E$7:$E$373,A2328,'05_상품별배치367'!$H$7:$H$373,"추가 진열")</f>
        <v>0</v>
      </c>
      <c r="Q2328" s="7">
        <f>O2328+P2328</f>
        <v>0</v>
      </c>
      <c r="R2328" s="7">
        <v>1</v>
      </c>
      <c r="S2328" s="6" t="s">
        <v>2126</v>
      </c>
      <c r="T2328" s="6" t="s">
        <v>1637</v>
      </c>
      <c r="U2328" s="6"/>
      <c r="V2328" s="16"/>
      <c r="W2328" s="16"/>
      <c r="X2328" s="16"/>
      <c r="Y2328" s="6" t="s">
        <v>1627</v>
      </c>
      <c r="Z2328" s="15"/>
      <c r="AA2328" s="15" t="s">
        <v>1628</v>
      </c>
    </row>
    <row r="2329" spans="1:27" ht="33" customHeight="1">
      <c r="A2329" s="6" t="s">
        <v>5317</v>
      </c>
      <c r="B2329" s="7">
        <v>1629</v>
      </c>
      <c r="C2329" s="6" t="s">
        <v>5318</v>
      </c>
      <c r="D2329" s="6" t="s">
        <v>1662</v>
      </c>
      <c r="E2329" s="6" t="s">
        <v>2134</v>
      </c>
      <c r="F2329" s="6" t="s">
        <v>842</v>
      </c>
      <c r="G2329" s="6" t="s">
        <v>164</v>
      </c>
      <c r="H2329" s="6"/>
      <c r="I2329" s="14" t="s">
        <v>1642</v>
      </c>
      <c r="J2329" s="15"/>
      <c r="K2329" s="6" t="s">
        <v>1976</v>
      </c>
      <c r="L2329" s="6"/>
      <c r="M2329" s="6" t="s">
        <v>1643</v>
      </c>
      <c r="N2329" s="6" t="s">
        <v>1644</v>
      </c>
      <c r="O2329" s="7">
        <f>SUMIFS('05_상품별배치367'!$K$7:$K$373,'05_상품별배치367'!$E$7:$E$373,A2329,'05_상품별배치367'!$H$7:$H$373,"본진")</f>
        <v>0</v>
      </c>
      <c r="P2329" s="7">
        <f>SUMIFS('05_상품별배치367'!$K$7:$K$373,'05_상품별배치367'!$E$7:$E$373,A2329,'05_상품별배치367'!$H$7:$H$373,"추가 진열")</f>
        <v>0</v>
      </c>
      <c r="Q2329" s="7">
        <f>O2329+P2329</f>
        <v>0</v>
      </c>
      <c r="R2329" s="7">
        <v>1</v>
      </c>
      <c r="S2329" s="6" t="s">
        <v>3009</v>
      </c>
      <c r="T2329" s="6" t="s">
        <v>1637</v>
      </c>
      <c r="U2329" s="6"/>
      <c r="V2329" s="16"/>
      <c r="W2329" s="16"/>
      <c r="X2329" s="16"/>
      <c r="Y2329" s="6" t="s">
        <v>1627</v>
      </c>
      <c r="Z2329" s="15"/>
      <c r="AA2329" s="15" t="s">
        <v>1628</v>
      </c>
    </row>
    <row r="2330" spans="1:27" ht="33" customHeight="1">
      <c r="A2330" s="8" t="s">
        <v>5319</v>
      </c>
      <c r="B2330" s="9">
        <v>1630</v>
      </c>
      <c r="C2330" s="8" t="s">
        <v>5320</v>
      </c>
      <c r="D2330" s="8" t="s">
        <v>1926</v>
      </c>
      <c r="E2330" s="8" t="s">
        <v>2134</v>
      </c>
      <c r="F2330" s="8" t="s">
        <v>842</v>
      </c>
      <c r="G2330" s="8" t="s">
        <v>164</v>
      </c>
      <c r="H2330" s="8"/>
      <c r="I2330" s="14" t="s">
        <v>1642</v>
      </c>
      <c r="J2330" s="15"/>
      <c r="K2330" s="8" t="s">
        <v>1976</v>
      </c>
      <c r="L2330" s="8"/>
      <c r="M2330" s="6" t="s">
        <v>1643</v>
      </c>
      <c r="N2330" s="6" t="s">
        <v>1644</v>
      </c>
      <c r="O2330" s="7">
        <f>SUMIFS('05_상품별배치367'!$K$7:$K$373,'05_상품별배치367'!$E$7:$E$373,A2330,'05_상품별배치367'!$H$7:$H$373,"본진")</f>
        <v>0</v>
      </c>
      <c r="P2330" s="7">
        <f>SUMIFS('05_상품별배치367'!$K$7:$K$373,'05_상품별배치367'!$E$7:$E$373,A2330,'05_상품별배치367'!$H$7:$H$373,"추가 진열")</f>
        <v>0</v>
      </c>
      <c r="Q2330" s="7">
        <f>O2330+P2330</f>
        <v>0</v>
      </c>
      <c r="R2330" s="7">
        <v>1</v>
      </c>
      <c r="S2330" s="6" t="s">
        <v>3009</v>
      </c>
      <c r="T2330" s="6" t="s">
        <v>1637</v>
      </c>
      <c r="U2330" s="6"/>
      <c r="V2330" s="16"/>
      <c r="W2330" s="16"/>
      <c r="X2330" s="16"/>
      <c r="Y2330" s="6" t="s">
        <v>1627</v>
      </c>
      <c r="Z2330" s="15"/>
      <c r="AA2330" s="15" t="s">
        <v>1628</v>
      </c>
    </row>
    <row r="2331" spans="1:27" ht="33" customHeight="1">
      <c r="A2331" s="6" t="s">
        <v>5321</v>
      </c>
      <c r="B2331" s="7">
        <v>1631</v>
      </c>
      <c r="C2331" s="6" t="s">
        <v>5322</v>
      </c>
      <c r="D2331" s="6" t="s">
        <v>1662</v>
      </c>
      <c r="E2331" s="6" t="s">
        <v>2134</v>
      </c>
      <c r="F2331" s="6" t="s">
        <v>1081</v>
      </c>
      <c r="G2331" s="6" t="s">
        <v>290</v>
      </c>
      <c r="H2331" s="6"/>
      <c r="I2331" s="14" t="s">
        <v>1642</v>
      </c>
      <c r="J2331" s="15"/>
      <c r="K2331" s="6" t="s">
        <v>1976</v>
      </c>
      <c r="L2331" s="6"/>
      <c r="M2331" s="6" t="s">
        <v>1643</v>
      </c>
      <c r="N2331" s="6" t="s">
        <v>1644</v>
      </c>
      <c r="O2331" s="7">
        <f>SUMIFS('05_상품별배치367'!$K$7:$K$373,'05_상품별배치367'!$E$7:$E$373,A2331,'05_상품별배치367'!$H$7:$H$373,"본진")</f>
        <v>0</v>
      </c>
      <c r="P2331" s="7">
        <f>SUMIFS('05_상품별배치367'!$K$7:$K$373,'05_상품별배치367'!$E$7:$E$373,A2331,'05_상품별배치367'!$H$7:$H$373,"추가 진열")</f>
        <v>0</v>
      </c>
      <c r="Q2331" s="7">
        <f>O2331+P2331</f>
        <v>0</v>
      </c>
      <c r="R2331" s="7">
        <v>1</v>
      </c>
      <c r="S2331" s="6" t="s">
        <v>2135</v>
      </c>
      <c r="T2331" s="6" t="s">
        <v>1637</v>
      </c>
      <c r="U2331" s="6"/>
      <c r="V2331" s="16"/>
      <c r="W2331" s="16"/>
      <c r="X2331" s="16"/>
      <c r="Y2331" s="6" t="s">
        <v>1627</v>
      </c>
      <c r="Z2331" s="15"/>
      <c r="AA2331" s="15" t="s">
        <v>1628</v>
      </c>
    </row>
    <row r="2332" spans="1:27" ht="33" customHeight="1">
      <c r="A2332" s="8" t="s">
        <v>5323</v>
      </c>
      <c r="B2332" s="9">
        <v>1632</v>
      </c>
      <c r="C2332" s="8" t="s">
        <v>5324</v>
      </c>
      <c r="D2332" s="8" t="s">
        <v>1926</v>
      </c>
      <c r="E2332" s="8" t="s">
        <v>2134</v>
      </c>
      <c r="F2332" s="8" t="s">
        <v>1081</v>
      </c>
      <c r="G2332" s="8" t="s">
        <v>290</v>
      </c>
      <c r="H2332" s="8"/>
      <c r="I2332" s="14" t="s">
        <v>1642</v>
      </c>
      <c r="J2332" s="15"/>
      <c r="K2332" s="8" t="s">
        <v>1976</v>
      </c>
      <c r="L2332" s="8"/>
      <c r="M2332" s="6" t="s">
        <v>1643</v>
      </c>
      <c r="N2332" s="6" t="s">
        <v>1644</v>
      </c>
      <c r="O2332" s="7">
        <f>SUMIFS('05_상품별배치367'!$K$7:$K$373,'05_상품별배치367'!$E$7:$E$373,A2332,'05_상품별배치367'!$H$7:$H$373,"본진")</f>
        <v>0</v>
      </c>
      <c r="P2332" s="7">
        <f>SUMIFS('05_상품별배치367'!$K$7:$K$373,'05_상품별배치367'!$E$7:$E$373,A2332,'05_상품별배치367'!$H$7:$H$373,"추가 진열")</f>
        <v>0</v>
      </c>
      <c r="Q2332" s="7">
        <f>O2332+P2332</f>
        <v>0</v>
      </c>
      <c r="R2332" s="7">
        <v>1</v>
      </c>
      <c r="S2332" s="6" t="s">
        <v>2135</v>
      </c>
      <c r="T2332" s="6" t="s">
        <v>1637</v>
      </c>
      <c r="U2332" s="6"/>
      <c r="V2332" s="16"/>
      <c r="W2332" s="16"/>
      <c r="X2332" s="16"/>
      <c r="Y2332" s="6" t="s">
        <v>1627</v>
      </c>
      <c r="Z2332" s="15"/>
      <c r="AA2332" s="15" t="s">
        <v>1628</v>
      </c>
    </row>
    <row r="2333" spans="1:27" ht="33" customHeight="1">
      <c r="A2333" s="8" t="s">
        <v>2787</v>
      </c>
      <c r="B2333" s="9">
        <v>454</v>
      </c>
      <c r="C2333" s="8" t="s">
        <v>2788</v>
      </c>
      <c r="D2333" s="8" t="s">
        <v>2783</v>
      </c>
      <c r="E2333" s="8" t="s">
        <v>1743</v>
      </c>
      <c r="F2333" s="8" t="s">
        <v>2784</v>
      </c>
      <c r="G2333" s="8" t="s">
        <v>1668</v>
      </c>
      <c r="H2333" s="8"/>
      <c r="I2333" s="14" t="s">
        <v>1807</v>
      </c>
      <c r="J2333" s="6"/>
      <c r="K2333" s="8" t="s">
        <v>1696</v>
      </c>
      <c r="L2333" s="8" t="s">
        <v>1808</v>
      </c>
      <c r="M2333" s="6" t="s">
        <v>1809</v>
      </c>
      <c r="N2333" s="6" t="s">
        <v>1644</v>
      </c>
      <c r="O2333" s="7">
        <f>SUMIFS('05_상품별배치367'!$K$7:$K$373,'05_상품별배치367'!$E$7:$E$373,A2333,'05_상품별배치367'!$H$7:$H$373,"본진")</f>
        <v>0</v>
      </c>
      <c r="P2333" s="7">
        <f>SUMIFS('05_상품별배치367'!$K$7:$K$373,'05_상품별배치367'!$E$7:$E$373,A2333,'05_상품별배치367'!$H$7:$H$373,"추가 진열")</f>
        <v>0</v>
      </c>
      <c r="Q2333" s="7">
        <f>O2333+P2333</f>
        <v>0</v>
      </c>
      <c r="R2333" s="7">
        <v>0</v>
      </c>
      <c r="S2333" s="6" t="s">
        <v>1810</v>
      </c>
      <c r="T2333" s="6" t="s">
        <v>1637</v>
      </c>
      <c r="U2333" s="6"/>
      <c r="V2333" s="16"/>
      <c r="W2333" s="16"/>
      <c r="X2333" s="16"/>
      <c r="Y2333" s="6" t="s">
        <v>1627</v>
      </c>
      <c r="Z2333" s="15"/>
      <c r="AA2333" s="15" t="s">
        <v>1628</v>
      </c>
    </row>
    <row r="2334" spans="1:27" ht="33" customHeight="1">
      <c r="A2334" s="6" t="s">
        <v>2789</v>
      </c>
      <c r="B2334" s="7">
        <v>455</v>
      </c>
      <c r="C2334" s="6" t="s">
        <v>2790</v>
      </c>
      <c r="D2334" s="6" t="s">
        <v>2783</v>
      </c>
      <c r="E2334" s="6" t="s">
        <v>1743</v>
      </c>
      <c r="F2334" s="6" t="s">
        <v>2784</v>
      </c>
      <c r="G2334" s="6" t="s">
        <v>1668</v>
      </c>
      <c r="H2334" s="6"/>
      <c r="I2334" s="14" t="s">
        <v>1807</v>
      </c>
      <c r="J2334" s="6"/>
      <c r="K2334" s="6" t="s">
        <v>1696</v>
      </c>
      <c r="L2334" s="6" t="s">
        <v>1808</v>
      </c>
      <c r="M2334" s="6" t="s">
        <v>1809</v>
      </c>
      <c r="N2334" s="6" t="s">
        <v>1644</v>
      </c>
      <c r="O2334" s="7">
        <f>SUMIFS('05_상품별배치367'!$K$7:$K$373,'05_상품별배치367'!$E$7:$E$373,A2334,'05_상품별배치367'!$H$7:$H$373,"본진")</f>
        <v>0</v>
      </c>
      <c r="P2334" s="7">
        <f>SUMIFS('05_상품별배치367'!$K$7:$K$373,'05_상품별배치367'!$E$7:$E$373,A2334,'05_상품별배치367'!$H$7:$H$373,"추가 진열")</f>
        <v>0</v>
      </c>
      <c r="Q2334" s="7">
        <f>O2334+P2334</f>
        <v>0</v>
      </c>
      <c r="R2334" s="7">
        <v>0</v>
      </c>
      <c r="S2334" s="6" t="s">
        <v>1810</v>
      </c>
      <c r="T2334" s="6" t="s">
        <v>1637</v>
      </c>
      <c r="U2334" s="6"/>
      <c r="V2334" s="16"/>
      <c r="W2334" s="16"/>
      <c r="X2334" s="16"/>
      <c r="Y2334" s="6" t="s">
        <v>1627</v>
      </c>
      <c r="Z2334" s="15"/>
      <c r="AA2334" s="15" t="s">
        <v>1628</v>
      </c>
    </row>
    <row r="2335" spans="1:27" ht="33" customHeight="1">
      <c r="A2335" s="8" t="s">
        <v>2791</v>
      </c>
      <c r="B2335" s="9">
        <v>456</v>
      </c>
      <c r="C2335" s="8" t="s">
        <v>2792</v>
      </c>
      <c r="D2335" s="8" t="s">
        <v>2783</v>
      </c>
      <c r="E2335" s="8" t="s">
        <v>1743</v>
      </c>
      <c r="F2335" s="8" t="s">
        <v>2784</v>
      </c>
      <c r="G2335" s="8" t="s">
        <v>1668</v>
      </c>
      <c r="H2335" s="8"/>
      <c r="I2335" s="14" t="s">
        <v>1807</v>
      </c>
      <c r="J2335" s="6"/>
      <c r="K2335" s="8" t="s">
        <v>1696</v>
      </c>
      <c r="L2335" s="8" t="s">
        <v>1808</v>
      </c>
      <c r="M2335" s="6" t="s">
        <v>1809</v>
      </c>
      <c r="N2335" s="6" t="s">
        <v>1644</v>
      </c>
      <c r="O2335" s="7">
        <f>SUMIFS('05_상품별배치367'!$K$7:$K$373,'05_상품별배치367'!$E$7:$E$373,A2335,'05_상품별배치367'!$H$7:$H$373,"본진")</f>
        <v>0</v>
      </c>
      <c r="P2335" s="7">
        <f>SUMIFS('05_상품별배치367'!$K$7:$K$373,'05_상품별배치367'!$E$7:$E$373,A2335,'05_상품별배치367'!$H$7:$H$373,"추가 진열")</f>
        <v>0</v>
      </c>
      <c r="Q2335" s="7">
        <f>O2335+P2335</f>
        <v>0</v>
      </c>
      <c r="R2335" s="7">
        <v>0</v>
      </c>
      <c r="S2335" s="6" t="s">
        <v>1810</v>
      </c>
      <c r="T2335" s="6" t="s">
        <v>1637</v>
      </c>
      <c r="U2335" s="6"/>
      <c r="V2335" s="16"/>
      <c r="W2335" s="16"/>
      <c r="X2335" s="16"/>
      <c r="Y2335" s="6" t="s">
        <v>1627</v>
      </c>
      <c r="Z2335" s="15"/>
      <c r="AA2335" s="15" t="s">
        <v>1628</v>
      </c>
    </row>
    <row r="2336" spans="1:27" ht="33" customHeight="1">
      <c r="A2336" s="8" t="s">
        <v>2781</v>
      </c>
      <c r="B2336" s="9">
        <v>452</v>
      </c>
      <c r="C2336" s="8" t="s">
        <v>2782</v>
      </c>
      <c r="D2336" s="8" t="s">
        <v>2783</v>
      </c>
      <c r="E2336" s="8" t="s">
        <v>1743</v>
      </c>
      <c r="F2336" s="8" t="s">
        <v>2784</v>
      </c>
      <c r="G2336" s="8" t="s">
        <v>1668</v>
      </c>
      <c r="H2336" s="8"/>
      <c r="I2336" s="14" t="s">
        <v>1807</v>
      </c>
      <c r="J2336" s="6"/>
      <c r="K2336" s="8" t="s">
        <v>1696</v>
      </c>
      <c r="L2336" s="8" t="s">
        <v>1808</v>
      </c>
      <c r="M2336" s="6" t="s">
        <v>1809</v>
      </c>
      <c r="N2336" s="6" t="s">
        <v>1644</v>
      </c>
      <c r="O2336" s="7">
        <f>SUMIFS('05_상품별배치367'!$K$7:$K$373,'05_상품별배치367'!$E$7:$E$373,A2336,'05_상품별배치367'!$H$7:$H$373,"본진")</f>
        <v>0</v>
      </c>
      <c r="P2336" s="7">
        <f>SUMIFS('05_상품별배치367'!$K$7:$K$373,'05_상품별배치367'!$E$7:$E$373,A2336,'05_상품별배치367'!$H$7:$H$373,"추가 진열")</f>
        <v>0</v>
      </c>
      <c r="Q2336" s="7">
        <f>O2336+P2336</f>
        <v>0</v>
      </c>
      <c r="R2336" s="7">
        <v>0</v>
      </c>
      <c r="S2336" s="6" t="s">
        <v>1810</v>
      </c>
      <c r="T2336" s="6" t="s">
        <v>1637</v>
      </c>
      <c r="U2336" s="6"/>
      <c r="V2336" s="16"/>
      <c r="W2336" s="16"/>
      <c r="X2336" s="16"/>
      <c r="Y2336" s="6" t="s">
        <v>1627</v>
      </c>
      <c r="Z2336" s="15"/>
      <c r="AA2336" s="15" t="s">
        <v>1628</v>
      </c>
    </row>
    <row r="2337" spans="1:27" ht="33" customHeight="1">
      <c r="A2337" s="6" t="s">
        <v>2785</v>
      </c>
      <c r="B2337" s="7">
        <v>453</v>
      </c>
      <c r="C2337" s="6" t="s">
        <v>2786</v>
      </c>
      <c r="D2337" s="6" t="s">
        <v>2783</v>
      </c>
      <c r="E2337" s="6" t="s">
        <v>1743</v>
      </c>
      <c r="F2337" s="6" t="s">
        <v>2784</v>
      </c>
      <c r="G2337" s="6" t="s">
        <v>1668</v>
      </c>
      <c r="H2337" s="6"/>
      <c r="I2337" s="14" t="s">
        <v>1807</v>
      </c>
      <c r="J2337" s="6"/>
      <c r="K2337" s="6" t="s">
        <v>1696</v>
      </c>
      <c r="L2337" s="6" t="s">
        <v>1808</v>
      </c>
      <c r="M2337" s="6" t="s">
        <v>1809</v>
      </c>
      <c r="N2337" s="6" t="s">
        <v>1644</v>
      </c>
      <c r="O2337" s="7">
        <f>SUMIFS('05_상품별배치367'!$K$7:$K$373,'05_상품별배치367'!$E$7:$E$373,A2337,'05_상품별배치367'!$H$7:$H$373,"본진")</f>
        <v>0</v>
      </c>
      <c r="P2337" s="7">
        <f>SUMIFS('05_상품별배치367'!$K$7:$K$373,'05_상품별배치367'!$E$7:$E$373,A2337,'05_상품별배치367'!$H$7:$H$373,"추가 진열")</f>
        <v>0</v>
      </c>
      <c r="Q2337" s="7">
        <f>O2337+P2337</f>
        <v>0</v>
      </c>
      <c r="R2337" s="7">
        <v>0</v>
      </c>
      <c r="S2337" s="6" t="s">
        <v>1810</v>
      </c>
      <c r="T2337" s="6" t="s">
        <v>1637</v>
      </c>
      <c r="U2337" s="6"/>
      <c r="V2337" s="16"/>
      <c r="W2337" s="16"/>
      <c r="X2337" s="16"/>
      <c r="Y2337" s="6" t="s">
        <v>1627</v>
      </c>
      <c r="Z2337" s="15"/>
      <c r="AA2337" s="15" t="s">
        <v>1628</v>
      </c>
    </row>
    <row r="2338" spans="1:27" ht="33" customHeight="1">
      <c r="A2338" s="6" t="s">
        <v>2247</v>
      </c>
      <c r="B2338" s="7">
        <v>221</v>
      </c>
      <c r="C2338" s="6" t="s">
        <v>2248</v>
      </c>
      <c r="D2338" s="6" t="s">
        <v>2249</v>
      </c>
      <c r="E2338" s="6" t="s">
        <v>1620</v>
      </c>
      <c r="F2338" s="6" t="s">
        <v>150</v>
      </c>
      <c r="G2338" s="6" t="s">
        <v>332</v>
      </c>
      <c r="H2338" s="6"/>
      <c r="I2338" s="14" t="s">
        <v>1642</v>
      </c>
      <c r="J2338" s="15"/>
      <c r="K2338" s="6" t="s">
        <v>1622</v>
      </c>
      <c r="L2338" s="6"/>
      <c r="M2338" s="6" t="s">
        <v>1643</v>
      </c>
      <c r="N2338" s="6" t="s">
        <v>1644</v>
      </c>
      <c r="O2338" s="7">
        <f>SUMIFS('05_상품별배치367'!$K$7:$K$373,'05_상품별배치367'!$E$7:$E$373,A2338,'05_상품별배치367'!$H$7:$H$373,"본진")</f>
        <v>0</v>
      </c>
      <c r="P2338" s="7">
        <f>SUMIFS('05_상품별배치367'!$K$7:$K$373,'05_상품별배치367'!$E$7:$E$373,A2338,'05_상품별배치367'!$H$7:$H$373,"추가 진열")</f>
        <v>0</v>
      </c>
      <c r="Q2338" s="7">
        <f>O2338+P2338</f>
        <v>0</v>
      </c>
      <c r="R2338" s="7">
        <v>1</v>
      </c>
      <c r="S2338" s="6" t="s">
        <v>2037</v>
      </c>
      <c r="T2338" s="6" t="s">
        <v>1637</v>
      </c>
      <c r="U2338" s="6"/>
      <c r="V2338" s="16"/>
      <c r="W2338" s="16"/>
      <c r="X2338" s="16"/>
      <c r="Y2338" s="6" t="s">
        <v>1655</v>
      </c>
      <c r="Z2338" s="15"/>
      <c r="AA2338" s="15" t="s">
        <v>1628</v>
      </c>
    </row>
    <row r="2339" spans="1:27" ht="33" customHeight="1">
      <c r="A2339" s="8" t="s">
        <v>2233</v>
      </c>
      <c r="B2339" s="9">
        <v>216</v>
      </c>
      <c r="C2339" s="8" t="s">
        <v>2234</v>
      </c>
      <c r="D2339" s="8" t="s">
        <v>2232</v>
      </c>
      <c r="E2339" s="8" t="s">
        <v>1666</v>
      </c>
      <c r="F2339" s="8" t="s">
        <v>1852</v>
      </c>
      <c r="G2339" s="8" t="s">
        <v>1853</v>
      </c>
      <c r="H2339" s="8"/>
      <c r="I2339" s="14" t="s">
        <v>1669</v>
      </c>
      <c r="J2339" s="15"/>
      <c r="K2339" s="8" t="s">
        <v>1670</v>
      </c>
      <c r="L2339" s="8"/>
      <c r="M2339" s="6" t="s">
        <v>1671</v>
      </c>
      <c r="N2339" s="6" t="s">
        <v>1624</v>
      </c>
      <c r="O2339" s="7">
        <f>SUMIFS('05_상품별배치367'!$K$7:$K$373,'05_상품별배치367'!$E$7:$E$373,A2339,'05_상품별배치367'!$H$7:$H$373,"본진")</f>
        <v>0</v>
      </c>
      <c r="P2339" s="7">
        <f>SUMIFS('05_상품별배치367'!$K$7:$K$373,'05_상품별배치367'!$E$7:$E$373,A2339,'05_상품별배치367'!$H$7:$H$373,"추가 진열")</f>
        <v>0</v>
      </c>
      <c r="Q2339" s="7">
        <f>O2339+P2339</f>
        <v>0</v>
      </c>
      <c r="R2339" s="7">
        <v>0</v>
      </c>
      <c r="S2339" s="6" t="s">
        <v>1672</v>
      </c>
      <c r="T2339" s="6" t="s">
        <v>1637</v>
      </c>
      <c r="U2339" s="6"/>
      <c r="V2339" s="16"/>
      <c r="W2339" s="16"/>
      <c r="X2339" s="16"/>
      <c r="Y2339" s="6" t="s">
        <v>1655</v>
      </c>
      <c r="Z2339" s="15"/>
      <c r="AA2339" s="15" t="s">
        <v>1628</v>
      </c>
    </row>
    <row r="2340" spans="1:27" ht="33" customHeight="1">
      <c r="A2340" s="6" t="s">
        <v>2230</v>
      </c>
      <c r="B2340" s="7">
        <v>215</v>
      </c>
      <c r="C2340" s="6" t="s">
        <v>2231</v>
      </c>
      <c r="D2340" s="6" t="s">
        <v>2232</v>
      </c>
      <c r="E2340" s="6" t="s">
        <v>1666</v>
      </c>
      <c r="F2340" s="6" t="s">
        <v>1852</v>
      </c>
      <c r="G2340" s="6" t="s">
        <v>1853</v>
      </c>
      <c r="H2340" s="6"/>
      <c r="I2340" s="14" t="s">
        <v>1669</v>
      </c>
      <c r="J2340" s="15"/>
      <c r="K2340" s="6" t="s">
        <v>1670</v>
      </c>
      <c r="L2340" s="6"/>
      <c r="M2340" s="6" t="s">
        <v>1671</v>
      </c>
      <c r="N2340" s="6" t="s">
        <v>1624</v>
      </c>
      <c r="O2340" s="7">
        <f>SUMIFS('05_상품별배치367'!$K$7:$K$373,'05_상품별배치367'!$E$7:$E$373,A2340,'05_상품별배치367'!$H$7:$H$373,"본진")</f>
        <v>0</v>
      </c>
      <c r="P2340" s="7">
        <f>SUMIFS('05_상품별배치367'!$K$7:$K$373,'05_상품별배치367'!$E$7:$E$373,A2340,'05_상품별배치367'!$H$7:$H$373,"추가 진열")</f>
        <v>0</v>
      </c>
      <c r="Q2340" s="7">
        <f>O2340+P2340</f>
        <v>0</v>
      </c>
      <c r="R2340" s="7">
        <v>0</v>
      </c>
      <c r="S2340" s="6" t="s">
        <v>1672</v>
      </c>
      <c r="T2340" s="6" t="s">
        <v>1637</v>
      </c>
      <c r="U2340" s="6"/>
      <c r="V2340" s="16"/>
      <c r="W2340" s="16"/>
      <c r="X2340" s="16"/>
      <c r="Y2340" s="6" t="s">
        <v>1655</v>
      </c>
      <c r="Z2340" s="15"/>
      <c r="AA2340" s="15" t="s">
        <v>1628</v>
      </c>
    </row>
    <row r="2341" spans="1:27" ht="33" customHeight="1">
      <c r="A2341" s="8" t="s">
        <v>2227</v>
      </c>
      <c r="B2341" s="9">
        <v>214</v>
      </c>
      <c r="C2341" s="8" t="s">
        <v>2228</v>
      </c>
      <c r="D2341" s="8" t="s">
        <v>2229</v>
      </c>
      <c r="E2341" s="8" t="s">
        <v>1666</v>
      </c>
      <c r="F2341" s="8" t="s">
        <v>348</v>
      </c>
      <c r="G2341" s="8" t="s">
        <v>341</v>
      </c>
      <c r="H2341" s="8"/>
      <c r="I2341" s="14" t="s">
        <v>1642</v>
      </c>
      <c r="J2341" s="15"/>
      <c r="K2341" s="8" t="s">
        <v>1670</v>
      </c>
      <c r="L2341" s="8"/>
      <c r="M2341" s="6" t="s">
        <v>1643</v>
      </c>
      <c r="N2341" s="6" t="s">
        <v>1624</v>
      </c>
      <c r="O2341" s="7">
        <f>SUMIFS('05_상품별배치367'!$K$7:$K$373,'05_상품별배치367'!$E$7:$E$373,A2341,'05_상품별배치367'!$H$7:$H$373,"본진")</f>
        <v>0</v>
      </c>
      <c r="P2341" s="7">
        <f>SUMIFS('05_상품별배치367'!$K$7:$K$373,'05_상품별배치367'!$E$7:$E$373,A2341,'05_상품별배치367'!$H$7:$H$373,"추가 진열")</f>
        <v>0</v>
      </c>
      <c r="Q2341" s="7">
        <f>O2341+P2341</f>
        <v>0</v>
      </c>
      <c r="R2341" s="7">
        <v>1</v>
      </c>
      <c r="S2341" s="6" t="s">
        <v>2040</v>
      </c>
      <c r="T2341" s="6" t="s">
        <v>1637</v>
      </c>
      <c r="U2341" s="6"/>
      <c r="V2341" s="16"/>
      <c r="W2341" s="16"/>
      <c r="X2341" s="16"/>
      <c r="Y2341" s="6" t="s">
        <v>1655</v>
      </c>
      <c r="Z2341" s="15"/>
      <c r="AA2341" s="15" t="s">
        <v>1628</v>
      </c>
    </row>
    <row r="2342" spans="1:27" ht="33" customHeight="1">
      <c r="A2342" s="8" t="s">
        <v>2238</v>
      </c>
      <c r="B2342" s="9">
        <v>218</v>
      </c>
      <c r="C2342" s="8" t="s">
        <v>2239</v>
      </c>
      <c r="D2342" s="8" t="s">
        <v>2240</v>
      </c>
      <c r="E2342" s="8" t="s">
        <v>1666</v>
      </c>
      <c r="F2342" s="8" t="s">
        <v>520</v>
      </c>
      <c r="G2342" s="8" t="s">
        <v>463</v>
      </c>
      <c r="H2342" s="8"/>
      <c r="I2342" s="14" t="s">
        <v>1642</v>
      </c>
      <c r="J2342" s="15"/>
      <c r="K2342" s="8" t="s">
        <v>1670</v>
      </c>
      <c r="L2342" s="8"/>
      <c r="M2342" s="6" t="s">
        <v>1643</v>
      </c>
      <c r="N2342" s="6" t="s">
        <v>1624</v>
      </c>
      <c r="O2342" s="7">
        <f>SUMIFS('05_상품별배치367'!$K$7:$K$373,'05_상품별배치367'!$E$7:$E$373,A2342,'05_상품별배치367'!$H$7:$H$373,"본진")</f>
        <v>0</v>
      </c>
      <c r="P2342" s="7">
        <f>SUMIFS('05_상품별배치367'!$K$7:$K$373,'05_상품별배치367'!$E$7:$E$373,A2342,'05_상품별배치367'!$H$7:$H$373,"추가 진열")</f>
        <v>0</v>
      </c>
      <c r="Q2342" s="7">
        <f>O2342+P2342</f>
        <v>0</v>
      </c>
      <c r="R2342" s="7">
        <v>1</v>
      </c>
      <c r="S2342" s="6" t="s">
        <v>2142</v>
      </c>
      <c r="T2342" s="6" t="s">
        <v>1637</v>
      </c>
      <c r="U2342" s="6"/>
      <c r="V2342" s="16"/>
      <c r="W2342" s="16"/>
      <c r="X2342" s="16"/>
      <c r="Y2342" s="6" t="s">
        <v>1655</v>
      </c>
      <c r="Z2342" s="15"/>
      <c r="AA2342" s="15" t="s">
        <v>1628</v>
      </c>
    </row>
    <row r="2343" spans="1:27" ht="33" customHeight="1">
      <c r="A2343" s="6" t="s">
        <v>2224</v>
      </c>
      <c r="B2343" s="7">
        <v>213</v>
      </c>
      <c r="C2343" s="6" t="s">
        <v>2225</v>
      </c>
      <c r="D2343" s="6" t="s">
        <v>2226</v>
      </c>
      <c r="E2343" s="6" t="s">
        <v>1666</v>
      </c>
      <c r="F2343" s="6" t="s">
        <v>1852</v>
      </c>
      <c r="G2343" s="6" t="s">
        <v>1853</v>
      </c>
      <c r="H2343" s="6"/>
      <c r="I2343" s="14" t="s">
        <v>1669</v>
      </c>
      <c r="J2343" s="15"/>
      <c r="K2343" s="6" t="s">
        <v>1670</v>
      </c>
      <c r="L2343" s="6"/>
      <c r="M2343" s="6" t="s">
        <v>1671</v>
      </c>
      <c r="N2343" s="6" t="s">
        <v>1624</v>
      </c>
      <c r="O2343" s="7">
        <f>SUMIFS('05_상품별배치367'!$K$7:$K$373,'05_상품별배치367'!$E$7:$E$373,A2343,'05_상품별배치367'!$H$7:$H$373,"본진")</f>
        <v>0</v>
      </c>
      <c r="P2343" s="7">
        <f>SUMIFS('05_상품별배치367'!$K$7:$K$373,'05_상품별배치367'!$E$7:$E$373,A2343,'05_상품별배치367'!$H$7:$H$373,"추가 진열")</f>
        <v>0</v>
      </c>
      <c r="Q2343" s="7">
        <f>O2343+P2343</f>
        <v>0</v>
      </c>
      <c r="R2343" s="7">
        <v>0</v>
      </c>
      <c r="S2343" s="6" t="s">
        <v>1672</v>
      </c>
      <c r="T2343" s="6" t="s">
        <v>1637</v>
      </c>
      <c r="U2343" s="6"/>
      <c r="V2343" s="16"/>
      <c r="W2343" s="16"/>
      <c r="X2343" s="16"/>
      <c r="Y2343" s="6" t="s">
        <v>1655</v>
      </c>
      <c r="Z2343" s="15"/>
      <c r="AA2343" s="15" t="s">
        <v>1628</v>
      </c>
    </row>
    <row r="2344" spans="1:27" ht="33" customHeight="1">
      <c r="A2344" s="8" t="s">
        <v>2244</v>
      </c>
      <c r="B2344" s="9">
        <v>220</v>
      </c>
      <c r="C2344" s="8" t="s">
        <v>2245</v>
      </c>
      <c r="D2344" s="8" t="s">
        <v>2246</v>
      </c>
      <c r="E2344" s="8" t="s">
        <v>1620</v>
      </c>
      <c r="F2344" s="8" t="s">
        <v>1163</v>
      </c>
      <c r="G2344" s="8" t="s">
        <v>323</v>
      </c>
      <c r="H2344" s="8"/>
      <c r="I2344" s="14" t="s">
        <v>1642</v>
      </c>
      <c r="J2344" s="15"/>
      <c r="K2344" s="8" t="s">
        <v>1622</v>
      </c>
      <c r="L2344" s="8"/>
      <c r="M2344" s="6" t="s">
        <v>1643</v>
      </c>
      <c r="N2344" s="6" t="s">
        <v>1644</v>
      </c>
      <c r="O2344" s="7">
        <f>SUMIFS('05_상품별배치367'!$K$7:$K$373,'05_상품별배치367'!$E$7:$E$373,A2344,'05_상품별배치367'!$H$7:$H$373,"본진")</f>
        <v>0</v>
      </c>
      <c r="P2344" s="7">
        <f>SUMIFS('05_상품별배치367'!$K$7:$K$373,'05_상품별배치367'!$E$7:$E$373,A2344,'05_상품별배치367'!$H$7:$H$373,"추가 진열")</f>
        <v>0</v>
      </c>
      <c r="Q2344" s="7">
        <f>O2344+P2344</f>
        <v>0</v>
      </c>
      <c r="R2344" s="7">
        <v>1</v>
      </c>
      <c r="S2344" s="6" t="s">
        <v>1654</v>
      </c>
      <c r="T2344" s="6" t="s">
        <v>1637</v>
      </c>
      <c r="U2344" s="6"/>
      <c r="V2344" s="16"/>
      <c r="W2344" s="16"/>
      <c r="X2344" s="16"/>
      <c r="Y2344" s="6" t="s">
        <v>1655</v>
      </c>
      <c r="Z2344" s="15"/>
      <c r="AA2344" s="15" t="s">
        <v>1628</v>
      </c>
    </row>
    <row r="2345" spans="1:27" ht="33" customHeight="1">
      <c r="A2345" s="6" t="s">
        <v>2241</v>
      </c>
      <c r="B2345" s="7">
        <v>219</v>
      </c>
      <c r="C2345" s="6" t="s">
        <v>2242</v>
      </c>
      <c r="D2345" s="6" t="s">
        <v>2243</v>
      </c>
      <c r="E2345" s="6" t="s">
        <v>1620</v>
      </c>
      <c r="F2345" s="6" t="s">
        <v>2048</v>
      </c>
      <c r="G2345" s="6" t="s">
        <v>1668</v>
      </c>
      <c r="H2345" s="6"/>
      <c r="I2345" s="14" t="s">
        <v>1669</v>
      </c>
      <c r="J2345" s="15"/>
      <c r="K2345" s="6" t="s">
        <v>1622</v>
      </c>
      <c r="L2345" s="6"/>
      <c r="M2345" s="6" t="s">
        <v>1671</v>
      </c>
      <c r="N2345" s="6" t="s">
        <v>1624</v>
      </c>
      <c r="O2345" s="7">
        <f>SUMIFS('05_상품별배치367'!$K$7:$K$373,'05_상품별배치367'!$E$7:$E$373,A2345,'05_상품별배치367'!$H$7:$H$373,"본진")</f>
        <v>0</v>
      </c>
      <c r="P2345" s="7">
        <f>SUMIFS('05_상품별배치367'!$K$7:$K$373,'05_상품별배치367'!$E$7:$E$373,A2345,'05_상품별배치367'!$H$7:$H$373,"추가 진열")</f>
        <v>0</v>
      </c>
      <c r="Q2345" s="7">
        <f>O2345+P2345</f>
        <v>0</v>
      </c>
      <c r="R2345" s="7">
        <v>0</v>
      </c>
      <c r="S2345" s="6" t="s">
        <v>1672</v>
      </c>
      <c r="T2345" s="6" t="s">
        <v>1637</v>
      </c>
      <c r="U2345" s="6"/>
      <c r="V2345" s="16"/>
      <c r="W2345" s="16"/>
      <c r="X2345" s="16"/>
      <c r="Y2345" s="6" t="s">
        <v>1655</v>
      </c>
      <c r="Z2345" s="15"/>
      <c r="AA2345" s="15" t="s">
        <v>1628</v>
      </c>
    </row>
    <row r="2346" spans="1:27" ht="33" customHeight="1">
      <c r="A2346" s="8" t="s">
        <v>2222</v>
      </c>
      <c r="B2346" s="9">
        <v>212</v>
      </c>
      <c r="C2346" s="8" t="s">
        <v>2223</v>
      </c>
      <c r="D2346" s="8" t="s">
        <v>2116</v>
      </c>
      <c r="E2346" s="8" t="s">
        <v>1666</v>
      </c>
      <c r="F2346" s="8" t="s">
        <v>1852</v>
      </c>
      <c r="G2346" s="8" t="s">
        <v>1853</v>
      </c>
      <c r="H2346" s="8"/>
      <c r="I2346" s="14" t="s">
        <v>1669</v>
      </c>
      <c r="J2346" s="15"/>
      <c r="K2346" s="8" t="s">
        <v>1670</v>
      </c>
      <c r="L2346" s="8"/>
      <c r="M2346" s="6" t="s">
        <v>1671</v>
      </c>
      <c r="N2346" s="6" t="s">
        <v>1624</v>
      </c>
      <c r="O2346" s="7">
        <f>SUMIFS('05_상품별배치367'!$K$7:$K$373,'05_상품별배치367'!$E$7:$E$373,A2346,'05_상품별배치367'!$H$7:$H$373,"본진")</f>
        <v>0</v>
      </c>
      <c r="P2346" s="7">
        <f>SUMIFS('05_상품별배치367'!$K$7:$K$373,'05_상품별배치367'!$E$7:$E$373,A2346,'05_상품별배치367'!$H$7:$H$373,"추가 진열")</f>
        <v>0</v>
      </c>
      <c r="Q2346" s="7">
        <f>O2346+P2346</f>
        <v>0</v>
      </c>
      <c r="R2346" s="7">
        <v>0</v>
      </c>
      <c r="S2346" s="6" t="s">
        <v>1672</v>
      </c>
      <c r="T2346" s="6" t="s">
        <v>1637</v>
      </c>
      <c r="U2346" s="6"/>
      <c r="V2346" s="16"/>
      <c r="W2346" s="16"/>
      <c r="X2346" s="16"/>
      <c r="Y2346" s="6" t="s">
        <v>1655</v>
      </c>
      <c r="Z2346" s="15"/>
      <c r="AA2346" s="15" t="s">
        <v>1628</v>
      </c>
    </row>
    <row r="2347" spans="1:27" ht="33" customHeight="1">
      <c r="A2347" s="6" t="s">
        <v>2235</v>
      </c>
      <c r="B2347" s="7">
        <v>217</v>
      </c>
      <c r="C2347" s="6" t="s">
        <v>2236</v>
      </c>
      <c r="D2347" s="6" t="s">
        <v>2237</v>
      </c>
      <c r="E2347" s="6" t="s">
        <v>1620</v>
      </c>
      <c r="F2347" s="6" t="s">
        <v>151</v>
      </c>
      <c r="G2347" s="6" t="s">
        <v>349</v>
      </c>
      <c r="H2347" s="6"/>
      <c r="I2347" s="14" t="s">
        <v>1642</v>
      </c>
      <c r="J2347" s="15"/>
      <c r="K2347" s="6" t="s">
        <v>1622</v>
      </c>
      <c r="L2347" s="6"/>
      <c r="M2347" s="6" t="s">
        <v>1643</v>
      </c>
      <c r="N2347" s="6" t="s">
        <v>1644</v>
      </c>
      <c r="O2347" s="7">
        <f>SUMIFS('05_상품별배치367'!$K$7:$K$373,'05_상품별배치367'!$E$7:$E$373,A2347,'05_상품별배치367'!$H$7:$H$373,"본진")</f>
        <v>0</v>
      </c>
      <c r="P2347" s="7">
        <f>SUMIFS('05_상품별배치367'!$K$7:$K$373,'05_상품별배치367'!$E$7:$E$373,A2347,'05_상품별배치367'!$H$7:$H$373,"추가 진열")</f>
        <v>0</v>
      </c>
      <c r="Q2347" s="7">
        <f>O2347+P2347</f>
        <v>0</v>
      </c>
      <c r="R2347" s="7">
        <v>1</v>
      </c>
      <c r="S2347" s="6" t="s">
        <v>1676</v>
      </c>
      <c r="T2347" s="6" t="s">
        <v>1637</v>
      </c>
      <c r="U2347" s="6"/>
      <c r="V2347" s="16"/>
      <c r="W2347" s="16"/>
      <c r="X2347" s="16"/>
      <c r="Y2347" s="6" t="s">
        <v>1655</v>
      </c>
      <c r="Z2347" s="15"/>
      <c r="AA2347" s="15" t="s">
        <v>1628</v>
      </c>
    </row>
    <row r="2348" spans="1:27" ht="33" customHeight="1">
      <c r="A2348" s="8" t="s">
        <v>6476</v>
      </c>
      <c r="B2348" s="9">
        <v>2154</v>
      </c>
      <c r="C2348" s="8" t="s">
        <v>6477</v>
      </c>
      <c r="D2348" s="8" t="s">
        <v>2701</v>
      </c>
      <c r="E2348" s="8" t="s">
        <v>1695</v>
      </c>
      <c r="F2348" s="8" t="s">
        <v>482</v>
      </c>
      <c r="G2348" s="8" t="s">
        <v>272</v>
      </c>
      <c r="H2348" s="8"/>
      <c r="I2348" s="14" t="s">
        <v>1642</v>
      </c>
      <c r="J2348" s="15"/>
      <c r="K2348" s="8" t="s">
        <v>1696</v>
      </c>
      <c r="L2348" s="8"/>
      <c r="M2348" s="6" t="s">
        <v>1643</v>
      </c>
      <c r="N2348" s="6" t="s">
        <v>1644</v>
      </c>
      <c r="O2348" s="7">
        <f>SUMIFS('05_상품별배치367'!$K$7:$K$373,'05_상품별배치367'!$E$7:$E$373,A2348,'05_상품별배치367'!$H$7:$H$373,"본진")</f>
        <v>0</v>
      </c>
      <c r="P2348" s="7">
        <f>SUMIFS('05_상품별배치367'!$K$7:$K$373,'05_상품별배치367'!$E$7:$E$373,A2348,'05_상품별배치367'!$H$7:$H$373,"추가 진열")</f>
        <v>0</v>
      </c>
      <c r="Q2348" s="7">
        <f>O2348+P2348</f>
        <v>0</v>
      </c>
      <c r="R2348" s="7">
        <v>1</v>
      </c>
      <c r="S2348" s="6" t="s">
        <v>1942</v>
      </c>
      <c r="T2348" s="6" t="s">
        <v>1637</v>
      </c>
      <c r="U2348" s="6"/>
      <c r="V2348" s="16"/>
      <c r="W2348" s="16"/>
      <c r="X2348" s="16"/>
      <c r="Y2348" s="6" t="s">
        <v>1627</v>
      </c>
      <c r="Z2348" s="15"/>
      <c r="AA2348" s="15" t="s">
        <v>1628</v>
      </c>
    </row>
    <row r="2349" spans="1:27" ht="33" customHeight="1">
      <c r="A2349" s="6" t="s">
        <v>6478</v>
      </c>
      <c r="B2349" s="7">
        <v>2155</v>
      </c>
      <c r="C2349" s="6" t="s">
        <v>6479</v>
      </c>
      <c r="D2349" s="6" t="s">
        <v>2701</v>
      </c>
      <c r="E2349" s="6" t="s">
        <v>1695</v>
      </c>
      <c r="F2349" s="6" t="s">
        <v>954</v>
      </c>
      <c r="G2349" s="6" t="s">
        <v>219</v>
      </c>
      <c r="H2349" s="6"/>
      <c r="I2349" s="14" t="s">
        <v>1642</v>
      </c>
      <c r="J2349" s="15"/>
      <c r="K2349" s="6" t="s">
        <v>1696</v>
      </c>
      <c r="L2349" s="6"/>
      <c r="M2349" s="6" t="s">
        <v>1643</v>
      </c>
      <c r="N2349" s="6" t="s">
        <v>1644</v>
      </c>
      <c r="O2349" s="7">
        <f>SUMIFS('05_상품별배치367'!$K$7:$K$373,'05_상품별배치367'!$E$7:$E$373,A2349,'05_상품별배치367'!$H$7:$H$373,"본진")</f>
        <v>0</v>
      </c>
      <c r="P2349" s="7">
        <f>SUMIFS('05_상품별배치367'!$K$7:$K$373,'05_상품별배치367'!$E$7:$E$373,A2349,'05_상품별배치367'!$H$7:$H$373,"추가 진열")</f>
        <v>0</v>
      </c>
      <c r="Q2349" s="7">
        <f>O2349+P2349</f>
        <v>0</v>
      </c>
      <c r="R2349" s="7">
        <v>1</v>
      </c>
      <c r="S2349" s="6" t="s">
        <v>2884</v>
      </c>
      <c r="T2349" s="6" t="s">
        <v>1637</v>
      </c>
      <c r="U2349" s="6"/>
      <c r="V2349" s="16"/>
      <c r="W2349" s="16"/>
      <c r="X2349" s="16"/>
      <c r="Y2349" s="6" t="s">
        <v>1627</v>
      </c>
      <c r="Z2349" s="15"/>
      <c r="AA2349" s="15" t="s">
        <v>1628</v>
      </c>
    </row>
    <row r="2350" spans="1:27" ht="33" customHeight="1">
      <c r="A2350" s="8" t="s">
        <v>6480</v>
      </c>
      <c r="B2350" s="9">
        <v>2156</v>
      </c>
      <c r="C2350" s="8" t="s">
        <v>6481</v>
      </c>
      <c r="D2350" s="8" t="s">
        <v>2701</v>
      </c>
      <c r="E2350" s="8" t="s">
        <v>1695</v>
      </c>
      <c r="F2350" s="8" t="s">
        <v>954</v>
      </c>
      <c r="G2350" s="8" t="s">
        <v>219</v>
      </c>
      <c r="H2350" s="8"/>
      <c r="I2350" s="14" t="s">
        <v>1642</v>
      </c>
      <c r="J2350" s="15"/>
      <c r="K2350" s="8" t="s">
        <v>1696</v>
      </c>
      <c r="L2350" s="8"/>
      <c r="M2350" s="6" t="s">
        <v>1643</v>
      </c>
      <c r="N2350" s="6" t="s">
        <v>1644</v>
      </c>
      <c r="O2350" s="7">
        <f>SUMIFS('05_상품별배치367'!$K$7:$K$373,'05_상품별배치367'!$E$7:$E$373,A2350,'05_상품별배치367'!$H$7:$H$373,"본진")</f>
        <v>0</v>
      </c>
      <c r="P2350" s="7">
        <f>SUMIFS('05_상품별배치367'!$K$7:$K$373,'05_상품별배치367'!$E$7:$E$373,A2350,'05_상품별배치367'!$H$7:$H$373,"추가 진열")</f>
        <v>0</v>
      </c>
      <c r="Q2350" s="7">
        <f>O2350+P2350</f>
        <v>0</v>
      </c>
      <c r="R2350" s="7">
        <v>1</v>
      </c>
      <c r="S2350" s="6" t="s">
        <v>2884</v>
      </c>
      <c r="T2350" s="6" t="s">
        <v>1637</v>
      </c>
      <c r="U2350" s="6"/>
      <c r="V2350" s="16"/>
      <c r="W2350" s="16"/>
      <c r="X2350" s="16"/>
      <c r="Y2350" s="6" t="s">
        <v>1627</v>
      </c>
      <c r="Z2350" s="15"/>
      <c r="AA2350" s="15" t="s">
        <v>1628</v>
      </c>
    </row>
    <row r="2351" spans="1:27" ht="33" customHeight="1">
      <c r="A2351" s="6" t="s">
        <v>6482</v>
      </c>
      <c r="B2351" s="7">
        <v>2157</v>
      </c>
      <c r="C2351" s="6" t="s">
        <v>6483</v>
      </c>
      <c r="D2351" s="6" t="s">
        <v>2701</v>
      </c>
      <c r="E2351" s="6" t="s">
        <v>1695</v>
      </c>
      <c r="F2351" s="6" t="s">
        <v>1129</v>
      </c>
      <c r="G2351" s="6" t="s">
        <v>307</v>
      </c>
      <c r="H2351" s="6"/>
      <c r="I2351" s="14" t="s">
        <v>1642</v>
      </c>
      <c r="J2351" s="15"/>
      <c r="K2351" s="6" t="s">
        <v>1696</v>
      </c>
      <c r="L2351" s="6"/>
      <c r="M2351" s="6" t="s">
        <v>1643</v>
      </c>
      <c r="N2351" s="6" t="s">
        <v>1644</v>
      </c>
      <c r="O2351" s="7">
        <f>SUMIFS('05_상품별배치367'!$K$7:$K$373,'05_상품별배치367'!$E$7:$E$373,A2351,'05_상품별배치367'!$H$7:$H$373,"본진")</f>
        <v>0</v>
      </c>
      <c r="P2351" s="7">
        <f>SUMIFS('05_상품별배치367'!$K$7:$K$373,'05_상품별배치367'!$E$7:$E$373,A2351,'05_상품별배치367'!$H$7:$H$373,"추가 진열")</f>
        <v>0</v>
      </c>
      <c r="Q2351" s="7">
        <f>O2351+P2351</f>
        <v>0</v>
      </c>
      <c r="R2351" s="7">
        <v>1</v>
      </c>
      <c r="S2351" s="6" t="s">
        <v>2850</v>
      </c>
      <c r="T2351" s="6" t="s">
        <v>1637</v>
      </c>
      <c r="U2351" s="6"/>
      <c r="V2351" s="16"/>
      <c r="W2351" s="16"/>
      <c r="X2351" s="16"/>
      <c r="Y2351" s="6" t="s">
        <v>1627</v>
      </c>
      <c r="Z2351" s="15"/>
      <c r="AA2351" s="15" t="s">
        <v>1628</v>
      </c>
    </row>
    <row r="2352" spans="1:27" ht="33" customHeight="1">
      <c r="A2352" s="8" t="s">
        <v>6484</v>
      </c>
      <c r="B2352" s="9">
        <v>2158</v>
      </c>
      <c r="C2352" s="8" t="s">
        <v>6485</v>
      </c>
      <c r="D2352" s="8" t="s">
        <v>2701</v>
      </c>
      <c r="E2352" s="8" t="s">
        <v>1695</v>
      </c>
      <c r="F2352" s="8" t="s">
        <v>2846</v>
      </c>
      <c r="G2352" s="8" t="s">
        <v>1668</v>
      </c>
      <c r="H2352" s="8"/>
      <c r="I2352" s="14" t="s">
        <v>1669</v>
      </c>
      <c r="J2352" s="15"/>
      <c r="K2352" s="8" t="s">
        <v>1696</v>
      </c>
      <c r="L2352" s="8"/>
      <c r="M2352" s="6" t="s">
        <v>1671</v>
      </c>
      <c r="N2352" s="6" t="s">
        <v>1644</v>
      </c>
      <c r="O2352" s="7">
        <f>SUMIFS('05_상품별배치367'!$K$7:$K$373,'05_상품별배치367'!$E$7:$E$373,A2352,'05_상품별배치367'!$H$7:$H$373,"본진")</f>
        <v>0</v>
      </c>
      <c r="P2352" s="7">
        <f>SUMIFS('05_상품별배치367'!$K$7:$K$373,'05_상품별배치367'!$E$7:$E$373,A2352,'05_상품별배치367'!$H$7:$H$373,"추가 진열")</f>
        <v>0</v>
      </c>
      <c r="Q2352" s="7">
        <f>O2352+P2352</f>
        <v>0</v>
      </c>
      <c r="R2352" s="7">
        <v>0</v>
      </c>
      <c r="S2352" s="6" t="s">
        <v>1672</v>
      </c>
      <c r="T2352" s="6" t="s">
        <v>1637</v>
      </c>
      <c r="U2352" s="6"/>
      <c r="V2352" s="16"/>
      <c r="W2352" s="16"/>
      <c r="X2352" s="16"/>
      <c r="Y2352" s="6" t="s">
        <v>1627</v>
      </c>
      <c r="Z2352" s="15"/>
      <c r="AA2352" s="15" t="s">
        <v>1628</v>
      </c>
    </row>
    <row r="2353" spans="1:27" ht="33" customHeight="1">
      <c r="A2353" s="6" t="s">
        <v>6486</v>
      </c>
      <c r="B2353" s="7">
        <v>2159</v>
      </c>
      <c r="C2353" s="6" t="s">
        <v>6487</v>
      </c>
      <c r="D2353" s="6" t="s">
        <v>2133</v>
      </c>
      <c r="E2353" s="6" t="s">
        <v>1695</v>
      </c>
      <c r="F2353" s="6" t="s">
        <v>1049</v>
      </c>
      <c r="G2353" s="6" t="s">
        <v>272</v>
      </c>
      <c r="H2353" s="6"/>
      <c r="I2353" s="14" t="s">
        <v>1642</v>
      </c>
      <c r="J2353" s="15"/>
      <c r="K2353" s="6" t="s">
        <v>1696</v>
      </c>
      <c r="L2353" s="6"/>
      <c r="M2353" s="6" t="s">
        <v>1643</v>
      </c>
      <c r="N2353" s="6" t="s">
        <v>1644</v>
      </c>
      <c r="O2353" s="7">
        <f>SUMIFS('05_상품별배치367'!$K$7:$K$373,'05_상품별배치367'!$E$7:$E$373,A2353,'05_상품별배치367'!$H$7:$H$373,"본진")</f>
        <v>0</v>
      </c>
      <c r="P2353" s="7">
        <f>SUMIFS('05_상품별배치367'!$K$7:$K$373,'05_상품별배치367'!$E$7:$E$373,A2353,'05_상품별배치367'!$H$7:$H$373,"추가 진열")</f>
        <v>0</v>
      </c>
      <c r="Q2353" s="7">
        <f>O2353+P2353</f>
        <v>0</v>
      </c>
      <c r="R2353" s="7">
        <v>1</v>
      </c>
      <c r="S2353" s="6" t="s">
        <v>2902</v>
      </c>
      <c r="T2353" s="6" t="s">
        <v>1637</v>
      </c>
      <c r="U2353" s="6"/>
      <c r="V2353" s="16"/>
      <c r="W2353" s="16"/>
      <c r="X2353" s="16"/>
      <c r="Y2353" s="6" t="s">
        <v>1627</v>
      </c>
      <c r="Z2353" s="15"/>
      <c r="AA2353" s="15" t="s">
        <v>1628</v>
      </c>
    </row>
    <row r="2354" spans="1:27" ht="33" customHeight="1">
      <c r="A2354" s="8" t="s">
        <v>6488</v>
      </c>
      <c r="B2354" s="9">
        <v>2160</v>
      </c>
      <c r="C2354" s="8" t="s">
        <v>6489</v>
      </c>
      <c r="D2354" s="8" t="s">
        <v>2133</v>
      </c>
      <c r="E2354" s="8" t="s">
        <v>1695</v>
      </c>
      <c r="F2354" s="8" t="s">
        <v>1049</v>
      </c>
      <c r="G2354" s="8" t="s">
        <v>272</v>
      </c>
      <c r="H2354" s="8"/>
      <c r="I2354" s="14" t="s">
        <v>1642</v>
      </c>
      <c r="J2354" s="15"/>
      <c r="K2354" s="8" t="s">
        <v>1696</v>
      </c>
      <c r="L2354" s="8"/>
      <c r="M2354" s="6" t="s">
        <v>1643</v>
      </c>
      <c r="N2354" s="6" t="s">
        <v>1644</v>
      </c>
      <c r="O2354" s="7">
        <f>SUMIFS('05_상품별배치367'!$K$7:$K$373,'05_상품별배치367'!$E$7:$E$373,A2354,'05_상품별배치367'!$H$7:$H$373,"본진")</f>
        <v>0</v>
      </c>
      <c r="P2354" s="7">
        <f>SUMIFS('05_상품별배치367'!$K$7:$K$373,'05_상품별배치367'!$E$7:$E$373,A2354,'05_상품별배치367'!$H$7:$H$373,"추가 진열")</f>
        <v>0</v>
      </c>
      <c r="Q2354" s="7">
        <f>O2354+P2354</f>
        <v>0</v>
      </c>
      <c r="R2354" s="7">
        <v>1</v>
      </c>
      <c r="S2354" s="6" t="s">
        <v>2902</v>
      </c>
      <c r="T2354" s="6" t="s">
        <v>1637</v>
      </c>
      <c r="U2354" s="6"/>
      <c r="V2354" s="16"/>
      <c r="W2354" s="16"/>
      <c r="X2354" s="16"/>
      <c r="Y2354" s="6" t="s">
        <v>1627</v>
      </c>
      <c r="Z2354" s="15"/>
      <c r="AA2354" s="15" t="s">
        <v>1628</v>
      </c>
    </row>
    <row r="2355" spans="1:27" ht="33" customHeight="1">
      <c r="A2355" s="6" t="s">
        <v>6490</v>
      </c>
      <c r="B2355" s="7">
        <v>2161</v>
      </c>
      <c r="C2355" s="6" t="s">
        <v>6491</v>
      </c>
      <c r="D2355" s="6" t="s">
        <v>2133</v>
      </c>
      <c r="E2355" s="6" t="s">
        <v>1695</v>
      </c>
      <c r="F2355" s="6" t="s">
        <v>1049</v>
      </c>
      <c r="G2355" s="6" t="s">
        <v>272</v>
      </c>
      <c r="H2355" s="6"/>
      <c r="I2355" s="14" t="s">
        <v>1642</v>
      </c>
      <c r="J2355" s="15"/>
      <c r="K2355" s="6" t="s">
        <v>1696</v>
      </c>
      <c r="L2355" s="6"/>
      <c r="M2355" s="6" t="s">
        <v>1643</v>
      </c>
      <c r="N2355" s="6" t="s">
        <v>1644</v>
      </c>
      <c r="O2355" s="7">
        <f>SUMIFS('05_상품별배치367'!$K$7:$K$373,'05_상품별배치367'!$E$7:$E$373,A2355,'05_상품별배치367'!$H$7:$H$373,"본진")</f>
        <v>0</v>
      </c>
      <c r="P2355" s="7">
        <f>SUMIFS('05_상품별배치367'!$K$7:$K$373,'05_상품별배치367'!$E$7:$E$373,A2355,'05_상품별배치367'!$H$7:$H$373,"추가 진열")</f>
        <v>0</v>
      </c>
      <c r="Q2355" s="7">
        <f>O2355+P2355</f>
        <v>0</v>
      </c>
      <c r="R2355" s="7">
        <v>1</v>
      </c>
      <c r="S2355" s="6" t="s">
        <v>2902</v>
      </c>
      <c r="T2355" s="6" t="s">
        <v>1637</v>
      </c>
      <c r="U2355" s="6"/>
      <c r="V2355" s="16"/>
      <c r="W2355" s="16"/>
      <c r="X2355" s="16"/>
      <c r="Y2355" s="6" t="s">
        <v>1627</v>
      </c>
      <c r="Z2355" s="15"/>
      <c r="AA2355" s="15" t="s">
        <v>1628</v>
      </c>
    </row>
    <row r="2356" spans="1:27" ht="33" customHeight="1">
      <c r="A2356" s="8" t="s">
        <v>6492</v>
      </c>
      <c r="B2356" s="9">
        <v>2162</v>
      </c>
      <c r="C2356" s="8" t="s">
        <v>6493</v>
      </c>
      <c r="D2356" s="8" t="s">
        <v>2133</v>
      </c>
      <c r="E2356" s="8" t="s">
        <v>1695</v>
      </c>
      <c r="F2356" s="8" t="s">
        <v>1049</v>
      </c>
      <c r="G2356" s="8" t="s">
        <v>272</v>
      </c>
      <c r="H2356" s="8"/>
      <c r="I2356" s="14" t="s">
        <v>1642</v>
      </c>
      <c r="J2356" s="15"/>
      <c r="K2356" s="8" t="s">
        <v>1696</v>
      </c>
      <c r="L2356" s="8"/>
      <c r="M2356" s="6" t="s">
        <v>1643</v>
      </c>
      <c r="N2356" s="6" t="s">
        <v>1644</v>
      </c>
      <c r="O2356" s="7">
        <f>SUMIFS('05_상품별배치367'!$K$7:$K$373,'05_상품별배치367'!$E$7:$E$373,A2356,'05_상품별배치367'!$H$7:$H$373,"본진")</f>
        <v>0</v>
      </c>
      <c r="P2356" s="7">
        <f>SUMIFS('05_상품별배치367'!$K$7:$K$373,'05_상품별배치367'!$E$7:$E$373,A2356,'05_상품별배치367'!$H$7:$H$373,"추가 진열")</f>
        <v>0</v>
      </c>
      <c r="Q2356" s="7">
        <f>O2356+P2356</f>
        <v>0</v>
      </c>
      <c r="R2356" s="7">
        <v>1</v>
      </c>
      <c r="S2356" s="6" t="s">
        <v>2902</v>
      </c>
      <c r="T2356" s="6" t="s">
        <v>1637</v>
      </c>
      <c r="U2356" s="6"/>
      <c r="V2356" s="16"/>
      <c r="W2356" s="16"/>
      <c r="X2356" s="16"/>
      <c r="Y2356" s="6" t="s">
        <v>1627</v>
      </c>
      <c r="Z2356" s="15"/>
      <c r="AA2356" s="15" t="s">
        <v>1628</v>
      </c>
    </row>
    <row r="2357" spans="1:27" ht="33" customHeight="1">
      <c r="A2357" s="6" t="s">
        <v>6494</v>
      </c>
      <c r="B2357" s="7">
        <v>2163</v>
      </c>
      <c r="C2357" s="6" t="s">
        <v>6495</v>
      </c>
      <c r="D2357" s="6" t="s">
        <v>2133</v>
      </c>
      <c r="E2357" s="6" t="s">
        <v>1695</v>
      </c>
      <c r="F2357" s="6" t="s">
        <v>1049</v>
      </c>
      <c r="G2357" s="6" t="s">
        <v>272</v>
      </c>
      <c r="H2357" s="6"/>
      <c r="I2357" s="14" t="s">
        <v>1642</v>
      </c>
      <c r="J2357" s="15"/>
      <c r="K2357" s="6" t="s">
        <v>1696</v>
      </c>
      <c r="L2357" s="6"/>
      <c r="M2357" s="6" t="s">
        <v>1643</v>
      </c>
      <c r="N2357" s="6" t="s">
        <v>1644</v>
      </c>
      <c r="O2357" s="7">
        <f>SUMIFS('05_상품별배치367'!$K$7:$K$373,'05_상품별배치367'!$E$7:$E$373,A2357,'05_상품별배치367'!$H$7:$H$373,"본진")</f>
        <v>0</v>
      </c>
      <c r="P2357" s="7">
        <f>SUMIFS('05_상품별배치367'!$K$7:$K$373,'05_상품별배치367'!$E$7:$E$373,A2357,'05_상품별배치367'!$H$7:$H$373,"추가 진열")</f>
        <v>0</v>
      </c>
      <c r="Q2357" s="7">
        <f>O2357+P2357</f>
        <v>0</v>
      </c>
      <c r="R2357" s="7">
        <v>1</v>
      </c>
      <c r="S2357" s="6" t="s">
        <v>2902</v>
      </c>
      <c r="T2357" s="6" t="s">
        <v>1637</v>
      </c>
      <c r="U2357" s="6"/>
      <c r="V2357" s="16"/>
      <c r="W2357" s="16"/>
      <c r="X2357" s="16"/>
      <c r="Y2357" s="6" t="s">
        <v>1627</v>
      </c>
      <c r="Z2357" s="15"/>
      <c r="AA2357" s="15" t="s">
        <v>1628</v>
      </c>
    </row>
    <row r="2358" spans="1:27" ht="33" customHeight="1">
      <c r="A2358" s="8" t="s">
        <v>6496</v>
      </c>
      <c r="B2358" s="9">
        <v>2164</v>
      </c>
      <c r="C2358" s="8" t="s">
        <v>6497</v>
      </c>
      <c r="D2358" s="8" t="s">
        <v>1724</v>
      </c>
      <c r="E2358" s="8" t="s">
        <v>1666</v>
      </c>
      <c r="F2358" s="8" t="s">
        <v>1852</v>
      </c>
      <c r="G2358" s="8" t="s">
        <v>1853</v>
      </c>
      <c r="H2358" s="8"/>
      <c r="I2358" s="14" t="s">
        <v>1669</v>
      </c>
      <c r="J2358" s="15"/>
      <c r="K2358" s="8" t="s">
        <v>1670</v>
      </c>
      <c r="L2358" s="8"/>
      <c r="M2358" s="6" t="s">
        <v>1671</v>
      </c>
      <c r="N2358" s="6" t="s">
        <v>1644</v>
      </c>
      <c r="O2358" s="7">
        <f>SUMIFS('05_상품별배치367'!$K$7:$K$373,'05_상품별배치367'!$E$7:$E$373,A2358,'05_상품별배치367'!$H$7:$H$373,"본진")</f>
        <v>0</v>
      </c>
      <c r="P2358" s="7">
        <f>SUMIFS('05_상품별배치367'!$K$7:$K$373,'05_상품별배치367'!$E$7:$E$373,A2358,'05_상품별배치367'!$H$7:$H$373,"추가 진열")</f>
        <v>0</v>
      </c>
      <c r="Q2358" s="7">
        <f>O2358+P2358</f>
        <v>0</v>
      </c>
      <c r="R2358" s="7">
        <v>0</v>
      </c>
      <c r="S2358" s="6" t="s">
        <v>1672</v>
      </c>
      <c r="T2358" s="6" t="s">
        <v>1637</v>
      </c>
      <c r="U2358" s="6"/>
      <c r="V2358" s="16"/>
      <c r="W2358" s="16"/>
      <c r="X2358" s="16"/>
      <c r="Y2358" s="6" t="s">
        <v>1627</v>
      </c>
      <c r="Z2358" s="15"/>
      <c r="AA2358" s="15" t="s">
        <v>1628</v>
      </c>
    </row>
    <row r="2359" spans="1:27" ht="33" customHeight="1">
      <c r="A2359" s="8" t="s">
        <v>5970</v>
      </c>
      <c r="B2359" s="9">
        <v>1936</v>
      </c>
      <c r="C2359" s="8" t="s">
        <v>5971</v>
      </c>
      <c r="D2359" s="8" t="s">
        <v>5833</v>
      </c>
      <c r="E2359" s="8" t="s">
        <v>1814</v>
      </c>
      <c r="F2359" s="8" t="s">
        <v>716</v>
      </c>
      <c r="G2359" s="8" t="s">
        <v>107</v>
      </c>
      <c r="H2359" s="8" t="s">
        <v>715</v>
      </c>
      <c r="I2359" s="14" t="s">
        <v>1633</v>
      </c>
      <c r="J2359" s="15"/>
      <c r="K2359" s="8" t="s">
        <v>1634</v>
      </c>
      <c r="L2359" s="8" t="s">
        <v>3828</v>
      </c>
      <c r="M2359" s="6" t="s">
        <v>1635</v>
      </c>
      <c r="N2359" s="6" t="s">
        <v>1624</v>
      </c>
      <c r="O2359" s="7">
        <f>SUMIFS('05_상품별배치367'!$K$7:$K$373,'05_상품별배치367'!$E$7:$E$373,A2359,'05_상품별배치367'!$H$7:$H$373,"본진")</f>
        <v>1</v>
      </c>
      <c r="P2359" s="7">
        <f>SUMIFS('05_상품별배치367'!$K$7:$K$373,'05_상품별배치367'!$E$7:$E$373,A2359,'05_상품별배치367'!$H$7:$H$373,"추가 진열")</f>
        <v>0</v>
      </c>
      <c r="Q2359" s="7">
        <f>O2359+P2359</f>
        <v>1</v>
      </c>
      <c r="R2359" s="7">
        <v>1</v>
      </c>
      <c r="S2359" s="6" t="s">
        <v>1636</v>
      </c>
      <c r="T2359" s="6" t="s">
        <v>1637</v>
      </c>
      <c r="U2359" s="6"/>
      <c r="V2359" s="16"/>
      <c r="W2359" s="16"/>
      <c r="X2359" s="16"/>
      <c r="Y2359" s="6" t="s">
        <v>1627</v>
      </c>
      <c r="Z2359" s="15"/>
      <c r="AA2359" s="15" t="s">
        <v>1628</v>
      </c>
    </row>
    <row r="2360" spans="1:27" ht="33" customHeight="1">
      <c r="A2360" s="8" t="s">
        <v>5947</v>
      </c>
      <c r="B2360" s="9">
        <v>1926</v>
      </c>
      <c r="C2360" s="8" t="s">
        <v>5948</v>
      </c>
      <c r="D2360" s="8" t="s">
        <v>1724</v>
      </c>
      <c r="E2360" s="8" t="s">
        <v>1814</v>
      </c>
      <c r="F2360" s="8" t="s">
        <v>716</v>
      </c>
      <c r="G2360" s="8" t="s">
        <v>107</v>
      </c>
      <c r="H2360" s="8" t="s">
        <v>715</v>
      </c>
      <c r="I2360" s="14" t="s">
        <v>1621</v>
      </c>
      <c r="J2360" s="15"/>
      <c r="K2360" s="8" t="s">
        <v>1634</v>
      </c>
      <c r="L2360" s="8" t="s">
        <v>3828</v>
      </c>
      <c r="M2360" s="6" t="s">
        <v>1623</v>
      </c>
      <c r="N2360" s="6" t="s">
        <v>1624</v>
      </c>
      <c r="O2360" s="7">
        <f>SUMIFS('05_상품별배치367'!$K$7:$K$373,'05_상품별배치367'!$E$7:$E$373,A2360,'05_상품별배치367'!$H$7:$H$373,"본진")</f>
        <v>1</v>
      </c>
      <c r="P2360" s="7">
        <f>SUMIFS('05_상품별배치367'!$K$7:$K$373,'05_상품별배치367'!$E$7:$E$373,A2360,'05_상품별배치367'!$H$7:$H$373,"추가 진열")</f>
        <v>0</v>
      </c>
      <c r="Q2360" s="7">
        <f>O2360+P2360</f>
        <v>1</v>
      </c>
      <c r="R2360" s="7">
        <v>1</v>
      </c>
      <c r="S2360" s="6" t="s">
        <v>1625</v>
      </c>
      <c r="T2360" s="6" t="s">
        <v>1637</v>
      </c>
      <c r="U2360" s="6"/>
      <c r="V2360" s="16"/>
      <c r="W2360" s="16"/>
      <c r="X2360" s="16"/>
      <c r="Y2360" s="6" t="s">
        <v>1627</v>
      </c>
      <c r="Z2360" s="15"/>
      <c r="AA2360" s="15" t="s">
        <v>1628</v>
      </c>
    </row>
    <row r="2361" spans="1:27" ht="33" customHeight="1">
      <c r="A2361" s="6" t="s">
        <v>5451</v>
      </c>
      <c r="B2361" s="7">
        <v>1689</v>
      </c>
      <c r="C2361" s="6" t="s">
        <v>5452</v>
      </c>
      <c r="D2361" s="6" t="s">
        <v>1851</v>
      </c>
      <c r="E2361" s="6" t="s">
        <v>2134</v>
      </c>
      <c r="F2361" s="6" t="s">
        <v>2933</v>
      </c>
      <c r="G2361" s="6" t="s">
        <v>1668</v>
      </c>
      <c r="H2361" s="6"/>
      <c r="I2361" s="14" t="s">
        <v>1807</v>
      </c>
      <c r="J2361" s="15"/>
      <c r="K2361" s="6" t="s">
        <v>1976</v>
      </c>
      <c r="L2361" s="6" t="s">
        <v>2032</v>
      </c>
      <c r="M2361" s="6" t="s">
        <v>1809</v>
      </c>
      <c r="N2361" s="6" t="s">
        <v>1644</v>
      </c>
      <c r="O2361" s="7">
        <f>SUMIFS('05_상품별배치367'!$K$7:$K$373,'05_상품별배치367'!$E$7:$E$373,A2361,'05_상품별배치367'!$H$7:$H$373,"본진")</f>
        <v>0</v>
      </c>
      <c r="P2361" s="7">
        <f>SUMIFS('05_상품별배치367'!$K$7:$K$373,'05_상품별배치367'!$E$7:$E$373,A2361,'05_상품별배치367'!$H$7:$H$373,"추가 진열")</f>
        <v>0</v>
      </c>
      <c r="Q2361" s="7">
        <f>O2361+P2361</f>
        <v>0</v>
      </c>
      <c r="R2361" s="7">
        <v>0</v>
      </c>
      <c r="S2361" s="6" t="s">
        <v>1810</v>
      </c>
      <c r="T2361" s="6" t="s">
        <v>1637</v>
      </c>
      <c r="U2361" s="6"/>
      <c r="V2361" s="16"/>
      <c r="W2361" s="16"/>
      <c r="X2361" s="16"/>
      <c r="Y2361" s="6" t="s">
        <v>1627</v>
      </c>
      <c r="Z2361" s="15"/>
      <c r="AA2361" s="15" t="s">
        <v>1628</v>
      </c>
    </row>
    <row r="2362" spans="1:27" ht="33" customHeight="1">
      <c r="A2362" s="8" t="s">
        <v>5449</v>
      </c>
      <c r="B2362" s="9">
        <v>1688</v>
      </c>
      <c r="C2362" s="8" t="s">
        <v>5450</v>
      </c>
      <c r="D2362" s="8" t="s">
        <v>2133</v>
      </c>
      <c r="E2362" s="8" t="s">
        <v>2134</v>
      </c>
      <c r="F2362" s="8" t="s">
        <v>1081</v>
      </c>
      <c r="G2362" s="8" t="s">
        <v>290</v>
      </c>
      <c r="H2362" s="8"/>
      <c r="I2362" s="14" t="s">
        <v>1642</v>
      </c>
      <c r="J2362" s="15"/>
      <c r="K2362" s="8" t="s">
        <v>1976</v>
      </c>
      <c r="L2362" s="8"/>
      <c r="M2362" s="6" t="s">
        <v>1643</v>
      </c>
      <c r="N2362" s="6" t="s">
        <v>1644</v>
      </c>
      <c r="O2362" s="7">
        <f>SUMIFS('05_상품별배치367'!$K$7:$K$373,'05_상품별배치367'!$E$7:$E$373,A2362,'05_상품별배치367'!$H$7:$H$373,"본진")</f>
        <v>0</v>
      </c>
      <c r="P2362" s="7">
        <f>SUMIFS('05_상품별배치367'!$K$7:$K$373,'05_상품별배치367'!$E$7:$E$373,A2362,'05_상품별배치367'!$H$7:$H$373,"추가 진열")</f>
        <v>0</v>
      </c>
      <c r="Q2362" s="7">
        <f>O2362+P2362</f>
        <v>0</v>
      </c>
      <c r="R2362" s="7">
        <v>1</v>
      </c>
      <c r="S2362" s="6" t="s">
        <v>2135</v>
      </c>
      <c r="T2362" s="6" t="s">
        <v>1637</v>
      </c>
      <c r="U2362" s="6"/>
      <c r="V2362" s="16"/>
      <c r="W2362" s="16"/>
      <c r="X2362" s="16"/>
      <c r="Y2362" s="6" t="s">
        <v>1627</v>
      </c>
      <c r="Z2362" s="15"/>
      <c r="AA2362" s="15" t="s">
        <v>1628</v>
      </c>
    </row>
    <row r="2363" spans="1:27" ht="33" customHeight="1">
      <c r="A2363" s="8" t="s">
        <v>5453</v>
      </c>
      <c r="B2363" s="9">
        <v>1690</v>
      </c>
      <c r="C2363" s="8" t="s">
        <v>5454</v>
      </c>
      <c r="D2363" s="8" t="s">
        <v>2133</v>
      </c>
      <c r="E2363" s="8" t="s">
        <v>1986</v>
      </c>
      <c r="F2363" s="8" t="s">
        <v>493</v>
      </c>
      <c r="G2363" s="8" t="s">
        <v>299</v>
      </c>
      <c r="H2363" s="8"/>
      <c r="I2363" s="14" t="s">
        <v>1642</v>
      </c>
      <c r="J2363" s="15"/>
      <c r="K2363" s="8" t="s">
        <v>1976</v>
      </c>
      <c r="L2363" s="8"/>
      <c r="M2363" s="6" t="s">
        <v>1643</v>
      </c>
      <c r="N2363" s="6" t="s">
        <v>1644</v>
      </c>
      <c r="O2363" s="7">
        <f>SUMIFS('05_상품별배치367'!$K$7:$K$373,'05_상품별배치367'!$E$7:$E$373,A2363,'05_상품별배치367'!$H$7:$H$373,"본진")</f>
        <v>0</v>
      </c>
      <c r="P2363" s="7">
        <f>SUMIFS('05_상품별배치367'!$K$7:$K$373,'05_상품별배치367'!$E$7:$E$373,A2363,'05_상품별배치367'!$H$7:$H$373,"추가 진열")</f>
        <v>0</v>
      </c>
      <c r="Q2363" s="7">
        <f>O2363+P2363</f>
        <v>0</v>
      </c>
      <c r="R2363" s="7">
        <v>1</v>
      </c>
      <c r="S2363" s="6" t="s">
        <v>3084</v>
      </c>
      <c r="T2363" s="6" t="s">
        <v>1637</v>
      </c>
      <c r="U2363" s="6"/>
      <c r="V2363" s="16"/>
      <c r="W2363" s="16"/>
      <c r="X2363" s="16"/>
      <c r="Y2363" s="6" t="s">
        <v>1627</v>
      </c>
      <c r="Z2363" s="15"/>
      <c r="AA2363" s="15" t="s">
        <v>1628</v>
      </c>
    </row>
    <row r="2364" spans="1:27" ht="33" customHeight="1">
      <c r="A2364" s="8" t="s">
        <v>4651</v>
      </c>
      <c r="B2364" s="9">
        <v>1312</v>
      </c>
      <c r="C2364" s="8" t="s">
        <v>4652</v>
      </c>
      <c r="D2364" s="8" t="s">
        <v>4653</v>
      </c>
      <c r="E2364" s="8" t="s">
        <v>2134</v>
      </c>
      <c r="F2364" s="8" t="s">
        <v>163</v>
      </c>
      <c r="G2364" s="8" t="s">
        <v>414</v>
      </c>
      <c r="H2364" s="8"/>
      <c r="I2364" s="14" t="s">
        <v>1642</v>
      </c>
      <c r="J2364" s="15"/>
      <c r="K2364" s="8" t="s">
        <v>1976</v>
      </c>
      <c r="L2364" s="8"/>
      <c r="M2364" s="6" t="s">
        <v>1643</v>
      </c>
      <c r="N2364" s="6" t="s">
        <v>1644</v>
      </c>
      <c r="O2364" s="7">
        <f>SUMIFS('05_상품별배치367'!$K$7:$K$373,'05_상품별배치367'!$E$7:$E$373,A2364,'05_상품별배치367'!$H$7:$H$373,"본진")</f>
        <v>0</v>
      </c>
      <c r="P2364" s="7">
        <f>SUMIFS('05_상품별배치367'!$K$7:$K$373,'05_상품별배치367'!$E$7:$E$373,A2364,'05_상품별배치367'!$H$7:$H$373,"추가 진열")</f>
        <v>0</v>
      </c>
      <c r="Q2364" s="7">
        <f>O2364+P2364</f>
        <v>0</v>
      </c>
      <c r="R2364" s="7">
        <v>1</v>
      </c>
      <c r="S2364" s="6" t="s">
        <v>3048</v>
      </c>
      <c r="T2364" s="6" t="s">
        <v>1637</v>
      </c>
      <c r="U2364" s="6"/>
      <c r="V2364" s="16"/>
      <c r="W2364" s="16"/>
      <c r="X2364" s="16"/>
      <c r="Y2364" s="6" t="s">
        <v>1627</v>
      </c>
      <c r="Z2364" s="15"/>
      <c r="AA2364" s="15" t="s">
        <v>1628</v>
      </c>
    </row>
    <row r="2365" spans="1:27" ht="33" customHeight="1">
      <c r="A2365" s="6" t="s">
        <v>6498</v>
      </c>
      <c r="B2365" s="7">
        <v>2165</v>
      </c>
      <c r="C2365" s="6" t="s">
        <v>6499</v>
      </c>
      <c r="D2365" s="6" t="s">
        <v>1820</v>
      </c>
      <c r="E2365" s="6" t="s">
        <v>2746</v>
      </c>
      <c r="F2365" s="6" t="s">
        <v>2747</v>
      </c>
      <c r="G2365" s="6" t="s">
        <v>1668</v>
      </c>
      <c r="H2365" s="6"/>
      <c r="I2365" s="14" t="s">
        <v>1669</v>
      </c>
      <c r="J2365" s="15"/>
      <c r="K2365" s="6" t="s">
        <v>2748</v>
      </c>
      <c r="L2365" s="6"/>
      <c r="M2365" s="6" t="s">
        <v>1671</v>
      </c>
      <c r="N2365" s="6" t="s">
        <v>1644</v>
      </c>
      <c r="O2365" s="7">
        <f>SUMIFS('05_상품별배치367'!$K$7:$K$373,'05_상품별배치367'!$E$7:$E$373,A2365,'05_상품별배치367'!$H$7:$H$373,"본진")</f>
        <v>0</v>
      </c>
      <c r="P2365" s="7">
        <f>SUMIFS('05_상품별배치367'!$K$7:$K$373,'05_상품별배치367'!$E$7:$E$373,A2365,'05_상품별배치367'!$H$7:$H$373,"추가 진열")</f>
        <v>0</v>
      </c>
      <c r="Q2365" s="7">
        <f>O2365+P2365</f>
        <v>0</v>
      </c>
      <c r="R2365" s="7">
        <v>0</v>
      </c>
      <c r="S2365" s="6" t="s">
        <v>1672</v>
      </c>
      <c r="T2365" s="6" t="s">
        <v>1637</v>
      </c>
      <c r="U2365" s="6"/>
      <c r="V2365" s="16"/>
      <c r="W2365" s="16"/>
      <c r="X2365" s="16"/>
      <c r="Y2365" s="6" t="s">
        <v>1627</v>
      </c>
      <c r="Z2365" s="15"/>
      <c r="AA2365" s="15" t="s">
        <v>1628</v>
      </c>
    </row>
    <row r="2366" spans="1:27" ht="33" customHeight="1">
      <c r="A2366" s="8" t="s">
        <v>6500</v>
      </c>
      <c r="B2366" s="9">
        <v>2166</v>
      </c>
      <c r="C2366" s="8" t="s">
        <v>6501</v>
      </c>
      <c r="D2366" s="8" t="s">
        <v>1820</v>
      </c>
      <c r="E2366" s="8" t="s">
        <v>2746</v>
      </c>
      <c r="F2366" s="8" t="s">
        <v>2747</v>
      </c>
      <c r="G2366" s="8" t="s">
        <v>1668</v>
      </c>
      <c r="H2366" s="8"/>
      <c r="I2366" s="14" t="s">
        <v>1669</v>
      </c>
      <c r="J2366" s="15"/>
      <c r="K2366" s="8" t="s">
        <v>2748</v>
      </c>
      <c r="L2366" s="8"/>
      <c r="M2366" s="6" t="s">
        <v>1671</v>
      </c>
      <c r="N2366" s="6" t="s">
        <v>1644</v>
      </c>
      <c r="O2366" s="7">
        <f>SUMIFS('05_상품별배치367'!$K$7:$K$373,'05_상품별배치367'!$E$7:$E$373,A2366,'05_상품별배치367'!$H$7:$H$373,"본진")</f>
        <v>0</v>
      </c>
      <c r="P2366" s="7">
        <f>SUMIFS('05_상품별배치367'!$K$7:$K$373,'05_상품별배치367'!$E$7:$E$373,A2366,'05_상품별배치367'!$H$7:$H$373,"추가 진열")</f>
        <v>0</v>
      </c>
      <c r="Q2366" s="7">
        <f>O2366+P2366</f>
        <v>0</v>
      </c>
      <c r="R2366" s="7">
        <v>0</v>
      </c>
      <c r="S2366" s="6" t="s">
        <v>1672</v>
      </c>
      <c r="T2366" s="6" t="s">
        <v>1637</v>
      </c>
      <c r="U2366" s="6"/>
      <c r="V2366" s="16"/>
      <c r="W2366" s="16"/>
      <c r="X2366" s="16"/>
      <c r="Y2366" s="6" t="s">
        <v>1627</v>
      </c>
      <c r="Z2366" s="15"/>
      <c r="AA2366" s="15" t="s">
        <v>1628</v>
      </c>
    </row>
    <row r="2367" spans="1:27" ht="33" customHeight="1">
      <c r="A2367" s="6" t="s">
        <v>6502</v>
      </c>
      <c r="B2367" s="7">
        <v>2167</v>
      </c>
      <c r="C2367" s="6" t="s">
        <v>6503</v>
      </c>
      <c r="D2367" s="6" t="s">
        <v>1820</v>
      </c>
      <c r="E2367" s="6" t="s">
        <v>2746</v>
      </c>
      <c r="F2367" s="6" t="s">
        <v>2747</v>
      </c>
      <c r="G2367" s="6" t="s">
        <v>1668</v>
      </c>
      <c r="H2367" s="6"/>
      <c r="I2367" s="14" t="s">
        <v>1669</v>
      </c>
      <c r="J2367" s="15"/>
      <c r="K2367" s="6" t="s">
        <v>2748</v>
      </c>
      <c r="L2367" s="6"/>
      <c r="M2367" s="6" t="s">
        <v>1671</v>
      </c>
      <c r="N2367" s="6" t="s">
        <v>1644</v>
      </c>
      <c r="O2367" s="7">
        <f>SUMIFS('05_상품별배치367'!$K$7:$K$373,'05_상품별배치367'!$E$7:$E$373,A2367,'05_상품별배치367'!$H$7:$H$373,"본진")</f>
        <v>0</v>
      </c>
      <c r="P2367" s="7">
        <f>SUMIFS('05_상품별배치367'!$K$7:$K$373,'05_상품별배치367'!$E$7:$E$373,A2367,'05_상품별배치367'!$H$7:$H$373,"추가 진열")</f>
        <v>0</v>
      </c>
      <c r="Q2367" s="7">
        <f>O2367+P2367</f>
        <v>0</v>
      </c>
      <c r="R2367" s="7">
        <v>0</v>
      </c>
      <c r="S2367" s="6" t="s">
        <v>1672</v>
      </c>
      <c r="T2367" s="6" t="s">
        <v>1637</v>
      </c>
      <c r="U2367" s="6"/>
      <c r="V2367" s="16"/>
      <c r="W2367" s="16"/>
      <c r="X2367" s="16"/>
      <c r="Y2367" s="6" t="s">
        <v>1627</v>
      </c>
      <c r="Z2367" s="15"/>
      <c r="AA2367" s="15" t="s">
        <v>1628</v>
      </c>
    </row>
    <row r="2368" spans="1:27" ht="33" customHeight="1">
      <c r="A2368" s="6" t="s">
        <v>3585</v>
      </c>
      <c r="B2368" s="7">
        <v>815</v>
      </c>
      <c r="C2368" s="6" t="s">
        <v>3586</v>
      </c>
      <c r="D2368" s="6" t="s">
        <v>3587</v>
      </c>
      <c r="E2368" s="6" t="s">
        <v>1986</v>
      </c>
      <c r="F2368" s="6" t="s">
        <v>493</v>
      </c>
      <c r="G2368" s="6" t="s">
        <v>299</v>
      </c>
      <c r="H2368" s="6"/>
      <c r="I2368" s="14" t="s">
        <v>1642</v>
      </c>
      <c r="J2368" s="15"/>
      <c r="K2368" s="6" t="s">
        <v>1976</v>
      </c>
      <c r="L2368" s="6"/>
      <c r="M2368" s="6" t="s">
        <v>1643</v>
      </c>
      <c r="N2368" s="6" t="s">
        <v>1644</v>
      </c>
      <c r="O2368" s="7">
        <f>SUMIFS('05_상품별배치367'!$K$7:$K$373,'05_상품별배치367'!$E$7:$E$373,A2368,'05_상품별배치367'!$H$7:$H$373,"본진")</f>
        <v>0</v>
      </c>
      <c r="P2368" s="7">
        <f>SUMIFS('05_상품별배치367'!$K$7:$K$373,'05_상품별배치367'!$E$7:$E$373,A2368,'05_상품별배치367'!$H$7:$H$373,"추가 진열")</f>
        <v>0</v>
      </c>
      <c r="Q2368" s="7">
        <f>O2368+P2368</f>
        <v>0</v>
      </c>
      <c r="R2368" s="7">
        <v>1</v>
      </c>
      <c r="S2368" s="6" t="s">
        <v>3084</v>
      </c>
      <c r="T2368" s="6" t="s">
        <v>1637</v>
      </c>
      <c r="U2368" s="6"/>
      <c r="V2368" s="16"/>
      <c r="W2368" s="16"/>
      <c r="X2368" s="16"/>
      <c r="Y2368" s="6" t="s">
        <v>1627</v>
      </c>
      <c r="Z2368" s="15"/>
      <c r="AA2368" s="15" t="s">
        <v>1628</v>
      </c>
    </row>
    <row r="2369" spans="1:27" ht="33" customHeight="1">
      <c r="A2369" s="6" t="s">
        <v>3590</v>
      </c>
      <c r="B2369" s="7">
        <v>817</v>
      </c>
      <c r="C2369" s="6" t="s">
        <v>3591</v>
      </c>
      <c r="D2369" s="6" t="s">
        <v>2133</v>
      </c>
      <c r="E2369" s="6" t="s">
        <v>2134</v>
      </c>
      <c r="F2369" s="6" t="s">
        <v>163</v>
      </c>
      <c r="G2369" s="6" t="s">
        <v>414</v>
      </c>
      <c r="H2369" s="6"/>
      <c r="I2369" s="14" t="s">
        <v>1642</v>
      </c>
      <c r="J2369" s="15"/>
      <c r="K2369" s="6" t="s">
        <v>1976</v>
      </c>
      <c r="L2369" s="6"/>
      <c r="M2369" s="6" t="s">
        <v>1643</v>
      </c>
      <c r="N2369" s="6" t="s">
        <v>1644</v>
      </c>
      <c r="O2369" s="7">
        <f>SUMIFS('05_상품별배치367'!$K$7:$K$373,'05_상품별배치367'!$E$7:$E$373,A2369,'05_상품별배치367'!$H$7:$H$373,"본진")</f>
        <v>0</v>
      </c>
      <c r="P2369" s="7">
        <f>SUMIFS('05_상품별배치367'!$K$7:$K$373,'05_상품별배치367'!$E$7:$E$373,A2369,'05_상품별배치367'!$H$7:$H$373,"추가 진열")</f>
        <v>0</v>
      </c>
      <c r="Q2369" s="7">
        <f>O2369+P2369</f>
        <v>0</v>
      </c>
      <c r="R2369" s="7">
        <v>1</v>
      </c>
      <c r="S2369" s="6" t="s">
        <v>3048</v>
      </c>
      <c r="T2369" s="6" t="s">
        <v>1637</v>
      </c>
      <c r="U2369" s="6"/>
      <c r="V2369" s="16"/>
      <c r="W2369" s="16"/>
      <c r="X2369" s="16"/>
      <c r="Y2369" s="6" t="s">
        <v>1627</v>
      </c>
      <c r="Z2369" s="15"/>
      <c r="AA2369" s="15" t="s">
        <v>1628</v>
      </c>
    </row>
    <row r="2370" spans="1:27" ht="33" customHeight="1">
      <c r="A2370" s="8" t="s">
        <v>3588</v>
      </c>
      <c r="B2370" s="9">
        <v>816</v>
      </c>
      <c r="C2370" s="8" t="s">
        <v>3589</v>
      </c>
      <c r="D2370" s="8" t="s">
        <v>2856</v>
      </c>
      <c r="E2370" s="8" t="s">
        <v>2134</v>
      </c>
      <c r="F2370" s="8" t="s">
        <v>162</v>
      </c>
      <c r="G2370" s="8" t="s">
        <v>404</v>
      </c>
      <c r="H2370" s="8"/>
      <c r="I2370" s="14" t="s">
        <v>1642</v>
      </c>
      <c r="J2370" s="15"/>
      <c r="K2370" s="8" t="s">
        <v>1976</v>
      </c>
      <c r="L2370" s="8"/>
      <c r="M2370" s="6" t="s">
        <v>1643</v>
      </c>
      <c r="N2370" s="6" t="s">
        <v>1644</v>
      </c>
      <c r="O2370" s="7">
        <f>SUMIFS('05_상품별배치367'!$K$7:$K$373,'05_상품별배치367'!$E$7:$E$373,A2370,'05_상품별배치367'!$H$7:$H$373,"본진")</f>
        <v>0</v>
      </c>
      <c r="P2370" s="7">
        <f>SUMIFS('05_상품별배치367'!$K$7:$K$373,'05_상품별배치367'!$E$7:$E$373,A2370,'05_상품별배치367'!$H$7:$H$373,"추가 진열")</f>
        <v>0</v>
      </c>
      <c r="Q2370" s="7">
        <f>O2370+P2370</f>
        <v>0</v>
      </c>
      <c r="R2370" s="7">
        <v>1</v>
      </c>
      <c r="S2370" s="6" t="s">
        <v>2996</v>
      </c>
      <c r="T2370" s="6" t="s">
        <v>1637</v>
      </c>
      <c r="U2370" s="6"/>
      <c r="V2370" s="16"/>
      <c r="W2370" s="16"/>
      <c r="X2370" s="16"/>
      <c r="Y2370" s="6" t="s">
        <v>1627</v>
      </c>
      <c r="Z2370" s="15"/>
      <c r="AA2370" s="15" t="s">
        <v>1628</v>
      </c>
    </row>
    <row r="2371" spans="1:27" ht="33" customHeight="1">
      <c r="A2371" s="8" t="s">
        <v>6004</v>
      </c>
      <c r="B2371" s="9">
        <v>1952</v>
      </c>
      <c r="C2371" s="8" t="s">
        <v>6005</v>
      </c>
      <c r="D2371" s="8" t="s">
        <v>6006</v>
      </c>
      <c r="E2371" s="8" t="s">
        <v>1641</v>
      </c>
      <c r="F2371" s="8" t="s">
        <v>1806</v>
      </c>
      <c r="G2371" s="8" t="s">
        <v>1668</v>
      </c>
      <c r="H2371" s="8"/>
      <c r="I2371" s="14" t="s">
        <v>1807</v>
      </c>
      <c r="J2371" s="15"/>
      <c r="K2371" s="8" t="s">
        <v>1634</v>
      </c>
      <c r="L2371" s="8" t="s">
        <v>2001</v>
      </c>
      <c r="M2371" s="6" t="s">
        <v>1809</v>
      </c>
      <c r="N2371" s="6" t="s">
        <v>1644</v>
      </c>
      <c r="O2371" s="7">
        <f>SUMIFS('05_상품별배치367'!$K$7:$K$373,'05_상품별배치367'!$E$7:$E$373,A2371,'05_상품별배치367'!$H$7:$H$373,"본진")</f>
        <v>0</v>
      </c>
      <c r="P2371" s="7">
        <f>SUMIFS('05_상품별배치367'!$K$7:$K$373,'05_상품별배치367'!$E$7:$E$373,A2371,'05_상품별배치367'!$H$7:$H$373,"추가 진열")</f>
        <v>0</v>
      </c>
      <c r="Q2371" s="7">
        <f>O2371+P2371</f>
        <v>0</v>
      </c>
      <c r="R2371" s="7">
        <v>0</v>
      </c>
      <c r="S2371" s="6" t="s">
        <v>1810</v>
      </c>
      <c r="T2371" s="6" t="s">
        <v>1637</v>
      </c>
      <c r="U2371" s="6"/>
      <c r="V2371" s="16"/>
      <c r="W2371" s="16"/>
      <c r="X2371" s="16"/>
      <c r="Y2371" s="6" t="s">
        <v>1627</v>
      </c>
      <c r="Z2371" s="15"/>
      <c r="AA2371" s="15" t="s">
        <v>1628</v>
      </c>
    </row>
    <row r="2372" spans="1:27" ht="33" customHeight="1">
      <c r="A2372" s="6" t="s">
        <v>6944</v>
      </c>
      <c r="B2372" s="7">
        <v>2381</v>
      </c>
      <c r="C2372" s="6" t="s">
        <v>6945</v>
      </c>
      <c r="D2372" s="6" t="s">
        <v>6946</v>
      </c>
      <c r="E2372" s="6" t="s">
        <v>1641</v>
      </c>
      <c r="F2372" s="6" t="s">
        <v>679</v>
      </c>
      <c r="G2372" s="6" t="s">
        <v>91</v>
      </c>
      <c r="H2372" s="6" t="s">
        <v>678</v>
      </c>
      <c r="I2372" s="14" t="s">
        <v>1621</v>
      </c>
      <c r="J2372" s="15"/>
      <c r="K2372" s="6" t="s">
        <v>1634</v>
      </c>
      <c r="L2372" s="6" t="s">
        <v>3828</v>
      </c>
      <c r="M2372" s="6" t="s">
        <v>1623</v>
      </c>
      <c r="N2372" s="6" t="s">
        <v>1624</v>
      </c>
      <c r="O2372" s="7">
        <f>SUMIFS('05_상품별배치367'!$K$7:$K$373,'05_상품별배치367'!$E$7:$E$373,A2372,'05_상품별배치367'!$H$7:$H$373,"본진")</f>
        <v>1</v>
      </c>
      <c r="P2372" s="7">
        <f>SUMIFS('05_상품별배치367'!$K$7:$K$373,'05_상품별배치367'!$E$7:$E$373,A2372,'05_상품별배치367'!$H$7:$H$373,"추가 진열")</f>
        <v>0</v>
      </c>
      <c r="Q2372" s="7">
        <f>O2372+P2372</f>
        <v>1</v>
      </c>
      <c r="R2372" s="7">
        <v>1</v>
      </c>
      <c r="S2372" s="6" t="s">
        <v>1625</v>
      </c>
      <c r="T2372" s="6" t="s">
        <v>1637</v>
      </c>
      <c r="U2372" s="6"/>
      <c r="V2372" s="16"/>
      <c r="W2372" s="16"/>
      <c r="X2372" s="16"/>
      <c r="Y2372" s="6" t="s">
        <v>1655</v>
      </c>
      <c r="Z2372" s="15"/>
      <c r="AA2372" s="15" t="s">
        <v>1628</v>
      </c>
    </row>
    <row r="2373" spans="1:27" ht="33" customHeight="1">
      <c r="A2373" s="8" t="s">
        <v>6504</v>
      </c>
      <c r="B2373" s="9">
        <v>2168</v>
      </c>
      <c r="C2373" s="8" t="s">
        <v>6505</v>
      </c>
      <c r="D2373" s="8" t="s">
        <v>3553</v>
      </c>
      <c r="E2373" s="8" t="s">
        <v>1814</v>
      </c>
      <c r="F2373" s="8" t="s">
        <v>726</v>
      </c>
      <c r="G2373" s="8" t="s">
        <v>107</v>
      </c>
      <c r="H2373" s="8"/>
      <c r="I2373" s="14" t="s">
        <v>1642</v>
      </c>
      <c r="J2373" s="15"/>
      <c r="K2373" s="8" t="s">
        <v>6293</v>
      </c>
      <c r="L2373" s="8"/>
      <c r="M2373" s="6" t="s">
        <v>1643</v>
      </c>
      <c r="N2373" s="6" t="s">
        <v>1644</v>
      </c>
      <c r="O2373" s="7">
        <f>SUMIFS('05_상품별배치367'!$K$7:$K$373,'05_상품별배치367'!$E$7:$E$373,A2373,'05_상품별배치367'!$H$7:$H$373,"본진")</f>
        <v>0</v>
      </c>
      <c r="P2373" s="7">
        <f>SUMIFS('05_상품별배치367'!$K$7:$K$373,'05_상품별배치367'!$E$7:$E$373,A2373,'05_상품별배치367'!$H$7:$H$373,"추가 진열")</f>
        <v>0</v>
      </c>
      <c r="Q2373" s="7">
        <f>O2373+P2373</f>
        <v>0</v>
      </c>
      <c r="R2373" s="7">
        <v>1</v>
      </c>
      <c r="S2373" s="6" t="s">
        <v>6364</v>
      </c>
      <c r="T2373" s="6" t="s">
        <v>1637</v>
      </c>
      <c r="U2373" s="6"/>
      <c r="V2373" s="16"/>
      <c r="W2373" s="16"/>
      <c r="X2373" s="16"/>
      <c r="Y2373" s="6" t="s">
        <v>1627</v>
      </c>
      <c r="Z2373" s="15"/>
      <c r="AA2373" s="15" t="s">
        <v>1628</v>
      </c>
    </row>
    <row r="2374" spans="1:27" ht="33" customHeight="1">
      <c r="A2374" s="6" t="s">
        <v>6506</v>
      </c>
      <c r="B2374" s="7">
        <v>2169</v>
      </c>
      <c r="C2374" s="6" t="s">
        <v>6507</v>
      </c>
      <c r="D2374" s="6" t="s">
        <v>3561</v>
      </c>
      <c r="E2374" s="6" t="s">
        <v>1814</v>
      </c>
      <c r="F2374" s="6" t="s">
        <v>726</v>
      </c>
      <c r="G2374" s="6" t="s">
        <v>107</v>
      </c>
      <c r="H2374" s="6" t="s">
        <v>725</v>
      </c>
      <c r="I2374" s="14" t="s">
        <v>1621</v>
      </c>
      <c r="J2374" s="15"/>
      <c r="K2374" s="6" t="s">
        <v>6293</v>
      </c>
      <c r="L2374" s="6"/>
      <c r="M2374" s="6" t="s">
        <v>1623</v>
      </c>
      <c r="N2374" s="6" t="s">
        <v>1624</v>
      </c>
      <c r="O2374" s="7">
        <f>SUMIFS('05_상품별배치367'!$K$7:$K$373,'05_상품별배치367'!$E$7:$E$373,A2374,'05_상품별배치367'!$H$7:$H$373,"본진")</f>
        <v>1</v>
      </c>
      <c r="P2374" s="7">
        <f>SUMIFS('05_상품별배치367'!$K$7:$K$373,'05_상품별배치367'!$E$7:$E$373,A2374,'05_상품별배치367'!$H$7:$H$373,"추가 진열")</f>
        <v>0</v>
      </c>
      <c r="Q2374" s="7">
        <f>O2374+P2374</f>
        <v>1</v>
      </c>
      <c r="R2374" s="7">
        <v>1</v>
      </c>
      <c r="S2374" s="6" t="s">
        <v>1625</v>
      </c>
      <c r="T2374" s="6" t="s">
        <v>1637</v>
      </c>
      <c r="U2374" s="6"/>
      <c r="V2374" s="16"/>
      <c r="W2374" s="16"/>
      <c r="X2374" s="16"/>
      <c r="Y2374" s="6" t="s">
        <v>1627</v>
      </c>
      <c r="Z2374" s="15"/>
      <c r="AA2374" s="15" t="s">
        <v>1628</v>
      </c>
    </row>
    <row r="2375" spans="1:27" ht="33" customHeight="1">
      <c r="A2375" s="8" t="s">
        <v>6508</v>
      </c>
      <c r="B2375" s="9">
        <v>2170</v>
      </c>
      <c r="C2375" s="8" t="s">
        <v>6509</v>
      </c>
      <c r="D2375" s="8" t="s">
        <v>6510</v>
      </c>
      <c r="E2375" s="8" t="s">
        <v>1814</v>
      </c>
      <c r="F2375" s="8" t="s">
        <v>731</v>
      </c>
      <c r="G2375" s="8" t="s">
        <v>107</v>
      </c>
      <c r="H2375" s="8" t="s">
        <v>730</v>
      </c>
      <c r="I2375" s="14" t="s">
        <v>1633</v>
      </c>
      <c r="J2375" s="15"/>
      <c r="K2375" s="8" t="s">
        <v>6422</v>
      </c>
      <c r="L2375" s="8"/>
      <c r="M2375" s="6" t="s">
        <v>1635</v>
      </c>
      <c r="N2375" s="6" t="s">
        <v>1624</v>
      </c>
      <c r="O2375" s="7">
        <f>SUMIFS('05_상품별배치367'!$K$7:$K$373,'05_상품별배치367'!$E$7:$E$373,A2375,'05_상품별배치367'!$H$7:$H$373,"본진")</f>
        <v>1</v>
      </c>
      <c r="P2375" s="7">
        <f>SUMIFS('05_상품별배치367'!$K$7:$K$373,'05_상품별배치367'!$E$7:$E$373,A2375,'05_상품별배치367'!$H$7:$H$373,"추가 진열")</f>
        <v>0</v>
      </c>
      <c r="Q2375" s="7">
        <f>O2375+P2375</f>
        <v>1</v>
      </c>
      <c r="R2375" s="7">
        <v>1</v>
      </c>
      <c r="S2375" s="6" t="s">
        <v>1636</v>
      </c>
      <c r="T2375" s="6" t="s">
        <v>1637</v>
      </c>
      <c r="U2375" s="6"/>
      <c r="V2375" s="16"/>
      <c r="W2375" s="16"/>
      <c r="X2375" s="16"/>
      <c r="Y2375" s="6" t="s">
        <v>1627</v>
      </c>
      <c r="Z2375" s="15"/>
      <c r="AA2375" s="15" t="s">
        <v>1628</v>
      </c>
    </row>
    <row r="2376" spans="1:27" ht="33" customHeight="1">
      <c r="A2376" s="6" t="s">
        <v>5945</v>
      </c>
      <c r="B2376" s="7">
        <v>1925</v>
      </c>
      <c r="C2376" s="6" t="s">
        <v>5946</v>
      </c>
      <c r="D2376" s="6" t="s">
        <v>4996</v>
      </c>
      <c r="E2376" s="6" t="s">
        <v>1641</v>
      </c>
      <c r="F2376" s="6" t="s">
        <v>1172</v>
      </c>
      <c r="G2376" s="6" t="s">
        <v>323</v>
      </c>
      <c r="H2376" s="6" t="s">
        <v>1171</v>
      </c>
      <c r="I2376" s="14" t="s">
        <v>1633</v>
      </c>
      <c r="J2376" s="15"/>
      <c r="K2376" s="6" t="s">
        <v>1634</v>
      </c>
      <c r="L2376" s="6" t="s">
        <v>3828</v>
      </c>
      <c r="M2376" s="6" t="s">
        <v>1635</v>
      </c>
      <c r="N2376" s="6" t="s">
        <v>1624</v>
      </c>
      <c r="O2376" s="7">
        <f>SUMIFS('05_상품별배치367'!$K$7:$K$373,'05_상품별배치367'!$E$7:$E$373,A2376,'05_상품별배치367'!$H$7:$H$373,"본진")</f>
        <v>1</v>
      </c>
      <c r="P2376" s="7">
        <f>SUMIFS('05_상품별배치367'!$K$7:$K$373,'05_상품별배치367'!$E$7:$E$373,A2376,'05_상품별배치367'!$H$7:$H$373,"추가 진열")</f>
        <v>0</v>
      </c>
      <c r="Q2376" s="7">
        <f>O2376+P2376</f>
        <v>1</v>
      </c>
      <c r="R2376" s="7">
        <v>1</v>
      </c>
      <c r="S2376" s="6" t="s">
        <v>1636</v>
      </c>
      <c r="T2376" s="6" t="s">
        <v>1637</v>
      </c>
      <c r="U2376" s="6"/>
      <c r="V2376" s="16"/>
      <c r="W2376" s="16"/>
      <c r="X2376" s="16"/>
      <c r="Y2376" s="6" t="s">
        <v>1627</v>
      </c>
      <c r="Z2376" s="15"/>
      <c r="AA2376" s="15" t="s">
        <v>1628</v>
      </c>
    </row>
    <row r="2377" spans="1:27" ht="33" customHeight="1">
      <c r="A2377" s="6" t="s">
        <v>5940</v>
      </c>
      <c r="B2377" s="7">
        <v>1923</v>
      </c>
      <c r="C2377" s="6" t="s">
        <v>5941</v>
      </c>
      <c r="D2377" s="6" t="s">
        <v>1640</v>
      </c>
      <c r="E2377" s="6" t="s">
        <v>1641</v>
      </c>
      <c r="F2377" s="6" t="s">
        <v>1172</v>
      </c>
      <c r="G2377" s="6" t="s">
        <v>315</v>
      </c>
      <c r="H2377" s="6"/>
      <c r="I2377" s="14" t="s">
        <v>1642</v>
      </c>
      <c r="J2377" s="15"/>
      <c r="K2377" s="6" t="s">
        <v>1634</v>
      </c>
      <c r="L2377" s="6" t="s">
        <v>3828</v>
      </c>
      <c r="M2377" s="6" t="s">
        <v>1643</v>
      </c>
      <c r="N2377" s="6" t="s">
        <v>1624</v>
      </c>
      <c r="O2377" s="7">
        <f>SUMIFS('05_상품별배치367'!$K$7:$K$373,'05_상품별배치367'!$E$7:$E$373,A2377,'05_상품별배치367'!$H$7:$H$373,"본진")</f>
        <v>0</v>
      </c>
      <c r="P2377" s="7">
        <f>SUMIFS('05_상품별배치367'!$K$7:$K$373,'05_상품별배치367'!$E$7:$E$373,A2377,'05_상품별배치367'!$H$7:$H$373,"추가 진열")</f>
        <v>0</v>
      </c>
      <c r="Q2377" s="7">
        <f>O2377+P2377</f>
        <v>0</v>
      </c>
      <c r="R2377" s="7">
        <v>1</v>
      </c>
      <c r="S2377" s="6" t="s">
        <v>5942</v>
      </c>
      <c r="T2377" s="6" t="s">
        <v>1637</v>
      </c>
      <c r="U2377" s="6"/>
      <c r="V2377" s="16"/>
      <c r="W2377" s="16"/>
      <c r="X2377" s="16"/>
      <c r="Y2377" s="6" t="s">
        <v>1627</v>
      </c>
      <c r="Z2377" s="15"/>
      <c r="AA2377" s="15" t="s">
        <v>1628</v>
      </c>
    </row>
    <row r="2378" spans="1:27" ht="33" customHeight="1">
      <c r="A2378" s="8" t="s">
        <v>2388</v>
      </c>
      <c r="B2378" s="9">
        <v>278</v>
      </c>
      <c r="C2378" s="8" t="s">
        <v>2389</v>
      </c>
      <c r="D2378" s="8" t="s">
        <v>1640</v>
      </c>
      <c r="E2378" s="8" t="s">
        <v>1620</v>
      </c>
      <c r="F2378" s="8" t="s">
        <v>2048</v>
      </c>
      <c r="G2378" s="8" t="s">
        <v>1668</v>
      </c>
      <c r="H2378" s="8"/>
      <c r="I2378" s="14" t="s">
        <v>1669</v>
      </c>
      <c r="J2378" s="15"/>
      <c r="K2378" s="8" t="s">
        <v>1622</v>
      </c>
      <c r="L2378" s="8"/>
      <c r="M2378" s="6" t="s">
        <v>1671</v>
      </c>
      <c r="N2378" s="6" t="s">
        <v>1644</v>
      </c>
      <c r="O2378" s="7">
        <f>SUMIFS('05_상품별배치367'!$K$7:$K$373,'05_상품별배치367'!$E$7:$E$373,A2378,'05_상품별배치367'!$H$7:$H$373,"본진")</f>
        <v>0</v>
      </c>
      <c r="P2378" s="7">
        <f>SUMIFS('05_상품별배치367'!$K$7:$K$373,'05_상품별배치367'!$E$7:$E$373,A2378,'05_상품별배치367'!$H$7:$H$373,"추가 진열")</f>
        <v>0</v>
      </c>
      <c r="Q2378" s="7">
        <f>O2378+P2378</f>
        <v>0</v>
      </c>
      <c r="R2378" s="7">
        <v>0</v>
      </c>
      <c r="S2378" s="6" t="s">
        <v>1672</v>
      </c>
      <c r="T2378" s="6" t="s">
        <v>1637</v>
      </c>
      <c r="U2378" s="6"/>
      <c r="V2378" s="16"/>
      <c r="W2378" s="16"/>
      <c r="X2378" s="16"/>
      <c r="Y2378" s="6" t="s">
        <v>1627</v>
      </c>
      <c r="Z2378" s="15"/>
      <c r="AA2378" s="15" t="s">
        <v>1628</v>
      </c>
    </row>
    <row r="2379" spans="1:27" ht="33" customHeight="1">
      <c r="A2379" s="6" t="s">
        <v>2380</v>
      </c>
      <c r="B2379" s="7">
        <v>275</v>
      </c>
      <c r="C2379" s="6" t="s">
        <v>2381</v>
      </c>
      <c r="D2379" s="6" t="s">
        <v>1846</v>
      </c>
      <c r="E2379" s="6" t="s">
        <v>1620</v>
      </c>
      <c r="F2379" s="6" t="s">
        <v>2048</v>
      </c>
      <c r="G2379" s="6" t="s">
        <v>1668</v>
      </c>
      <c r="H2379" s="6"/>
      <c r="I2379" s="14" t="s">
        <v>1669</v>
      </c>
      <c r="J2379" s="15"/>
      <c r="K2379" s="6" t="s">
        <v>1622</v>
      </c>
      <c r="L2379" s="6"/>
      <c r="M2379" s="6" t="s">
        <v>1671</v>
      </c>
      <c r="N2379" s="6" t="s">
        <v>1644</v>
      </c>
      <c r="O2379" s="7">
        <f>SUMIFS('05_상품별배치367'!$K$7:$K$373,'05_상품별배치367'!$E$7:$E$373,A2379,'05_상품별배치367'!$H$7:$H$373,"본진")</f>
        <v>0</v>
      </c>
      <c r="P2379" s="7">
        <f>SUMIFS('05_상품별배치367'!$K$7:$K$373,'05_상품별배치367'!$E$7:$E$373,A2379,'05_상품별배치367'!$H$7:$H$373,"추가 진열")</f>
        <v>0</v>
      </c>
      <c r="Q2379" s="7">
        <f>O2379+P2379</f>
        <v>0</v>
      </c>
      <c r="R2379" s="7">
        <v>0</v>
      </c>
      <c r="S2379" s="6" t="s">
        <v>1672</v>
      </c>
      <c r="T2379" s="6" t="s">
        <v>1637</v>
      </c>
      <c r="U2379" s="6"/>
      <c r="V2379" s="16"/>
      <c r="W2379" s="16"/>
      <c r="X2379" s="16"/>
      <c r="Y2379" s="6" t="s">
        <v>1627</v>
      </c>
      <c r="Z2379" s="15"/>
      <c r="AA2379" s="15" t="s">
        <v>1628</v>
      </c>
    </row>
    <row r="2380" spans="1:27" ht="33" customHeight="1">
      <c r="A2380" s="6" t="s">
        <v>2385</v>
      </c>
      <c r="B2380" s="7">
        <v>277</v>
      </c>
      <c r="C2380" s="6" t="s">
        <v>2386</v>
      </c>
      <c r="D2380" s="6" t="s">
        <v>2387</v>
      </c>
      <c r="E2380" s="6" t="s">
        <v>1620</v>
      </c>
      <c r="F2380" s="6" t="s">
        <v>2048</v>
      </c>
      <c r="G2380" s="6" t="s">
        <v>1668</v>
      </c>
      <c r="H2380" s="6"/>
      <c r="I2380" s="14" t="s">
        <v>1669</v>
      </c>
      <c r="J2380" s="15"/>
      <c r="K2380" s="6" t="s">
        <v>1622</v>
      </c>
      <c r="L2380" s="6"/>
      <c r="M2380" s="6" t="s">
        <v>1671</v>
      </c>
      <c r="N2380" s="6" t="s">
        <v>1644</v>
      </c>
      <c r="O2380" s="7">
        <f>SUMIFS('05_상품별배치367'!$K$7:$K$373,'05_상품별배치367'!$E$7:$E$373,A2380,'05_상품별배치367'!$H$7:$H$373,"본진")</f>
        <v>0</v>
      </c>
      <c r="P2380" s="7">
        <f>SUMIFS('05_상품별배치367'!$K$7:$K$373,'05_상품별배치367'!$E$7:$E$373,A2380,'05_상품별배치367'!$H$7:$H$373,"추가 진열")</f>
        <v>0</v>
      </c>
      <c r="Q2380" s="7">
        <f>O2380+P2380</f>
        <v>0</v>
      </c>
      <c r="R2380" s="7">
        <v>0</v>
      </c>
      <c r="S2380" s="6" t="s">
        <v>1672</v>
      </c>
      <c r="T2380" s="6" t="s">
        <v>1637</v>
      </c>
      <c r="U2380" s="6"/>
      <c r="V2380" s="16"/>
      <c r="W2380" s="16"/>
      <c r="X2380" s="16"/>
      <c r="Y2380" s="6" t="s">
        <v>1627</v>
      </c>
      <c r="Z2380" s="15"/>
      <c r="AA2380" s="15" t="s">
        <v>1628</v>
      </c>
    </row>
    <row r="2381" spans="1:27" ht="33" customHeight="1">
      <c r="A2381" s="8" t="s">
        <v>2382</v>
      </c>
      <c r="B2381" s="9">
        <v>276</v>
      </c>
      <c r="C2381" s="8" t="s">
        <v>2383</v>
      </c>
      <c r="D2381" s="8" t="s">
        <v>2384</v>
      </c>
      <c r="E2381" s="8" t="s">
        <v>1620</v>
      </c>
      <c r="F2381" s="8" t="s">
        <v>2048</v>
      </c>
      <c r="G2381" s="8" t="s">
        <v>1668</v>
      </c>
      <c r="H2381" s="8"/>
      <c r="I2381" s="14" t="s">
        <v>1669</v>
      </c>
      <c r="J2381" s="15"/>
      <c r="K2381" s="8" t="s">
        <v>1622</v>
      </c>
      <c r="L2381" s="8"/>
      <c r="M2381" s="6" t="s">
        <v>1671</v>
      </c>
      <c r="N2381" s="6" t="s">
        <v>1644</v>
      </c>
      <c r="O2381" s="7">
        <f>SUMIFS('05_상품별배치367'!$K$7:$K$373,'05_상품별배치367'!$E$7:$E$373,A2381,'05_상품별배치367'!$H$7:$H$373,"본진")</f>
        <v>0</v>
      </c>
      <c r="P2381" s="7">
        <f>SUMIFS('05_상품별배치367'!$K$7:$K$373,'05_상품별배치367'!$E$7:$E$373,A2381,'05_상품별배치367'!$H$7:$H$373,"추가 진열")</f>
        <v>0</v>
      </c>
      <c r="Q2381" s="7">
        <f>O2381+P2381</f>
        <v>0</v>
      </c>
      <c r="R2381" s="7">
        <v>0</v>
      </c>
      <c r="S2381" s="6" t="s">
        <v>1672</v>
      </c>
      <c r="T2381" s="6" t="s">
        <v>1637</v>
      </c>
      <c r="U2381" s="6"/>
      <c r="V2381" s="16"/>
      <c r="W2381" s="16"/>
      <c r="X2381" s="16"/>
      <c r="Y2381" s="6" t="s">
        <v>1627</v>
      </c>
      <c r="Z2381" s="15"/>
      <c r="AA2381" s="15" t="s">
        <v>1628</v>
      </c>
    </row>
    <row r="2382" spans="1:27" ht="33" customHeight="1">
      <c r="A2382" s="8" t="s">
        <v>2378</v>
      </c>
      <c r="B2382" s="9">
        <v>274</v>
      </c>
      <c r="C2382" s="8" t="s">
        <v>2379</v>
      </c>
      <c r="D2382" s="8" t="s">
        <v>1682</v>
      </c>
      <c r="E2382" s="8" t="s">
        <v>1620</v>
      </c>
      <c r="F2382" s="8" t="s">
        <v>2048</v>
      </c>
      <c r="G2382" s="8" t="s">
        <v>1668</v>
      </c>
      <c r="H2382" s="8"/>
      <c r="I2382" s="14" t="s">
        <v>1669</v>
      </c>
      <c r="J2382" s="15"/>
      <c r="K2382" s="8" t="s">
        <v>1622</v>
      </c>
      <c r="L2382" s="8"/>
      <c r="M2382" s="6" t="s">
        <v>1671</v>
      </c>
      <c r="N2382" s="6" t="s">
        <v>1644</v>
      </c>
      <c r="O2382" s="7">
        <f>SUMIFS('05_상품별배치367'!$K$7:$K$373,'05_상품별배치367'!$E$7:$E$373,A2382,'05_상품별배치367'!$H$7:$H$373,"본진")</f>
        <v>0</v>
      </c>
      <c r="P2382" s="7">
        <f>SUMIFS('05_상품별배치367'!$K$7:$K$373,'05_상품별배치367'!$E$7:$E$373,A2382,'05_상품별배치367'!$H$7:$H$373,"추가 진열")</f>
        <v>0</v>
      </c>
      <c r="Q2382" s="7">
        <f>O2382+P2382</f>
        <v>0</v>
      </c>
      <c r="R2382" s="7">
        <v>0</v>
      </c>
      <c r="S2382" s="6" t="s">
        <v>1672</v>
      </c>
      <c r="T2382" s="6" t="s">
        <v>1637</v>
      </c>
      <c r="U2382" s="6"/>
      <c r="V2382" s="16"/>
      <c r="W2382" s="16"/>
      <c r="X2382" s="16"/>
      <c r="Y2382" s="6" t="s">
        <v>1627</v>
      </c>
      <c r="Z2382" s="15"/>
      <c r="AA2382" s="15" t="s">
        <v>1628</v>
      </c>
    </row>
    <row r="2383" spans="1:27" ht="33" customHeight="1">
      <c r="A2383" s="6" t="s">
        <v>6858</v>
      </c>
      <c r="B2383" s="7">
        <v>2341</v>
      </c>
      <c r="C2383" s="6" t="s">
        <v>6859</v>
      </c>
      <c r="D2383" s="6"/>
      <c r="E2383" s="6" t="s">
        <v>1695</v>
      </c>
      <c r="F2383" s="6" t="s">
        <v>519</v>
      </c>
      <c r="G2383" s="6" t="s">
        <v>455</v>
      </c>
      <c r="H2383" s="6"/>
      <c r="I2383" s="14" t="s">
        <v>1807</v>
      </c>
      <c r="J2383" s="15"/>
      <c r="K2383" s="6" t="s">
        <v>1696</v>
      </c>
      <c r="L2383" s="6" t="s">
        <v>5771</v>
      </c>
      <c r="M2383" s="6" t="s">
        <v>1809</v>
      </c>
      <c r="N2383" s="6" t="s">
        <v>1644</v>
      </c>
      <c r="O2383" s="7">
        <f>SUMIFS('05_상품별배치367'!$K$7:$K$373,'05_상품별배치367'!$E$7:$E$373,A2383,'05_상품별배치367'!$H$7:$H$373,"본진")</f>
        <v>0</v>
      </c>
      <c r="P2383" s="7">
        <f>SUMIFS('05_상품별배치367'!$K$7:$K$373,'05_상품별배치367'!$E$7:$E$373,A2383,'05_상품별배치367'!$H$7:$H$373,"추가 진열")</f>
        <v>0</v>
      </c>
      <c r="Q2383" s="7">
        <f>O2383+P2383</f>
        <v>0</v>
      </c>
      <c r="R2383" s="7">
        <v>0</v>
      </c>
      <c r="S2383" s="6" t="s">
        <v>1810</v>
      </c>
      <c r="T2383" s="6" t="s">
        <v>1637</v>
      </c>
      <c r="U2383" s="6"/>
      <c r="V2383" s="16"/>
      <c r="W2383" s="16"/>
      <c r="X2383" s="16"/>
      <c r="Y2383" s="6" t="s">
        <v>5772</v>
      </c>
      <c r="Z2383" s="15"/>
      <c r="AA2383" s="15" t="s">
        <v>1628</v>
      </c>
    </row>
    <row r="2384" spans="1:27" ht="33" customHeight="1">
      <c r="A2384" s="8" t="s">
        <v>6860</v>
      </c>
      <c r="B2384" s="9">
        <v>2342</v>
      </c>
      <c r="C2384" s="8" t="s">
        <v>6861</v>
      </c>
      <c r="D2384" s="8" t="s">
        <v>2078</v>
      </c>
      <c r="E2384" s="8" t="s">
        <v>1695</v>
      </c>
      <c r="F2384" s="8" t="s">
        <v>519</v>
      </c>
      <c r="G2384" s="8" t="s">
        <v>455</v>
      </c>
      <c r="H2384" s="8"/>
      <c r="I2384" s="14" t="s">
        <v>1642</v>
      </c>
      <c r="J2384" s="15"/>
      <c r="K2384" s="8" t="s">
        <v>1696</v>
      </c>
      <c r="L2384" s="8" t="s">
        <v>5771</v>
      </c>
      <c r="M2384" s="6" t="s">
        <v>1643</v>
      </c>
      <c r="N2384" s="6" t="s">
        <v>1644</v>
      </c>
      <c r="O2384" s="7">
        <f>SUMIFS('05_상품별배치367'!$K$7:$K$373,'05_상품별배치367'!$E$7:$E$373,A2384,'05_상품별배치367'!$H$7:$H$373,"본진")</f>
        <v>0</v>
      </c>
      <c r="P2384" s="7">
        <f>SUMIFS('05_상품별배치367'!$K$7:$K$373,'05_상품별배치367'!$E$7:$E$373,A2384,'05_상품별배치367'!$H$7:$H$373,"추가 진열")</f>
        <v>0</v>
      </c>
      <c r="Q2384" s="7">
        <f>O2384+P2384</f>
        <v>0</v>
      </c>
      <c r="R2384" s="7">
        <v>1</v>
      </c>
      <c r="S2384" s="6" t="s">
        <v>1938</v>
      </c>
      <c r="T2384" s="6" t="s">
        <v>1637</v>
      </c>
      <c r="U2384" s="6"/>
      <c r="V2384" s="16"/>
      <c r="W2384" s="16"/>
      <c r="X2384" s="16"/>
      <c r="Y2384" s="6" t="s">
        <v>1655</v>
      </c>
      <c r="Z2384" s="15"/>
      <c r="AA2384" s="15" t="s">
        <v>1628</v>
      </c>
    </row>
    <row r="2385" spans="1:27" ht="33" customHeight="1">
      <c r="A2385" s="6" t="s">
        <v>6854</v>
      </c>
      <c r="B2385" s="7">
        <v>2339</v>
      </c>
      <c r="C2385" s="6" t="s">
        <v>6855</v>
      </c>
      <c r="D2385" s="6" t="s">
        <v>2078</v>
      </c>
      <c r="E2385" s="6" t="s">
        <v>1695</v>
      </c>
      <c r="F2385" s="6" t="s">
        <v>519</v>
      </c>
      <c r="G2385" s="6" t="s">
        <v>455</v>
      </c>
      <c r="H2385" s="6" t="s">
        <v>1425</v>
      </c>
      <c r="I2385" s="14" t="s">
        <v>1633</v>
      </c>
      <c r="J2385" s="15"/>
      <c r="K2385" s="6" t="s">
        <v>1696</v>
      </c>
      <c r="L2385" s="6" t="s">
        <v>5771</v>
      </c>
      <c r="M2385" s="6" t="s">
        <v>1635</v>
      </c>
      <c r="N2385" s="6" t="s">
        <v>1624</v>
      </c>
      <c r="O2385" s="7">
        <f>SUMIFS('05_상품별배치367'!$K$7:$K$373,'05_상품별배치367'!$E$7:$E$373,A2385,'05_상품별배치367'!$H$7:$H$373,"본진")</f>
        <v>1</v>
      </c>
      <c r="P2385" s="7">
        <f>SUMIFS('05_상품별배치367'!$K$7:$K$373,'05_상품별배치367'!$E$7:$E$373,A2385,'05_상품별배치367'!$H$7:$H$373,"추가 진열")</f>
        <v>0</v>
      </c>
      <c r="Q2385" s="7">
        <f>O2385+P2385</f>
        <v>1</v>
      </c>
      <c r="R2385" s="7">
        <v>1</v>
      </c>
      <c r="S2385" s="6" t="s">
        <v>1636</v>
      </c>
      <c r="T2385" s="6" t="s">
        <v>1637</v>
      </c>
      <c r="U2385" s="6"/>
      <c r="V2385" s="16"/>
      <c r="W2385" s="16"/>
      <c r="X2385" s="16"/>
      <c r="Y2385" s="6" t="s">
        <v>1655</v>
      </c>
      <c r="Z2385" s="15"/>
      <c r="AA2385" s="15" t="s">
        <v>1628</v>
      </c>
    </row>
    <row r="2386" spans="1:27" ht="33" customHeight="1">
      <c r="A2386" s="6" t="s">
        <v>6862</v>
      </c>
      <c r="B2386" s="7">
        <v>2343</v>
      </c>
      <c r="C2386" s="6" t="s">
        <v>6863</v>
      </c>
      <c r="D2386" s="6" t="s">
        <v>2078</v>
      </c>
      <c r="E2386" s="6" t="s">
        <v>1695</v>
      </c>
      <c r="F2386" s="6" t="s">
        <v>519</v>
      </c>
      <c r="G2386" s="6" t="s">
        <v>455</v>
      </c>
      <c r="H2386" s="6"/>
      <c r="I2386" s="14" t="s">
        <v>1642</v>
      </c>
      <c r="J2386" s="15"/>
      <c r="K2386" s="6" t="s">
        <v>1696</v>
      </c>
      <c r="L2386" s="6" t="s">
        <v>5771</v>
      </c>
      <c r="M2386" s="6" t="s">
        <v>1643</v>
      </c>
      <c r="N2386" s="6" t="s">
        <v>1644</v>
      </c>
      <c r="O2386" s="7">
        <f>SUMIFS('05_상품별배치367'!$K$7:$K$373,'05_상품별배치367'!$E$7:$E$373,A2386,'05_상품별배치367'!$H$7:$H$373,"본진")</f>
        <v>0</v>
      </c>
      <c r="P2386" s="7">
        <f>SUMIFS('05_상품별배치367'!$K$7:$K$373,'05_상품별배치367'!$E$7:$E$373,A2386,'05_상품별배치367'!$H$7:$H$373,"추가 진열")</f>
        <v>0</v>
      </c>
      <c r="Q2386" s="7">
        <f>O2386+P2386</f>
        <v>0</v>
      </c>
      <c r="R2386" s="7">
        <v>1</v>
      </c>
      <c r="S2386" s="6" t="s">
        <v>1938</v>
      </c>
      <c r="T2386" s="6" t="s">
        <v>1637</v>
      </c>
      <c r="U2386" s="6"/>
      <c r="V2386" s="16"/>
      <c r="W2386" s="16"/>
      <c r="X2386" s="16"/>
      <c r="Y2386" s="6" t="s">
        <v>1655</v>
      </c>
      <c r="Z2386" s="15"/>
      <c r="AA2386" s="15" t="s">
        <v>1628</v>
      </c>
    </row>
    <row r="2387" spans="1:27" ht="33" customHeight="1">
      <c r="A2387" s="8" t="s">
        <v>5999</v>
      </c>
      <c r="B2387" s="9">
        <v>1950</v>
      </c>
      <c r="C2387" s="8" t="s">
        <v>6000</v>
      </c>
      <c r="D2387" s="8" t="s">
        <v>6001</v>
      </c>
      <c r="E2387" s="8" t="s">
        <v>1666</v>
      </c>
      <c r="F2387" s="8" t="s">
        <v>1852</v>
      </c>
      <c r="G2387" s="8" t="s">
        <v>1853</v>
      </c>
      <c r="H2387" s="8"/>
      <c r="I2387" s="14" t="s">
        <v>1669</v>
      </c>
      <c r="J2387" s="15"/>
      <c r="K2387" s="8" t="s">
        <v>1670</v>
      </c>
      <c r="L2387" s="8" t="s">
        <v>3828</v>
      </c>
      <c r="M2387" s="6" t="s">
        <v>1671</v>
      </c>
      <c r="N2387" s="6" t="s">
        <v>1624</v>
      </c>
      <c r="O2387" s="7">
        <f>SUMIFS('05_상품별배치367'!$K$7:$K$373,'05_상품별배치367'!$E$7:$E$373,A2387,'05_상품별배치367'!$H$7:$H$373,"본진")</f>
        <v>0</v>
      </c>
      <c r="P2387" s="7">
        <f>SUMIFS('05_상품별배치367'!$K$7:$K$373,'05_상품별배치367'!$E$7:$E$373,A2387,'05_상품별배치367'!$H$7:$H$373,"추가 진열")</f>
        <v>0</v>
      </c>
      <c r="Q2387" s="7">
        <f>O2387+P2387</f>
        <v>0</v>
      </c>
      <c r="R2387" s="7">
        <v>0</v>
      </c>
      <c r="S2387" s="6" t="s">
        <v>1672</v>
      </c>
      <c r="T2387" s="6" t="s">
        <v>1637</v>
      </c>
      <c r="U2387" s="6"/>
      <c r="V2387" s="16"/>
      <c r="W2387" s="16"/>
      <c r="X2387" s="16"/>
      <c r="Y2387" s="6" t="s">
        <v>1655</v>
      </c>
      <c r="Z2387" s="15"/>
      <c r="AA2387" s="15" t="s">
        <v>1628</v>
      </c>
    </row>
    <row r="2388" spans="1:27" ht="33" customHeight="1">
      <c r="A2388" s="8" t="s">
        <v>3491</v>
      </c>
      <c r="B2388" s="9">
        <v>770</v>
      </c>
      <c r="C2388" s="8" t="s">
        <v>3492</v>
      </c>
      <c r="D2388" s="8" t="s">
        <v>2133</v>
      </c>
      <c r="E2388" s="8" t="s">
        <v>2134</v>
      </c>
      <c r="F2388" s="8" t="s">
        <v>156</v>
      </c>
      <c r="G2388" s="8" t="s">
        <v>3239</v>
      </c>
      <c r="H2388" s="8"/>
      <c r="I2388" s="14" t="s">
        <v>1642</v>
      </c>
      <c r="J2388" s="15"/>
      <c r="K2388" s="8" t="s">
        <v>1976</v>
      </c>
      <c r="L2388" s="8"/>
      <c r="M2388" s="6" t="s">
        <v>1643</v>
      </c>
      <c r="N2388" s="6" t="s">
        <v>1644</v>
      </c>
      <c r="O2388" s="7">
        <f>SUMIFS('05_상품별배치367'!$K$7:$K$373,'05_상품별배치367'!$E$7:$E$373,A2388,'05_상품별배치367'!$H$7:$H$373,"본진")</f>
        <v>0</v>
      </c>
      <c r="P2388" s="7">
        <f>SUMIFS('05_상품별배치367'!$K$7:$K$373,'05_상품별배치367'!$E$7:$E$373,A2388,'05_상품별배치367'!$H$7:$H$373,"추가 진열")</f>
        <v>0</v>
      </c>
      <c r="Q2388" s="7">
        <f>O2388+P2388</f>
        <v>0</v>
      </c>
      <c r="R2388" s="7">
        <v>1</v>
      </c>
      <c r="S2388" s="6" t="s">
        <v>3240</v>
      </c>
      <c r="T2388" s="6" t="s">
        <v>1637</v>
      </c>
      <c r="U2388" s="6"/>
      <c r="V2388" s="16"/>
      <c r="W2388" s="16"/>
      <c r="X2388" s="16"/>
      <c r="Y2388" s="6" t="s">
        <v>1627</v>
      </c>
      <c r="Z2388" s="15"/>
      <c r="AA2388" s="15" t="s">
        <v>1628</v>
      </c>
    </row>
    <row r="2389" spans="1:27" ht="33" customHeight="1">
      <c r="A2389" s="6" t="s">
        <v>3489</v>
      </c>
      <c r="B2389" s="7">
        <v>769</v>
      </c>
      <c r="C2389" s="6" t="s">
        <v>3490</v>
      </c>
      <c r="D2389" s="6" t="s">
        <v>2714</v>
      </c>
      <c r="E2389" s="6" t="s">
        <v>2134</v>
      </c>
      <c r="F2389" s="6" t="s">
        <v>1263</v>
      </c>
      <c r="G2389" s="6" t="s">
        <v>376</v>
      </c>
      <c r="H2389" s="6"/>
      <c r="I2389" s="14" t="s">
        <v>1642</v>
      </c>
      <c r="J2389" s="15"/>
      <c r="K2389" s="6" t="s">
        <v>1976</v>
      </c>
      <c r="L2389" s="6"/>
      <c r="M2389" s="6" t="s">
        <v>1643</v>
      </c>
      <c r="N2389" s="6" t="s">
        <v>1644</v>
      </c>
      <c r="O2389" s="7">
        <f>SUMIFS('05_상품별배치367'!$K$7:$K$373,'05_상품별배치367'!$E$7:$E$373,A2389,'05_상품별배치367'!$H$7:$H$373,"본진")</f>
        <v>0</v>
      </c>
      <c r="P2389" s="7">
        <f>SUMIFS('05_상품별배치367'!$K$7:$K$373,'05_상품별배치367'!$E$7:$E$373,A2389,'05_상품별배치367'!$H$7:$H$373,"추가 진열")</f>
        <v>0</v>
      </c>
      <c r="Q2389" s="7">
        <f>O2389+P2389</f>
        <v>0</v>
      </c>
      <c r="R2389" s="7">
        <v>1</v>
      </c>
      <c r="S2389" s="6" t="s">
        <v>3016</v>
      </c>
      <c r="T2389" s="6" t="s">
        <v>1637</v>
      </c>
      <c r="U2389" s="6"/>
      <c r="V2389" s="16"/>
      <c r="W2389" s="16"/>
      <c r="X2389" s="16"/>
      <c r="Y2389" s="6" t="s">
        <v>1627</v>
      </c>
      <c r="Z2389" s="15"/>
      <c r="AA2389" s="15" t="s">
        <v>1628</v>
      </c>
    </row>
    <row r="2390" spans="1:27" ht="33" customHeight="1">
      <c r="A2390" s="6" t="s">
        <v>3493</v>
      </c>
      <c r="B2390" s="7">
        <v>771</v>
      </c>
      <c r="C2390" s="6" t="s">
        <v>3494</v>
      </c>
      <c r="D2390" s="6" t="s">
        <v>2856</v>
      </c>
      <c r="E2390" s="6" t="s">
        <v>2134</v>
      </c>
      <c r="F2390" s="6" t="s">
        <v>2933</v>
      </c>
      <c r="G2390" s="6" t="s">
        <v>1668</v>
      </c>
      <c r="H2390" s="6"/>
      <c r="I2390" s="14" t="s">
        <v>1807</v>
      </c>
      <c r="J2390" s="15"/>
      <c r="K2390" s="6" t="s">
        <v>1976</v>
      </c>
      <c r="L2390" s="6" t="s">
        <v>2032</v>
      </c>
      <c r="M2390" s="6" t="s">
        <v>1809</v>
      </c>
      <c r="N2390" s="6" t="s">
        <v>1644</v>
      </c>
      <c r="O2390" s="7">
        <f>SUMIFS('05_상품별배치367'!$K$7:$K$373,'05_상품별배치367'!$E$7:$E$373,A2390,'05_상품별배치367'!$H$7:$H$373,"본진")</f>
        <v>0</v>
      </c>
      <c r="P2390" s="7">
        <f>SUMIFS('05_상품별배치367'!$K$7:$K$373,'05_상품별배치367'!$E$7:$E$373,A2390,'05_상품별배치367'!$H$7:$H$373,"추가 진열")</f>
        <v>0</v>
      </c>
      <c r="Q2390" s="7">
        <f>O2390+P2390</f>
        <v>0</v>
      </c>
      <c r="R2390" s="7">
        <v>0</v>
      </c>
      <c r="S2390" s="6" t="s">
        <v>1810</v>
      </c>
      <c r="T2390" s="6" t="s">
        <v>1637</v>
      </c>
      <c r="U2390" s="6"/>
      <c r="V2390" s="16"/>
      <c r="W2390" s="16"/>
      <c r="X2390" s="16"/>
      <c r="Y2390" s="6" t="s">
        <v>1627</v>
      </c>
      <c r="Z2390" s="15"/>
      <c r="AA2390" s="15" t="s">
        <v>1628</v>
      </c>
    </row>
    <row r="2391" spans="1:27" ht="33" customHeight="1">
      <c r="A2391" s="8" t="s">
        <v>3499</v>
      </c>
      <c r="B2391" s="9">
        <v>774</v>
      </c>
      <c r="C2391" s="8" t="s">
        <v>3500</v>
      </c>
      <c r="D2391" s="8" t="s">
        <v>3042</v>
      </c>
      <c r="E2391" s="8" t="s">
        <v>2134</v>
      </c>
      <c r="F2391" s="8" t="s">
        <v>2933</v>
      </c>
      <c r="G2391" s="8" t="s">
        <v>1668</v>
      </c>
      <c r="H2391" s="8"/>
      <c r="I2391" s="14" t="s">
        <v>1807</v>
      </c>
      <c r="J2391" s="15"/>
      <c r="K2391" s="8" t="s">
        <v>1976</v>
      </c>
      <c r="L2391" s="8" t="s">
        <v>2032</v>
      </c>
      <c r="M2391" s="6" t="s">
        <v>1809</v>
      </c>
      <c r="N2391" s="6" t="s">
        <v>1644</v>
      </c>
      <c r="O2391" s="7">
        <f>SUMIFS('05_상품별배치367'!$K$7:$K$373,'05_상품별배치367'!$E$7:$E$373,A2391,'05_상품별배치367'!$H$7:$H$373,"본진")</f>
        <v>0</v>
      </c>
      <c r="P2391" s="7">
        <f>SUMIFS('05_상품별배치367'!$K$7:$K$373,'05_상품별배치367'!$E$7:$E$373,A2391,'05_상품별배치367'!$H$7:$H$373,"추가 진열")</f>
        <v>0</v>
      </c>
      <c r="Q2391" s="7">
        <f>O2391+P2391</f>
        <v>0</v>
      </c>
      <c r="R2391" s="7">
        <v>0</v>
      </c>
      <c r="S2391" s="6" t="s">
        <v>1810</v>
      </c>
      <c r="T2391" s="6" t="s">
        <v>1637</v>
      </c>
      <c r="U2391" s="6"/>
      <c r="V2391" s="16"/>
      <c r="W2391" s="16"/>
      <c r="X2391" s="16"/>
      <c r="Y2391" s="6" t="s">
        <v>1627</v>
      </c>
      <c r="Z2391" s="15"/>
      <c r="AA2391" s="15" t="s">
        <v>1628</v>
      </c>
    </row>
    <row r="2392" spans="1:27" ht="33" customHeight="1">
      <c r="A2392" s="8" t="s">
        <v>3495</v>
      </c>
      <c r="B2392" s="9">
        <v>772</v>
      </c>
      <c r="C2392" s="8" t="s">
        <v>3496</v>
      </c>
      <c r="D2392" s="8" t="s">
        <v>2856</v>
      </c>
      <c r="E2392" s="8" t="s">
        <v>2134</v>
      </c>
      <c r="F2392" s="8" t="s">
        <v>2933</v>
      </c>
      <c r="G2392" s="8" t="s">
        <v>1668</v>
      </c>
      <c r="H2392" s="8"/>
      <c r="I2392" s="14" t="s">
        <v>1807</v>
      </c>
      <c r="J2392" s="15"/>
      <c r="K2392" s="8" t="s">
        <v>1976</v>
      </c>
      <c r="L2392" s="8" t="s">
        <v>2032</v>
      </c>
      <c r="M2392" s="6" t="s">
        <v>1809</v>
      </c>
      <c r="N2392" s="6" t="s">
        <v>1644</v>
      </c>
      <c r="O2392" s="7">
        <f>SUMIFS('05_상품별배치367'!$K$7:$K$373,'05_상품별배치367'!$E$7:$E$373,A2392,'05_상품별배치367'!$H$7:$H$373,"본진")</f>
        <v>0</v>
      </c>
      <c r="P2392" s="7">
        <f>SUMIFS('05_상품별배치367'!$K$7:$K$373,'05_상품별배치367'!$E$7:$E$373,A2392,'05_상품별배치367'!$H$7:$H$373,"추가 진열")</f>
        <v>0</v>
      </c>
      <c r="Q2392" s="7">
        <f>O2392+P2392</f>
        <v>0</v>
      </c>
      <c r="R2392" s="7">
        <v>0</v>
      </c>
      <c r="S2392" s="6" t="s">
        <v>1810</v>
      </c>
      <c r="T2392" s="6" t="s">
        <v>1637</v>
      </c>
      <c r="U2392" s="6"/>
      <c r="V2392" s="16"/>
      <c r="W2392" s="16"/>
      <c r="X2392" s="16"/>
      <c r="Y2392" s="6" t="s">
        <v>1627</v>
      </c>
      <c r="Z2392" s="15"/>
      <c r="AA2392" s="15" t="s">
        <v>1628</v>
      </c>
    </row>
    <row r="2393" spans="1:27" ht="33" customHeight="1">
      <c r="A2393" s="6" t="s">
        <v>3497</v>
      </c>
      <c r="B2393" s="7">
        <v>773</v>
      </c>
      <c r="C2393" s="6" t="s">
        <v>3498</v>
      </c>
      <c r="D2393" s="6" t="s">
        <v>3042</v>
      </c>
      <c r="E2393" s="6" t="s">
        <v>2134</v>
      </c>
      <c r="F2393" s="6" t="s">
        <v>2933</v>
      </c>
      <c r="G2393" s="6" t="s">
        <v>1668</v>
      </c>
      <c r="H2393" s="6"/>
      <c r="I2393" s="14" t="s">
        <v>1807</v>
      </c>
      <c r="J2393" s="15"/>
      <c r="K2393" s="6" t="s">
        <v>1976</v>
      </c>
      <c r="L2393" s="6" t="s">
        <v>2032</v>
      </c>
      <c r="M2393" s="6" t="s">
        <v>1809</v>
      </c>
      <c r="N2393" s="6" t="s">
        <v>1644</v>
      </c>
      <c r="O2393" s="7">
        <f>SUMIFS('05_상품별배치367'!$K$7:$K$373,'05_상품별배치367'!$E$7:$E$373,A2393,'05_상품별배치367'!$H$7:$H$373,"본진")</f>
        <v>0</v>
      </c>
      <c r="P2393" s="7">
        <f>SUMIFS('05_상품별배치367'!$K$7:$K$373,'05_상품별배치367'!$E$7:$E$373,A2393,'05_상품별배치367'!$H$7:$H$373,"추가 진열")</f>
        <v>0</v>
      </c>
      <c r="Q2393" s="7">
        <f>O2393+P2393</f>
        <v>0</v>
      </c>
      <c r="R2393" s="7">
        <v>0</v>
      </c>
      <c r="S2393" s="6" t="s">
        <v>1810</v>
      </c>
      <c r="T2393" s="6" t="s">
        <v>1637</v>
      </c>
      <c r="U2393" s="6"/>
      <c r="V2393" s="16"/>
      <c r="W2393" s="16"/>
      <c r="X2393" s="16"/>
      <c r="Y2393" s="6" t="s">
        <v>1627</v>
      </c>
      <c r="Z2393" s="15"/>
      <c r="AA2393" s="15" t="s">
        <v>1628</v>
      </c>
    </row>
    <row r="2394" spans="1:27" ht="33" customHeight="1">
      <c r="A2394" s="6" t="s">
        <v>3505</v>
      </c>
      <c r="B2394" s="7">
        <v>777</v>
      </c>
      <c r="C2394" s="6" t="s">
        <v>3506</v>
      </c>
      <c r="D2394" s="6" t="s">
        <v>1876</v>
      </c>
      <c r="E2394" s="6" t="s">
        <v>1986</v>
      </c>
      <c r="F2394" s="6" t="s">
        <v>913</v>
      </c>
      <c r="G2394" s="6" t="s">
        <v>201</v>
      </c>
      <c r="H2394" s="6"/>
      <c r="I2394" s="14" t="s">
        <v>1642</v>
      </c>
      <c r="J2394" s="15"/>
      <c r="K2394" s="6" t="s">
        <v>1976</v>
      </c>
      <c r="L2394" s="6"/>
      <c r="M2394" s="6" t="s">
        <v>1643</v>
      </c>
      <c r="N2394" s="6" t="s">
        <v>1644</v>
      </c>
      <c r="O2394" s="7">
        <f>SUMIFS('05_상품별배치367'!$K$7:$K$373,'05_상품별배치367'!$E$7:$E$373,A2394,'05_상품별배치367'!$H$7:$H$373,"본진")</f>
        <v>0</v>
      </c>
      <c r="P2394" s="7">
        <f>SUMIFS('05_상품별배치367'!$K$7:$K$373,'05_상품별배치367'!$E$7:$E$373,A2394,'05_상품별배치367'!$H$7:$H$373,"추가 진열")</f>
        <v>0</v>
      </c>
      <c r="Q2394" s="7">
        <f>O2394+P2394</f>
        <v>0</v>
      </c>
      <c r="R2394" s="7">
        <v>1</v>
      </c>
      <c r="S2394" s="6" t="s">
        <v>2907</v>
      </c>
      <c r="T2394" s="6" t="s">
        <v>1637</v>
      </c>
      <c r="U2394" s="6"/>
      <c r="V2394" s="16"/>
      <c r="W2394" s="16"/>
      <c r="X2394" s="16"/>
      <c r="Y2394" s="6" t="s">
        <v>1627</v>
      </c>
      <c r="Z2394" s="15"/>
      <c r="AA2394" s="15" t="s">
        <v>1628</v>
      </c>
    </row>
    <row r="2395" spans="1:27" ht="33" customHeight="1">
      <c r="A2395" s="6" t="s">
        <v>3501</v>
      </c>
      <c r="B2395" s="7">
        <v>775</v>
      </c>
      <c r="C2395" s="6" t="s">
        <v>3502</v>
      </c>
      <c r="D2395" s="6" t="s">
        <v>3042</v>
      </c>
      <c r="E2395" s="6" t="s">
        <v>2134</v>
      </c>
      <c r="F2395" s="6" t="s">
        <v>1263</v>
      </c>
      <c r="G2395" s="6" t="s">
        <v>376</v>
      </c>
      <c r="H2395" s="6"/>
      <c r="I2395" s="14" t="s">
        <v>1642</v>
      </c>
      <c r="J2395" s="15"/>
      <c r="K2395" s="6" t="s">
        <v>1976</v>
      </c>
      <c r="L2395" s="6"/>
      <c r="M2395" s="6" t="s">
        <v>1643</v>
      </c>
      <c r="N2395" s="6" t="s">
        <v>1644</v>
      </c>
      <c r="O2395" s="7">
        <f>SUMIFS('05_상품별배치367'!$K$7:$K$373,'05_상품별배치367'!$E$7:$E$373,A2395,'05_상품별배치367'!$H$7:$H$373,"본진")</f>
        <v>0</v>
      </c>
      <c r="P2395" s="7">
        <f>SUMIFS('05_상품별배치367'!$K$7:$K$373,'05_상품별배치367'!$E$7:$E$373,A2395,'05_상품별배치367'!$H$7:$H$373,"추가 진열")</f>
        <v>0</v>
      </c>
      <c r="Q2395" s="7">
        <f>O2395+P2395</f>
        <v>0</v>
      </c>
      <c r="R2395" s="7">
        <v>1</v>
      </c>
      <c r="S2395" s="6" t="s">
        <v>3016</v>
      </c>
      <c r="T2395" s="6" t="s">
        <v>1637</v>
      </c>
      <c r="U2395" s="6"/>
      <c r="V2395" s="16"/>
      <c r="W2395" s="16"/>
      <c r="X2395" s="16"/>
      <c r="Y2395" s="6" t="s">
        <v>1627</v>
      </c>
      <c r="Z2395" s="15"/>
      <c r="AA2395" s="15" t="s">
        <v>1628</v>
      </c>
    </row>
    <row r="2396" spans="1:27" ht="33" customHeight="1">
      <c r="A2396" s="8" t="s">
        <v>3503</v>
      </c>
      <c r="B2396" s="9">
        <v>776</v>
      </c>
      <c r="C2396" s="8" t="s">
        <v>3504</v>
      </c>
      <c r="D2396" s="8" t="s">
        <v>3042</v>
      </c>
      <c r="E2396" s="8" t="s">
        <v>2134</v>
      </c>
      <c r="F2396" s="8" t="s">
        <v>1263</v>
      </c>
      <c r="G2396" s="8" t="s">
        <v>376</v>
      </c>
      <c r="H2396" s="8"/>
      <c r="I2396" s="14" t="s">
        <v>1642</v>
      </c>
      <c r="J2396" s="15"/>
      <c r="K2396" s="8" t="s">
        <v>1976</v>
      </c>
      <c r="L2396" s="8"/>
      <c r="M2396" s="6" t="s">
        <v>1643</v>
      </c>
      <c r="N2396" s="6" t="s">
        <v>1644</v>
      </c>
      <c r="O2396" s="7">
        <f>SUMIFS('05_상품별배치367'!$K$7:$K$373,'05_상품별배치367'!$E$7:$E$373,A2396,'05_상품별배치367'!$H$7:$H$373,"본진")</f>
        <v>0</v>
      </c>
      <c r="P2396" s="7">
        <f>SUMIFS('05_상품별배치367'!$K$7:$K$373,'05_상품별배치367'!$E$7:$E$373,A2396,'05_상품별배치367'!$H$7:$H$373,"추가 진열")</f>
        <v>0</v>
      </c>
      <c r="Q2396" s="7">
        <f>O2396+P2396</f>
        <v>0</v>
      </c>
      <c r="R2396" s="7">
        <v>1</v>
      </c>
      <c r="S2396" s="6" t="s">
        <v>3016</v>
      </c>
      <c r="T2396" s="6" t="s">
        <v>1637</v>
      </c>
      <c r="U2396" s="6"/>
      <c r="V2396" s="16"/>
      <c r="W2396" s="16"/>
      <c r="X2396" s="16"/>
      <c r="Y2396" s="6" t="s">
        <v>1627</v>
      </c>
      <c r="Z2396" s="15"/>
      <c r="AA2396" s="15" t="s">
        <v>1628</v>
      </c>
    </row>
    <row r="2397" spans="1:27" ht="33" customHeight="1">
      <c r="A2397" s="8" t="s">
        <v>3507</v>
      </c>
      <c r="B2397" s="9">
        <v>778</v>
      </c>
      <c r="C2397" s="8" t="s">
        <v>3508</v>
      </c>
      <c r="D2397" s="8" t="s">
        <v>1876</v>
      </c>
      <c r="E2397" s="8" t="s">
        <v>1986</v>
      </c>
      <c r="F2397" s="8" t="s">
        <v>913</v>
      </c>
      <c r="G2397" s="8" t="s">
        <v>201</v>
      </c>
      <c r="H2397" s="8"/>
      <c r="I2397" s="14" t="s">
        <v>1642</v>
      </c>
      <c r="J2397" s="15"/>
      <c r="K2397" s="8" t="s">
        <v>1976</v>
      </c>
      <c r="L2397" s="8"/>
      <c r="M2397" s="6" t="s">
        <v>1643</v>
      </c>
      <c r="N2397" s="6" t="s">
        <v>1644</v>
      </c>
      <c r="O2397" s="7">
        <f>SUMIFS('05_상품별배치367'!$K$7:$K$373,'05_상품별배치367'!$E$7:$E$373,A2397,'05_상품별배치367'!$H$7:$H$373,"본진")</f>
        <v>0</v>
      </c>
      <c r="P2397" s="7">
        <f>SUMIFS('05_상품별배치367'!$K$7:$K$373,'05_상품별배치367'!$E$7:$E$373,A2397,'05_상품별배치367'!$H$7:$H$373,"추가 진열")</f>
        <v>0</v>
      </c>
      <c r="Q2397" s="7">
        <f>O2397+P2397</f>
        <v>0</v>
      </c>
      <c r="R2397" s="7">
        <v>1</v>
      </c>
      <c r="S2397" s="6" t="s">
        <v>2907</v>
      </c>
      <c r="T2397" s="6" t="s">
        <v>1637</v>
      </c>
      <c r="U2397" s="6"/>
      <c r="V2397" s="16"/>
      <c r="W2397" s="16"/>
      <c r="X2397" s="16"/>
      <c r="Y2397" s="6" t="s">
        <v>1627</v>
      </c>
      <c r="Z2397" s="15"/>
      <c r="AA2397" s="15" t="s">
        <v>1628</v>
      </c>
    </row>
    <row r="2398" spans="1:27" ht="33" customHeight="1">
      <c r="A2398" s="8" t="s">
        <v>5208</v>
      </c>
      <c r="B2398" s="9">
        <v>1576</v>
      </c>
      <c r="C2398" s="8" t="s">
        <v>5209</v>
      </c>
      <c r="D2398" s="8" t="s">
        <v>2007</v>
      </c>
      <c r="E2398" s="8" t="s">
        <v>1986</v>
      </c>
      <c r="F2398" s="8" t="s">
        <v>913</v>
      </c>
      <c r="G2398" s="8" t="s">
        <v>201</v>
      </c>
      <c r="H2398" s="8"/>
      <c r="I2398" s="14" t="s">
        <v>1642</v>
      </c>
      <c r="J2398" s="15"/>
      <c r="K2398" s="8" t="s">
        <v>1976</v>
      </c>
      <c r="L2398" s="8"/>
      <c r="M2398" s="6" t="s">
        <v>1643</v>
      </c>
      <c r="N2398" s="6" t="s">
        <v>1644</v>
      </c>
      <c r="O2398" s="7">
        <f>SUMIFS('05_상품별배치367'!$K$7:$K$373,'05_상품별배치367'!$E$7:$E$373,A2398,'05_상품별배치367'!$H$7:$H$373,"본진")</f>
        <v>0</v>
      </c>
      <c r="P2398" s="7">
        <f>SUMIFS('05_상품별배치367'!$K$7:$K$373,'05_상품별배치367'!$E$7:$E$373,A2398,'05_상품별배치367'!$H$7:$H$373,"추가 진열")</f>
        <v>0</v>
      </c>
      <c r="Q2398" s="7">
        <f>O2398+P2398</f>
        <v>0</v>
      </c>
      <c r="R2398" s="7">
        <v>1</v>
      </c>
      <c r="S2398" s="6" t="s">
        <v>2907</v>
      </c>
      <c r="T2398" s="6" t="s">
        <v>1637</v>
      </c>
      <c r="U2398" s="6"/>
      <c r="V2398" s="16"/>
      <c r="W2398" s="16"/>
      <c r="X2398" s="16"/>
      <c r="Y2398" s="6" t="s">
        <v>1627</v>
      </c>
      <c r="Z2398" s="15"/>
      <c r="AA2398" s="15" t="s">
        <v>1628</v>
      </c>
    </row>
    <row r="2399" spans="1:27" ht="33" customHeight="1">
      <c r="A2399" s="6" t="s">
        <v>5206</v>
      </c>
      <c r="B2399" s="7">
        <v>1575</v>
      </c>
      <c r="C2399" s="6" t="s">
        <v>5207</v>
      </c>
      <c r="D2399" s="6" t="s">
        <v>1851</v>
      </c>
      <c r="E2399" s="6" t="s">
        <v>1986</v>
      </c>
      <c r="F2399" s="6" t="s">
        <v>913</v>
      </c>
      <c r="G2399" s="6" t="s">
        <v>201</v>
      </c>
      <c r="H2399" s="6"/>
      <c r="I2399" s="14" t="s">
        <v>1642</v>
      </c>
      <c r="J2399" s="15"/>
      <c r="K2399" s="6" t="s">
        <v>1976</v>
      </c>
      <c r="L2399" s="6"/>
      <c r="M2399" s="6" t="s">
        <v>1643</v>
      </c>
      <c r="N2399" s="6" t="s">
        <v>1644</v>
      </c>
      <c r="O2399" s="7">
        <f>SUMIFS('05_상품별배치367'!$K$7:$K$373,'05_상품별배치367'!$E$7:$E$373,A2399,'05_상품별배치367'!$H$7:$H$373,"본진")</f>
        <v>0</v>
      </c>
      <c r="P2399" s="7">
        <f>SUMIFS('05_상품별배치367'!$K$7:$K$373,'05_상품별배치367'!$E$7:$E$373,A2399,'05_상품별배치367'!$H$7:$H$373,"추가 진열")</f>
        <v>0</v>
      </c>
      <c r="Q2399" s="7">
        <f>O2399+P2399</f>
        <v>0</v>
      </c>
      <c r="R2399" s="7">
        <v>1</v>
      </c>
      <c r="S2399" s="6" t="s">
        <v>2907</v>
      </c>
      <c r="T2399" s="6" t="s">
        <v>1637</v>
      </c>
      <c r="U2399" s="6"/>
      <c r="V2399" s="16"/>
      <c r="W2399" s="16"/>
      <c r="X2399" s="16"/>
      <c r="Y2399" s="6" t="s">
        <v>1627</v>
      </c>
      <c r="Z2399" s="15"/>
      <c r="AA2399" s="15" t="s">
        <v>1628</v>
      </c>
    </row>
    <row r="2400" spans="1:27" ht="33" customHeight="1">
      <c r="A2400" s="8" t="s">
        <v>5204</v>
      </c>
      <c r="B2400" s="9">
        <v>1574</v>
      </c>
      <c r="C2400" s="8" t="s">
        <v>5205</v>
      </c>
      <c r="D2400" s="8" t="s">
        <v>3042</v>
      </c>
      <c r="E2400" s="8" t="s">
        <v>2134</v>
      </c>
      <c r="F2400" s="8" t="s">
        <v>1263</v>
      </c>
      <c r="G2400" s="8" t="s">
        <v>376</v>
      </c>
      <c r="H2400" s="8"/>
      <c r="I2400" s="14" t="s">
        <v>1642</v>
      </c>
      <c r="J2400" s="15"/>
      <c r="K2400" s="8" t="s">
        <v>1976</v>
      </c>
      <c r="L2400" s="8"/>
      <c r="M2400" s="6" t="s">
        <v>1643</v>
      </c>
      <c r="N2400" s="6" t="s">
        <v>1644</v>
      </c>
      <c r="O2400" s="7">
        <f>SUMIFS('05_상품별배치367'!$K$7:$K$373,'05_상품별배치367'!$E$7:$E$373,A2400,'05_상품별배치367'!$H$7:$H$373,"본진")</f>
        <v>0</v>
      </c>
      <c r="P2400" s="7">
        <f>SUMIFS('05_상품별배치367'!$K$7:$K$373,'05_상품별배치367'!$E$7:$E$373,A2400,'05_상품별배치367'!$H$7:$H$373,"추가 진열")</f>
        <v>0</v>
      </c>
      <c r="Q2400" s="7">
        <f>O2400+P2400</f>
        <v>0</v>
      </c>
      <c r="R2400" s="7">
        <v>1</v>
      </c>
      <c r="S2400" s="6" t="s">
        <v>3016</v>
      </c>
      <c r="T2400" s="6" t="s">
        <v>1637</v>
      </c>
      <c r="U2400" s="6"/>
      <c r="V2400" s="16"/>
      <c r="W2400" s="16"/>
      <c r="X2400" s="16"/>
      <c r="Y2400" s="6" t="s">
        <v>1627</v>
      </c>
      <c r="Z2400" s="15"/>
      <c r="AA2400" s="15" t="s">
        <v>1628</v>
      </c>
    </row>
    <row r="2401" spans="1:27" ht="33" customHeight="1">
      <c r="A2401" s="6" t="s">
        <v>5202</v>
      </c>
      <c r="B2401" s="7">
        <v>1573</v>
      </c>
      <c r="C2401" s="6" t="s">
        <v>5203</v>
      </c>
      <c r="D2401" s="6" t="s">
        <v>3055</v>
      </c>
      <c r="E2401" s="6" t="s">
        <v>2134</v>
      </c>
      <c r="F2401" s="6" t="s">
        <v>161</v>
      </c>
      <c r="G2401" s="6" t="s">
        <v>395</v>
      </c>
      <c r="H2401" s="6"/>
      <c r="I2401" s="14" t="s">
        <v>1642</v>
      </c>
      <c r="J2401" s="15"/>
      <c r="K2401" s="6" t="s">
        <v>1976</v>
      </c>
      <c r="L2401" s="6"/>
      <c r="M2401" s="6" t="s">
        <v>1643</v>
      </c>
      <c r="N2401" s="6" t="s">
        <v>1644</v>
      </c>
      <c r="O2401" s="7">
        <f>SUMIFS('05_상품별배치367'!$K$7:$K$373,'05_상품별배치367'!$E$7:$E$373,A2401,'05_상품별배치367'!$H$7:$H$373,"본진")</f>
        <v>0</v>
      </c>
      <c r="P2401" s="7">
        <f>SUMIFS('05_상품별배치367'!$K$7:$K$373,'05_상품별배치367'!$E$7:$E$373,A2401,'05_상품별배치367'!$H$7:$H$373,"추가 진열")</f>
        <v>0</v>
      </c>
      <c r="Q2401" s="7">
        <f>O2401+P2401</f>
        <v>0</v>
      </c>
      <c r="R2401" s="7">
        <v>1</v>
      </c>
      <c r="S2401" s="6" t="s">
        <v>3070</v>
      </c>
      <c r="T2401" s="6" t="s">
        <v>1637</v>
      </c>
      <c r="U2401" s="6"/>
      <c r="V2401" s="16"/>
      <c r="W2401" s="16"/>
      <c r="X2401" s="16"/>
      <c r="Y2401" s="6" t="s">
        <v>1627</v>
      </c>
      <c r="Z2401" s="15"/>
      <c r="AA2401" s="15" t="s">
        <v>1628</v>
      </c>
    </row>
    <row r="2402" spans="1:27" ht="33" customHeight="1">
      <c r="A2402" s="6" t="s">
        <v>6636</v>
      </c>
      <c r="B2402" s="7">
        <v>2229</v>
      </c>
      <c r="C2402" s="6" t="s">
        <v>6637</v>
      </c>
      <c r="D2402" s="6" t="s">
        <v>1851</v>
      </c>
      <c r="E2402" s="6" t="s">
        <v>2134</v>
      </c>
      <c r="F2402" s="6" t="s">
        <v>481</v>
      </c>
      <c r="G2402" s="6" t="s">
        <v>193</v>
      </c>
      <c r="H2402" s="6"/>
      <c r="I2402" s="14" t="s">
        <v>1642</v>
      </c>
      <c r="J2402" s="15"/>
      <c r="K2402" s="6" t="s">
        <v>1976</v>
      </c>
      <c r="L2402" s="6"/>
      <c r="M2402" s="6" t="s">
        <v>1643</v>
      </c>
      <c r="N2402" s="6" t="s">
        <v>1644</v>
      </c>
      <c r="O2402" s="7">
        <f>SUMIFS('05_상품별배치367'!$K$7:$K$373,'05_상품별배치367'!$E$7:$E$373,A2402,'05_상품별배치367'!$H$7:$H$373,"본진")</f>
        <v>0</v>
      </c>
      <c r="P2402" s="7">
        <f>SUMIFS('05_상품별배치367'!$K$7:$K$373,'05_상품별배치367'!$E$7:$E$373,A2402,'05_상품별배치367'!$H$7:$H$373,"추가 진열")</f>
        <v>0</v>
      </c>
      <c r="Q2402" s="7">
        <f>O2402+P2402</f>
        <v>0</v>
      </c>
      <c r="R2402" s="7">
        <v>1</v>
      </c>
      <c r="S2402" s="6" t="s">
        <v>3000</v>
      </c>
      <c r="T2402" s="6" t="s">
        <v>6638</v>
      </c>
      <c r="U2402" s="6"/>
      <c r="V2402" s="16"/>
      <c r="W2402" s="16"/>
      <c r="X2402" s="16"/>
      <c r="Y2402" s="6" t="s">
        <v>1627</v>
      </c>
      <c r="Z2402" s="15"/>
      <c r="AA2402" s="15" t="s">
        <v>1628</v>
      </c>
    </row>
    <row r="2403" spans="1:27" ht="33" customHeight="1">
      <c r="A2403" s="8" t="s">
        <v>6639</v>
      </c>
      <c r="B2403" s="9">
        <v>2230</v>
      </c>
      <c r="C2403" s="8" t="s">
        <v>6640</v>
      </c>
      <c r="D2403" s="8" t="s">
        <v>2856</v>
      </c>
      <c r="E2403" s="8" t="s">
        <v>2134</v>
      </c>
      <c r="F2403" s="8" t="s">
        <v>156</v>
      </c>
      <c r="G2403" s="8" t="s">
        <v>3239</v>
      </c>
      <c r="H2403" s="8"/>
      <c r="I2403" s="14" t="s">
        <v>1642</v>
      </c>
      <c r="J2403" s="15"/>
      <c r="K2403" s="8" t="s">
        <v>1976</v>
      </c>
      <c r="L2403" s="8"/>
      <c r="M2403" s="6" t="s">
        <v>1643</v>
      </c>
      <c r="N2403" s="6" t="s">
        <v>1644</v>
      </c>
      <c r="O2403" s="7">
        <f>SUMIFS('05_상품별배치367'!$K$7:$K$373,'05_상품별배치367'!$E$7:$E$373,A2403,'05_상품별배치367'!$H$7:$H$373,"본진")</f>
        <v>0</v>
      </c>
      <c r="P2403" s="7">
        <f>SUMIFS('05_상품별배치367'!$K$7:$K$373,'05_상품별배치367'!$E$7:$E$373,A2403,'05_상품별배치367'!$H$7:$H$373,"추가 진열")</f>
        <v>0</v>
      </c>
      <c r="Q2403" s="7">
        <f>O2403+P2403</f>
        <v>0</v>
      </c>
      <c r="R2403" s="7">
        <v>1</v>
      </c>
      <c r="S2403" s="6" t="s">
        <v>3240</v>
      </c>
      <c r="T2403" s="6" t="s">
        <v>6638</v>
      </c>
      <c r="U2403" s="6"/>
      <c r="V2403" s="16"/>
      <c r="W2403" s="16"/>
      <c r="X2403" s="16"/>
      <c r="Y2403" s="6" t="s">
        <v>1627</v>
      </c>
      <c r="Z2403" s="15"/>
      <c r="AA2403" s="15" t="s">
        <v>1628</v>
      </c>
    </row>
    <row r="2404" spans="1:27" ht="33" customHeight="1">
      <c r="A2404" s="6" t="s">
        <v>6641</v>
      </c>
      <c r="B2404" s="7">
        <v>2231</v>
      </c>
      <c r="C2404" s="6" t="s">
        <v>6642</v>
      </c>
      <c r="D2404" s="6" t="s">
        <v>2133</v>
      </c>
      <c r="E2404" s="6" t="s">
        <v>2134</v>
      </c>
      <c r="F2404" s="6" t="s">
        <v>156</v>
      </c>
      <c r="G2404" s="6" t="s">
        <v>3239</v>
      </c>
      <c r="H2404" s="6"/>
      <c r="I2404" s="14" t="s">
        <v>1642</v>
      </c>
      <c r="J2404" s="15"/>
      <c r="K2404" s="6" t="s">
        <v>1976</v>
      </c>
      <c r="L2404" s="6"/>
      <c r="M2404" s="6" t="s">
        <v>1643</v>
      </c>
      <c r="N2404" s="6" t="s">
        <v>1644</v>
      </c>
      <c r="O2404" s="7">
        <f>SUMIFS('05_상품별배치367'!$K$7:$K$373,'05_상품별배치367'!$E$7:$E$373,A2404,'05_상품별배치367'!$H$7:$H$373,"본진")</f>
        <v>0</v>
      </c>
      <c r="P2404" s="7">
        <f>SUMIFS('05_상품별배치367'!$K$7:$K$373,'05_상품별배치367'!$E$7:$E$373,A2404,'05_상품별배치367'!$H$7:$H$373,"추가 진열")</f>
        <v>0</v>
      </c>
      <c r="Q2404" s="7">
        <f>O2404+P2404</f>
        <v>0</v>
      </c>
      <c r="R2404" s="7">
        <v>1</v>
      </c>
      <c r="S2404" s="6" t="s">
        <v>3240</v>
      </c>
      <c r="T2404" s="6" t="s">
        <v>6638</v>
      </c>
      <c r="U2404" s="6"/>
      <c r="V2404" s="16"/>
      <c r="W2404" s="16"/>
      <c r="X2404" s="16"/>
      <c r="Y2404" s="6" t="s">
        <v>1627</v>
      </c>
      <c r="Z2404" s="15"/>
      <c r="AA2404" s="15" t="s">
        <v>1628</v>
      </c>
    </row>
    <row r="2405" spans="1:27" ht="33" customHeight="1">
      <c r="A2405" s="8" t="s">
        <v>1478</v>
      </c>
      <c r="B2405" s="9">
        <v>2232</v>
      </c>
      <c r="C2405" s="8" t="s">
        <v>1477</v>
      </c>
      <c r="D2405" s="8" t="s">
        <v>2856</v>
      </c>
      <c r="E2405" s="8" t="s">
        <v>2134</v>
      </c>
      <c r="F2405" s="8" t="s">
        <v>481</v>
      </c>
      <c r="G2405" s="8" t="s">
        <v>193</v>
      </c>
      <c r="H2405" s="8" t="s">
        <v>900</v>
      </c>
      <c r="I2405" s="14" t="s">
        <v>1633</v>
      </c>
      <c r="J2405" s="15"/>
      <c r="K2405" s="8" t="s">
        <v>1976</v>
      </c>
      <c r="L2405" s="8"/>
      <c r="M2405" s="6" t="s">
        <v>1635</v>
      </c>
      <c r="N2405" s="6" t="s">
        <v>1624</v>
      </c>
      <c r="O2405" s="7">
        <f>SUMIFS('05_상품별배치367'!$K$7:$K$373,'05_상품별배치367'!$E$7:$E$373,A2405,'05_상품별배치367'!$H$7:$H$373,"본진")</f>
        <v>1</v>
      </c>
      <c r="P2405" s="7">
        <f>SUMIFS('05_상품별배치367'!$K$7:$K$373,'05_상품별배치367'!$E$7:$E$373,A2405,'05_상품별배치367'!$H$7:$H$373,"추가 진열")</f>
        <v>1</v>
      </c>
      <c r="Q2405" s="7">
        <f>O2405+P2405</f>
        <v>2</v>
      </c>
      <c r="R2405" s="7">
        <v>1</v>
      </c>
      <c r="S2405" s="6" t="s">
        <v>1636</v>
      </c>
      <c r="T2405" s="6" t="s">
        <v>6638</v>
      </c>
      <c r="U2405" s="6"/>
      <c r="V2405" s="16"/>
      <c r="W2405" s="16"/>
      <c r="X2405" s="16"/>
      <c r="Y2405" s="6" t="s">
        <v>1627</v>
      </c>
      <c r="Z2405" s="15"/>
      <c r="AA2405" s="15" t="s">
        <v>1628</v>
      </c>
    </row>
    <row r="2406" spans="1:27" ht="33" customHeight="1">
      <c r="A2406" s="6" t="s">
        <v>6643</v>
      </c>
      <c r="B2406" s="7">
        <v>2233</v>
      </c>
      <c r="C2406" s="6" t="s">
        <v>6644</v>
      </c>
      <c r="D2406" s="6" t="s">
        <v>2913</v>
      </c>
      <c r="E2406" s="6" t="s">
        <v>2134</v>
      </c>
      <c r="F2406" s="6" t="s">
        <v>481</v>
      </c>
      <c r="G2406" s="6" t="s">
        <v>193</v>
      </c>
      <c r="H2406" s="6"/>
      <c r="I2406" s="14" t="s">
        <v>1642</v>
      </c>
      <c r="J2406" s="15"/>
      <c r="K2406" s="6" t="s">
        <v>1976</v>
      </c>
      <c r="L2406" s="6"/>
      <c r="M2406" s="6" t="s">
        <v>1643</v>
      </c>
      <c r="N2406" s="6" t="s">
        <v>1644</v>
      </c>
      <c r="O2406" s="7">
        <f>SUMIFS('05_상품별배치367'!$K$7:$K$373,'05_상품별배치367'!$E$7:$E$373,A2406,'05_상품별배치367'!$H$7:$H$373,"본진")</f>
        <v>0</v>
      </c>
      <c r="P2406" s="7">
        <f>SUMIFS('05_상품별배치367'!$K$7:$K$373,'05_상품별배치367'!$E$7:$E$373,A2406,'05_상품별배치367'!$H$7:$H$373,"추가 진열")</f>
        <v>0</v>
      </c>
      <c r="Q2406" s="7">
        <f>O2406+P2406</f>
        <v>0</v>
      </c>
      <c r="R2406" s="7">
        <v>1</v>
      </c>
      <c r="S2406" s="6" t="s">
        <v>3000</v>
      </c>
      <c r="T2406" s="6" t="s">
        <v>6638</v>
      </c>
      <c r="U2406" s="6"/>
      <c r="V2406" s="16"/>
      <c r="W2406" s="16"/>
      <c r="X2406" s="16"/>
      <c r="Y2406" s="6" t="s">
        <v>1627</v>
      </c>
      <c r="Z2406" s="15"/>
      <c r="AA2406" s="15" t="s">
        <v>1628</v>
      </c>
    </row>
    <row r="2407" spans="1:27" ht="33" customHeight="1">
      <c r="A2407" s="8" t="s">
        <v>6645</v>
      </c>
      <c r="B2407" s="9">
        <v>2234</v>
      </c>
      <c r="C2407" s="8" t="s">
        <v>6646</v>
      </c>
      <c r="D2407" s="8" t="s">
        <v>2007</v>
      </c>
      <c r="E2407" s="8" t="s">
        <v>1986</v>
      </c>
      <c r="F2407" s="8" t="s">
        <v>913</v>
      </c>
      <c r="G2407" s="8" t="s">
        <v>201</v>
      </c>
      <c r="H2407" s="8" t="s">
        <v>918</v>
      </c>
      <c r="I2407" s="14" t="s">
        <v>1633</v>
      </c>
      <c r="J2407" s="15"/>
      <c r="K2407" s="8" t="s">
        <v>1976</v>
      </c>
      <c r="L2407" s="8"/>
      <c r="M2407" s="6" t="s">
        <v>1635</v>
      </c>
      <c r="N2407" s="6" t="s">
        <v>1624</v>
      </c>
      <c r="O2407" s="7">
        <f>SUMIFS('05_상품별배치367'!$K$7:$K$373,'05_상품별배치367'!$E$7:$E$373,A2407,'05_상품별배치367'!$H$7:$H$373,"본진")</f>
        <v>1</v>
      </c>
      <c r="P2407" s="7">
        <f>SUMIFS('05_상품별배치367'!$K$7:$K$373,'05_상품별배치367'!$E$7:$E$373,A2407,'05_상품별배치367'!$H$7:$H$373,"추가 진열")</f>
        <v>0</v>
      </c>
      <c r="Q2407" s="7">
        <f>O2407+P2407</f>
        <v>1</v>
      </c>
      <c r="R2407" s="7">
        <v>1</v>
      </c>
      <c r="S2407" s="6" t="s">
        <v>1636</v>
      </c>
      <c r="T2407" s="6" t="s">
        <v>6638</v>
      </c>
      <c r="U2407" s="6"/>
      <c r="V2407" s="16"/>
      <c r="W2407" s="16"/>
      <c r="X2407" s="16"/>
      <c r="Y2407" s="6" t="s">
        <v>1627</v>
      </c>
      <c r="Z2407" s="15"/>
      <c r="AA2407" s="15" t="s">
        <v>1628</v>
      </c>
    </row>
    <row r="2408" spans="1:27" ht="33" customHeight="1">
      <c r="A2408" s="6" t="s">
        <v>6647</v>
      </c>
      <c r="B2408" s="7">
        <v>2235</v>
      </c>
      <c r="C2408" s="6" t="s">
        <v>6648</v>
      </c>
      <c r="D2408" s="6" t="s">
        <v>2856</v>
      </c>
      <c r="E2408" s="6" t="s">
        <v>2134</v>
      </c>
      <c r="F2408" s="6" t="s">
        <v>1263</v>
      </c>
      <c r="G2408" s="6" t="s">
        <v>376</v>
      </c>
      <c r="H2408" s="6"/>
      <c r="I2408" s="14" t="s">
        <v>1642</v>
      </c>
      <c r="J2408" s="15"/>
      <c r="K2408" s="6" t="s">
        <v>1976</v>
      </c>
      <c r="L2408" s="6"/>
      <c r="M2408" s="6" t="s">
        <v>1643</v>
      </c>
      <c r="N2408" s="6" t="s">
        <v>1644</v>
      </c>
      <c r="O2408" s="7">
        <f>SUMIFS('05_상품별배치367'!$K$7:$K$373,'05_상품별배치367'!$E$7:$E$373,A2408,'05_상품별배치367'!$H$7:$H$373,"본진")</f>
        <v>0</v>
      </c>
      <c r="P2408" s="7">
        <f>SUMIFS('05_상품별배치367'!$K$7:$K$373,'05_상품별배치367'!$E$7:$E$373,A2408,'05_상품별배치367'!$H$7:$H$373,"추가 진열")</f>
        <v>0</v>
      </c>
      <c r="Q2408" s="7">
        <f>O2408+P2408</f>
        <v>0</v>
      </c>
      <c r="R2408" s="7">
        <v>1</v>
      </c>
      <c r="S2408" s="6" t="s">
        <v>3016</v>
      </c>
      <c r="T2408" s="6" t="s">
        <v>6638</v>
      </c>
      <c r="U2408" s="6"/>
      <c r="V2408" s="16"/>
      <c r="W2408" s="16"/>
      <c r="X2408" s="16"/>
      <c r="Y2408" s="6" t="s">
        <v>1627</v>
      </c>
      <c r="Z2408" s="15"/>
      <c r="AA2408" s="15" t="s">
        <v>1628</v>
      </c>
    </row>
    <row r="2409" spans="1:27" ht="33" customHeight="1">
      <c r="A2409" s="8" t="s">
        <v>6649</v>
      </c>
      <c r="B2409" s="9">
        <v>2236</v>
      </c>
      <c r="C2409" s="8" t="s">
        <v>6650</v>
      </c>
      <c r="D2409" s="8" t="s">
        <v>3042</v>
      </c>
      <c r="E2409" s="8" t="s">
        <v>2134</v>
      </c>
      <c r="F2409" s="8" t="s">
        <v>1263</v>
      </c>
      <c r="G2409" s="8" t="s">
        <v>376</v>
      </c>
      <c r="H2409" s="8"/>
      <c r="I2409" s="14" t="s">
        <v>1642</v>
      </c>
      <c r="J2409" s="15"/>
      <c r="K2409" s="8" t="s">
        <v>1976</v>
      </c>
      <c r="L2409" s="8"/>
      <c r="M2409" s="6" t="s">
        <v>1643</v>
      </c>
      <c r="N2409" s="6" t="s">
        <v>1644</v>
      </c>
      <c r="O2409" s="7">
        <f>SUMIFS('05_상품별배치367'!$K$7:$K$373,'05_상품별배치367'!$E$7:$E$373,A2409,'05_상품별배치367'!$H$7:$H$373,"본진")</f>
        <v>0</v>
      </c>
      <c r="P2409" s="7">
        <f>SUMIFS('05_상품별배치367'!$K$7:$K$373,'05_상품별배치367'!$E$7:$E$373,A2409,'05_상품별배치367'!$H$7:$H$373,"추가 진열")</f>
        <v>0</v>
      </c>
      <c r="Q2409" s="7">
        <f>O2409+P2409</f>
        <v>0</v>
      </c>
      <c r="R2409" s="7">
        <v>1</v>
      </c>
      <c r="S2409" s="6" t="s">
        <v>3016</v>
      </c>
      <c r="T2409" s="6" t="s">
        <v>6638</v>
      </c>
      <c r="U2409" s="6"/>
      <c r="V2409" s="16"/>
      <c r="W2409" s="16"/>
      <c r="X2409" s="16"/>
      <c r="Y2409" s="6" t="s">
        <v>1627</v>
      </c>
      <c r="Z2409" s="15"/>
      <c r="AA2409" s="15" t="s">
        <v>1628</v>
      </c>
    </row>
    <row r="2410" spans="1:27" ht="33" customHeight="1">
      <c r="A2410" s="6" t="s">
        <v>6651</v>
      </c>
      <c r="B2410" s="7">
        <v>2237</v>
      </c>
      <c r="C2410" s="6" t="s">
        <v>6652</v>
      </c>
      <c r="D2410" s="6" t="s">
        <v>3587</v>
      </c>
      <c r="E2410" s="6" t="s">
        <v>2134</v>
      </c>
      <c r="F2410" s="6" t="s">
        <v>1081</v>
      </c>
      <c r="G2410" s="6" t="s">
        <v>290</v>
      </c>
      <c r="H2410" s="6"/>
      <c r="I2410" s="14" t="s">
        <v>1642</v>
      </c>
      <c r="J2410" s="15"/>
      <c r="K2410" s="6" t="s">
        <v>1976</v>
      </c>
      <c r="L2410" s="6"/>
      <c r="M2410" s="6" t="s">
        <v>1643</v>
      </c>
      <c r="N2410" s="6" t="s">
        <v>1644</v>
      </c>
      <c r="O2410" s="7">
        <f>SUMIFS('05_상품별배치367'!$K$7:$K$373,'05_상품별배치367'!$E$7:$E$373,A2410,'05_상품별배치367'!$H$7:$H$373,"본진")</f>
        <v>0</v>
      </c>
      <c r="P2410" s="7">
        <f>SUMIFS('05_상품별배치367'!$K$7:$K$373,'05_상품별배치367'!$E$7:$E$373,A2410,'05_상품별배치367'!$H$7:$H$373,"추가 진열")</f>
        <v>0</v>
      </c>
      <c r="Q2410" s="7">
        <f>O2410+P2410</f>
        <v>0</v>
      </c>
      <c r="R2410" s="7">
        <v>1</v>
      </c>
      <c r="S2410" s="6" t="s">
        <v>2135</v>
      </c>
      <c r="T2410" s="6" t="s">
        <v>6638</v>
      </c>
      <c r="U2410" s="6"/>
      <c r="V2410" s="16"/>
      <c r="W2410" s="16"/>
      <c r="X2410" s="16"/>
      <c r="Y2410" s="6" t="s">
        <v>1627</v>
      </c>
      <c r="Z2410" s="15"/>
      <c r="AA2410" s="15" t="s">
        <v>1628</v>
      </c>
    </row>
    <row r="2411" spans="1:27" ht="33" customHeight="1">
      <c r="A2411" s="8" t="s">
        <v>6653</v>
      </c>
      <c r="B2411" s="9">
        <v>2238</v>
      </c>
      <c r="C2411" s="8" t="s">
        <v>6654</v>
      </c>
      <c r="D2411" s="8" t="s">
        <v>1926</v>
      </c>
      <c r="E2411" s="8" t="s">
        <v>1986</v>
      </c>
      <c r="F2411" s="8" t="s">
        <v>1276</v>
      </c>
      <c r="G2411" s="8" t="s">
        <v>1987</v>
      </c>
      <c r="H2411" s="8"/>
      <c r="I2411" s="14" t="s">
        <v>1642</v>
      </c>
      <c r="J2411" s="15"/>
      <c r="K2411" s="8" t="s">
        <v>1976</v>
      </c>
      <c r="L2411" s="8"/>
      <c r="M2411" s="6" t="s">
        <v>1643</v>
      </c>
      <c r="N2411" s="6" t="s">
        <v>1644</v>
      </c>
      <c r="O2411" s="7">
        <f>SUMIFS('05_상품별배치367'!$K$7:$K$373,'05_상품별배치367'!$E$7:$E$373,A2411,'05_상품별배치367'!$H$7:$H$373,"본진")</f>
        <v>0</v>
      </c>
      <c r="P2411" s="7">
        <f>SUMIFS('05_상품별배치367'!$K$7:$K$373,'05_상품별배치367'!$E$7:$E$373,A2411,'05_상품별배치367'!$H$7:$H$373,"추가 진열")</f>
        <v>0</v>
      </c>
      <c r="Q2411" s="7">
        <f>O2411+P2411</f>
        <v>0</v>
      </c>
      <c r="R2411" s="7">
        <v>1</v>
      </c>
      <c r="S2411" s="6" t="s">
        <v>1988</v>
      </c>
      <c r="T2411" s="6" t="s">
        <v>6638</v>
      </c>
      <c r="U2411" s="6"/>
      <c r="V2411" s="16"/>
      <c r="W2411" s="16"/>
      <c r="X2411" s="16"/>
      <c r="Y2411" s="6" t="s">
        <v>1627</v>
      </c>
      <c r="Z2411" s="15"/>
      <c r="AA2411" s="15" t="s">
        <v>1628</v>
      </c>
    </row>
    <row r="2412" spans="1:27" ht="33" customHeight="1">
      <c r="A2412" s="6" t="s">
        <v>6655</v>
      </c>
      <c r="B2412" s="7">
        <v>2239</v>
      </c>
      <c r="C2412" s="6" t="s">
        <v>6656</v>
      </c>
      <c r="D2412" s="6" t="s">
        <v>2913</v>
      </c>
      <c r="E2412" s="6" t="s">
        <v>2134</v>
      </c>
      <c r="F2412" s="6" t="s">
        <v>2933</v>
      </c>
      <c r="G2412" s="6" t="s">
        <v>1668</v>
      </c>
      <c r="H2412" s="6"/>
      <c r="I2412" s="14" t="s">
        <v>1807</v>
      </c>
      <c r="J2412" s="15"/>
      <c r="K2412" s="6" t="s">
        <v>1976</v>
      </c>
      <c r="L2412" s="6" t="s">
        <v>2032</v>
      </c>
      <c r="M2412" s="6" t="s">
        <v>1809</v>
      </c>
      <c r="N2412" s="6" t="s">
        <v>1644</v>
      </c>
      <c r="O2412" s="7">
        <f>SUMIFS('05_상품별배치367'!$K$7:$K$373,'05_상품별배치367'!$E$7:$E$373,A2412,'05_상품별배치367'!$H$7:$H$373,"본진")</f>
        <v>0</v>
      </c>
      <c r="P2412" s="7">
        <f>SUMIFS('05_상품별배치367'!$K$7:$K$373,'05_상품별배치367'!$E$7:$E$373,A2412,'05_상품별배치367'!$H$7:$H$373,"추가 진열")</f>
        <v>0</v>
      </c>
      <c r="Q2412" s="7">
        <f>O2412+P2412</f>
        <v>0</v>
      </c>
      <c r="R2412" s="7">
        <v>0</v>
      </c>
      <c r="S2412" s="6" t="s">
        <v>1810</v>
      </c>
      <c r="T2412" s="6" t="s">
        <v>6638</v>
      </c>
      <c r="U2412" s="6"/>
      <c r="V2412" s="16"/>
      <c r="W2412" s="16"/>
      <c r="X2412" s="16"/>
      <c r="Y2412" s="6" t="s">
        <v>1627</v>
      </c>
      <c r="Z2412" s="15"/>
      <c r="AA2412" s="15" t="s">
        <v>1628</v>
      </c>
    </row>
    <row r="2413" spans="1:27" ht="33" customHeight="1">
      <c r="A2413" s="8" t="s">
        <v>6657</v>
      </c>
      <c r="B2413" s="9">
        <v>2240</v>
      </c>
      <c r="C2413" s="8" t="s">
        <v>6658</v>
      </c>
      <c r="D2413" s="8" t="s">
        <v>1926</v>
      </c>
      <c r="E2413" s="8" t="s">
        <v>1986</v>
      </c>
      <c r="F2413" s="8" t="s">
        <v>1276</v>
      </c>
      <c r="G2413" s="8" t="s">
        <v>1987</v>
      </c>
      <c r="H2413" s="8"/>
      <c r="I2413" s="14" t="s">
        <v>1642</v>
      </c>
      <c r="J2413" s="15"/>
      <c r="K2413" s="8" t="s">
        <v>1976</v>
      </c>
      <c r="L2413" s="8"/>
      <c r="M2413" s="6" t="s">
        <v>1643</v>
      </c>
      <c r="N2413" s="6" t="s">
        <v>1644</v>
      </c>
      <c r="O2413" s="7">
        <f>SUMIFS('05_상품별배치367'!$K$7:$K$373,'05_상품별배치367'!$E$7:$E$373,A2413,'05_상품별배치367'!$H$7:$H$373,"본진")</f>
        <v>0</v>
      </c>
      <c r="P2413" s="7">
        <f>SUMIFS('05_상품별배치367'!$K$7:$K$373,'05_상품별배치367'!$E$7:$E$373,A2413,'05_상품별배치367'!$H$7:$H$373,"추가 진열")</f>
        <v>0</v>
      </c>
      <c r="Q2413" s="7">
        <f>O2413+P2413</f>
        <v>0</v>
      </c>
      <c r="R2413" s="7">
        <v>1</v>
      </c>
      <c r="S2413" s="6" t="s">
        <v>1988</v>
      </c>
      <c r="T2413" s="6" t="s">
        <v>6638</v>
      </c>
      <c r="U2413" s="6"/>
      <c r="V2413" s="16"/>
      <c r="W2413" s="16"/>
      <c r="X2413" s="16"/>
      <c r="Y2413" s="6" t="s">
        <v>1627</v>
      </c>
      <c r="Z2413" s="15"/>
      <c r="AA2413" s="15" t="s">
        <v>1628</v>
      </c>
    </row>
    <row r="2414" spans="1:27" ht="33" customHeight="1">
      <c r="A2414" s="6" t="s">
        <v>6659</v>
      </c>
      <c r="B2414" s="7">
        <v>2241</v>
      </c>
      <c r="C2414" s="6" t="s">
        <v>6660</v>
      </c>
      <c r="D2414" s="6" t="s">
        <v>2714</v>
      </c>
      <c r="E2414" s="6" t="s">
        <v>2134</v>
      </c>
      <c r="F2414" s="6" t="s">
        <v>481</v>
      </c>
      <c r="G2414" s="6" t="s">
        <v>193</v>
      </c>
      <c r="H2414" s="6" t="s">
        <v>904</v>
      </c>
      <c r="I2414" s="14" t="s">
        <v>1633</v>
      </c>
      <c r="J2414" s="15"/>
      <c r="K2414" s="6" t="s">
        <v>1976</v>
      </c>
      <c r="L2414" s="6"/>
      <c r="M2414" s="6" t="s">
        <v>1635</v>
      </c>
      <c r="N2414" s="6" t="s">
        <v>1624</v>
      </c>
      <c r="O2414" s="7">
        <f>SUMIFS('05_상품별배치367'!$K$7:$K$373,'05_상품별배치367'!$E$7:$E$373,A2414,'05_상품별배치367'!$H$7:$H$373,"본진")</f>
        <v>1</v>
      </c>
      <c r="P2414" s="7">
        <f>SUMIFS('05_상품별배치367'!$K$7:$K$373,'05_상품별배치367'!$E$7:$E$373,A2414,'05_상품별배치367'!$H$7:$H$373,"추가 진열")</f>
        <v>0</v>
      </c>
      <c r="Q2414" s="7">
        <f>O2414+P2414</f>
        <v>1</v>
      </c>
      <c r="R2414" s="7">
        <v>1</v>
      </c>
      <c r="S2414" s="6" t="s">
        <v>1636</v>
      </c>
      <c r="T2414" s="6" t="s">
        <v>6638</v>
      </c>
      <c r="U2414" s="6"/>
      <c r="V2414" s="16"/>
      <c r="W2414" s="16"/>
      <c r="X2414" s="16"/>
      <c r="Y2414" s="6" t="s">
        <v>1627</v>
      </c>
      <c r="Z2414" s="15"/>
      <c r="AA2414" s="15" t="s">
        <v>1628</v>
      </c>
    </row>
    <row r="2415" spans="1:27" ht="33" customHeight="1">
      <c r="A2415" s="6" t="s">
        <v>6298</v>
      </c>
      <c r="B2415" s="7">
        <v>2075</v>
      </c>
      <c r="C2415" s="6" t="s">
        <v>6299</v>
      </c>
      <c r="D2415" s="6" t="s">
        <v>6300</v>
      </c>
      <c r="E2415" s="6" t="s">
        <v>2134</v>
      </c>
      <c r="F2415" s="6" t="s">
        <v>2933</v>
      </c>
      <c r="G2415" s="6" t="s">
        <v>1668</v>
      </c>
      <c r="H2415" s="6"/>
      <c r="I2415" s="14" t="s">
        <v>1807</v>
      </c>
      <c r="J2415" s="15"/>
      <c r="K2415" s="6" t="s">
        <v>1976</v>
      </c>
      <c r="L2415" s="6" t="s">
        <v>6125</v>
      </c>
      <c r="M2415" s="6" t="s">
        <v>1809</v>
      </c>
      <c r="N2415" s="6" t="s">
        <v>1624</v>
      </c>
      <c r="O2415" s="7">
        <f>SUMIFS('05_상품별배치367'!$K$7:$K$373,'05_상품별배치367'!$E$7:$E$373,A2415,'05_상품별배치367'!$H$7:$H$373,"본진")</f>
        <v>0</v>
      </c>
      <c r="P2415" s="7">
        <f>SUMIFS('05_상품별배치367'!$K$7:$K$373,'05_상품별배치367'!$E$7:$E$373,A2415,'05_상품별배치367'!$H$7:$H$373,"추가 진열")</f>
        <v>0</v>
      </c>
      <c r="Q2415" s="7">
        <f>O2415+P2415</f>
        <v>0</v>
      </c>
      <c r="R2415" s="7">
        <v>0</v>
      </c>
      <c r="S2415" s="6" t="s">
        <v>1810</v>
      </c>
      <c r="T2415" s="6" t="s">
        <v>1637</v>
      </c>
      <c r="U2415" s="6"/>
      <c r="V2415" s="16"/>
      <c r="W2415" s="16"/>
      <c r="X2415" s="16"/>
      <c r="Y2415" s="6" t="s">
        <v>1655</v>
      </c>
      <c r="Z2415" s="15"/>
      <c r="AA2415" s="15" t="s">
        <v>1628</v>
      </c>
    </row>
    <row r="2416" spans="1:27" ht="33" customHeight="1">
      <c r="A2416" s="8" t="s">
        <v>6702</v>
      </c>
      <c r="B2416" s="9">
        <v>2260</v>
      </c>
      <c r="C2416" s="8" t="s">
        <v>6703</v>
      </c>
      <c r="D2416" s="8" t="s">
        <v>6704</v>
      </c>
      <c r="E2416" s="8" t="s">
        <v>1620</v>
      </c>
      <c r="F2416" s="8" t="s">
        <v>65</v>
      </c>
      <c r="G2416" s="8" t="s">
        <v>59</v>
      </c>
      <c r="H2416" s="8"/>
      <c r="I2416" s="14" t="s">
        <v>1642</v>
      </c>
      <c r="J2416" s="15"/>
      <c r="K2416" s="8" t="s">
        <v>1622</v>
      </c>
      <c r="L2416" s="8" t="s">
        <v>3828</v>
      </c>
      <c r="M2416" s="6" t="s">
        <v>1643</v>
      </c>
      <c r="N2416" s="6" t="s">
        <v>1624</v>
      </c>
      <c r="O2416" s="7">
        <f>SUMIFS('05_상품별배치367'!$K$7:$K$373,'05_상품별배치367'!$E$7:$E$373,A2416,'05_상품별배치367'!$H$7:$H$373,"본진")</f>
        <v>0</v>
      </c>
      <c r="P2416" s="7">
        <f>SUMIFS('05_상품별배치367'!$K$7:$K$373,'05_상품별배치367'!$E$7:$E$373,A2416,'05_상품별배치367'!$H$7:$H$373,"추가 진열")</f>
        <v>0</v>
      </c>
      <c r="Q2416" s="7">
        <f>O2416+P2416</f>
        <v>0</v>
      </c>
      <c r="R2416" s="7">
        <v>1</v>
      </c>
      <c r="S2416" s="6" t="s">
        <v>2326</v>
      </c>
      <c r="T2416" s="6" t="s">
        <v>1637</v>
      </c>
      <c r="U2416" s="6"/>
      <c r="V2416" s="16"/>
      <c r="W2416" s="16"/>
      <c r="X2416" s="16"/>
      <c r="Y2416" s="6" t="s">
        <v>1655</v>
      </c>
      <c r="Z2416" s="15"/>
      <c r="AA2416" s="15" t="s">
        <v>1628</v>
      </c>
    </row>
    <row r="2417" spans="1:27" ht="33" customHeight="1">
      <c r="A2417" s="8" t="s">
        <v>6301</v>
      </c>
      <c r="B2417" s="9">
        <v>2076</v>
      </c>
      <c r="C2417" s="8" t="s">
        <v>6302</v>
      </c>
      <c r="D2417" s="8"/>
      <c r="E2417" s="8" t="s">
        <v>2134</v>
      </c>
      <c r="F2417" s="8" t="s">
        <v>2933</v>
      </c>
      <c r="G2417" s="8" t="s">
        <v>1668</v>
      </c>
      <c r="H2417" s="8"/>
      <c r="I2417" s="14" t="s">
        <v>1807</v>
      </c>
      <c r="J2417" s="15"/>
      <c r="K2417" s="8" t="s">
        <v>1976</v>
      </c>
      <c r="L2417" s="8" t="s">
        <v>5909</v>
      </c>
      <c r="M2417" s="6" t="s">
        <v>1809</v>
      </c>
      <c r="N2417" s="6" t="s">
        <v>1624</v>
      </c>
      <c r="O2417" s="7">
        <f>SUMIFS('05_상품별배치367'!$K$7:$K$373,'05_상품별배치367'!$E$7:$E$373,A2417,'05_상품별배치367'!$H$7:$H$373,"본진")</f>
        <v>0</v>
      </c>
      <c r="P2417" s="7">
        <f>SUMIFS('05_상품별배치367'!$K$7:$K$373,'05_상품별배치367'!$E$7:$E$373,A2417,'05_상품별배치367'!$H$7:$H$373,"추가 진열")</f>
        <v>0</v>
      </c>
      <c r="Q2417" s="7">
        <f>O2417+P2417</f>
        <v>0</v>
      </c>
      <c r="R2417" s="7">
        <v>0</v>
      </c>
      <c r="S2417" s="6" t="s">
        <v>1810</v>
      </c>
      <c r="T2417" s="6" t="s">
        <v>1637</v>
      </c>
      <c r="U2417" s="6"/>
      <c r="V2417" s="16"/>
      <c r="W2417" s="16"/>
      <c r="X2417" s="16"/>
      <c r="Y2417" s="6" t="s">
        <v>5772</v>
      </c>
      <c r="Z2417" s="15"/>
      <c r="AA2417" s="15" t="s">
        <v>1628</v>
      </c>
    </row>
    <row r="2418" spans="1:27" ht="33" customHeight="1">
      <c r="A2418" s="8" t="s">
        <v>1837</v>
      </c>
      <c r="B2418" s="9">
        <v>74</v>
      </c>
      <c r="C2418" s="8" t="s">
        <v>1838</v>
      </c>
      <c r="D2418" s="8" t="s">
        <v>1839</v>
      </c>
      <c r="E2418" s="8" t="s">
        <v>1814</v>
      </c>
      <c r="F2418" s="8" t="s">
        <v>515</v>
      </c>
      <c r="G2418" s="8" t="s">
        <v>431</v>
      </c>
      <c r="H2418" s="8"/>
      <c r="I2418" s="14" t="s">
        <v>1642</v>
      </c>
      <c r="J2418" s="15"/>
      <c r="K2418" s="8" t="s">
        <v>1840</v>
      </c>
      <c r="L2418" s="8"/>
      <c r="M2418" s="6" t="s">
        <v>1643</v>
      </c>
      <c r="N2418" s="6" t="s">
        <v>1644</v>
      </c>
      <c r="O2418" s="7">
        <f>SUMIFS('05_상품별배치367'!$K$7:$K$373,'05_상품별배치367'!$E$7:$E$373,A2418,'05_상품별배치367'!$H$7:$H$373,"본진")</f>
        <v>0</v>
      </c>
      <c r="P2418" s="7">
        <f>SUMIFS('05_상품별배치367'!$K$7:$K$373,'05_상품별배치367'!$E$7:$E$373,A2418,'05_상품별배치367'!$H$7:$H$373,"추가 진열")</f>
        <v>0</v>
      </c>
      <c r="Q2418" s="7">
        <f>O2418+P2418</f>
        <v>0</v>
      </c>
      <c r="R2418" s="7">
        <v>1</v>
      </c>
      <c r="S2418" s="6" t="s">
        <v>1841</v>
      </c>
      <c r="T2418" s="6" t="s">
        <v>1637</v>
      </c>
      <c r="U2418" s="6"/>
      <c r="V2418" s="16"/>
      <c r="W2418" s="16"/>
      <c r="X2418" s="16"/>
      <c r="Y2418" s="6" t="s">
        <v>1627</v>
      </c>
      <c r="Z2418" s="15"/>
      <c r="AA2418" s="15" t="s">
        <v>1628</v>
      </c>
    </row>
    <row r="2419" spans="1:27" ht="33" customHeight="1">
      <c r="A2419" s="6" t="s">
        <v>6511</v>
      </c>
      <c r="B2419" s="7">
        <v>2171</v>
      </c>
      <c r="C2419" s="6" t="s">
        <v>6512</v>
      </c>
      <c r="D2419" s="6" t="s">
        <v>1839</v>
      </c>
      <c r="E2419" s="6" t="s">
        <v>1814</v>
      </c>
      <c r="F2419" s="6" t="s">
        <v>515</v>
      </c>
      <c r="G2419" s="6" t="s">
        <v>431</v>
      </c>
      <c r="H2419" s="6"/>
      <c r="I2419" s="14" t="s">
        <v>1642</v>
      </c>
      <c r="J2419" s="15"/>
      <c r="K2419" s="6" t="s">
        <v>1840</v>
      </c>
      <c r="L2419" s="6"/>
      <c r="M2419" s="6" t="s">
        <v>1643</v>
      </c>
      <c r="N2419" s="6" t="s">
        <v>1644</v>
      </c>
      <c r="O2419" s="7">
        <f>SUMIFS('05_상품별배치367'!$K$7:$K$373,'05_상품별배치367'!$E$7:$E$373,A2419,'05_상품별배치367'!$H$7:$H$373,"본진")</f>
        <v>0</v>
      </c>
      <c r="P2419" s="7">
        <f>SUMIFS('05_상품별배치367'!$K$7:$K$373,'05_상품별배치367'!$E$7:$E$373,A2419,'05_상품별배치367'!$H$7:$H$373,"추가 진열")</f>
        <v>0</v>
      </c>
      <c r="Q2419" s="7">
        <f>O2419+P2419</f>
        <v>0</v>
      </c>
      <c r="R2419" s="7">
        <v>1</v>
      </c>
      <c r="S2419" s="6" t="s">
        <v>1841</v>
      </c>
      <c r="T2419" s="6" t="s">
        <v>1637</v>
      </c>
      <c r="U2419" s="6"/>
      <c r="V2419" s="16"/>
      <c r="W2419" s="16"/>
      <c r="X2419" s="16"/>
      <c r="Y2419" s="6" t="s">
        <v>1627</v>
      </c>
      <c r="Z2419" s="15"/>
      <c r="AA2419" s="15" t="s">
        <v>1628</v>
      </c>
    </row>
    <row r="2420" spans="1:27" ht="33" customHeight="1">
      <c r="A2420" s="8" t="s">
        <v>6044</v>
      </c>
      <c r="B2420" s="9">
        <v>1970</v>
      </c>
      <c r="C2420" s="8" t="s">
        <v>6045</v>
      </c>
      <c r="D2420" s="8" t="s">
        <v>6026</v>
      </c>
      <c r="E2420" s="8" t="s">
        <v>1814</v>
      </c>
      <c r="F2420" s="8" t="s">
        <v>1359</v>
      </c>
      <c r="G2420" s="8" t="s">
        <v>431</v>
      </c>
      <c r="H2420" s="8" t="s">
        <v>1358</v>
      </c>
      <c r="I2420" s="14" t="s">
        <v>1621</v>
      </c>
      <c r="J2420" s="15"/>
      <c r="K2420" s="8" t="s">
        <v>1634</v>
      </c>
      <c r="L2420" s="8" t="s">
        <v>3828</v>
      </c>
      <c r="M2420" s="6" t="s">
        <v>1623</v>
      </c>
      <c r="N2420" s="6" t="s">
        <v>1624</v>
      </c>
      <c r="O2420" s="7">
        <f>SUMIFS('05_상품별배치367'!$K$7:$K$373,'05_상품별배치367'!$E$7:$E$373,A2420,'05_상품별배치367'!$H$7:$H$373,"본진")</f>
        <v>1</v>
      </c>
      <c r="P2420" s="7">
        <f>SUMIFS('05_상품별배치367'!$K$7:$K$373,'05_상품별배치367'!$E$7:$E$373,A2420,'05_상품별배치367'!$H$7:$H$373,"추가 진열")</f>
        <v>0</v>
      </c>
      <c r="Q2420" s="7">
        <f>O2420+P2420</f>
        <v>1</v>
      </c>
      <c r="R2420" s="7">
        <v>1</v>
      </c>
      <c r="S2420" s="6" t="s">
        <v>1625</v>
      </c>
      <c r="T2420" s="6" t="s">
        <v>1637</v>
      </c>
      <c r="U2420" s="6"/>
      <c r="V2420" s="16"/>
      <c r="W2420" s="16"/>
      <c r="X2420" s="16"/>
      <c r="Y2420" s="6" t="s">
        <v>1627</v>
      </c>
      <c r="Z2420" s="15"/>
      <c r="AA2420" s="15" t="s">
        <v>1628</v>
      </c>
    </row>
    <row r="2421" spans="1:27" ht="33" customHeight="1">
      <c r="A2421" s="6" t="s">
        <v>6079</v>
      </c>
      <c r="B2421" s="7">
        <v>1985</v>
      </c>
      <c r="C2421" s="6" t="s">
        <v>6080</v>
      </c>
      <c r="D2421" s="6" t="s">
        <v>6026</v>
      </c>
      <c r="E2421" s="6" t="s">
        <v>1814</v>
      </c>
      <c r="F2421" s="6" t="s">
        <v>1359</v>
      </c>
      <c r="G2421" s="6" t="s">
        <v>431</v>
      </c>
      <c r="H2421" s="6"/>
      <c r="I2421" s="14" t="s">
        <v>1642</v>
      </c>
      <c r="J2421" s="15"/>
      <c r="K2421" s="6" t="s">
        <v>1634</v>
      </c>
      <c r="L2421" s="6" t="s">
        <v>3828</v>
      </c>
      <c r="M2421" s="6" t="s">
        <v>1643</v>
      </c>
      <c r="N2421" s="6" t="s">
        <v>1624</v>
      </c>
      <c r="O2421" s="7">
        <f>SUMIFS('05_상품별배치367'!$K$7:$K$373,'05_상품별배치367'!$E$7:$E$373,A2421,'05_상품별배치367'!$H$7:$H$373,"본진")</f>
        <v>0</v>
      </c>
      <c r="P2421" s="7">
        <f>SUMIFS('05_상품별배치367'!$K$7:$K$373,'05_상품별배치367'!$E$7:$E$373,A2421,'05_상품별배치367'!$H$7:$H$373,"추가 진열")</f>
        <v>0</v>
      </c>
      <c r="Q2421" s="7">
        <f>O2421+P2421</f>
        <v>0</v>
      </c>
      <c r="R2421" s="7">
        <v>1</v>
      </c>
      <c r="S2421" s="6" t="s">
        <v>1815</v>
      </c>
      <c r="T2421" s="6" t="s">
        <v>1637</v>
      </c>
      <c r="U2421" s="6"/>
      <c r="V2421" s="16"/>
      <c r="W2421" s="16"/>
      <c r="X2421" s="16"/>
      <c r="Y2421" s="6" t="s">
        <v>1627</v>
      </c>
      <c r="Z2421" s="15"/>
      <c r="AA2421" s="15" t="s">
        <v>1628</v>
      </c>
    </row>
    <row r="2422" spans="1:27" ht="33" customHeight="1">
      <c r="A2422" s="6" t="s">
        <v>6046</v>
      </c>
      <c r="B2422" s="7">
        <v>1971</v>
      </c>
      <c r="C2422" s="6" t="s">
        <v>6047</v>
      </c>
      <c r="D2422" s="6" t="s">
        <v>6048</v>
      </c>
      <c r="E2422" s="6" t="s">
        <v>1814</v>
      </c>
      <c r="F2422" s="6" t="s">
        <v>1359</v>
      </c>
      <c r="G2422" s="6" t="s">
        <v>431</v>
      </c>
      <c r="H2422" s="6"/>
      <c r="I2422" s="14" t="s">
        <v>1642</v>
      </c>
      <c r="J2422" s="15"/>
      <c r="K2422" s="6" t="s">
        <v>1634</v>
      </c>
      <c r="L2422" s="6" t="s">
        <v>3828</v>
      </c>
      <c r="M2422" s="6" t="s">
        <v>1643</v>
      </c>
      <c r="N2422" s="6" t="s">
        <v>1624</v>
      </c>
      <c r="O2422" s="7">
        <f>SUMIFS('05_상품별배치367'!$K$7:$K$373,'05_상품별배치367'!$E$7:$E$373,A2422,'05_상품별배치367'!$H$7:$H$373,"본진")</f>
        <v>0</v>
      </c>
      <c r="P2422" s="7">
        <f>SUMIFS('05_상품별배치367'!$K$7:$K$373,'05_상품별배치367'!$E$7:$E$373,A2422,'05_상품별배치367'!$H$7:$H$373,"추가 진열")</f>
        <v>0</v>
      </c>
      <c r="Q2422" s="7">
        <f>O2422+P2422</f>
        <v>0</v>
      </c>
      <c r="R2422" s="7">
        <v>1</v>
      </c>
      <c r="S2422" s="6" t="s">
        <v>1815</v>
      </c>
      <c r="T2422" s="6" t="s">
        <v>1637</v>
      </c>
      <c r="U2422" s="6"/>
      <c r="V2422" s="16"/>
      <c r="W2422" s="16"/>
      <c r="X2422" s="16"/>
      <c r="Y2422" s="6" t="s">
        <v>1627</v>
      </c>
      <c r="Z2422" s="15"/>
      <c r="AA2422" s="15" t="s">
        <v>1628</v>
      </c>
    </row>
    <row r="2423" spans="1:27" ht="33" customHeight="1">
      <c r="A2423" s="6" t="s">
        <v>6065</v>
      </c>
      <c r="B2423" s="7">
        <v>1979</v>
      </c>
      <c r="C2423" s="6" t="s">
        <v>6066</v>
      </c>
      <c r="D2423" s="6" t="s">
        <v>6048</v>
      </c>
      <c r="E2423" s="6" t="s">
        <v>1814</v>
      </c>
      <c r="F2423" s="6" t="s">
        <v>1359</v>
      </c>
      <c r="G2423" s="6" t="s">
        <v>431</v>
      </c>
      <c r="H2423" s="6"/>
      <c r="I2423" s="14" t="s">
        <v>1642</v>
      </c>
      <c r="J2423" s="15"/>
      <c r="K2423" s="6" t="s">
        <v>1634</v>
      </c>
      <c r="L2423" s="6" t="s">
        <v>3828</v>
      </c>
      <c r="M2423" s="6" t="s">
        <v>1643</v>
      </c>
      <c r="N2423" s="6" t="s">
        <v>1624</v>
      </c>
      <c r="O2423" s="7">
        <f>SUMIFS('05_상품별배치367'!$K$7:$K$373,'05_상품별배치367'!$E$7:$E$373,A2423,'05_상품별배치367'!$H$7:$H$373,"본진")</f>
        <v>0</v>
      </c>
      <c r="P2423" s="7">
        <f>SUMIFS('05_상품별배치367'!$K$7:$K$373,'05_상품별배치367'!$E$7:$E$373,A2423,'05_상품별배치367'!$H$7:$H$373,"추가 진열")</f>
        <v>0</v>
      </c>
      <c r="Q2423" s="7">
        <f>O2423+P2423</f>
        <v>0</v>
      </c>
      <c r="R2423" s="7">
        <v>1</v>
      </c>
      <c r="S2423" s="6" t="s">
        <v>1815</v>
      </c>
      <c r="T2423" s="6" t="s">
        <v>1637</v>
      </c>
      <c r="U2423" s="6"/>
      <c r="V2423" s="16"/>
      <c r="W2423" s="16"/>
      <c r="X2423" s="16"/>
      <c r="Y2423" s="6" t="s">
        <v>1627</v>
      </c>
      <c r="Z2423" s="15"/>
      <c r="AA2423" s="15" t="s">
        <v>1628</v>
      </c>
    </row>
    <row r="2424" spans="1:27" ht="33" customHeight="1">
      <c r="A2424" s="8" t="s">
        <v>5439</v>
      </c>
      <c r="B2424" s="9">
        <v>1684</v>
      </c>
      <c r="C2424" s="8" t="s">
        <v>5440</v>
      </c>
      <c r="D2424" s="8" t="s">
        <v>2133</v>
      </c>
      <c r="E2424" s="8" t="s">
        <v>2134</v>
      </c>
      <c r="F2424" s="8" t="s">
        <v>161</v>
      </c>
      <c r="G2424" s="8" t="s">
        <v>395</v>
      </c>
      <c r="H2424" s="8"/>
      <c r="I2424" s="14" t="s">
        <v>1642</v>
      </c>
      <c r="J2424" s="15"/>
      <c r="K2424" s="8" t="s">
        <v>1976</v>
      </c>
      <c r="L2424" s="8"/>
      <c r="M2424" s="6" t="s">
        <v>1643</v>
      </c>
      <c r="N2424" s="6" t="s">
        <v>1644</v>
      </c>
      <c r="O2424" s="7">
        <f>SUMIFS('05_상품별배치367'!$K$7:$K$373,'05_상품별배치367'!$E$7:$E$373,A2424,'05_상품별배치367'!$H$7:$H$373,"본진")</f>
        <v>0</v>
      </c>
      <c r="P2424" s="7">
        <f>SUMIFS('05_상품별배치367'!$K$7:$K$373,'05_상품별배치367'!$E$7:$E$373,A2424,'05_상품별배치367'!$H$7:$H$373,"추가 진열")</f>
        <v>0</v>
      </c>
      <c r="Q2424" s="7">
        <f>O2424+P2424</f>
        <v>0</v>
      </c>
      <c r="R2424" s="7">
        <v>1</v>
      </c>
      <c r="S2424" s="6" t="s">
        <v>3070</v>
      </c>
      <c r="T2424" s="6" t="s">
        <v>1637</v>
      </c>
      <c r="U2424" s="6"/>
      <c r="V2424" s="16"/>
      <c r="W2424" s="16"/>
      <c r="X2424" s="16"/>
      <c r="Y2424" s="6" t="s">
        <v>1627</v>
      </c>
      <c r="Z2424" s="15"/>
      <c r="AA2424" s="15" t="s">
        <v>1628</v>
      </c>
    </row>
    <row r="2425" spans="1:27" ht="33" customHeight="1">
      <c r="A2425" s="6" t="s">
        <v>5437</v>
      </c>
      <c r="B2425" s="7">
        <v>1683</v>
      </c>
      <c r="C2425" s="6" t="s">
        <v>5438</v>
      </c>
      <c r="D2425" s="6" t="s">
        <v>2856</v>
      </c>
      <c r="E2425" s="6" t="s">
        <v>2134</v>
      </c>
      <c r="F2425" s="6" t="s">
        <v>481</v>
      </c>
      <c r="G2425" s="6" t="s">
        <v>193</v>
      </c>
      <c r="H2425" s="6"/>
      <c r="I2425" s="14" t="s">
        <v>1642</v>
      </c>
      <c r="J2425" s="15"/>
      <c r="K2425" s="6" t="s">
        <v>1976</v>
      </c>
      <c r="L2425" s="6"/>
      <c r="M2425" s="6" t="s">
        <v>1643</v>
      </c>
      <c r="N2425" s="6" t="s">
        <v>1644</v>
      </c>
      <c r="O2425" s="7">
        <f>SUMIFS('05_상품별배치367'!$K$7:$K$373,'05_상품별배치367'!$E$7:$E$373,A2425,'05_상품별배치367'!$H$7:$H$373,"본진")</f>
        <v>0</v>
      </c>
      <c r="P2425" s="7">
        <f>SUMIFS('05_상품별배치367'!$K$7:$K$373,'05_상품별배치367'!$E$7:$E$373,A2425,'05_상품별배치367'!$H$7:$H$373,"추가 진열")</f>
        <v>0</v>
      </c>
      <c r="Q2425" s="7">
        <f>O2425+P2425</f>
        <v>0</v>
      </c>
      <c r="R2425" s="7">
        <v>1</v>
      </c>
      <c r="S2425" s="6" t="s">
        <v>3000</v>
      </c>
      <c r="T2425" s="6" t="s">
        <v>1637</v>
      </c>
      <c r="U2425" s="6"/>
      <c r="V2425" s="16"/>
      <c r="W2425" s="16"/>
      <c r="X2425" s="16"/>
      <c r="Y2425" s="6" t="s">
        <v>1627</v>
      </c>
      <c r="Z2425" s="15"/>
      <c r="AA2425" s="15" t="s">
        <v>1628</v>
      </c>
    </row>
    <row r="2426" spans="1:27" ht="33" customHeight="1">
      <c r="A2426" s="8" t="s">
        <v>586</v>
      </c>
      <c r="B2426" s="9">
        <v>2360</v>
      </c>
      <c r="C2426" s="8" t="s">
        <v>585</v>
      </c>
      <c r="D2426" s="8" t="s">
        <v>4389</v>
      </c>
      <c r="E2426" s="8" t="s">
        <v>2134</v>
      </c>
      <c r="F2426" s="8" t="s">
        <v>156</v>
      </c>
      <c r="G2426" s="8" t="s">
        <v>38</v>
      </c>
      <c r="H2426" s="8" t="s">
        <v>584</v>
      </c>
      <c r="I2426" s="14" t="s">
        <v>1621</v>
      </c>
      <c r="J2426" s="15"/>
      <c r="K2426" s="8" t="s">
        <v>1976</v>
      </c>
      <c r="L2426" s="8" t="s">
        <v>3828</v>
      </c>
      <c r="M2426" s="6" t="s">
        <v>1623</v>
      </c>
      <c r="N2426" s="6" t="s">
        <v>1624</v>
      </c>
      <c r="O2426" s="7">
        <f>SUMIFS('05_상품별배치367'!$K$7:$K$373,'05_상품별배치367'!$E$7:$E$373,A2426,'05_상품별배치367'!$H$7:$H$373,"본진")</f>
        <v>1</v>
      </c>
      <c r="P2426" s="7">
        <f>SUMIFS('05_상품별배치367'!$K$7:$K$373,'05_상품별배치367'!$E$7:$E$373,A2426,'05_상품별배치367'!$H$7:$H$373,"추가 진열")</f>
        <v>0</v>
      </c>
      <c r="Q2426" s="7">
        <f>O2426+P2426</f>
        <v>1</v>
      </c>
      <c r="R2426" s="7">
        <v>1</v>
      </c>
      <c r="S2426" s="6" t="s">
        <v>1625</v>
      </c>
      <c r="T2426" s="6" t="s">
        <v>5910</v>
      </c>
      <c r="U2426" s="6"/>
      <c r="V2426" s="16"/>
      <c r="W2426" s="16"/>
      <c r="X2426" s="16"/>
      <c r="Y2426" s="6" t="s">
        <v>1627</v>
      </c>
      <c r="Z2426" s="15"/>
      <c r="AA2426" s="15" t="s">
        <v>1628</v>
      </c>
    </row>
    <row r="2427" spans="1:27" ht="33" customHeight="1">
      <c r="A2427" s="6" t="s">
        <v>7085</v>
      </c>
      <c r="B2427" s="7">
        <v>2447</v>
      </c>
      <c r="C2427" s="6" t="s">
        <v>7086</v>
      </c>
      <c r="D2427" s="6" t="s">
        <v>3810</v>
      </c>
      <c r="E2427" s="6" t="s">
        <v>2134</v>
      </c>
      <c r="F2427" s="6" t="s">
        <v>575</v>
      </c>
      <c r="G2427" s="6" t="s">
        <v>455</v>
      </c>
      <c r="H2427" s="6" t="s">
        <v>1420</v>
      </c>
      <c r="I2427" s="14" t="s">
        <v>1621</v>
      </c>
      <c r="J2427" s="15"/>
      <c r="K2427" s="6" t="s">
        <v>1976</v>
      </c>
      <c r="L2427" s="6" t="s">
        <v>3828</v>
      </c>
      <c r="M2427" s="6" t="s">
        <v>1623</v>
      </c>
      <c r="N2427" s="6" t="s">
        <v>1624</v>
      </c>
      <c r="O2427" s="7">
        <f>SUMIFS('05_상품별배치367'!$K$7:$K$373,'05_상품별배치367'!$E$7:$E$373,A2427,'05_상품별배치367'!$H$7:$H$373,"본진")</f>
        <v>1</v>
      </c>
      <c r="P2427" s="7">
        <f>SUMIFS('05_상품별배치367'!$K$7:$K$373,'05_상품별배치367'!$E$7:$E$373,A2427,'05_상품별배치367'!$H$7:$H$373,"추가 진열")</f>
        <v>0</v>
      </c>
      <c r="Q2427" s="7">
        <f>O2427+P2427</f>
        <v>1</v>
      </c>
      <c r="R2427" s="7">
        <v>1</v>
      </c>
      <c r="S2427" s="6" t="s">
        <v>1625</v>
      </c>
      <c r="T2427" s="6" t="s">
        <v>5910</v>
      </c>
      <c r="U2427" s="6"/>
      <c r="V2427" s="16"/>
      <c r="W2427" s="16"/>
      <c r="X2427" s="16"/>
      <c r="Y2427" s="6" t="s">
        <v>1627</v>
      </c>
      <c r="Z2427" s="15"/>
      <c r="AA2427" s="15" t="s">
        <v>1628</v>
      </c>
    </row>
    <row r="2428" spans="1:27" ht="33" customHeight="1">
      <c r="A2428" s="8" t="s">
        <v>5907</v>
      </c>
      <c r="B2428" s="9">
        <v>1908</v>
      </c>
      <c r="C2428" s="8" t="s">
        <v>5908</v>
      </c>
      <c r="D2428" s="8" t="s">
        <v>5810</v>
      </c>
      <c r="E2428" s="8" t="s">
        <v>2134</v>
      </c>
      <c r="F2428" s="8" t="s">
        <v>2933</v>
      </c>
      <c r="G2428" s="8" t="s">
        <v>1668</v>
      </c>
      <c r="H2428" s="8"/>
      <c r="I2428" s="14" t="s">
        <v>1807</v>
      </c>
      <c r="J2428" s="15"/>
      <c r="K2428" s="8" t="s">
        <v>1976</v>
      </c>
      <c r="L2428" s="8" t="s">
        <v>5909</v>
      </c>
      <c r="M2428" s="6" t="s">
        <v>1809</v>
      </c>
      <c r="N2428" s="6" t="s">
        <v>1624</v>
      </c>
      <c r="O2428" s="7">
        <f>SUMIFS('05_상품별배치367'!$K$7:$K$373,'05_상품별배치367'!$E$7:$E$373,A2428,'05_상품별배치367'!$H$7:$H$373,"본진")</f>
        <v>0</v>
      </c>
      <c r="P2428" s="7">
        <f>SUMIFS('05_상품별배치367'!$K$7:$K$373,'05_상품별배치367'!$E$7:$E$373,A2428,'05_상품별배치367'!$H$7:$H$373,"추가 진열")</f>
        <v>0</v>
      </c>
      <c r="Q2428" s="7">
        <f>O2428+P2428</f>
        <v>0</v>
      </c>
      <c r="R2428" s="7">
        <v>0</v>
      </c>
      <c r="S2428" s="6" t="s">
        <v>1810</v>
      </c>
      <c r="T2428" s="6" t="s">
        <v>5910</v>
      </c>
      <c r="U2428" s="6"/>
      <c r="V2428" s="16"/>
      <c r="W2428" s="16"/>
      <c r="X2428" s="16"/>
      <c r="Y2428" s="6" t="s">
        <v>1627</v>
      </c>
      <c r="Z2428" s="15"/>
      <c r="AA2428" s="15" t="s">
        <v>1628</v>
      </c>
    </row>
    <row r="2429" spans="1:27" ht="33" customHeight="1">
      <c r="A2429" s="6" t="s">
        <v>7083</v>
      </c>
      <c r="B2429" s="7">
        <v>2445</v>
      </c>
      <c r="C2429" s="6" t="s">
        <v>7084</v>
      </c>
      <c r="D2429" s="6" t="s">
        <v>3042</v>
      </c>
      <c r="E2429" s="6" t="s">
        <v>2134</v>
      </c>
      <c r="F2429" s="6" t="s">
        <v>1081</v>
      </c>
      <c r="G2429" s="6" t="s">
        <v>290</v>
      </c>
      <c r="H2429" s="6" t="s">
        <v>1082</v>
      </c>
      <c r="I2429" s="14" t="s">
        <v>1633</v>
      </c>
      <c r="J2429" s="15"/>
      <c r="K2429" s="6" t="s">
        <v>1976</v>
      </c>
      <c r="L2429" s="6" t="s">
        <v>3828</v>
      </c>
      <c r="M2429" s="6" t="s">
        <v>1635</v>
      </c>
      <c r="N2429" s="6" t="s">
        <v>1624</v>
      </c>
      <c r="O2429" s="7">
        <f>SUMIFS('05_상품별배치367'!$K$7:$K$373,'05_상품별배치367'!$E$7:$E$373,A2429,'05_상품별배치367'!$H$7:$H$373,"본진")</f>
        <v>1</v>
      </c>
      <c r="P2429" s="7">
        <f>SUMIFS('05_상품별배치367'!$K$7:$K$373,'05_상품별배치367'!$E$7:$E$373,A2429,'05_상품별배치367'!$H$7:$H$373,"추가 진열")</f>
        <v>0</v>
      </c>
      <c r="Q2429" s="7">
        <f>O2429+P2429</f>
        <v>1</v>
      </c>
      <c r="R2429" s="7">
        <v>1</v>
      </c>
      <c r="S2429" s="6" t="s">
        <v>1636</v>
      </c>
      <c r="T2429" s="6" t="s">
        <v>5910</v>
      </c>
      <c r="U2429" s="6"/>
      <c r="V2429" s="16"/>
      <c r="W2429" s="16"/>
      <c r="X2429" s="16"/>
      <c r="Y2429" s="6" t="s">
        <v>1627</v>
      </c>
      <c r="Z2429" s="15"/>
      <c r="AA2429" s="15" t="s">
        <v>1628</v>
      </c>
    </row>
    <row r="2430" spans="1:27" ht="33" customHeight="1">
      <c r="A2430" s="8" t="s">
        <v>7087</v>
      </c>
      <c r="B2430" s="9">
        <v>2448</v>
      </c>
      <c r="C2430" s="8" t="s">
        <v>7088</v>
      </c>
      <c r="D2430" s="8" t="s">
        <v>3042</v>
      </c>
      <c r="E2430" s="8" t="s">
        <v>2134</v>
      </c>
      <c r="F2430" s="8" t="s">
        <v>1081</v>
      </c>
      <c r="G2430" s="8" t="s">
        <v>290</v>
      </c>
      <c r="H2430" s="8" t="s">
        <v>1082</v>
      </c>
      <c r="I2430" s="14" t="s">
        <v>1621</v>
      </c>
      <c r="J2430" s="15"/>
      <c r="K2430" s="8" t="s">
        <v>1976</v>
      </c>
      <c r="L2430" s="8" t="s">
        <v>3828</v>
      </c>
      <c r="M2430" s="6" t="s">
        <v>1623</v>
      </c>
      <c r="N2430" s="6" t="s">
        <v>1624</v>
      </c>
      <c r="O2430" s="7">
        <f>SUMIFS('05_상품별배치367'!$K$7:$K$373,'05_상품별배치367'!$E$7:$E$373,A2430,'05_상품별배치367'!$H$7:$H$373,"본진")</f>
        <v>1</v>
      </c>
      <c r="P2430" s="7">
        <f>SUMIFS('05_상품별배치367'!$K$7:$K$373,'05_상품별배치367'!$E$7:$E$373,A2430,'05_상품별배치367'!$H$7:$H$373,"추가 진열")</f>
        <v>0</v>
      </c>
      <c r="Q2430" s="7">
        <f>O2430+P2430</f>
        <v>1</v>
      </c>
      <c r="R2430" s="7">
        <v>1</v>
      </c>
      <c r="S2430" s="6" t="s">
        <v>1625</v>
      </c>
      <c r="T2430" s="6" t="s">
        <v>5910</v>
      </c>
      <c r="U2430" s="6"/>
      <c r="V2430" s="16"/>
      <c r="W2430" s="16"/>
      <c r="X2430" s="16"/>
      <c r="Y2430" s="6" t="s">
        <v>1627</v>
      </c>
      <c r="Z2430" s="15"/>
      <c r="AA2430" s="15" t="s">
        <v>1628</v>
      </c>
    </row>
    <row r="2431" spans="1:27" ht="33" customHeight="1">
      <c r="A2431" s="6" t="s">
        <v>7094</v>
      </c>
      <c r="B2431" s="7">
        <v>2453</v>
      </c>
      <c r="C2431" s="6" t="s">
        <v>7095</v>
      </c>
      <c r="D2431" s="6" t="s">
        <v>3008</v>
      </c>
      <c r="E2431" s="6" t="s">
        <v>1986</v>
      </c>
      <c r="F2431" s="6" t="s">
        <v>493</v>
      </c>
      <c r="G2431" s="6" t="s">
        <v>299</v>
      </c>
      <c r="H2431" s="6" t="s">
        <v>1099</v>
      </c>
      <c r="I2431" s="14" t="s">
        <v>1633</v>
      </c>
      <c r="J2431" s="15"/>
      <c r="K2431" s="6" t="s">
        <v>1976</v>
      </c>
      <c r="L2431" s="6" t="s">
        <v>3828</v>
      </c>
      <c r="M2431" s="6" t="s">
        <v>1635</v>
      </c>
      <c r="N2431" s="6" t="s">
        <v>1624</v>
      </c>
      <c r="O2431" s="7">
        <f>SUMIFS('05_상품별배치367'!$K$7:$K$373,'05_상품별배치367'!$E$7:$E$373,A2431,'05_상품별배치367'!$H$7:$H$373,"본진")</f>
        <v>1</v>
      </c>
      <c r="P2431" s="7">
        <f>SUMIFS('05_상품별배치367'!$K$7:$K$373,'05_상품별배치367'!$E$7:$E$373,A2431,'05_상품별배치367'!$H$7:$H$373,"추가 진열")</f>
        <v>0</v>
      </c>
      <c r="Q2431" s="7">
        <f>O2431+P2431</f>
        <v>1</v>
      </c>
      <c r="R2431" s="7">
        <v>1</v>
      </c>
      <c r="S2431" s="6" t="s">
        <v>1636</v>
      </c>
      <c r="T2431" s="6" t="s">
        <v>5910</v>
      </c>
      <c r="U2431" s="6"/>
      <c r="V2431" s="16"/>
      <c r="W2431" s="16"/>
      <c r="X2431" s="16"/>
      <c r="Y2431" s="6" t="s">
        <v>1627</v>
      </c>
      <c r="Z2431" s="15"/>
      <c r="AA2431" s="15" t="s">
        <v>1628</v>
      </c>
    </row>
    <row r="2432" spans="1:27" ht="33" customHeight="1">
      <c r="A2432" s="8" t="s">
        <v>7096</v>
      </c>
      <c r="B2432" s="9">
        <v>2454</v>
      </c>
      <c r="C2432" s="8" t="s">
        <v>7097</v>
      </c>
      <c r="D2432" s="8" t="s">
        <v>3042</v>
      </c>
      <c r="E2432" s="8" t="s">
        <v>2134</v>
      </c>
      <c r="F2432" s="8" t="s">
        <v>1081</v>
      </c>
      <c r="G2432" s="8" t="s">
        <v>290</v>
      </c>
      <c r="H2432" s="8"/>
      <c r="I2432" s="14" t="s">
        <v>1642</v>
      </c>
      <c r="J2432" s="15"/>
      <c r="K2432" s="8" t="s">
        <v>1976</v>
      </c>
      <c r="L2432" s="8" t="s">
        <v>3828</v>
      </c>
      <c r="M2432" s="6" t="s">
        <v>1643</v>
      </c>
      <c r="N2432" s="6" t="s">
        <v>1644</v>
      </c>
      <c r="O2432" s="7">
        <f>SUMIFS('05_상품별배치367'!$K$7:$K$373,'05_상품별배치367'!$E$7:$E$373,A2432,'05_상품별배치367'!$H$7:$H$373,"본진")</f>
        <v>0</v>
      </c>
      <c r="P2432" s="7">
        <f>SUMIFS('05_상품별배치367'!$K$7:$K$373,'05_상품별배치367'!$E$7:$E$373,A2432,'05_상품별배치367'!$H$7:$H$373,"추가 진열")</f>
        <v>0</v>
      </c>
      <c r="Q2432" s="7">
        <f>O2432+P2432</f>
        <v>0</v>
      </c>
      <c r="R2432" s="7">
        <v>1</v>
      </c>
      <c r="S2432" s="6" t="s">
        <v>2135</v>
      </c>
      <c r="T2432" s="6" t="s">
        <v>5910</v>
      </c>
      <c r="U2432" s="6"/>
      <c r="V2432" s="16"/>
      <c r="W2432" s="16"/>
      <c r="X2432" s="16"/>
      <c r="Y2432" s="6" t="s">
        <v>1627</v>
      </c>
      <c r="Z2432" s="15"/>
      <c r="AA2432" s="15" t="s">
        <v>1628</v>
      </c>
    </row>
    <row r="2433" spans="1:27" ht="33" customHeight="1">
      <c r="A2433" s="6" t="s">
        <v>1060</v>
      </c>
      <c r="B2433" s="7">
        <v>2451</v>
      </c>
      <c r="C2433" s="6" t="s">
        <v>1059</v>
      </c>
      <c r="D2433" s="6" t="s">
        <v>2701</v>
      </c>
      <c r="E2433" s="6" t="s">
        <v>1695</v>
      </c>
      <c r="F2433" s="6" t="s">
        <v>482</v>
      </c>
      <c r="G2433" s="6" t="s">
        <v>272</v>
      </c>
      <c r="H2433" s="6" t="s">
        <v>1058</v>
      </c>
      <c r="I2433" s="14" t="s">
        <v>1633</v>
      </c>
      <c r="J2433" s="15"/>
      <c r="K2433" s="6" t="s">
        <v>1696</v>
      </c>
      <c r="L2433" s="6" t="s">
        <v>3828</v>
      </c>
      <c r="M2433" s="6" t="s">
        <v>1635</v>
      </c>
      <c r="N2433" s="6" t="s">
        <v>1624</v>
      </c>
      <c r="O2433" s="7">
        <f>SUMIFS('05_상품별배치367'!$K$7:$K$373,'05_상품별배치367'!$E$7:$E$373,A2433,'05_상품별배치367'!$H$7:$H$373,"본진")</f>
        <v>1</v>
      </c>
      <c r="P2433" s="7">
        <f>SUMIFS('05_상품별배치367'!$K$7:$K$373,'05_상품별배치367'!$E$7:$E$373,A2433,'05_상품별배치367'!$H$7:$H$373,"추가 진열")</f>
        <v>0</v>
      </c>
      <c r="Q2433" s="7">
        <f>O2433+P2433</f>
        <v>1</v>
      </c>
      <c r="R2433" s="7">
        <v>1</v>
      </c>
      <c r="S2433" s="6" t="s">
        <v>1636</v>
      </c>
      <c r="T2433" s="6" t="s">
        <v>5910</v>
      </c>
      <c r="U2433" s="6"/>
      <c r="V2433" s="16"/>
      <c r="W2433" s="16"/>
      <c r="X2433" s="16"/>
      <c r="Y2433" s="6" t="s">
        <v>1627</v>
      </c>
      <c r="Z2433" s="15"/>
      <c r="AA2433" s="15" t="s">
        <v>1628</v>
      </c>
    </row>
    <row r="2434" spans="1:27" ht="33" customHeight="1">
      <c r="A2434" s="6" t="s">
        <v>6994</v>
      </c>
      <c r="B2434" s="7">
        <v>2405</v>
      </c>
      <c r="C2434" s="6" t="s">
        <v>6995</v>
      </c>
      <c r="D2434" s="6" t="s">
        <v>6996</v>
      </c>
      <c r="E2434" s="6" t="s">
        <v>1695</v>
      </c>
      <c r="F2434" s="6" t="s">
        <v>1143</v>
      </c>
      <c r="G2434" s="6" t="s">
        <v>315</v>
      </c>
      <c r="H2434" s="6" t="s">
        <v>1142</v>
      </c>
      <c r="I2434" s="14" t="s">
        <v>1633</v>
      </c>
      <c r="J2434" s="15"/>
      <c r="K2434" s="6" t="s">
        <v>1696</v>
      </c>
      <c r="L2434" s="6" t="s">
        <v>3828</v>
      </c>
      <c r="M2434" s="6" t="s">
        <v>1635</v>
      </c>
      <c r="N2434" s="6" t="s">
        <v>1624</v>
      </c>
      <c r="O2434" s="7">
        <f>SUMIFS('05_상품별배치367'!$K$7:$K$373,'05_상품별배치367'!$E$7:$E$373,A2434,'05_상품별배치367'!$H$7:$H$373,"본진")</f>
        <v>1</v>
      </c>
      <c r="P2434" s="7">
        <f>SUMIFS('05_상품별배치367'!$K$7:$K$373,'05_상품별배치367'!$E$7:$E$373,A2434,'05_상품별배치367'!$H$7:$H$373,"추가 진열")</f>
        <v>0</v>
      </c>
      <c r="Q2434" s="7">
        <f>O2434+P2434</f>
        <v>1</v>
      </c>
      <c r="R2434" s="7">
        <v>1</v>
      </c>
      <c r="S2434" s="6" t="s">
        <v>1636</v>
      </c>
      <c r="T2434" s="6" t="s">
        <v>5910</v>
      </c>
      <c r="U2434" s="6"/>
      <c r="V2434" s="16"/>
      <c r="W2434" s="16"/>
      <c r="X2434" s="16"/>
      <c r="Y2434" s="6" t="s">
        <v>1627</v>
      </c>
      <c r="Z2434" s="15"/>
      <c r="AA2434" s="15" t="s">
        <v>1628</v>
      </c>
    </row>
    <row r="2435" spans="1:27" ht="33" customHeight="1">
      <c r="A2435" s="6" t="s">
        <v>1575</v>
      </c>
      <c r="B2435" s="7">
        <v>2369</v>
      </c>
      <c r="C2435" s="6" t="s">
        <v>1574</v>
      </c>
      <c r="D2435" s="6" t="s">
        <v>2078</v>
      </c>
      <c r="E2435" s="6" t="s">
        <v>1814</v>
      </c>
      <c r="F2435" s="6" t="s">
        <v>514</v>
      </c>
      <c r="G2435" s="6" t="s">
        <v>423</v>
      </c>
      <c r="H2435" s="6" t="s">
        <v>1349</v>
      </c>
      <c r="I2435" s="14" t="s">
        <v>1621</v>
      </c>
      <c r="J2435" s="15"/>
      <c r="K2435" s="6" t="s">
        <v>1976</v>
      </c>
      <c r="L2435" s="6" t="s">
        <v>5771</v>
      </c>
      <c r="M2435" s="6" t="s">
        <v>1623</v>
      </c>
      <c r="N2435" s="6" t="s">
        <v>1624</v>
      </c>
      <c r="O2435" s="7">
        <f>SUMIFS('05_상품별배치367'!$K$7:$K$373,'05_상품별배치367'!$E$7:$E$373,A2435,'05_상품별배치367'!$H$7:$H$373,"본진")</f>
        <v>1</v>
      </c>
      <c r="P2435" s="7">
        <f>SUMIFS('05_상품별배치367'!$K$7:$K$373,'05_상품별배치367'!$E$7:$E$373,A2435,'05_상품별배치367'!$H$7:$H$373,"추가 진열")</f>
        <v>1</v>
      </c>
      <c r="Q2435" s="7">
        <f>O2435+P2435</f>
        <v>2</v>
      </c>
      <c r="R2435" s="7">
        <v>1</v>
      </c>
      <c r="S2435" s="6" t="s">
        <v>1625</v>
      </c>
      <c r="T2435" s="6" t="s">
        <v>5910</v>
      </c>
      <c r="U2435" s="6"/>
      <c r="V2435" s="16"/>
      <c r="W2435" s="16"/>
      <c r="X2435" s="16"/>
      <c r="Y2435" s="6" t="s">
        <v>1655</v>
      </c>
      <c r="Z2435" s="15"/>
      <c r="AA2435" s="15" t="s">
        <v>1628</v>
      </c>
    </row>
    <row r="2436" spans="1:27" ht="33" customHeight="1">
      <c r="A2436" s="8" t="s">
        <v>6916</v>
      </c>
      <c r="B2436" s="9">
        <v>2368</v>
      </c>
      <c r="C2436" s="8" t="s">
        <v>6917</v>
      </c>
      <c r="D2436" s="8" t="s">
        <v>6918</v>
      </c>
      <c r="E2436" s="8" t="s">
        <v>1814</v>
      </c>
      <c r="F2436" s="8" t="s">
        <v>514</v>
      </c>
      <c r="G2436" s="8" t="s">
        <v>423</v>
      </c>
      <c r="H2436" s="8" t="s">
        <v>1345</v>
      </c>
      <c r="I2436" s="14" t="s">
        <v>1621</v>
      </c>
      <c r="J2436" s="15"/>
      <c r="K2436" s="8" t="s">
        <v>1976</v>
      </c>
      <c r="L2436" s="8" t="s">
        <v>3828</v>
      </c>
      <c r="M2436" s="6" t="s">
        <v>1623</v>
      </c>
      <c r="N2436" s="6" t="s">
        <v>1624</v>
      </c>
      <c r="O2436" s="7">
        <f>SUMIFS('05_상품별배치367'!$K$7:$K$373,'05_상품별배치367'!$E$7:$E$373,A2436,'05_상품별배치367'!$H$7:$H$373,"본진")</f>
        <v>1</v>
      </c>
      <c r="P2436" s="7">
        <f>SUMIFS('05_상품별배치367'!$K$7:$K$373,'05_상품별배치367'!$E$7:$E$373,A2436,'05_상품별배치367'!$H$7:$H$373,"추가 진열")</f>
        <v>0</v>
      </c>
      <c r="Q2436" s="7">
        <f>O2436+P2436</f>
        <v>1</v>
      </c>
      <c r="R2436" s="7">
        <v>1</v>
      </c>
      <c r="S2436" s="6" t="s">
        <v>1625</v>
      </c>
      <c r="T2436" s="6" t="s">
        <v>5910</v>
      </c>
      <c r="U2436" s="6"/>
      <c r="V2436" s="16"/>
      <c r="W2436" s="16"/>
      <c r="X2436" s="16"/>
      <c r="Y2436" s="6" t="s">
        <v>1627</v>
      </c>
      <c r="Z2436" s="15"/>
      <c r="AA2436" s="15" t="s">
        <v>1628</v>
      </c>
    </row>
    <row r="2437" spans="1:27" ht="33" customHeight="1">
      <c r="A2437" s="8" t="s">
        <v>1555</v>
      </c>
      <c r="B2437" s="9">
        <v>2450</v>
      </c>
      <c r="C2437" s="8" t="s">
        <v>1554</v>
      </c>
      <c r="D2437" s="8" t="s">
        <v>7090</v>
      </c>
      <c r="E2437" s="8" t="s">
        <v>2134</v>
      </c>
      <c r="F2437" s="8" t="s">
        <v>162</v>
      </c>
      <c r="G2437" s="8" t="s">
        <v>404</v>
      </c>
      <c r="H2437" s="8" t="s">
        <v>1321</v>
      </c>
      <c r="I2437" s="14" t="s">
        <v>1621</v>
      </c>
      <c r="J2437" s="15"/>
      <c r="K2437" s="8" t="s">
        <v>1976</v>
      </c>
      <c r="L2437" s="8" t="s">
        <v>3828</v>
      </c>
      <c r="M2437" s="6" t="s">
        <v>1623</v>
      </c>
      <c r="N2437" s="6" t="s">
        <v>1624</v>
      </c>
      <c r="O2437" s="7">
        <f>SUMIFS('05_상품별배치367'!$K$7:$K$373,'05_상품별배치367'!$E$7:$E$373,A2437,'05_상품별배치367'!$H$7:$H$373,"본진")</f>
        <v>1</v>
      </c>
      <c r="P2437" s="7">
        <f>SUMIFS('05_상품별배치367'!$K$7:$K$373,'05_상품별배치367'!$E$7:$E$373,A2437,'05_상품별배치367'!$H$7:$H$373,"추가 진열")</f>
        <v>1</v>
      </c>
      <c r="Q2437" s="7">
        <f>O2437+P2437</f>
        <v>2</v>
      </c>
      <c r="R2437" s="7">
        <v>1</v>
      </c>
      <c r="S2437" s="6" t="s">
        <v>1625</v>
      </c>
      <c r="T2437" s="6" t="s">
        <v>5910</v>
      </c>
      <c r="U2437" s="6"/>
      <c r="V2437" s="16"/>
      <c r="W2437" s="16"/>
      <c r="X2437" s="16"/>
      <c r="Y2437" s="6" t="s">
        <v>1655</v>
      </c>
      <c r="Z2437" s="15"/>
      <c r="AA2437" s="15" t="s">
        <v>1628</v>
      </c>
    </row>
    <row r="2438" spans="1:27" ht="33" customHeight="1">
      <c r="A2438" s="8" t="s">
        <v>593</v>
      </c>
      <c r="B2438" s="9">
        <v>2446</v>
      </c>
      <c r="C2438" s="8" t="s">
        <v>592</v>
      </c>
      <c r="D2438" s="8" t="s">
        <v>2133</v>
      </c>
      <c r="E2438" s="8" t="s">
        <v>2134</v>
      </c>
      <c r="F2438" s="8" t="s">
        <v>162</v>
      </c>
      <c r="G2438" s="8" t="s">
        <v>404</v>
      </c>
      <c r="H2438" s="8" t="s">
        <v>1313</v>
      </c>
      <c r="I2438" s="14" t="s">
        <v>1621</v>
      </c>
      <c r="J2438" s="15"/>
      <c r="K2438" s="8" t="s">
        <v>1976</v>
      </c>
      <c r="L2438" s="8" t="s">
        <v>3828</v>
      </c>
      <c r="M2438" s="6" t="s">
        <v>1623</v>
      </c>
      <c r="N2438" s="6" t="s">
        <v>1624</v>
      </c>
      <c r="O2438" s="7">
        <f>SUMIFS('05_상품별배치367'!$K$7:$K$373,'05_상품별배치367'!$E$7:$E$373,A2438,'05_상품별배치367'!$H$7:$H$373,"본진")</f>
        <v>2</v>
      </c>
      <c r="P2438" s="7">
        <f>SUMIFS('05_상품별배치367'!$K$7:$K$373,'05_상품별배치367'!$E$7:$E$373,A2438,'05_상품별배치367'!$H$7:$H$373,"추가 진열")</f>
        <v>1</v>
      </c>
      <c r="Q2438" s="7">
        <f>O2438+P2438</f>
        <v>3</v>
      </c>
      <c r="R2438" s="7">
        <v>2</v>
      </c>
      <c r="S2438" s="6" t="s">
        <v>1625</v>
      </c>
      <c r="T2438" s="6" t="s">
        <v>5910</v>
      </c>
      <c r="U2438" s="6"/>
      <c r="V2438" s="16"/>
      <c r="W2438" s="16"/>
      <c r="X2438" s="16"/>
      <c r="Y2438" s="6" t="s">
        <v>1627</v>
      </c>
      <c r="Z2438" s="15"/>
      <c r="AA2438" s="15" t="s">
        <v>1628</v>
      </c>
    </row>
    <row r="2439" spans="1:27" ht="33" customHeight="1">
      <c r="A2439" s="8" t="s">
        <v>7050</v>
      </c>
      <c r="B2439" s="9">
        <v>2430</v>
      </c>
      <c r="C2439" s="8" t="s">
        <v>7051</v>
      </c>
      <c r="D2439" s="8" t="s">
        <v>4147</v>
      </c>
      <c r="E2439" s="8" t="s">
        <v>2134</v>
      </c>
      <c r="F2439" s="8" t="s">
        <v>575</v>
      </c>
      <c r="G2439" s="8" t="s">
        <v>38</v>
      </c>
      <c r="H2439" s="8" t="s">
        <v>580</v>
      </c>
      <c r="I2439" s="14" t="s">
        <v>1621</v>
      </c>
      <c r="J2439" s="15"/>
      <c r="K2439" s="8" t="s">
        <v>1976</v>
      </c>
      <c r="L2439" s="8" t="s">
        <v>5771</v>
      </c>
      <c r="M2439" s="6" t="s">
        <v>1623</v>
      </c>
      <c r="N2439" s="6" t="s">
        <v>1624</v>
      </c>
      <c r="O2439" s="7">
        <f>SUMIFS('05_상품별배치367'!$K$7:$K$373,'05_상품별배치367'!$E$7:$E$373,A2439,'05_상품별배치367'!$H$7:$H$373,"본진")</f>
        <v>2</v>
      </c>
      <c r="P2439" s="7">
        <f>SUMIFS('05_상품별배치367'!$K$7:$K$373,'05_상품별배치367'!$E$7:$E$373,A2439,'05_상품별배치367'!$H$7:$H$373,"추가 진열")</f>
        <v>0</v>
      </c>
      <c r="Q2439" s="7">
        <f>O2439+P2439</f>
        <v>2</v>
      </c>
      <c r="R2439" s="7">
        <v>2</v>
      </c>
      <c r="S2439" s="6" t="s">
        <v>1625</v>
      </c>
      <c r="T2439" s="6" t="s">
        <v>5910</v>
      </c>
      <c r="U2439" s="6"/>
      <c r="V2439" s="16"/>
      <c r="W2439" s="16"/>
      <c r="X2439" s="16"/>
      <c r="Y2439" s="6" t="s">
        <v>1655</v>
      </c>
      <c r="Z2439" s="15"/>
      <c r="AA2439" s="15" t="s">
        <v>1628</v>
      </c>
    </row>
    <row r="2440" spans="1:27" ht="33" customHeight="1">
      <c r="A2440" s="6" t="s">
        <v>6902</v>
      </c>
      <c r="B2440" s="7">
        <v>2363</v>
      </c>
      <c r="C2440" s="6" t="s">
        <v>6903</v>
      </c>
      <c r="D2440" s="6" t="s">
        <v>5986</v>
      </c>
      <c r="E2440" s="6" t="s">
        <v>1620</v>
      </c>
      <c r="F2440" s="6" t="s">
        <v>504</v>
      </c>
      <c r="G2440" s="6" t="s">
        <v>341</v>
      </c>
      <c r="H2440" s="6"/>
      <c r="I2440" s="14" t="s">
        <v>1642</v>
      </c>
      <c r="J2440" s="15"/>
      <c r="K2440" s="6" t="s">
        <v>1976</v>
      </c>
      <c r="L2440" s="6" t="s">
        <v>6904</v>
      </c>
      <c r="M2440" s="6" t="s">
        <v>1643</v>
      </c>
      <c r="N2440" s="6" t="s">
        <v>1624</v>
      </c>
      <c r="O2440" s="7">
        <f>SUMIFS('05_상품별배치367'!$K$7:$K$373,'05_상품별배치367'!$E$7:$E$373,A2440,'05_상품별배치367'!$H$7:$H$373,"본진")</f>
        <v>0</v>
      </c>
      <c r="P2440" s="7">
        <f>SUMIFS('05_상품별배치367'!$K$7:$K$373,'05_상품별배치367'!$E$7:$E$373,A2440,'05_상품별배치367'!$H$7:$H$373,"추가 진열")</f>
        <v>0</v>
      </c>
      <c r="Q2440" s="7">
        <f>O2440+P2440</f>
        <v>0</v>
      </c>
      <c r="R2440" s="7">
        <v>1</v>
      </c>
      <c r="S2440" s="6" t="s">
        <v>2199</v>
      </c>
      <c r="T2440" s="6" t="s">
        <v>5910</v>
      </c>
      <c r="U2440" s="6"/>
      <c r="V2440" s="16"/>
      <c r="W2440" s="16"/>
      <c r="X2440" s="16"/>
      <c r="Y2440" s="6" t="s">
        <v>6630</v>
      </c>
      <c r="Z2440" s="15"/>
      <c r="AA2440" s="15" t="s">
        <v>1628</v>
      </c>
    </row>
    <row r="2441" spans="1:27" ht="33" customHeight="1">
      <c r="A2441" s="6" t="s">
        <v>5936</v>
      </c>
      <c r="B2441" s="7">
        <v>1921</v>
      </c>
      <c r="C2441" s="6" t="s">
        <v>5937</v>
      </c>
      <c r="D2441" s="6"/>
      <c r="E2441" s="6" t="s">
        <v>1620</v>
      </c>
      <c r="F2441" s="6" t="s">
        <v>1220</v>
      </c>
      <c r="G2441" s="6" t="s">
        <v>349</v>
      </c>
      <c r="H2441" s="6"/>
      <c r="I2441" s="14" t="s">
        <v>1807</v>
      </c>
      <c r="J2441" s="15"/>
      <c r="K2441" s="6" t="s">
        <v>1622</v>
      </c>
      <c r="L2441" s="6" t="s">
        <v>2079</v>
      </c>
      <c r="M2441" s="6" t="s">
        <v>1809</v>
      </c>
      <c r="N2441" s="6" t="s">
        <v>1644</v>
      </c>
      <c r="O2441" s="7">
        <f>SUMIFS('05_상품별배치367'!$K$7:$K$373,'05_상품별배치367'!$E$7:$E$373,A2441,'05_상품별배치367'!$H$7:$H$373,"본진")</f>
        <v>0</v>
      </c>
      <c r="P2441" s="7">
        <f>SUMIFS('05_상품별배치367'!$K$7:$K$373,'05_상품별배치367'!$E$7:$E$373,A2441,'05_상품별배치367'!$H$7:$H$373,"추가 진열")</f>
        <v>0</v>
      </c>
      <c r="Q2441" s="7">
        <f>O2441+P2441</f>
        <v>0</v>
      </c>
      <c r="R2441" s="7">
        <v>0</v>
      </c>
      <c r="S2441" s="6" t="s">
        <v>1810</v>
      </c>
      <c r="T2441" s="6" t="s">
        <v>1637</v>
      </c>
      <c r="U2441" s="6"/>
      <c r="V2441" s="16"/>
      <c r="W2441" s="16"/>
      <c r="X2441" s="16"/>
      <c r="Y2441" s="6" t="s">
        <v>5772</v>
      </c>
      <c r="Z2441" s="15"/>
      <c r="AA2441" s="15" t="s">
        <v>1628</v>
      </c>
    </row>
    <row r="2442" spans="1:27" ht="33" customHeight="1">
      <c r="A2442" s="8" t="s">
        <v>5929</v>
      </c>
      <c r="B2442" s="9">
        <v>1918</v>
      </c>
      <c r="C2442" s="8" t="s">
        <v>5930</v>
      </c>
      <c r="D2442" s="8"/>
      <c r="E2442" s="8" t="s">
        <v>1620</v>
      </c>
      <c r="F2442" s="8" t="s">
        <v>1220</v>
      </c>
      <c r="G2442" s="8" t="s">
        <v>349</v>
      </c>
      <c r="H2442" s="8"/>
      <c r="I2442" s="14" t="s">
        <v>1807</v>
      </c>
      <c r="J2442" s="15"/>
      <c r="K2442" s="8" t="s">
        <v>1622</v>
      </c>
      <c r="L2442" s="8" t="s">
        <v>2079</v>
      </c>
      <c r="M2442" s="6" t="s">
        <v>1809</v>
      </c>
      <c r="N2442" s="6" t="s">
        <v>1644</v>
      </c>
      <c r="O2442" s="7">
        <f>SUMIFS('05_상품별배치367'!$K$7:$K$373,'05_상품별배치367'!$E$7:$E$373,A2442,'05_상품별배치367'!$H$7:$H$373,"본진")</f>
        <v>0</v>
      </c>
      <c r="P2442" s="7">
        <f>SUMIFS('05_상품별배치367'!$K$7:$K$373,'05_상품별배치367'!$E$7:$E$373,A2442,'05_상품별배치367'!$H$7:$H$373,"추가 진열")</f>
        <v>0</v>
      </c>
      <c r="Q2442" s="7">
        <f>O2442+P2442</f>
        <v>0</v>
      </c>
      <c r="R2442" s="7">
        <v>0</v>
      </c>
      <c r="S2442" s="6" t="s">
        <v>1810</v>
      </c>
      <c r="T2442" s="6" t="s">
        <v>1637</v>
      </c>
      <c r="U2442" s="6"/>
      <c r="V2442" s="16"/>
      <c r="W2442" s="16"/>
      <c r="X2442" s="16"/>
      <c r="Y2442" s="6" t="s">
        <v>5772</v>
      </c>
      <c r="Z2442" s="15"/>
      <c r="AA2442" s="15" t="s">
        <v>1628</v>
      </c>
    </row>
    <row r="2443" spans="1:27" ht="33" customHeight="1">
      <c r="A2443" s="8" t="s">
        <v>6103</v>
      </c>
      <c r="B2443" s="9">
        <v>1996</v>
      </c>
      <c r="C2443" s="8" t="s">
        <v>6104</v>
      </c>
      <c r="D2443" s="8"/>
      <c r="E2443" s="8" t="s">
        <v>1666</v>
      </c>
      <c r="F2443" s="8" t="s">
        <v>1667</v>
      </c>
      <c r="G2443" s="8" t="s">
        <v>1668</v>
      </c>
      <c r="H2443" s="8"/>
      <c r="I2443" s="14" t="s">
        <v>1669</v>
      </c>
      <c r="J2443" s="15"/>
      <c r="K2443" s="8" t="s">
        <v>1670</v>
      </c>
      <c r="L2443" s="8" t="s">
        <v>2079</v>
      </c>
      <c r="M2443" s="6" t="s">
        <v>1671</v>
      </c>
      <c r="N2443" s="6" t="s">
        <v>1644</v>
      </c>
      <c r="O2443" s="7">
        <f>SUMIFS('05_상품별배치367'!$K$7:$K$373,'05_상품별배치367'!$E$7:$E$373,A2443,'05_상품별배치367'!$H$7:$H$373,"본진")</f>
        <v>0</v>
      </c>
      <c r="P2443" s="7">
        <f>SUMIFS('05_상품별배치367'!$K$7:$K$373,'05_상품별배치367'!$E$7:$E$373,A2443,'05_상품별배치367'!$H$7:$H$373,"추가 진열")</f>
        <v>0</v>
      </c>
      <c r="Q2443" s="7">
        <f>O2443+P2443</f>
        <v>0</v>
      </c>
      <c r="R2443" s="7">
        <v>0</v>
      </c>
      <c r="S2443" s="6" t="s">
        <v>1672</v>
      </c>
      <c r="T2443" s="6" t="s">
        <v>1637</v>
      </c>
      <c r="U2443" s="6"/>
      <c r="V2443" s="16"/>
      <c r="W2443" s="16"/>
      <c r="X2443" s="16"/>
      <c r="Y2443" s="6" t="s">
        <v>5772</v>
      </c>
      <c r="Z2443" s="15"/>
      <c r="AA2443" s="15" t="s">
        <v>1628</v>
      </c>
    </row>
    <row r="2444" spans="1:27" ht="33" customHeight="1">
      <c r="A2444" s="6" t="s">
        <v>6098</v>
      </c>
      <c r="B2444" s="7">
        <v>1993</v>
      </c>
      <c r="C2444" s="6" t="s">
        <v>6099</v>
      </c>
      <c r="D2444" s="6"/>
      <c r="E2444" s="6" t="s">
        <v>1666</v>
      </c>
      <c r="F2444" s="6" t="s">
        <v>1667</v>
      </c>
      <c r="G2444" s="6" t="s">
        <v>1668</v>
      </c>
      <c r="H2444" s="6"/>
      <c r="I2444" s="14" t="s">
        <v>1669</v>
      </c>
      <c r="J2444" s="15"/>
      <c r="K2444" s="6" t="s">
        <v>1670</v>
      </c>
      <c r="L2444" s="6" t="s">
        <v>2079</v>
      </c>
      <c r="M2444" s="6" t="s">
        <v>1671</v>
      </c>
      <c r="N2444" s="6" t="s">
        <v>1644</v>
      </c>
      <c r="O2444" s="7">
        <f>SUMIFS('05_상품별배치367'!$K$7:$K$373,'05_상품별배치367'!$E$7:$E$373,A2444,'05_상품별배치367'!$H$7:$H$373,"본진")</f>
        <v>0</v>
      </c>
      <c r="P2444" s="7">
        <f>SUMIFS('05_상품별배치367'!$K$7:$K$373,'05_상품별배치367'!$E$7:$E$373,A2444,'05_상품별배치367'!$H$7:$H$373,"추가 진열")</f>
        <v>0</v>
      </c>
      <c r="Q2444" s="7">
        <f>O2444+P2444</f>
        <v>0</v>
      </c>
      <c r="R2444" s="7">
        <v>0</v>
      </c>
      <c r="S2444" s="6" t="s">
        <v>1672</v>
      </c>
      <c r="T2444" s="6" t="s">
        <v>1637</v>
      </c>
      <c r="U2444" s="6"/>
      <c r="V2444" s="16"/>
      <c r="W2444" s="16"/>
      <c r="X2444" s="16"/>
      <c r="Y2444" s="6" t="s">
        <v>5772</v>
      </c>
      <c r="Z2444" s="15"/>
      <c r="AA2444" s="15" t="s">
        <v>1628</v>
      </c>
    </row>
    <row r="2445" spans="1:27" ht="33" customHeight="1">
      <c r="A2445" s="8" t="s">
        <v>6126</v>
      </c>
      <c r="B2445" s="9">
        <v>2004</v>
      </c>
      <c r="C2445" s="8" t="s">
        <v>6127</v>
      </c>
      <c r="D2445" s="8"/>
      <c r="E2445" s="8" t="s">
        <v>1666</v>
      </c>
      <c r="F2445" s="8" t="s">
        <v>1667</v>
      </c>
      <c r="G2445" s="8" t="s">
        <v>1668</v>
      </c>
      <c r="H2445" s="8"/>
      <c r="I2445" s="14" t="s">
        <v>1669</v>
      </c>
      <c r="J2445" s="15"/>
      <c r="K2445" s="8" t="s">
        <v>1670</v>
      </c>
      <c r="L2445" s="8" t="s">
        <v>2079</v>
      </c>
      <c r="M2445" s="6" t="s">
        <v>1671</v>
      </c>
      <c r="N2445" s="6" t="s">
        <v>1644</v>
      </c>
      <c r="O2445" s="7">
        <f>SUMIFS('05_상품별배치367'!$K$7:$K$373,'05_상품별배치367'!$E$7:$E$373,A2445,'05_상품별배치367'!$H$7:$H$373,"본진")</f>
        <v>0</v>
      </c>
      <c r="P2445" s="7">
        <f>SUMIFS('05_상품별배치367'!$K$7:$K$373,'05_상품별배치367'!$E$7:$E$373,A2445,'05_상품별배치367'!$H$7:$H$373,"추가 진열")</f>
        <v>0</v>
      </c>
      <c r="Q2445" s="7">
        <f>O2445+P2445</f>
        <v>0</v>
      </c>
      <c r="R2445" s="7">
        <v>0</v>
      </c>
      <c r="S2445" s="6" t="s">
        <v>1672</v>
      </c>
      <c r="T2445" s="6" t="s">
        <v>1637</v>
      </c>
      <c r="U2445" s="6"/>
      <c r="V2445" s="16"/>
      <c r="W2445" s="16"/>
      <c r="X2445" s="16"/>
      <c r="Y2445" s="6" t="s">
        <v>5772</v>
      </c>
      <c r="Z2445" s="15"/>
      <c r="AA2445" s="15" t="s">
        <v>1628</v>
      </c>
    </row>
    <row r="2446" spans="1:27" ht="33" customHeight="1">
      <c r="A2446" s="6" t="s">
        <v>6134</v>
      </c>
      <c r="B2446" s="7">
        <v>2007</v>
      </c>
      <c r="C2446" s="6" t="s">
        <v>6135</v>
      </c>
      <c r="D2446" s="6"/>
      <c r="E2446" s="6" t="s">
        <v>1666</v>
      </c>
      <c r="F2446" s="6" t="s">
        <v>1667</v>
      </c>
      <c r="G2446" s="6" t="s">
        <v>1668</v>
      </c>
      <c r="H2446" s="6"/>
      <c r="I2446" s="14" t="s">
        <v>1669</v>
      </c>
      <c r="J2446" s="15"/>
      <c r="K2446" s="6" t="s">
        <v>1670</v>
      </c>
      <c r="L2446" s="6" t="s">
        <v>2079</v>
      </c>
      <c r="M2446" s="6" t="s">
        <v>1671</v>
      </c>
      <c r="N2446" s="6" t="s">
        <v>1644</v>
      </c>
      <c r="O2446" s="7">
        <f>SUMIFS('05_상품별배치367'!$K$7:$K$373,'05_상품별배치367'!$E$7:$E$373,A2446,'05_상품별배치367'!$H$7:$H$373,"본진")</f>
        <v>0</v>
      </c>
      <c r="P2446" s="7">
        <f>SUMIFS('05_상품별배치367'!$K$7:$K$373,'05_상품별배치367'!$E$7:$E$373,A2446,'05_상품별배치367'!$H$7:$H$373,"추가 진열")</f>
        <v>0</v>
      </c>
      <c r="Q2446" s="7">
        <f>O2446+P2446</f>
        <v>0</v>
      </c>
      <c r="R2446" s="7">
        <v>0</v>
      </c>
      <c r="S2446" s="6" t="s">
        <v>1672</v>
      </c>
      <c r="T2446" s="6" t="s">
        <v>1637</v>
      </c>
      <c r="U2446" s="6"/>
      <c r="V2446" s="16"/>
      <c r="W2446" s="16"/>
      <c r="X2446" s="16"/>
      <c r="Y2446" s="6" t="s">
        <v>5772</v>
      </c>
      <c r="Z2446" s="15"/>
      <c r="AA2446" s="15" t="s">
        <v>1628</v>
      </c>
    </row>
    <row r="2447" spans="1:27" ht="33" customHeight="1">
      <c r="A2447" s="8" t="s">
        <v>6136</v>
      </c>
      <c r="B2447" s="9">
        <v>2008</v>
      </c>
      <c r="C2447" s="8" t="s">
        <v>6137</v>
      </c>
      <c r="D2447" s="8"/>
      <c r="E2447" s="8" t="s">
        <v>1666</v>
      </c>
      <c r="F2447" s="8" t="s">
        <v>1667</v>
      </c>
      <c r="G2447" s="8" t="s">
        <v>1668</v>
      </c>
      <c r="H2447" s="8"/>
      <c r="I2447" s="14" t="s">
        <v>1669</v>
      </c>
      <c r="J2447" s="15"/>
      <c r="K2447" s="8" t="s">
        <v>1670</v>
      </c>
      <c r="L2447" s="8" t="s">
        <v>2079</v>
      </c>
      <c r="M2447" s="6" t="s">
        <v>1671</v>
      </c>
      <c r="N2447" s="6" t="s">
        <v>1644</v>
      </c>
      <c r="O2447" s="7">
        <f>SUMIFS('05_상품별배치367'!$K$7:$K$373,'05_상품별배치367'!$E$7:$E$373,A2447,'05_상품별배치367'!$H$7:$H$373,"본진")</f>
        <v>0</v>
      </c>
      <c r="P2447" s="7">
        <f>SUMIFS('05_상품별배치367'!$K$7:$K$373,'05_상품별배치367'!$E$7:$E$373,A2447,'05_상품별배치367'!$H$7:$H$373,"추가 진열")</f>
        <v>0</v>
      </c>
      <c r="Q2447" s="7">
        <f>O2447+P2447</f>
        <v>0</v>
      </c>
      <c r="R2447" s="7">
        <v>0</v>
      </c>
      <c r="S2447" s="6" t="s">
        <v>1672</v>
      </c>
      <c r="T2447" s="6" t="s">
        <v>1637</v>
      </c>
      <c r="U2447" s="6"/>
      <c r="V2447" s="16"/>
      <c r="W2447" s="16"/>
      <c r="X2447" s="16"/>
      <c r="Y2447" s="6" t="s">
        <v>5772</v>
      </c>
      <c r="Z2447" s="15"/>
      <c r="AA2447" s="15" t="s">
        <v>1628</v>
      </c>
    </row>
    <row r="2448" spans="1:27" ht="33" customHeight="1">
      <c r="A2448" s="8" t="s">
        <v>960</v>
      </c>
      <c r="B2448" s="9">
        <v>546</v>
      </c>
      <c r="C2448" s="8" t="s">
        <v>959</v>
      </c>
      <c r="D2448" s="8" t="s">
        <v>2992</v>
      </c>
      <c r="E2448" s="8" t="s">
        <v>1695</v>
      </c>
      <c r="F2448" s="8" t="s">
        <v>954</v>
      </c>
      <c r="G2448" s="8" t="s">
        <v>219</v>
      </c>
      <c r="H2448" s="8" t="s">
        <v>958</v>
      </c>
      <c r="I2448" s="14" t="s">
        <v>1633</v>
      </c>
      <c r="J2448" s="15"/>
      <c r="K2448" s="8" t="s">
        <v>1696</v>
      </c>
      <c r="L2448" s="8"/>
      <c r="M2448" s="6" t="s">
        <v>1635</v>
      </c>
      <c r="N2448" s="6" t="s">
        <v>1624</v>
      </c>
      <c r="O2448" s="7">
        <f>SUMIFS('05_상품별배치367'!$K$7:$K$373,'05_상품별배치367'!$E$7:$E$373,A2448,'05_상품별배치367'!$H$7:$H$373,"본진")</f>
        <v>1</v>
      </c>
      <c r="P2448" s="7">
        <f>SUMIFS('05_상품별배치367'!$K$7:$K$373,'05_상품별배치367'!$E$7:$E$373,A2448,'05_상품별배치367'!$H$7:$H$373,"추가 진열")</f>
        <v>0</v>
      </c>
      <c r="Q2448" s="7">
        <f>O2448+P2448</f>
        <v>1</v>
      </c>
      <c r="R2448" s="7">
        <v>1</v>
      </c>
      <c r="S2448" s="6" t="s">
        <v>1636</v>
      </c>
      <c r="T2448" s="6" t="s">
        <v>1637</v>
      </c>
      <c r="U2448" s="6"/>
      <c r="V2448" s="16"/>
      <c r="W2448" s="16"/>
      <c r="X2448" s="16"/>
      <c r="Y2448" s="6" t="s">
        <v>1627</v>
      </c>
      <c r="Z2448" s="15"/>
      <c r="AA2448" s="15" t="s">
        <v>1628</v>
      </c>
    </row>
    <row r="2449" spans="1:27" ht="33" customHeight="1">
      <c r="A2449" s="6" t="s">
        <v>1584</v>
      </c>
      <c r="B2449" s="7">
        <v>545</v>
      </c>
      <c r="C2449" s="6" t="s">
        <v>1583</v>
      </c>
      <c r="D2449" s="6" t="s">
        <v>1937</v>
      </c>
      <c r="E2449" s="6" t="s">
        <v>1695</v>
      </c>
      <c r="F2449" s="6" t="s">
        <v>519</v>
      </c>
      <c r="G2449" s="6" t="s">
        <v>455</v>
      </c>
      <c r="H2449" s="6" t="s">
        <v>1420</v>
      </c>
      <c r="I2449" s="14" t="s">
        <v>1621</v>
      </c>
      <c r="J2449" s="15"/>
      <c r="K2449" s="6" t="s">
        <v>1696</v>
      </c>
      <c r="L2449" s="6"/>
      <c r="M2449" s="6" t="s">
        <v>1623</v>
      </c>
      <c r="N2449" s="6" t="s">
        <v>1624</v>
      </c>
      <c r="O2449" s="7">
        <f>SUMIFS('05_상품별배치367'!$K$7:$K$373,'05_상품별배치367'!$E$7:$E$373,A2449,'05_상품별배치367'!$H$7:$H$373,"본진")</f>
        <v>1</v>
      </c>
      <c r="P2449" s="7">
        <f>SUMIFS('05_상품별배치367'!$K$7:$K$373,'05_상품별배치367'!$E$7:$E$373,A2449,'05_상품별배치367'!$H$7:$H$373,"추가 진열")</f>
        <v>1</v>
      </c>
      <c r="Q2449" s="7">
        <f>O2449+P2449</f>
        <v>2</v>
      </c>
      <c r="R2449" s="7">
        <v>1</v>
      </c>
      <c r="S2449" s="6" t="s">
        <v>1625</v>
      </c>
      <c r="T2449" s="6" t="s">
        <v>1637</v>
      </c>
      <c r="U2449" s="6"/>
      <c r="V2449" s="16"/>
      <c r="W2449" s="16"/>
      <c r="X2449" s="16"/>
      <c r="Y2449" s="6" t="s">
        <v>1627</v>
      </c>
      <c r="Z2449" s="15"/>
      <c r="AA2449" s="15" t="s">
        <v>1628</v>
      </c>
    </row>
    <row r="2450" spans="1:27" ht="33" customHeight="1">
      <c r="A2450" s="8" t="s">
        <v>2990</v>
      </c>
      <c r="B2450" s="9">
        <v>544</v>
      </c>
      <c r="C2450" s="8" t="s">
        <v>2991</v>
      </c>
      <c r="D2450" s="8" t="s">
        <v>1931</v>
      </c>
      <c r="E2450" s="8" t="s">
        <v>1695</v>
      </c>
      <c r="F2450" s="8" t="s">
        <v>1129</v>
      </c>
      <c r="G2450" s="8" t="s">
        <v>307</v>
      </c>
      <c r="H2450" s="8"/>
      <c r="I2450" s="14" t="s">
        <v>1642</v>
      </c>
      <c r="J2450" s="15"/>
      <c r="K2450" s="8" t="s">
        <v>1696</v>
      </c>
      <c r="L2450" s="8"/>
      <c r="M2450" s="6" t="s">
        <v>1643</v>
      </c>
      <c r="N2450" s="6" t="s">
        <v>1644</v>
      </c>
      <c r="O2450" s="7">
        <f>SUMIFS('05_상품별배치367'!$K$7:$K$373,'05_상품별배치367'!$E$7:$E$373,A2450,'05_상품별배치367'!$H$7:$H$373,"본진")</f>
        <v>0</v>
      </c>
      <c r="P2450" s="7">
        <f>SUMIFS('05_상품별배치367'!$K$7:$K$373,'05_상품별배치367'!$E$7:$E$373,A2450,'05_상품별배치367'!$H$7:$H$373,"추가 진열")</f>
        <v>0</v>
      </c>
      <c r="Q2450" s="7">
        <f>O2450+P2450</f>
        <v>0</v>
      </c>
      <c r="R2450" s="7">
        <v>1</v>
      </c>
      <c r="S2450" s="6" t="s">
        <v>2850</v>
      </c>
      <c r="T2450" s="6" t="s">
        <v>1637</v>
      </c>
      <c r="U2450" s="6"/>
      <c r="V2450" s="16"/>
      <c r="W2450" s="16"/>
      <c r="X2450" s="16"/>
      <c r="Y2450" s="6" t="s">
        <v>1627</v>
      </c>
      <c r="Z2450" s="15"/>
      <c r="AA2450" s="15" t="s">
        <v>1628</v>
      </c>
    </row>
    <row r="2451" spans="1:27" ht="33" customHeight="1">
      <c r="A2451" s="6" t="s">
        <v>7172</v>
      </c>
      <c r="B2451" s="7">
        <v>2489</v>
      </c>
      <c r="C2451" s="6" t="s">
        <v>7173</v>
      </c>
      <c r="D2451" s="6" t="s">
        <v>5398</v>
      </c>
      <c r="E2451" s="6" t="s">
        <v>2134</v>
      </c>
      <c r="F2451" s="6" t="s">
        <v>2933</v>
      </c>
      <c r="G2451" s="6" t="s">
        <v>1668</v>
      </c>
      <c r="H2451" s="6"/>
      <c r="I2451" s="14" t="s">
        <v>1807</v>
      </c>
      <c r="J2451" s="15"/>
      <c r="K2451" s="6" t="s">
        <v>1976</v>
      </c>
      <c r="L2451" s="6" t="s">
        <v>6125</v>
      </c>
      <c r="M2451" s="6" t="s">
        <v>1809</v>
      </c>
      <c r="N2451" s="6" t="s">
        <v>1644</v>
      </c>
      <c r="O2451" s="7">
        <f>SUMIFS('05_상품별배치367'!$K$7:$K$373,'05_상품별배치367'!$E$7:$E$373,A2451,'05_상품별배치367'!$H$7:$H$373,"본진")</f>
        <v>0</v>
      </c>
      <c r="P2451" s="7">
        <f>SUMIFS('05_상품별배치367'!$K$7:$K$373,'05_상품별배치367'!$E$7:$E$373,A2451,'05_상품별배치367'!$H$7:$H$373,"추가 진열")</f>
        <v>0</v>
      </c>
      <c r="Q2451" s="7">
        <f>O2451+P2451</f>
        <v>0</v>
      </c>
      <c r="R2451" s="7">
        <v>0</v>
      </c>
      <c r="S2451" s="6" t="s">
        <v>1810</v>
      </c>
      <c r="T2451" s="6" t="s">
        <v>1637</v>
      </c>
      <c r="U2451" s="6"/>
      <c r="V2451" s="16"/>
      <c r="W2451" s="16"/>
      <c r="X2451" s="16"/>
      <c r="Y2451" s="6" t="s">
        <v>1627</v>
      </c>
      <c r="Z2451" s="15"/>
      <c r="AA2451" s="15" t="s">
        <v>1628</v>
      </c>
    </row>
    <row r="2452" spans="1:27" ht="33" customHeight="1">
      <c r="A2452" s="8" t="s">
        <v>1299</v>
      </c>
      <c r="B2452" s="9">
        <v>2490</v>
      </c>
      <c r="C2452" s="8" t="s">
        <v>1298</v>
      </c>
      <c r="D2452" s="8" t="s">
        <v>7174</v>
      </c>
      <c r="E2452" s="8" t="s">
        <v>1986</v>
      </c>
      <c r="F2452" s="8" t="s">
        <v>1276</v>
      </c>
      <c r="G2452" s="8" t="s">
        <v>386</v>
      </c>
      <c r="H2452" s="8" t="s">
        <v>1297</v>
      </c>
      <c r="I2452" s="14" t="s">
        <v>1633</v>
      </c>
      <c r="J2452" s="15"/>
      <c r="K2452" s="8" t="s">
        <v>1976</v>
      </c>
      <c r="L2452" s="8" t="s">
        <v>3828</v>
      </c>
      <c r="M2452" s="6" t="s">
        <v>1635</v>
      </c>
      <c r="N2452" s="6" t="s">
        <v>1624</v>
      </c>
      <c r="O2452" s="7">
        <f>SUMIFS('05_상품별배치367'!$K$7:$K$373,'05_상품별배치367'!$E$7:$E$373,A2452,'05_상품별배치367'!$H$7:$H$373,"본진")</f>
        <v>1</v>
      </c>
      <c r="P2452" s="7">
        <f>SUMIFS('05_상품별배치367'!$K$7:$K$373,'05_상품별배치367'!$E$7:$E$373,A2452,'05_상품별배치367'!$H$7:$H$373,"추가 진열")</f>
        <v>0</v>
      </c>
      <c r="Q2452" s="7">
        <f>O2452+P2452</f>
        <v>1</v>
      </c>
      <c r="R2452" s="7">
        <v>1</v>
      </c>
      <c r="S2452" s="6" t="s">
        <v>1636</v>
      </c>
      <c r="T2452" s="6" t="s">
        <v>1637</v>
      </c>
      <c r="U2452" s="6"/>
      <c r="V2452" s="16"/>
      <c r="W2452" s="16"/>
      <c r="X2452" s="16"/>
      <c r="Y2452" s="6" t="s">
        <v>1655</v>
      </c>
      <c r="Z2452" s="15"/>
      <c r="AA2452" s="15" t="s">
        <v>1628</v>
      </c>
    </row>
    <row r="2453" spans="1:27" ht="33" customHeight="1">
      <c r="A2453" s="6" t="s">
        <v>2940</v>
      </c>
      <c r="B2453" s="7">
        <v>521</v>
      </c>
      <c r="C2453" s="6" t="s">
        <v>2941</v>
      </c>
      <c r="D2453" s="6" t="s">
        <v>2701</v>
      </c>
      <c r="E2453" s="6" t="s">
        <v>1695</v>
      </c>
      <c r="F2453" s="6" t="s">
        <v>954</v>
      </c>
      <c r="G2453" s="6" t="s">
        <v>219</v>
      </c>
      <c r="H2453" s="6"/>
      <c r="I2453" s="14" t="s">
        <v>1642</v>
      </c>
      <c r="J2453" s="15"/>
      <c r="K2453" s="6" t="s">
        <v>1696</v>
      </c>
      <c r="L2453" s="6"/>
      <c r="M2453" s="6" t="s">
        <v>1643</v>
      </c>
      <c r="N2453" s="6" t="s">
        <v>1644</v>
      </c>
      <c r="O2453" s="7">
        <f>SUMIFS('05_상품별배치367'!$K$7:$K$373,'05_상품별배치367'!$E$7:$E$373,A2453,'05_상품별배치367'!$H$7:$H$373,"본진")</f>
        <v>0</v>
      </c>
      <c r="P2453" s="7">
        <f>SUMIFS('05_상품별배치367'!$K$7:$K$373,'05_상품별배치367'!$E$7:$E$373,A2453,'05_상품별배치367'!$H$7:$H$373,"추가 진열")</f>
        <v>0</v>
      </c>
      <c r="Q2453" s="7">
        <f>O2453+P2453</f>
        <v>0</v>
      </c>
      <c r="R2453" s="7">
        <v>1</v>
      </c>
      <c r="S2453" s="6" t="s">
        <v>2884</v>
      </c>
      <c r="T2453" s="6" t="s">
        <v>1637</v>
      </c>
      <c r="U2453" s="6"/>
      <c r="V2453" s="16"/>
      <c r="W2453" s="16"/>
      <c r="X2453" s="16"/>
      <c r="Y2453" s="6" t="s">
        <v>1627</v>
      </c>
      <c r="Z2453" s="15"/>
      <c r="AA2453" s="15" t="s">
        <v>1628</v>
      </c>
    </row>
    <row r="2454" spans="1:27" ht="33" customHeight="1">
      <c r="A2454" s="6" t="s">
        <v>2936</v>
      </c>
      <c r="B2454" s="7">
        <v>519</v>
      </c>
      <c r="C2454" s="6" t="s">
        <v>2937</v>
      </c>
      <c r="D2454" s="6" t="s">
        <v>2701</v>
      </c>
      <c r="E2454" s="6" t="s">
        <v>1695</v>
      </c>
      <c r="F2454" s="6" t="s">
        <v>1129</v>
      </c>
      <c r="G2454" s="6" t="s">
        <v>307</v>
      </c>
      <c r="H2454" s="6"/>
      <c r="I2454" s="14" t="s">
        <v>1642</v>
      </c>
      <c r="J2454" s="15"/>
      <c r="K2454" s="6" t="s">
        <v>1696</v>
      </c>
      <c r="L2454" s="6"/>
      <c r="M2454" s="6" t="s">
        <v>1643</v>
      </c>
      <c r="N2454" s="6" t="s">
        <v>1644</v>
      </c>
      <c r="O2454" s="7">
        <f>SUMIFS('05_상품별배치367'!$K$7:$K$373,'05_상품별배치367'!$E$7:$E$373,A2454,'05_상품별배치367'!$H$7:$H$373,"본진")</f>
        <v>0</v>
      </c>
      <c r="P2454" s="7">
        <f>SUMIFS('05_상품별배치367'!$K$7:$K$373,'05_상품별배치367'!$E$7:$E$373,A2454,'05_상품별배치367'!$H$7:$H$373,"추가 진열")</f>
        <v>0</v>
      </c>
      <c r="Q2454" s="7">
        <f>O2454+P2454</f>
        <v>0</v>
      </c>
      <c r="R2454" s="7">
        <v>1</v>
      </c>
      <c r="S2454" s="6" t="s">
        <v>2850</v>
      </c>
      <c r="T2454" s="6" t="s">
        <v>1637</v>
      </c>
      <c r="U2454" s="6"/>
      <c r="V2454" s="16"/>
      <c r="W2454" s="16"/>
      <c r="X2454" s="16"/>
      <c r="Y2454" s="6" t="s">
        <v>1627</v>
      </c>
      <c r="Z2454" s="15"/>
      <c r="AA2454" s="15" t="s">
        <v>1628</v>
      </c>
    </row>
    <row r="2455" spans="1:27" ht="33" customHeight="1">
      <c r="A2455" s="8" t="s">
        <v>2938</v>
      </c>
      <c r="B2455" s="9">
        <v>520</v>
      </c>
      <c r="C2455" s="8" t="s">
        <v>2939</v>
      </c>
      <c r="D2455" s="8" t="s">
        <v>2701</v>
      </c>
      <c r="E2455" s="8" t="s">
        <v>1695</v>
      </c>
      <c r="F2455" s="8" t="s">
        <v>2846</v>
      </c>
      <c r="G2455" s="8" t="s">
        <v>1668</v>
      </c>
      <c r="H2455" s="8"/>
      <c r="I2455" s="14" t="s">
        <v>1669</v>
      </c>
      <c r="J2455" s="15"/>
      <c r="K2455" s="8" t="s">
        <v>1696</v>
      </c>
      <c r="L2455" s="8"/>
      <c r="M2455" s="6" t="s">
        <v>1671</v>
      </c>
      <c r="N2455" s="6" t="s">
        <v>1644</v>
      </c>
      <c r="O2455" s="7">
        <f>SUMIFS('05_상품별배치367'!$K$7:$K$373,'05_상품별배치367'!$E$7:$E$373,A2455,'05_상품별배치367'!$H$7:$H$373,"본진")</f>
        <v>0</v>
      </c>
      <c r="P2455" s="7">
        <f>SUMIFS('05_상품별배치367'!$K$7:$K$373,'05_상품별배치367'!$E$7:$E$373,A2455,'05_상품별배치367'!$H$7:$H$373,"추가 진열")</f>
        <v>0</v>
      </c>
      <c r="Q2455" s="7">
        <f>O2455+P2455</f>
        <v>0</v>
      </c>
      <c r="R2455" s="7">
        <v>0</v>
      </c>
      <c r="S2455" s="6" t="s">
        <v>1672</v>
      </c>
      <c r="T2455" s="6" t="s">
        <v>1637</v>
      </c>
      <c r="U2455" s="6"/>
      <c r="V2455" s="16"/>
      <c r="W2455" s="16"/>
      <c r="X2455" s="16"/>
      <c r="Y2455" s="6" t="s">
        <v>1627</v>
      </c>
      <c r="Z2455" s="15"/>
      <c r="AA2455" s="15" t="s">
        <v>1628</v>
      </c>
    </row>
    <row r="2456" spans="1:27" ht="33" customHeight="1">
      <c r="A2456" s="6" t="s">
        <v>7144</v>
      </c>
      <c r="B2456" s="7">
        <v>2475</v>
      </c>
      <c r="C2456" s="6" t="s">
        <v>7145</v>
      </c>
      <c r="D2456" s="6" t="s">
        <v>4147</v>
      </c>
      <c r="E2456" s="6" t="s">
        <v>2746</v>
      </c>
      <c r="F2456" s="6" t="s">
        <v>2747</v>
      </c>
      <c r="G2456" s="6" t="s">
        <v>1668</v>
      </c>
      <c r="H2456" s="6"/>
      <c r="I2456" s="14" t="s">
        <v>1669</v>
      </c>
      <c r="J2456" s="15"/>
      <c r="K2456" s="6" t="s">
        <v>2748</v>
      </c>
      <c r="L2456" s="6" t="s">
        <v>5771</v>
      </c>
      <c r="M2456" s="6" t="s">
        <v>1671</v>
      </c>
      <c r="N2456" s="6" t="s">
        <v>1644</v>
      </c>
      <c r="O2456" s="7">
        <f>SUMIFS('05_상품별배치367'!$K$7:$K$373,'05_상품별배치367'!$E$7:$E$373,A2456,'05_상품별배치367'!$H$7:$H$373,"본진")</f>
        <v>0</v>
      </c>
      <c r="P2456" s="7">
        <f>SUMIFS('05_상품별배치367'!$K$7:$K$373,'05_상품별배치367'!$E$7:$E$373,A2456,'05_상품별배치367'!$H$7:$H$373,"추가 진열")</f>
        <v>0</v>
      </c>
      <c r="Q2456" s="7">
        <f>O2456+P2456</f>
        <v>0</v>
      </c>
      <c r="R2456" s="7">
        <v>0</v>
      </c>
      <c r="S2456" s="6" t="s">
        <v>1672</v>
      </c>
      <c r="T2456" s="6" t="s">
        <v>1637</v>
      </c>
      <c r="U2456" s="6"/>
      <c r="V2456" s="16"/>
      <c r="W2456" s="16"/>
      <c r="X2456" s="16"/>
      <c r="Y2456" s="6" t="s">
        <v>1655</v>
      </c>
      <c r="Z2456" s="15"/>
      <c r="AA2456" s="15" t="s">
        <v>1628</v>
      </c>
    </row>
    <row r="2457" spans="1:27" ht="33" customHeight="1">
      <c r="A2457" s="8" t="s">
        <v>6602</v>
      </c>
      <c r="B2457" s="9">
        <v>2214</v>
      </c>
      <c r="C2457" s="8" t="s">
        <v>6603</v>
      </c>
      <c r="D2457" s="8" t="s">
        <v>1851</v>
      </c>
      <c r="E2457" s="8" t="s">
        <v>2746</v>
      </c>
      <c r="F2457" s="8" t="s">
        <v>2747</v>
      </c>
      <c r="G2457" s="8" t="s">
        <v>1668</v>
      </c>
      <c r="H2457" s="8"/>
      <c r="I2457" s="14" t="s">
        <v>1669</v>
      </c>
      <c r="J2457" s="15"/>
      <c r="K2457" s="8" t="s">
        <v>2748</v>
      </c>
      <c r="L2457" s="8"/>
      <c r="M2457" s="6" t="s">
        <v>1671</v>
      </c>
      <c r="N2457" s="6" t="s">
        <v>1644</v>
      </c>
      <c r="O2457" s="7">
        <f>SUMIFS('05_상품별배치367'!$K$7:$K$373,'05_상품별배치367'!$E$7:$E$373,A2457,'05_상품별배치367'!$H$7:$H$373,"본진")</f>
        <v>0</v>
      </c>
      <c r="P2457" s="7">
        <f>SUMIFS('05_상품별배치367'!$K$7:$K$373,'05_상품별배치367'!$E$7:$E$373,A2457,'05_상품별배치367'!$H$7:$H$373,"추가 진열")</f>
        <v>0</v>
      </c>
      <c r="Q2457" s="7">
        <f>O2457+P2457</f>
        <v>0</v>
      </c>
      <c r="R2457" s="7">
        <v>0</v>
      </c>
      <c r="S2457" s="6" t="s">
        <v>1672</v>
      </c>
      <c r="T2457" s="6" t="s">
        <v>1637</v>
      </c>
      <c r="U2457" s="6"/>
      <c r="V2457" s="16"/>
      <c r="W2457" s="16"/>
      <c r="X2457" s="16"/>
      <c r="Y2457" s="6" t="s">
        <v>1627</v>
      </c>
      <c r="Z2457" s="15"/>
      <c r="AA2457" s="15" t="s">
        <v>1628</v>
      </c>
    </row>
    <row r="2458" spans="1:27" ht="33" customHeight="1">
      <c r="A2458" s="6" t="s">
        <v>6604</v>
      </c>
      <c r="B2458" s="7">
        <v>2215</v>
      </c>
      <c r="C2458" s="6" t="s">
        <v>6605</v>
      </c>
      <c r="D2458" s="6" t="s">
        <v>1851</v>
      </c>
      <c r="E2458" s="6" t="s">
        <v>2746</v>
      </c>
      <c r="F2458" s="6" t="s">
        <v>2747</v>
      </c>
      <c r="G2458" s="6" t="s">
        <v>1668</v>
      </c>
      <c r="H2458" s="6"/>
      <c r="I2458" s="14" t="s">
        <v>1669</v>
      </c>
      <c r="J2458" s="15"/>
      <c r="K2458" s="6" t="s">
        <v>2748</v>
      </c>
      <c r="L2458" s="6"/>
      <c r="M2458" s="6" t="s">
        <v>1671</v>
      </c>
      <c r="N2458" s="6" t="s">
        <v>1644</v>
      </c>
      <c r="O2458" s="7">
        <f>SUMIFS('05_상품별배치367'!$K$7:$K$373,'05_상품별배치367'!$E$7:$E$373,A2458,'05_상품별배치367'!$H$7:$H$373,"본진")</f>
        <v>0</v>
      </c>
      <c r="P2458" s="7">
        <f>SUMIFS('05_상품별배치367'!$K$7:$K$373,'05_상품별배치367'!$E$7:$E$373,A2458,'05_상품별배치367'!$H$7:$H$373,"추가 진열")</f>
        <v>0</v>
      </c>
      <c r="Q2458" s="7">
        <f>O2458+P2458</f>
        <v>0</v>
      </c>
      <c r="R2458" s="7">
        <v>0</v>
      </c>
      <c r="S2458" s="6" t="s">
        <v>1672</v>
      </c>
      <c r="T2458" s="6" t="s">
        <v>1637</v>
      </c>
      <c r="U2458" s="6"/>
      <c r="V2458" s="16"/>
      <c r="W2458" s="16"/>
      <c r="X2458" s="16"/>
      <c r="Y2458" s="6" t="s">
        <v>1627</v>
      </c>
      <c r="Z2458" s="15"/>
      <c r="AA2458" s="15" t="s">
        <v>1628</v>
      </c>
    </row>
    <row r="2459" spans="1:27" ht="33" customHeight="1">
      <c r="A2459" s="8" t="s">
        <v>6606</v>
      </c>
      <c r="B2459" s="9">
        <v>2216</v>
      </c>
      <c r="C2459" s="8" t="s">
        <v>6607</v>
      </c>
      <c r="D2459" s="8" t="s">
        <v>1851</v>
      </c>
      <c r="E2459" s="8" t="s">
        <v>2746</v>
      </c>
      <c r="F2459" s="8" t="s">
        <v>2747</v>
      </c>
      <c r="G2459" s="8" t="s">
        <v>1668</v>
      </c>
      <c r="H2459" s="8"/>
      <c r="I2459" s="14" t="s">
        <v>1669</v>
      </c>
      <c r="J2459" s="15"/>
      <c r="K2459" s="8" t="s">
        <v>2748</v>
      </c>
      <c r="L2459" s="8"/>
      <c r="M2459" s="6" t="s">
        <v>1671</v>
      </c>
      <c r="N2459" s="6" t="s">
        <v>1644</v>
      </c>
      <c r="O2459" s="7">
        <f>SUMIFS('05_상품별배치367'!$K$7:$K$373,'05_상품별배치367'!$E$7:$E$373,A2459,'05_상품별배치367'!$H$7:$H$373,"본진")</f>
        <v>0</v>
      </c>
      <c r="P2459" s="7">
        <f>SUMIFS('05_상품별배치367'!$K$7:$K$373,'05_상품별배치367'!$E$7:$E$373,A2459,'05_상품별배치367'!$H$7:$H$373,"추가 진열")</f>
        <v>0</v>
      </c>
      <c r="Q2459" s="7">
        <f>O2459+P2459</f>
        <v>0</v>
      </c>
      <c r="R2459" s="7">
        <v>0</v>
      </c>
      <c r="S2459" s="6" t="s">
        <v>1672</v>
      </c>
      <c r="T2459" s="6" t="s">
        <v>1637</v>
      </c>
      <c r="U2459" s="6"/>
      <c r="V2459" s="16"/>
      <c r="W2459" s="16"/>
      <c r="X2459" s="16"/>
      <c r="Y2459" s="6" t="s">
        <v>1627</v>
      </c>
      <c r="Z2459" s="15"/>
      <c r="AA2459" s="15" t="s">
        <v>1628</v>
      </c>
    </row>
    <row r="2460" spans="1:27" ht="33" customHeight="1">
      <c r="A2460" s="8" t="s">
        <v>3098</v>
      </c>
      <c r="B2460" s="9">
        <v>592</v>
      </c>
      <c r="C2460" s="8" t="s">
        <v>3099</v>
      </c>
      <c r="D2460" s="8" t="s">
        <v>3100</v>
      </c>
      <c r="E2460" s="8" t="s">
        <v>1981</v>
      </c>
      <c r="F2460" s="8" t="s">
        <v>122</v>
      </c>
      <c r="G2460" s="8" t="s">
        <v>185</v>
      </c>
      <c r="H2460" s="8"/>
      <c r="I2460" s="14" t="s">
        <v>1642</v>
      </c>
      <c r="J2460" s="15"/>
      <c r="K2460" s="8" t="s">
        <v>1982</v>
      </c>
      <c r="L2460" s="8"/>
      <c r="M2460" s="6" t="s">
        <v>1643</v>
      </c>
      <c r="N2460" s="6" t="s">
        <v>1644</v>
      </c>
      <c r="O2460" s="7">
        <f>SUMIFS('05_상품별배치367'!$K$7:$K$373,'05_상품별배치367'!$E$7:$E$373,A2460,'05_상품별배치367'!$H$7:$H$373,"본진")</f>
        <v>0</v>
      </c>
      <c r="P2460" s="7">
        <f>SUMIFS('05_상품별배치367'!$K$7:$K$373,'05_상품별배치367'!$E$7:$E$373,A2460,'05_상품별배치367'!$H$7:$H$373,"추가 진열")</f>
        <v>0</v>
      </c>
      <c r="Q2460" s="7">
        <f>O2460+P2460</f>
        <v>0</v>
      </c>
      <c r="R2460" s="7">
        <v>1</v>
      </c>
      <c r="S2460" s="6" t="s">
        <v>1983</v>
      </c>
      <c r="T2460" s="6" t="s">
        <v>1637</v>
      </c>
      <c r="U2460" s="6"/>
      <c r="V2460" s="16"/>
      <c r="W2460" s="16"/>
      <c r="X2460" s="16"/>
      <c r="Y2460" s="6" t="s">
        <v>1655</v>
      </c>
      <c r="Z2460" s="15"/>
      <c r="AA2460" s="15" t="s">
        <v>1628</v>
      </c>
    </row>
    <row r="2461" spans="1:27" ht="33" customHeight="1">
      <c r="A2461" s="8" t="s">
        <v>924</v>
      </c>
      <c r="B2461" s="9">
        <v>598</v>
      </c>
      <c r="C2461" s="8" t="s">
        <v>923</v>
      </c>
      <c r="D2461" s="8" t="s">
        <v>3113</v>
      </c>
      <c r="E2461" s="8" t="s">
        <v>1986</v>
      </c>
      <c r="F2461" s="8" t="s">
        <v>913</v>
      </c>
      <c r="G2461" s="8" t="s">
        <v>201</v>
      </c>
      <c r="H2461" s="8" t="s">
        <v>922</v>
      </c>
      <c r="I2461" s="14" t="s">
        <v>1633</v>
      </c>
      <c r="J2461" s="15"/>
      <c r="K2461" s="8" t="s">
        <v>1976</v>
      </c>
      <c r="L2461" s="8"/>
      <c r="M2461" s="6" t="s">
        <v>1635</v>
      </c>
      <c r="N2461" s="6" t="s">
        <v>1624</v>
      </c>
      <c r="O2461" s="7">
        <f>SUMIFS('05_상품별배치367'!$K$7:$K$373,'05_상품별배치367'!$E$7:$E$373,A2461,'05_상품별배치367'!$H$7:$H$373,"본진")</f>
        <v>1</v>
      </c>
      <c r="P2461" s="7">
        <f>SUMIFS('05_상품별배치367'!$K$7:$K$373,'05_상품별배치367'!$E$7:$E$373,A2461,'05_상품별배치367'!$H$7:$H$373,"추가 진열")</f>
        <v>0</v>
      </c>
      <c r="Q2461" s="7">
        <f>O2461+P2461</f>
        <v>1</v>
      </c>
      <c r="R2461" s="7">
        <v>1</v>
      </c>
      <c r="S2461" s="6" t="s">
        <v>1636</v>
      </c>
      <c r="T2461" s="6" t="s">
        <v>1637</v>
      </c>
      <c r="U2461" s="6"/>
      <c r="V2461" s="16"/>
      <c r="W2461" s="16"/>
      <c r="X2461" s="16"/>
      <c r="Y2461" s="6" t="s">
        <v>1627</v>
      </c>
      <c r="Z2461" s="15"/>
      <c r="AA2461" s="15" t="s">
        <v>1628</v>
      </c>
    </row>
    <row r="2462" spans="1:27" ht="33" customHeight="1">
      <c r="A2462" s="8" t="s">
        <v>3104</v>
      </c>
      <c r="B2462" s="9">
        <v>594</v>
      </c>
      <c r="C2462" s="8" t="s">
        <v>3105</v>
      </c>
      <c r="D2462" s="8" t="s">
        <v>3106</v>
      </c>
      <c r="E2462" s="8" t="s">
        <v>2134</v>
      </c>
      <c r="F2462" s="8" t="s">
        <v>1081</v>
      </c>
      <c r="G2462" s="8" t="s">
        <v>290</v>
      </c>
      <c r="H2462" s="8"/>
      <c r="I2462" s="14" t="s">
        <v>1642</v>
      </c>
      <c r="J2462" s="15"/>
      <c r="K2462" s="8" t="s">
        <v>1976</v>
      </c>
      <c r="L2462" s="8"/>
      <c r="M2462" s="6" t="s">
        <v>1643</v>
      </c>
      <c r="N2462" s="6" t="s">
        <v>1644</v>
      </c>
      <c r="O2462" s="7">
        <f>SUMIFS('05_상품별배치367'!$K$7:$K$373,'05_상품별배치367'!$E$7:$E$373,A2462,'05_상품별배치367'!$H$7:$H$373,"본진")</f>
        <v>0</v>
      </c>
      <c r="P2462" s="7">
        <f>SUMIFS('05_상품별배치367'!$K$7:$K$373,'05_상품별배치367'!$E$7:$E$373,A2462,'05_상품별배치367'!$H$7:$H$373,"추가 진열")</f>
        <v>0</v>
      </c>
      <c r="Q2462" s="7">
        <f>O2462+P2462</f>
        <v>0</v>
      </c>
      <c r="R2462" s="7">
        <v>1</v>
      </c>
      <c r="S2462" s="6" t="s">
        <v>2135</v>
      </c>
      <c r="T2462" s="6" t="s">
        <v>1637</v>
      </c>
      <c r="U2462" s="6"/>
      <c r="V2462" s="16"/>
      <c r="W2462" s="16"/>
      <c r="X2462" s="16"/>
      <c r="Y2462" s="6" t="s">
        <v>1627</v>
      </c>
      <c r="Z2462" s="15"/>
      <c r="AA2462" s="15" t="s">
        <v>1628</v>
      </c>
    </row>
    <row r="2463" spans="1:27" ht="33" customHeight="1">
      <c r="A2463" s="6" t="s">
        <v>3107</v>
      </c>
      <c r="B2463" s="7">
        <v>595</v>
      </c>
      <c r="C2463" s="6" t="s">
        <v>3108</v>
      </c>
      <c r="D2463" s="6" t="s">
        <v>3106</v>
      </c>
      <c r="E2463" s="6" t="s">
        <v>2134</v>
      </c>
      <c r="F2463" s="6" t="s">
        <v>162</v>
      </c>
      <c r="G2463" s="6" t="s">
        <v>404</v>
      </c>
      <c r="H2463" s="6"/>
      <c r="I2463" s="14" t="s">
        <v>1642</v>
      </c>
      <c r="J2463" s="15"/>
      <c r="K2463" s="6" t="s">
        <v>1976</v>
      </c>
      <c r="L2463" s="6"/>
      <c r="M2463" s="6" t="s">
        <v>1643</v>
      </c>
      <c r="N2463" s="6" t="s">
        <v>1644</v>
      </c>
      <c r="O2463" s="7">
        <f>SUMIFS('05_상품별배치367'!$K$7:$K$373,'05_상품별배치367'!$E$7:$E$373,A2463,'05_상품별배치367'!$H$7:$H$373,"본진")</f>
        <v>0</v>
      </c>
      <c r="P2463" s="7">
        <f>SUMIFS('05_상품별배치367'!$K$7:$K$373,'05_상품별배치367'!$E$7:$E$373,A2463,'05_상품별배치367'!$H$7:$H$373,"추가 진열")</f>
        <v>0</v>
      </c>
      <c r="Q2463" s="7">
        <f>O2463+P2463</f>
        <v>0</v>
      </c>
      <c r="R2463" s="7">
        <v>1</v>
      </c>
      <c r="S2463" s="6" t="s">
        <v>2996</v>
      </c>
      <c r="T2463" s="6" t="s">
        <v>1637</v>
      </c>
      <c r="U2463" s="6"/>
      <c r="V2463" s="16"/>
      <c r="W2463" s="16"/>
      <c r="X2463" s="16"/>
      <c r="Y2463" s="6" t="s">
        <v>1627</v>
      </c>
      <c r="Z2463" s="15"/>
      <c r="AA2463" s="15" t="s">
        <v>1628</v>
      </c>
    </row>
    <row r="2464" spans="1:27" ht="33" customHeight="1">
      <c r="A2464" s="8" t="s">
        <v>3109</v>
      </c>
      <c r="B2464" s="9">
        <v>596</v>
      </c>
      <c r="C2464" s="8" t="s">
        <v>3110</v>
      </c>
      <c r="D2464" s="8" t="s">
        <v>3106</v>
      </c>
      <c r="E2464" s="8" t="s">
        <v>2134</v>
      </c>
      <c r="F2464" s="8" t="s">
        <v>1263</v>
      </c>
      <c r="G2464" s="8" t="s">
        <v>376</v>
      </c>
      <c r="H2464" s="8"/>
      <c r="I2464" s="14" t="s">
        <v>1642</v>
      </c>
      <c r="J2464" s="15"/>
      <c r="K2464" s="8" t="s">
        <v>1976</v>
      </c>
      <c r="L2464" s="8"/>
      <c r="M2464" s="6" t="s">
        <v>1643</v>
      </c>
      <c r="N2464" s="6" t="s">
        <v>1644</v>
      </c>
      <c r="O2464" s="7">
        <f>SUMIFS('05_상품별배치367'!$K$7:$K$373,'05_상품별배치367'!$E$7:$E$373,A2464,'05_상품별배치367'!$H$7:$H$373,"본진")</f>
        <v>0</v>
      </c>
      <c r="P2464" s="7">
        <f>SUMIFS('05_상품별배치367'!$K$7:$K$373,'05_상품별배치367'!$E$7:$E$373,A2464,'05_상품별배치367'!$H$7:$H$373,"추가 진열")</f>
        <v>0</v>
      </c>
      <c r="Q2464" s="7">
        <f>O2464+P2464</f>
        <v>0</v>
      </c>
      <c r="R2464" s="7">
        <v>1</v>
      </c>
      <c r="S2464" s="6" t="s">
        <v>3016</v>
      </c>
      <c r="T2464" s="6" t="s">
        <v>1637</v>
      </c>
      <c r="U2464" s="6"/>
      <c r="V2464" s="16"/>
      <c r="W2464" s="16"/>
      <c r="X2464" s="16"/>
      <c r="Y2464" s="6" t="s">
        <v>1627</v>
      </c>
      <c r="Z2464" s="15"/>
      <c r="AA2464" s="15" t="s">
        <v>1628</v>
      </c>
    </row>
    <row r="2465" spans="1:27" ht="33" customHeight="1">
      <c r="A2465" s="6" t="s">
        <v>3095</v>
      </c>
      <c r="B2465" s="7">
        <v>591</v>
      </c>
      <c r="C2465" s="6" t="s">
        <v>3096</v>
      </c>
      <c r="D2465" s="6" t="s">
        <v>3097</v>
      </c>
      <c r="E2465" s="6" t="s">
        <v>1981</v>
      </c>
      <c r="F2465" s="6" t="s">
        <v>122</v>
      </c>
      <c r="G2465" s="6" t="s">
        <v>185</v>
      </c>
      <c r="H2465" s="6"/>
      <c r="I2465" s="14" t="s">
        <v>1642</v>
      </c>
      <c r="J2465" s="15"/>
      <c r="K2465" s="6" t="s">
        <v>1982</v>
      </c>
      <c r="L2465" s="6"/>
      <c r="M2465" s="6" t="s">
        <v>1643</v>
      </c>
      <c r="N2465" s="6" t="s">
        <v>1644</v>
      </c>
      <c r="O2465" s="7">
        <f>SUMIFS('05_상품별배치367'!$K$7:$K$373,'05_상품별배치367'!$E$7:$E$373,A2465,'05_상품별배치367'!$H$7:$H$373,"본진")</f>
        <v>0</v>
      </c>
      <c r="P2465" s="7">
        <f>SUMIFS('05_상품별배치367'!$K$7:$K$373,'05_상품별배치367'!$E$7:$E$373,A2465,'05_상품별배치367'!$H$7:$H$373,"추가 진열")</f>
        <v>0</v>
      </c>
      <c r="Q2465" s="7">
        <f>O2465+P2465</f>
        <v>0</v>
      </c>
      <c r="R2465" s="7">
        <v>1</v>
      </c>
      <c r="S2465" s="6" t="s">
        <v>1983</v>
      </c>
      <c r="T2465" s="6" t="s">
        <v>1637</v>
      </c>
      <c r="U2465" s="6"/>
      <c r="V2465" s="16"/>
      <c r="W2465" s="16"/>
      <c r="X2465" s="16"/>
      <c r="Y2465" s="6" t="s">
        <v>1655</v>
      </c>
      <c r="Z2465" s="15"/>
      <c r="AA2465" s="15" t="s">
        <v>1628</v>
      </c>
    </row>
    <row r="2466" spans="1:27" ht="33" customHeight="1">
      <c r="A2466" s="6" t="s">
        <v>3101</v>
      </c>
      <c r="B2466" s="7">
        <v>593</v>
      </c>
      <c r="C2466" s="6" t="s">
        <v>3102</v>
      </c>
      <c r="D2466" s="6" t="s">
        <v>3103</v>
      </c>
      <c r="E2466" s="6" t="s">
        <v>1814</v>
      </c>
      <c r="F2466" s="6" t="s">
        <v>1376</v>
      </c>
      <c r="G2466" s="6" t="s">
        <v>431</v>
      </c>
      <c r="H2466" s="6"/>
      <c r="I2466" s="14" t="s">
        <v>1642</v>
      </c>
      <c r="J2466" s="15"/>
      <c r="K2466" s="6" t="s">
        <v>1976</v>
      </c>
      <c r="L2466" s="6"/>
      <c r="M2466" s="6" t="s">
        <v>1643</v>
      </c>
      <c r="N2466" s="6" t="s">
        <v>1644</v>
      </c>
      <c r="O2466" s="7">
        <f>SUMIFS('05_상품별배치367'!$K$7:$K$373,'05_상품별배치367'!$E$7:$E$373,A2466,'05_상품별배치367'!$H$7:$H$373,"본진")</f>
        <v>0</v>
      </c>
      <c r="P2466" s="7">
        <f>SUMIFS('05_상품별배치367'!$K$7:$K$373,'05_상품별배치367'!$E$7:$E$373,A2466,'05_상품별배치367'!$H$7:$H$373,"추가 진열")</f>
        <v>0</v>
      </c>
      <c r="Q2466" s="7">
        <f>O2466+P2466</f>
        <v>0</v>
      </c>
      <c r="R2466" s="7">
        <v>1</v>
      </c>
      <c r="S2466" s="6" t="s">
        <v>1978</v>
      </c>
      <c r="T2466" s="6" t="s">
        <v>1637</v>
      </c>
      <c r="U2466" s="6"/>
      <c r="V2466" s="16"/>
      <c r="W2466" s="16"/>
      <c r="X2466" s="16"/>
      <c r="Y2466" s="6" t="s">
        <v>1655</v>
      </c>
      <c r="Z2466" s="15"/>
      <c r="AA2466" s="15" t="s">
        <v>1628</v>
      </c>
    </row>
    <row r="2467" spans="1:27" ht="33" customHeight="1">
      <c r="A2467" s="6" t="s">
        <v>3111</v>
      </c>
      <c r="B2467" s="7">
        <v>597</v>
      </c>
      <c r="C2467" s="6" t="s">
        <v>3112</v>
      </c>
      <c r="D2467" s="6" t="s">
        <v>3106</v>
      </c>
      <c r="E2467" s="6" t="s">
        <v>2134</v>
      </c>
      <c r="F2467" s="6" t="s">
        <v>162</v>
      </c>
      <c r="G2467" s="6" t="s">
        <v>404</v>
      </c>
      <c r="H2467" s="6"/>
      <c r="I2467" s="14" t="s">
        <v>1642</v>
      </c>
      <c r="J2467" s="15"/>
      <c r="K2467" s="6" t="s">
        <v>1976</v>
      </c>
      <c r="L2467" s="6"/>
      <c r="M2467" s="6" t="s">
        <v>1643</v>
      </c>
      <c r="N2467" s="6" t="s">
        <v>1644</v>
      </c>
      <c r="O2467" s="7">
        <f>SUMIFS('05_상품별배치367'!$K$7:$K$373,'05_상품별배치367'!$E$7:$E$373,A2467,'05_상품별배치367'!$H$7:$H$373,"본진")</f>
        <v>0</v>
      </c>
      <c r="P2467" s="7">
        <f>SUMIFS('05_상품별배치367'!$K$7:$K$373,'05_상품별배치367'!$E$7:$E$373,A2467,'05_상품별배치367'!$H$7:$H$373,"추가 진열")</f>
        <v>0</v>
      </c>
      <c r="Q2467" s="7">
        <f>O2467+P2467</f>
        <v>0</v>
      </c>
      <c r="R2467" s="7">
        <v>1</v>
      </c>
      <c r="S2467" s="6" t="s">
        <v>2996</v>
      </c>
      <c r="T2467" s="6" t="s">
        <v>1637</v>
      </c>
      <c r="U2467" s="6"/>
      <c r="V2467" s="16"/>
      <c r="W2467" s="16"/>
      <c r="X2467" s="16"/>
      <c r="Y2467" s="6" t="s">
        <v>1627</v>
      </c>
      <c r="Z2467" s="15"/>
      <c r="AA2467" s="15" t="s">
        <v>1628</v>
      </c>
    </row>
    <row r="2468" spans="1:27" ht="33" customHeight="1">
      <c r="A2468" s="8" t="s">
        <v>1441</v>
      </c>
      <c r="B2468" s="9">
        <v>48</v>
      </c>
      <c r="C2468" s="8" t="s">
        <v>1440</v>
      </c>
      <c r="D2468" s="8" t="s">
        <v>1662</v>
      </c>
      <c r="E2468" s="8" t="s">
        <v>1743</v>
      </c>
      <c r="F2468" s="8" t="s">
        <v>1439</v>
      </c>
      <c r="G2468" s="8" t="s">
        <v>463</v>
      </c>
      <c r="H2468" s="8" t="s">
        <v>1438</v>
      </c>
      <c r="I2468" s="14" t="s">
        <v>1633</v>
      </c>
      <c r="J2468" s="6"/>
      <c r="K2468" s="8" t="s">
        <v>1696</v>
      </c>
      <c r="L2468" s="8"/>
      <c r="M2468" s="6" t="s">
        <v>1635</v>
      </c>
      <c r="N2468" s="6" t="s">
        <v>1624</v>
      </c>
      <c r="O2468" s="7">
        <f>SUMIFS('05_상품별배치367'!$K$7:$K$373,'05_상품별배치367'!$E$7:$E$373,A2468,'05_상품별배치367'!$H$7:$H$373,"본진")</f>
        <v>1</v>
      </c>
      <c r="P2468" s="7">
        <f>SUMIFS('05_상품별배치367'!$K$7:$K$373,'05_상품별배치367'!$E$7:$E$373,A2468,'05_상품별배치367'!$H$7:$H$373,"추가 진열")</f>
        <v>0</v>
      </c>
      <c r="Q2468" s="7">
        <f>O2468+P2468</f>
        <v>1</v>
      </c>
      <c r="R2468" s="7">
        <v>1</v>
      </c>
      <c r="S2468" s="6" t="s">
        <v>1636</v>
      </c>
      <c r="T2468" s="6" t="s">
        <v>1637</v>
      </c>
      <c r="U2468" s="6"/>
      <c r="V2468" s="16"/>
      <c r="W2468" s="16"/>
      <c r="X2468" s="16"/>
      <c r="Y2468" s="6" t="s">
        <v>1627</v>
      </c>
      <c r="Z2468" s="15"/>
      <c r="AA2468" s="15" t="s">
        <v>1628</v>
      </c>
    </row>
    <row r="2469" spans="1:27" ht="33" customHeight="1">
      <c r="A2469" s="8" t="s">
        <v>1449</v>
      </c>
      <c r="B2469" s="9">
        <v>76</v>
      </c>
      <c r="C2469" s="8" t="s">
        <v>1448</v>
      </c>
      <c r="D2469" s="8" t="s">
        <v>1658</v>
      </c>
      <c r="E2469" s="8" t="s">
        <v>1743</v>
      </c>
      <c r="F2469" s="8" t="s">
        <v>1439</v>
      </c>
      <c r="G2469" s="8" t="s">
        <v>463</v>
      </c>
      <c r="H2469" s="8" t="s">
        <v>1447</v>
      </c>
      <c r="I2469" s="14" t="s">
        <v>1633</v>
      </c>
      <c r="J2469" s="6"/>
      <c r="K2469" s="8" t="s">
        <v>1696</v>
      </c>
      <c r="L2469" s="8"/>
      <c r="M2469" s="6" t="s">
        <v>1635</v>
      </c>
      <c r="N2469" s="6" t="s">
        <v>1624</v>
      </c>
      <c r="O2469" s="7">
        <f>SUMIFS('05_상품별배치367'!$K$7:$K$373,'05_상품별배치367'!$E$7:$E$373,A2469,'05_상품별배치367'!$H$7:$H$373,"본진")</f>
        <v>1</v>
      </c>
      <c r="P2469" s="7">
        <f>SUMIFS('05_상품별배치367'!$K$7:$K$373,'05_상품별배치367'!$E$7:$E$373,A2469,'05_상품별배치367'!$H$7:$H$373,"추가 진열")</f>
        <v>0</v>
      </c>
      <c r="Q2469" s="7">
        <f>O2469+P2469</f>
        <v>1</v>
      </c>
      <c r="R2469" s="7">
        <v>1</v>
      </c>
      <c r="S2469" s="6" t="s">
        <v>1636</v>
      </c>
      <c r="T2469" s="6" t="s">
        <v>1637</v>
      </c>
      <c r="U2469" s="6"/>
      <c r="V2469" s="16"/>
      <c r="W2469" s="16"/>
      <c r="X2469" s="16"/>
      <c r="Y2469" s="6" t="s">
        <v>1627</v>
      </c>
      <c r="Z2469" s="15"/>
      <c r="AA2469" s="15" t="s">
        <v>1628</v>
      </c>
    </row>
    <row r="2470" spans="1:27" ht="33" customHeight="1">
      <c r="A2470" s="8" t="s">
        <v>6513</v>
      </c>
      <c r="B2470" s="9">
        <v>2172</v>
      </c>
      <c r="C2470" s="8" t="s">
        <v>6514</v>
      </c>
      <c r="D2470" s="8" t="s">
        <v>1948</v>
      </c>
      <c r="E2470" s="8" t="s">
        <v>1620</v>
      </c>
      <c r="F2470" s="8" t="s">
        <v>2194</v>
      </c>
      <c r="G2470" s="8" t="s">
        <v>1668</v>
      </c>
      <c r="H2470" s="8"/>
      <c r="I2470" s="14" t="s">
        <v>1642</v>
      </c>
      <c r="J2470" s="15"/>
      <c r="K2470" s="8" t="s">
        <v>1622</v>
      </c>
      <c r="L2470" s="8"/>
      <c r="M2470" s="6" t="s">
        <v>1643</v>
      </c>
      <c r="N2470" s="6" t="s">
        <v>1644</v>
      </c>
      <c r="O2470" s="7">
        <f>SUMIFS('05_상품별배치367'!$K$7:$K$373,'05_상품별배치367'!$E$7:$E$373,A2470,'05_상품별배치367'!$H$7:$H$373,"본진")</f>
        <v>0</v>
      </c>
      <c r="P2470" s="7">
        <f>SUMIFS('05_상품별배치367'!$K$7:$K$373,'05_상품별배치367'!$E$7:$E$373,A2470,'05_상품별배치367'!$H$7:$H$373,"추가 진열")</f>
        <v>0</v>
      </c>
      <c r="Q2470" s="7">
        <f>O2470+P2470</f>
        <v>0</v>
      </c>
      <c r="R2470" s="7">
        <v>1</v>
      </c>
      <c r="S2470" s="6" t="s">
        <v>2196</v>
      </c>
      <c r="T2470" s="6" t="s">
        <v>1637</v>
      </c>
      <c r="U2470" s="6"/>
      <c r="V2470" s="16"/>
      <c r="W2470" s="16"/>
      <c r="X2470" s="16"/>
      <c r="Y2470" s="6" t="s">
        <v>1627</v>
      </c>
      <c r="Z2470" s="15"/>
      <c r="AA2470" s="15" t="s">
        <v>1628</v>
      </c>
    </row>
    <row r="2471" spans="1:27" ht="33" customHeight="1">
      <c r="A2471" s="6" t="s">
        <v>6515</v>
      </c>
      <c r="B2471" s="7">
        <v>2173</v>
      </c>
      <c r="C2471" s="6" t="s">
        <v>6516</v>
      </c>
      <c r="D2471" s="6" t="s">
        <v>1619</v>
      </c>
      <c r="E2471" s="6" t="s">
        <v>1620</v>
      </c>
      <c r="F2471" s="6" t="s">
        <v>2194</v>
      </c>
      <c r="G2471" s="6" t="s">
        <v>1668</v>
      </c>
      <c r="H2471" s="6"/>
      <c r="I2471" s="14" t="s">
        <v>1642</v>
      </c>
      <c r="J2471" s="15"/>
      <c r="K2471" s="6" t="s">
        <v>1622</v>
      </c>
      <c r="L2471" s="6"/>
      <c r="M2471" s="6" t="s">
        <v>1643</v>
      </c>
      <c r="N2471" s="6" t="s">
        <v>1644</v>
      </c>
      <c r="O2471" s="7">
        <f>SUMIFS('05_상품별배치367'!$K$7:$K$373,'05_상품별배치367'!$E$7:$E$373,A2471,'05_상품별배치367'!$H$7:$H$373,"본진")</f>
        <v>0</v>
      </c>
      <c r="P2471" s="7">
        <f>SUMIFS('05_상품별배치367'!$K$7:$K$373,'05_상품별배치367'!$E$7:$E$373,A2471,'05_상품별배치367'!$H$7:$H$373,"추가 진열")</f>
        <v>0</v>
      </c>
      <c r="Q2471" s="7">
        <f>O2471+P2471</f>
        <v>0</v>
      </c>
      <c r="R2471" s="7">
        <v>1</v>
      </c>
      <c r="S2471" s="6" t="s">
        <v>2196</v>
      </c>
      <c r="T2471" s="6" t="s">
        <v>1637</v>
      </c>
      <c r="U2471" s="6"/>
      <c r="V2471" s="16"/>
      <c r="W2471" s="16"/>
      <c r="X2471" s="16"/>
      <c r="Y2471" s="6" t="s">
        <v>1627</v>
      </c>
      <c r="Z2471" s="15"/>
      <c r="AA2471" s="15" t="s">
        <v>1628</v>
      </c>
    </row>
    <row r="2472" spans="1:27" ht="33" customHeight="1">
      <c r="A2472" s="6" t="s">
        <v>3870</v>
      </c>
      <c r="B2472" s="7">
        <v>947</v>
      </c>
      <c r="C2472" s="6" t="s">
        <v>3871</v>
      </c>
      <c r="D2472" s="6" t="s">
        <v>3872</v>
      </c>
      <c r="E2472" s="6" t="s">
        <v>2134</v>
      </c>
      <c r="F2472" s="6" t="s">
        <v>161</v>
      </c>
      <c r="G2472" s="6" t="s">
        <v>395</v>
      </c>
      <c r="H2472" s="6"/>
      <c r="I2472" s="14" t="s">
        <v>1642</v>
      </c>
      <c r="J2472" s="15"/>
      <c r="K2472" s="6" t="s">
        <v>1976</v>
      </c>
      <c r="L2472" s="6"/>
      <c r="M2472" s="6" t="s">
        <v>1643</v>
      </c>
      <c r="N2472" s="6" t="s">
        <v>1644</v>
      </c>
      <c r="O2472" s="7">
        <f>SUMIFS('05_상품별배치367'!$K$7:$K$373,'05_상품별배치367'!$E$7:$E$373,A2472,'05_상품별배치367'!$H$7:$H$373,"본진")</f>
        <v>0</v>
      </c>
      <c r="P2472" s="7">
        <f>SUMIFS('05_상품별배치367'!$K$7:$K$373,'05_상품별배치367'!$E$7:$E$373,A2472,'05_상품별배치367'!$H$7:$H$373,"추가 진열")</f>
        <v>0</v>
      </c>
      <c r="Q2472" s="7">
        <f>O2472+P2472</f>
        <v>0</v>
      </c>
      <c r="R2472" s="7">
        <v>1</v>
      </c>
      <c r="S2472" s="6" t="s">
        <v>3070</v>
      </c>
      <c r="T2472" s="6" t="s">
        <v>1637</v>
      </c>
      <c r="U2472" s="6"/>
      <c r="V2472" s="16"/>
      <c r="W2472" s="16"/>
      <c r="X2472" s="16"/>
      <c r="Y2472" s="6" t="s">
        <v>1627</v>
      </c>
      <c r="Z2472" s="15"/>
      <c r="AA2472" s="15" t="s">
        <v>1628</v>
      </c>
    </row>
    <row r="2473" spans="1:27" ht="33" customHeight="1">
      <c r="A2473" s="8" t="s">
        <v>3868</v>
      </c>
      <c r="B2473" s="9">
        <v>946</v>
      </c>
      <c r="C2473" s="8" t="s">
        <v>3869</v>
      </c>
      <c r="D2473" s="8" t="s">
        <v>2133</v>
      </c>
      <c r="E2473" s="8" t="s">
        <v>2134</v>
      </c>
      <c r="F2473" s="8" t="s">
        <v>161</v>
      </c>
      <c r="G2473" s="8" t="s">
        <v>395</v>
      </c>
      <c r="H2473" s="8"/>
      <c r="I2473" s="14" t="s">
        <v>1642</v>
      </c>
      <c r="J2473" s="15"/>
      <c r="K2473" s="8" t="s">
        <v>1976</v>
      </c>
      <c r="L2473" s="8"/>
      <c r="M2473" s="6" t="s">
        <v>1643</v>
      </c>
      <c r="N2473" s="6" t="s">
        <v>1644</v>
      </c>
      <c r="O2473" s="7">
        <f>SUMIFS('05_상품별배치367'!$K$7:$K$373,'05_상품별배치367'!$E$7:$E$373,A2473,'05_상품별배치367'!$H$7:$H$373,"본진")</f>
        <v>0</v>
      </c>
      <c r="P2473" s="7">
        <f>SUMIFS('05_상품별배치367'!$K$7:$K$373,'05_상품별배치367'!$E$7:$E$373,A2473,'05_상품별배치367'!$H$7:$H$373,"추가 진열")</f>
        <v>0</v>
      </c>
      <c r="Q2473" s="7">
        <f>O2473+P2473</f>
        <v>0</v>
      </c>
      <c r="R2473" s="7">
        <v>1</v>
      </c>
      <c r="S2473" s="6" t="s">
        <v>3070</v>
      </c>
      <c r="T2473" s="6" t="s">
        <v>1637</v>
      </c>
      <c r="U2473" s="6"/>
      <c r="V2473" s="16"/>
      <c r="W2473" s="16"/>
      <c r="X2473" s="16"/>
      <c r="Y2473" s="6" t="s">
        <v>1627</v>
      </c>
      <c r="Z2473" s="15"/>
      <c r="AA2473" s="15" t="s">
        <v>1628</v>
      </c>
    </row>
    <row r="2474" spans="1:27" ht="33" customHeight="1">
      <c r="A2474" s="8" t="s">
        <v>3873</v>
      </c>
      <c r="B2474" s="9">
        <v>948</v>
      </c>
      <c r="C2474" s="8" t="s">
        <v>3874</v>
      </c>
      <c r="D2474" s="8" t="s">
        <v>3872</v>
      </c>
      <c r="E2474" s="8" t="s">
        <v>1986</v>
      </c>
      <c r="F2474" s="8" t="s">
        <v>493</v>
      </c>
      <c r="G2474" s="8" t="s">
        <v>299</v>
      </c>
      <c r="H2474" s="8"/>
      <c r="I2474" s="14" t="s">
        <v>1642</v>
      </c>
      <c r="J2474" s="15"/>
      <c r="K2474" s="8" t="s">
        <v>1976</v>
      </c>
      <c r="L2474" s="8"/>
      <c r="M2474" s="6" t="s">
        <v>1643</v>
      </c>
      <c r="N2474" s="6" t="s">
        <v>1644</v>
      </c>
      <c r="O2474" s="7">
        <f>SUMIFS('05_상품별배치367'!$K$7:$K$373,'05_상품별배치367'!$E$7:$E$373,A2474,'05_상품별배치367'!$H$7:$H$373,"본진")</f>
        <v>0</v>
      </c>
      <c r="P2474" s="7">
        <f>SUMIFS('05_상품별배치367'!$K$7:$K$373,'05_상품별배치367'!$E$7:$E$373,A2474,'05_상품별배치367'!$H$7:$H$373,"추가 진열")</f>
        <v>0</v>
      </c>
      <c r="Q2474" s="7">
        <f>O2474+P2474</f>
        <v>0</v>
      </c>
      <c r="R2474" s="7">
        <v>1</v>
      </c>
      <c r="S2474" s="6" t="s">
        <v>3084</v>
      </c>
      <c r="T2474" s="6" t="s">
        <v>1637</v>
      </c>
      <c r="U2474" s="6"/>
      <c r="V2474" s="16"/>
      <c r="W2474" s="16"/>
      <c r="X2474" s="16"/>
      <c r="Y2474" s="6" t="s">
        <v>1627</v>
      </c>
      <c r="Z2474" s="15"/>
      <c r="AA2474" s="15" t="s">
        <v>1628</v>
      </c>
    </row>
    <row r="2475" spans="1:27" ht="33" customHeight="1">
      <c r="A2475" s="6" t="s">
        <v>3866</v>
      </c>
      <c r="B2475" s="7">
        <v>945</v>
      </c>
      <c r="C2475" s="6" t="s">
        <v>3867</v>
      </c>
      <c r="D2475" s="6" t="s">
        <v>2845</v>
      </c>
      <c r="E2475" s="6" t="s">
        <v>2134</v>
      </c>
      <c r="F2475" s="6" t="s">
        <v>2933</v>
      </c>
      <c r="G2475" s="6" t="s">
        <v>1668</v>
      </c>
      <c r="H2475" s="6"/>
      <c r="I2475" s="14" t="s">
        <v>1807</v>
      </c>
      <c r="J2475" s="15"/>
      <c r="K2475" s="6" t="s">
        <v>1976</v>
      </c>
      <c r="L2475" s="6" t="s">
        <v>2032</v>
      </c>
      <c r="M2475" s="6" t="s">
        <v>1809</v>
      </c>
      <c r="N2475" s="6" t="s">
        <v>1644</v>
      </c>
      <c r="O2475" s="7">
        <f>SUMIFS('05_상품별배치367'!$K$7:$K$373,'05_상품별배치367'!$E$7:$E$373,A2475,'05_상품별배치367'!$H$7:$H$373,"본진")</f>
        <v>0</v>
      </c>
      <c r="P2475" s="7">
        <f>SUMIFS('05_상품별배치367'!$K$7:$K$373,'05_상품별배치367'!$E$7:$E$373,A2475,'05_상품별배치367'!$H$7:$H$373,"추가 진열")</f>
        <v>0</v>
      </c>
      <c r="Q2475" s="7">
        <f>O2475+P2475</f>
        <v>0</v>
      </c>
      <c r="R2475" s="7">
        <v>0</v>
      </c>
      <c r="S2475" s="6" t="s">
        <v>1810</v>
      </c>
      <c r="T2475" s="6" t="s">
        <v>1637</v>
      </c>
      <c r="U2475" s="6"/>
      <c r="V2475" s="16"/>
      <c r="W2475" s="16"/>
      <c r="X2475" s="16"/>
      <c r="Y2475" s="6" t="s">
        <v>1627</v>
      </c>
      <c r="Z2475" s="15"/>
      <c r="AA2475" s="15" t="s">
        <v>1628</v>
      </c>
    </row>
    <row r="2476" spans="1:27" ht="33" customHeight="1">
      <c r="A2476" s="6" t="s">
        <v>3860</v>
      </c>
      <c r="B2476" s="7">
        <v>943</v>
      </c>
      <c r="C2476" s="6" t="s">
        <v>3861</v>
      </c>
      <c r="D2476" s="6" t="s">
        <v>3862</v>
      </c>
      <c r="E2476" s="6" t="s">
        <v>1986</v>
      </c>
      <c r="F2476" s="6" t="s">
        <v>913</v>
      </c>
      <c r="G2476" s="6" t="s">
        <v>201</v>
      </c>
      <c r="H2476" s="6"/>
      <c r="I2476" s="14" t="s">
        <v>1642</v>
      </c>
      <c r="J2476" s="15"/>
      <c r="K2476" s="6" t="s">
        <v>1976</v>
      </c>
      <c r="L2476" s="6"/>
      <c r="M2476" s="6" t="s">
        <v>1643</v>
      </c>
      <c r="N2476" s="6" t="s">
        <v>1644</v>
      </c>
      <c r="O2476" s="7">
        <f>SUMIFS('05_상품별배치367'!$K$7:$K$373,'05_상품별배치367'!$E$7:$E$373,A2476,'05_상품별배치367'!$H$7:$H$373,"본진")</f>
        <v>0</v>
      </c>
      <c r="P2476" s="7">
        <f>SUMIFS('05_상품별배치367'!$K$7:$K$373,'05_상품별배치367'!$E$7:$E$373,A2476,'05_상품별배치367'!$H$7:$H$373,"추가 진열")</f>
        <v>0</v>
      </c>
      <c r="Q2476" s="7">
        <f>O2476+P2476</f>
        <v>0</v>
      </c>
      <c r="R2476" s="7">
        <v>1</v>
      </c>
      <c r="S2476" s="6" t="s">
        <v>2907</v>
      </c>
      <c r="T2476" s="6" t="s">
        <v>1637</v>
      </c>
      <c r="U2476" s="6"/>
      <c r="V2476" s="16"/>
      <c r="W2476" s="16"/>
      <c r="X2476" s="16"/>
      <c r="Y2476" s="6" t="s">
        <v>1627</v>
      </c>
      <c r="Z2476" s="15"/>
      <c r="AA2476" s="15" t="s">
        <v>1628</v>
      </c>
    </row>
    <row r="2477" spans="1:27" ht="33" customHeight="1">
      <c r="A2477" s="8" t="s">
        <v>3863</v>
      </c>
      <c r="B2477" s="9">
        <v>944</v>
      </c>
      <c r="C2477" s="8" t="s">
        <v>3864</v>
      </c>
      <c r="D2477" s="8" t="s">
        <v>3865</v>
      </c>
      <c r="E2477" s="8" t="s">
        <v>1986</v>
      </c>
      <c r="F2477" s="8" t="s">
        <v>913</v>
      </c>
      <c r="G2477" s="8" t="s">
        <v>201</v>
      </c>
      <c r="H2477" s="8"/>
      <c r="I2477" s="14" t="s">
        <v>1642</v>
      </c>
      <c r="J2477" s="15"/>
      <c r="K2477" s="8" t="s">
        <v>1976</v>
      </c>
      <c r="L2477" s="8"/>
      <c r="M2477" s="6" t="s">
        <v>1643</v>
      </c>
      <c r="N2477" s="6" t="s">
        <v>1644</v>
      </c>
      <c r="O2477" s="7">
        <f>SUMIFS('05_상품별배치367'!$K$7:$K$373,'05_상품별배치367'!$E$7:$E$373,A2477,'05_상품별배치367'!$H$7:$H$373,"본진")</f>
        <v>0</v>
      </c>
      <c r="P2477" s="7">
        <f>SUMIFS('05_상품별배치367'!$K$7:$K$373,'05_상품별배치367'!$E$7:$E$373,A2477,'05_상품별배치367'!$H$7:$H$373,"추가 진열")</f>
        <v>0</v>
      </c>
      <c r="Q2477" s="7">
        <f>O2477+P2477</f>
        <v>0</v>
      </c>
      <c r="R2477" s="7">
        <v>1</v>
      </c>
      <c r="S2477" s="6" t="s">
        <v>2907</v>
      </c>
      <c r="T2477" s="6" t="s">
        <v>1637</v>
      </c>
      <c r="U2477" s="6"/>
      <c r="V2477" s="16"/>
      <c r="W2477" s="16"/>
      <c r="X2477" s="16"/>
      <c r="Y2477" s="6" t="s">
        <v>1627</v>
      </c>
      <c r="Z2477" s="15"/>
      <c r="AA2477" s="15" t="s">
        <v>1628</v>
      </c>
    </row>
    <row r="2478" spans="1:27" ht="33" customHeight="1">
      <c r="A2478" s="8" t="s">
        <v>3845</v>
      </c>
      <c r="B2478" s="9">
        <v>936</v>
      </c>
      <c r="C2478" s="8" t="s">
        <v>3846</v>
      </c>
      <c r="D2478" s="8" t="s">
        <v>1876</v>
      </c>
      <c r="E2478" s="8" t="s">
        <v>2134</v>
      </c>
      <c r="F2478" s="8" t="s">
        <v>2933</v>
      </c>
      <c r="G2478" s="8" t="s">
        <v>1668</v>
      </c>
      <c r="H2478" s="8"/>
      <c r="I2478" s="14" t="s">
        <v>1807</v>
      </c>
      <c r="J2478" s="15"/>
      <c r="K2478" s="8" t="s">
        <v>1976</v>
      </c>
      <c r="L2478" s="8" t="s">
        <v>2032</v>
      </c>
      <c r="M2478" s="6" t="s">
        <v>1809</v>
      </c>
      <c r="N2478" s="6" t="s">
        <v>1644</v>
      </c>
      <c r="O2478" s="7">
        <f>SUMIFS('05_상품별배치367'!$K$7:$K$373,'05_상품별배치367'!$E$7:$E$373,A2478,'05_상품별배치367'!$H$7:$H$373,"본진")</f>
        <v>0</v>
      </c>
      <c r="P2478" s="7">
        <f>SUMIFS('05_상품별배치367'!$K$7:$K$373,'05_상품별배치367'!$E$7:$E$373,A2478,'05_상품별배치367'!$H$7:$H$373,"추가 진열")</f>
        <v>0</v>
      </c>
      <c r="Q2478" s="7">
        <f>O2478+P2478</f>
        <v>0</v>
      </c>
      <c r="R2478" s="7">
        <v>0</v>
      </c>
      <c r="S2478" s="6" t="s">
        <v>1810</v>
      </c>
      <c r="T2478" s="6" t="s">
        <v>1637</v>
      </c>
      <c r="U2478" s="6"/>
      <c r="V2478" s="16"/>
      <c r="W2478" s="16"/>
      <c r="X2478" s="16"/>
      <c r="Y2478" s="6" t="s">
        <v>1627</v>
      </c>
      <c r="Z2478" s="15"/>
      <c r="AA2478" s="15" t="s">
        <v>1628</v>
      </c>
    </row>
    <row r="2479" spans="1:27" ht="33" customHeight="1">
      <c r="A2479" s="8" t="s">
        <v>3854</v>
      </c>
      <c r="B2479" s="9">
        <v>940</v>
      </c>
      <c r="C2479" s="8" t="s">
        <v>3855</v>
      </c>
      <c r="D2479" s="8" t="s">
        <v>3164</v>
      </c>
      <c r="E2479" s="8" t="s">
        <v>1814</v>
      </c>
      <c r="F2479" s="8" t="s">
        <v>1376</v>
      </c>
      <c r="G2479" s="8" t="s">
        <v>431</v>
      </c>
      <c r="H2479" s="8"/>
      <c r="I2479" s="14" t="s">
        <v>1642</v>
      </c>
      <c r="J2479" s="15"/>
      <c r="K2479" s="8" t="s">
        <v>1976</v>
      </c>
      <c r="L2479" s="8"/>
      <c r="M2479" s="6" t="s">
        <v>1643</v>
      </c>
      <c r="N2479" s="6" t="s">
        <v>1644</v>
      </c>
      <c r="O2479" s="7">
        <f>SUMIFS('05_상품별배치367'!$K$7:$K$373,'05_상품별배치367'!$E$7:$E$373,A2479,'05_상품별배치367'!$H$7:$H$373,"본진")</f>
        <v>0</v>
      </c>
      <c r="P2479" s="7">
        <f>SUMIFS('05_상품별배치367'!$K$7:$K$373,'05_상품별배치367'!$E$7:$E$373,A2479,'05_상품별배치367'!$H$7:$H$373,"추가 진열")</f>
        <v>0</v>
      </c>
      <c r="Q2479" s="7">
        <f>O2479+P2479</f>
        <v>0</v>
      </c>
      <c r="R2479" s="7">
        <v>1</v>
      </c>
      <c r="S2479" s="6" t="s">
        <v>1978</v>
      </c>
      <c r="T2479" s="6" t="s">
        <v>1637</v>
      </c>
      <c r="U2479" s="6"/>
      <c r="V2479" s="16"/>
      <c r="W2479" s="16"/>
      <c r="X2479" s="16"/>
      <c r="Y2479" s="6" t="s">
        <v>1627</v>
      </c>
      <c r="Z2479" s="15"/>
      <c r="AA2479" s="15" t="s">
        <v>1628</v>
      </c>
    </row>
    <row r="2480" spans="1:27" ht="33" customHeight="1">
      <c r="A2480" s="8" t="s">
        <v>3849</v>
      </c>
      <c r="B2480" s="9">
        <v>938</v>
      </c>
      <c r="C2480" s="8" t="s">
        <v>3850</v>
      </c>
      <c r="D2480" s="8" t="s">
        <v>2133</v>
      </c>
      <c r="E2480" s="8" t="s">
        <v>2134</v>
      </c>
      <c r="F2480" s="8" t="s">
        <v>2933</v>
      </c>
      <c r="G2480" s="8" t="s">
        <v>1668</v>
      </c>
      <c r="H2480" s="8"/>
      <c r="I2480" s="14" t="s">
        <v>1807</v>
      </c>
      <c r="J2480" s="15"/>
      <c r="K2480" s="8" t="s">
        <v>1976</v>
      </c>
      <c r="L2480" s="8" t="s">
        <v>2032</v>
      </c>
      <c r="M2480" s="6" t="s">
        <v>1809</v>
      </c>
      <c r="N2480" s="6" t="s">
        <v>1644</v>
      </c>
      <c r="O2480" s="7">
        <f>SUMIFS('05_상품별배치367'!$K$7:$K$373,'05_상품별배치367'!$E$7:$E$373,A2480,'05_상품별배치367'!$H$7:$H$373,"본진")</f>
        <v>0</v>
      </c>
      <c r="P2480" s="7">
        <f>SUMIFS('05_상품별배치367'!$K$7:$K$373,'05_상품별배치367'!$E$7:$E$373,A2480,'05_상품별배치367'!$H$7:$H$373,"추가 진열")</f>
        <v>0</v>
      </c>
      <c r="Q2480" s="7">
        <f>O2480+P2480</f>
        <v>0</v>
      </c>
      <c r="R2480" s="7">
        <v>0</v>
      </c>
      <c r="S2480" s="6" t="s">
        <v>1810</v>
      </c>
      <c r="T2480" s="6" t="s">
        <v>1637</v>
      </c>
      <c r="U2480" s="6"/>
      <c r="V2480" s="16"/>
      <c r="W2480" s="16"/>
      <c r="X2480" s="16"/>
      <c r="Y2480" s="6" t="s">
        <v>1627</v>
      </c>
      <c r="Z2480" s="15"/>
      <c r="AA2480" s="15" t="s">
        <v>1628</v>
      </c>
    </row>
    <row r="2481" spans="1:27" ht="33" customHeight="1">
      <c r="A2481" s="6" t="s">
        <v>3847</v>
      </c>
      <c r="B2481" s="7">
        <v>937</v>
      </c>
      <c r="C2481" s="6" t="s">
        <v>3848</v>
      </c>
      <c r="D2481" s="6" t="s">
        <v>2856</v>
      </c>
      <c r="E2481" s="6" t="s">
        <v>2134</v>
      </c>
      <c r="F2481" s="6" t="s">
        <v>2933</v>
      </c>
      <c r="G2481" s="6" t="s">
        <v>1668</v>
      </c>
      <c r="H2481" s="6"/>
      <c r="I2481" s="14" t="s">
        <v>1807</v>
      </c>
      <c r="J2481" s="15"/>
      <c r="K2481" s="6" t="s">
        <v>1976</v>
      </c>
      <c r="L2481" s="6" t="s">
        <v>2032</v>
      </c>
      <c r="M2481" s="6" t="s">
        <v>1809</v>
      </c>
      <c r="N2481" s="6" t="s">
        <v>1644</v>
      </c>
      <c r="O2481" s="7">
        <f>SUMIFS('05_상품별배치367'!$K$7:$K$373,'05_상품별배치367'!$E$7:$E$373,A2481,'05_상품별배치367'!$H$7:$H$373,"본진")</f>
        <v>0</v>
      </c>
      <c r="P2481" s="7">
        <f>SUMIFS('05_상품별배치367'!$K$7:$K$373,'05_상품별배치367'!$E$7:$E$373,A2481,'05_상품별배치367'!$H$7:$H$373,"추가 진열")</f>
        <v>0</v>
      </c>
      <c r="Q2481" s="7">
        <f>O2481+P2481</f>
        <v>0</v>
      </c>
      <c r="R2481" s="7">
        <v>0</v>
      </c>
      <c r="S2481" s="6" t="s">
        <v>1810</v>
      </c>
      <c r="T2481" s="6" t="s">
        <v>1637</v>
      </c>
      <c r="U2481" s="6"/>
      <c r="V2481" s="16"/>
      <c r="W2481" s="16"/>
      <c r="X2481" s="16"/>
      <c r="Y2481" s="6" t="s">
        <v>1627</v>
      </c>
      <c r="Z2481" s="15"/>
      <c r="AA2481" s="15" t="s">
        <v>1628</v>
      </c>
    </row>
    <row r="2482" spans="1:27" ht="33" customHeight="1">
      <c r="A2482" s="6" t="s">
        <v>3851</v>
      </c>
      <c r="B2482" s="7">
        <v>939</v>
      </c>
      <c r="C2482" s="6" t="s">
        <v>3852</v>
      </c>
      <c r="D2482" s="6" t="s">
        <v>3853</v>
      </c>
      <c r="E2482" s="6" t="s">
        <v>1986</v>
      </c>
      <c r="F2482" s="6" t="s">
        <v>913</v>
      </c>
      <c r="G2482" s="6" t="s">
        <v>201</v>
      </c>
      <c r="H2482" s="6"/>
      <c r="I2482" s="14" t="s">
        <v>1642</v>
      </c>
      <c r="J2482" s="15"/>
      <c r="K2482" s="6" t="s">
        <v>1976</v>
      </c>
      <c r="L2482" s="6"/>
      <c r="M2482" s="6" t="s">
        <v>1643</v>
      </c>
      <c r="N2482" s="6" t="s">
        <v>1644</v>
      </c>
      <c r="O2482" s="7">
        <f>SUMIFS('05_상품별배치367'!$K$7:$K$373,'05_상품별배치367'!$E$7:$E$373,A2482,'05_상품별배치367'!$H$7:$H$373,"본진")</f>
        <v>0</v>
      </c>
      <c r="P2482" s="7">
        <f>SUMIFS('05_상품별배치367'!$K$7:$K$373,'05_상품별배치367'!$E$7:$E$373,A2482,'05_상품별배치367'!$H$7:$H$373,"추가 진열")</f>
        <v>0</v>
      </c>
      <c r="Q2482" s="7">
        <f>O2482+P2482</f>
        <v>0</v>
      </c>
      <c r="R2482" s="7">
        <v>1</v>
      </c>
      <c r="S2482" s="6" t="s">
        <v>2907</v>
      </c>
      <c r="T2482" s="6" t="s">
        <v>1637</v>
      </c>
      <c r="U2482" s="6"/>
      <c r="V2482" s="16"/>
      <c r="W2482" s="16"/>
      <c r="X2482" s="16"/>
      <c r="Y2482" s="6" t="s">
        <v>1627</v>
      </c>
      <c r="Z2482" s="15"/>
      <c r="AA2482" s="15" t="s">
        <v>1628</v>
      </c>
    </row>
    <row r="2483" spans="1:27" ht="33" customHeight="1">
      <c r="A2483" s="8" t="s">
        <v>3858</v>
      </c>
      <c r="B2483" s="9">
        <v>942</v>
      </c>
      <c r="C2483" s="8" t="s">
        <v>3859</v>
      </c>
      <c r="D2483" s="8" t="s">
        <v>2007</v>
      </c>
      <c r="E2483" s="8" t="s">
        <v>1695</v>
      </c>
      <c r="F2483" s="8" t="s">
        <v>482</v>
      </c>
      <c r="G2483" s="8" t="s">
        <v>272</v>
      </c>
      <c r="H2483" s="8"/>
      <c r="I2483" s="14" t="s">
        <v>1642</v>
      </c>
      <c r="J2483" s="15"/>
      <c r="K2483" s="8" t="s">
        <v>1696</v>
      </c>
      <c r="L2483" s="8"/>
      <c r="M2483" s="6" t="s">
        <v>1643</v>
      </c>
      <c r="N2483" s="6" t="s">
        <v>1644</v>
      </c>
      <c r="O2483" s="7">
        <f>SUMIFS('05_상품별배치367'!$K$7:$K$373,'05_상품별배치367'!$E$7:$E$373,A2483,'05_상품별배치367'!$H$7:$H$373,"본진")</f>
        <v>0</v>
      </c>
      <c r="P2483" s="7">
        <f>SUMIFS('05_상품별배치367'!$K$7:$K$373,'05_상품별배치367'!$E$7:$E$373,A2483,'05_상품별배치367'!$H$7:$H$373,"추가 진열")</f>
        <v>0</v>
      </c>
      <c r="Q2483" s="7">
        <f>O2483+P2483</f>
        <v>0</v>
      </c>
      <c r="R2483" s="7">
        <v>1</v>
      </c>
      <c r="S2483" s="6" t="s">
        <v>1942</v>
      </c>
      <c r="T2483" s="6" t="s">
        <v>1637</v>
      </c>
      <c r="U2483" s="6"/>
      <c r="V2483" s="16"/>
      <c r="W2483" s="16"/>
      <c r="X2483" s="16"/>
      <c r="Y2483" s="6" t="s">
        <v>1627</v>
      </c>
      <c r="Z2483" s="15"/>
      <c r="AA2483" s="15" t="s">
        <v>1628</v>
      </c>
    </row>
    <row r="2484" spans="1:27" ht="33" customHeight="1">
      <c r="A2484" s="6" t="s">
        <v>3856</v>
      </c>
      <c r="B2484" s="7">
        <v>941</v>
      </c>
      <c r="C2484" s="6" t="s">
        <v>3857</v>
      </c>
      <c r="D2484" s="6" t="s">
        <v>2856</v>
      </c>
      <c r="E2484" s="6" t="s">
        <v>2134</v>
      </c>
      <c r="F2484" s="6" t="s">
        <v>2933</v>
      </c>
      <c r="G2484" s="6" t="s">
        <v>1668</v>
      </c>
      <c r="H2484" s="6"/>
      <c r="I2484" s="14" t="s">
        <v>1807</v>
      </c>
      <c r="J2484" s="15"/>
      <c r="K2484" s="6" t="s">
        <v>1976</v>
      </c>
      <c r="L2484" s="6" t="s">
        <v>2032</v>
      </c>
      <c r="M2484" s="6" t="s">
        <v>1809</v>
      </c>
      <c r="N2484" s="6" t="s">
        <v>1644</v>
      </c>
      <c r="O2484" s="7">
        <f>SUMIFS('05_상품별배치367'!$K$7:$K$373,'05_상품별배치367'!$E$7:$E$373,A2484,'05_상품별배치367'!$H$7:$H$373,"본진")</f>
        <v>0</v>
      </c>
      <c r="P2484" s="7">
        <f>SUMIFS('05_상품별배치367'!$K$7:$K$373,'05_상품별배치367'!$E$7:$E$373,A2484,'05_상품별배치367'!$H$7:$H$373,"추가 진열")</f>
        <v>0</v>
      </c>
      <c r="Q2484" s="7">
        <f>O2484+P2484</f>
        <v>0</v>
      </c>
      <c r="R2484" s="7">
        <v>0</v>
      </c>
      <c r="S2484" s="6" t="s">
        <v>1810</v>
      </c>
      <c r="T2484" s="6" t="s">
        <v>1637</v>
      </c>
      <c r="U2484" s="6"/>
      <c r="V2484" s="16"/>
      <c r="W2484" s="16"/>
      <c r="X2484" s="16"/>
      <c r="Y2484" s="6" t="s">
        <v>1627</v>
      </c>
      <c r="Z2484" s="15"/>
      <c r="AA2484" s="15" t="s">
        <v>1628</v>
      </c>
    </row>
    <row r="2485" spans="1:27" ht="33" customHeight="1">
      <c r="A2485" s="6" t="s">
        <v>4736</v>
      </c>
      <c r="B2485" s="7">
        <v>1353</v>
      </c>
      <c r="C2485" s="6" t="s">
        <v>4737</v>
      </c>
      <c r="D2485" s="6" t="s">
        <v>4738</v>
      </c>
      <c r="E2485" s="6" t="s">
        <v>1986</v>
      </c>
      <c r="F2485" s="6" t="s">
        <v>1276</v>
      </c>
      <c r="G2485" s="6" t="s">
        <v>1987</v>
      </c>
      <c r="H2485" s="6"/>
      <c r="I2485" s="14" t="s">
        <v>1642</v>
      </c>
      <c r="J2485" s="15"/>
      <c r="K2485" s="6" t="s">
        <v>1976</v>
      </c>
      <c r="L2485" s="6"/>
      <c r="M2485" s="6" t="s">
        <v>1643</v>
      </c>
      <c r="N2485" s="6" t="s">
        <v>1644</v>
      </c>
      <c r="O2485" s="7">
        <f>SUMIFS('05_상품별배치367'!$K$7:$K$373,'05_상품별배치367'!$E$7:$E$373,A2485,'05_상품별배치367'!$H$7:$H$373,"본진")</f>
        <v>0</v>
      </c>
      <c r="P2485" s="7">
        <f>SUMIFS('05_상품별배치367'!$K$7:$K$373,'05_상품별배치367'!$E$7:$E$373,A2485,'05_상품별배치367'!$H$7:$H$373,"추가 진열")</f>
        <v>0</v>
      </c>
      <c r="Q2485" s="7">
        <f>O2485+P2485</f>
        <v>0</v>
      </c>
      <c r="R2485" s="7">
        <v>1</v>
      </c>
      <c r="S2485" s="6" t="s">
        <v>1988</v>
      </c>
      <c r="T2485" s="6" t="s">
        <v>1637</v>
      </c>
      <c r="U2485" s="6"/>
      <c r="V2485" s="16"/>
      <c r="W2485" s="16"/>
      <c r="X2485" s="16"/>
      <c r="Y2485" s="6" t="s">
        <v>1627</v>
      </c>
      <c r="Z2485" s="15"/>
      <c r="AA2485" s="15" t="s">
        <v>1628</v>
      </c>
    </row>
    <row r="2486" spans="1:27" ht="33" customHeight="1">
      <c r="A2486" s="6" t="s">
        <v>4741</v>
      </c>
      <c r="B2486" s="7">
        <v>1355</v>
      </c>
      <c r="C2486" s="6" t="s">
        <v>4742</v>
      </c>
      <c r="D2486" s="6" t="s">
        <v>2133</v>
      </c>
      <c r="E2486" s="6" t="s">
        <v>1986</v>
      </c>
      <c r="F2486" s="6" t="s">
        <v>493</v>
      </c>
      <c r="G2486" s="6" t="s">
        <v>299</v>
      </c>
      <c r="H2486" s="6"/>
      <c r="I2486" s="14" t="s">
        <v>1642</v>
      </c>
      <c r="J2486" s="15"/>
      <c r="K2486" s="6" t="s">
        <v>1976</v>
      </c>
      <c r="L2486" s="6"/>
      <c r="M2486" s="6" t="s">
        <v>1643</v>
      </c>
      <c r="N2486" s="6" t="s">
        <v>1644</v>
      </c>
      <c r="O2486" s="7">
        <f>SUMIFS('05_상품별배치367'!$K$7:$K$373,'05_상품별배치367'!$E$7:$E$373,A2486,'05_상품별배치367'!$H$7:$H$373,"본진")</f>
        <v>0</v>
      </c>
      <c r="P2486" s="7">
        <f>SUMIFS('05_상품별배치367'!$K$7:$K$373,'05_상품별배치367'!$E$7:$E$373,A2486,'05_상품별배치367'!$H$7:$H$373,"추가 진열")</f>
        <v>0</v>
      </c>
      <c r="Q2486" s="7">
        <f>O2486+P2486</f>
        <v>0</v>
      </c>
      <c r="R2486" s="7">
        <v>1</v>
      </c>
      <c r="S2486" s="6" t="s">
        <v>3084</v>
      </c>
      <c r="T2486" s="6" t="s">
        <v>1637</v>
      </c>
      <c r="U2486" s="6"/>
      <c r="V2486" s="16"/>
      <c r="W2486" s="16"/>
      <c r="X2486" s="16"/>
      <c r="Y2486" s="6" t="s">
        <v>1627</v>
      </c>
      <c r="Z2486" s="15"/>
      <c r="AA2486" s="15" t="s">
        <v>1628</v>
      </c>
    </row>
    <row r="2487" spans="1:27" ht="33" customHeight="1">
      <c r="A2487" s="8" t="s">
        <v>4739</v>
      </c>
      <c r="B2487" s="9">
        <v>1354</v>
      </c>
      <c r="C2487" s="8" t="s">
        <v>4740</v>
      </c>
      <c r="D2487" s="8" t="s">
        <v>2133</v>
      </c>
      <c r="E2487" s="8" t="s">
        <v>2134</v>
      </c>
      <c r="F2487" s="8" t="s">
        <v>2933</v>
      </c>
      <c r="G2487" s="8" t="s">
        <v>1668</v>
      </c>
      <c r="H2487" s="8"/>
      <c r="I2487" s="14" t="s">
        <v>1807</v>
      </c>
      <c r="J2487" s="15"/>
      <c r="K2487" s="8" t="s">
        <v>1976</v>
      </c>
      <c r="L2487" s="8" t="s">
        <v>2032</v>
      </c>
      <c r="M2487" s="6" t="s">
        <v>1809</v>
      </c>
      <c r="N2487" s="6" t="s">
        <v>1644</v>
      </c>
      <c r="O2487" s="7">
        <f>SUMIFS('05_상품별배치367'!$K$7:$K$373,'05_상품별배치367'!$E$7:$E$373,A2487,'05_상품별배치367'!$H$7:$H$373,"본진")</f>
        <v>0</v>
      </c>
      <c r="P2487" s="7">
        <f>SUMIFS('05_상품별배치367'!$K$7:$K$373,'05_상품별배치367'!$E$7:$E$373,A2487,'05_상품별배치367'!$H$7:$H$373,"추가 진열")</f>
        <v>0</v>
      </c>
      <c r="Q2487" s="7">
        <f>O2487+P2487</f>
        <v>0</v>
      </c>
      <c r="R2487" s="7">
        <v>0</v>
      </c>
      <c r="S2487" s="6" t="s">
        <v>1810</v>
      </c>
      <c r="T2487" s="6" t="s">
        <v>1637</v>
      </c>
      <c r="U2487" s="6"/>
      <c r="V2487" s="16"/>
      <c r="W2487" s="16"/>
      <c r="X2487" s="16"/>
      <c r="Y2487" s="6" t="s">
        <v>1627</v>
      </c>
      <c r="Z2487" s="15"/>
      <c r="AA2487" s="15" t="s">
        <v>1628</v>
      </c>
    </row>
    <row r="2488" spans="1:27" ht="33" customHeight="1">
      <c r="A2488" s="8" t="s">
        <v>4734</v>
      </c>
      <c r="B2488" s="9">
        <v>1352</v>
      </c>
      <c r="C2488" s="8" t="s">
        <v>4735</v>
      </c>
      <c r="D2488" s="8" t="s">
        <v>2845</v>
      </c>
      <c r="E2488" s="8" t="s">
        <v>2134</v>
      </c>
      <c r="F2488" s="8" t="s">
        <v>2933</v>
      </c>
      <c r="G2488" s="8" t="s">
        <v>1668</v>
      </c>
      <c r="H2488" s="8"/>
      <c r="I2488" s="14" t="s">
        <v>1807</v>
      </c>
      <c r="J2488" s="15"/>
      <c r="K2488" s="8" t="s">
        <v>1976</v>
      </c>
      <c r="L2488" s="8" t="s">
        <v>2032</v>
      </c>
      <c r="M2488" s="6" t="s">
        <v>1809</v>
      </c>
      <c r="N2488" s="6" t="s">
        <v>1644</v>
      </c>
      <c r="O2488" s="7">
        <f>SUMIFS('05_상품별배치367'!$K$7:$K$373,'05_상품별배치367'!$E$7:$E$373,A2488,'05_상품별배치367'!$H$7:$H$373,"본진")</f>
        <v>0</v>
      </c>
      <c r="P2488" s="7">
        <f>SUMIFS('05_상품별배치367'!$K$7:$K$373,'05_상품별배치367'!$E$7:$E$373,A2488,'05_상품별배치367'!$H$7:$H$373,"추가 진열")</f>
        <v>0</v>
      </c>
      <c r="Q2488" s="7">
        <f>O2488+P2488</f>
        <v>0</v>
      </c>
      <c r="R2488" s="7">
        <v>0</v>
      </c>
      <c r="S2488" s="6" t="s">
        <v>1810</v>
      </c>
      <c r="T2488" s="6" t="s">
        <v>1637</v>
      </c>
      <c r="U2488" s="6"/>
      <c r="V2488" s="16"/>
      <c r="W2488" s="16"/>
      <c r="X2488" s="16"/>
      <c r="Y2488" s="6" t="s">
        <v>1627</v>
      </c>
      <c r="Z2488" s="15"/>
      <c r="AA2488" s="15" t="s">
        <v>1628</v>
      </c>
    </row>
    <row r="2489" spans="1:27" ht="33" customHeight="1">
      <c r="A2489" s="8" t="s">
        <v>6989</v>
      </c>
      <c r="B2489" s="9">
        <v>2402</v>
      </c>
      <c r="C2489" s="8" t="s">
        <v>6990</v>
      </c>
      <c r="D2489" s="8" t="s">
        <v>6991</v>
      </c>
      <c r="E2489" s="8" t="s">
        <v>1620</v>
      </c>
      <c r="F2489" s="8" t="s">
        <v>339</v>
      </c>
      <c r="G2489" s="8" t="s">
        <v>332</v>
      </c>
      <c r="H2489" s="8" t="s">
        <v>1185</v>
      </c>
      <c r="I2489" s="14" t="s">
        <v>1621</v>
      </c>
      <c r="J2489" s="15"/>
      <c r="K2489" s="8" t="s">
        <v>1622</v>
      </c>
      <c r="L2489" s="8" t="s">
        <v>3828</v>
      </c>
      <c r="M2489" s="6" t="s">
        <v>1623</v>
      </c>
      <c r="N2489" s="6" t="s">
        <v>1624</v>
      </c>
      <c r="O2489" s="7">
        <f>SUMIFS('05_상품별배치367'!$K$7:$K$373,'05_상품별배치367'!$E$7:$E$373,A2489,'05_상품별배치367'!$H$7:$H$373,"본진")</f>
        <v>1</v>
      </c>
      <c r="P2489" s="7">
        <f>SUMIFS('05_상품별배치367'!$K$7:$K$373,'05_상품별배치367'!$E$7:$E$373,A2489,'05_상품별배치367'!$H$7:$H$373,"추가 진열")</f>
        <v>0</v>
      </c>
      <c r="Q2489" s="7">
        <f>O2489+P2489</f>
        <v>1</v>
      </c>
      <c r="R2489" s="7">
        <v>1</v>
      </c>
      <c r="S2489" s="6" t="s">
        <v>1625</v>
      </c>
      <c r="T2489" s="6" t="s">
        <v>1637</v>
      </c>
      <c r="U2489" s="6"/>
      <c r="V2489" s="16"/>
      <c r="W2489" s="16"/>
      <c r="X2489" s="16"/>
      <c r="Y2489" s="6" t="s">
        <v>1655</v>
      </c>
      <c r="Z2489" s="15"/>
      <c r="AA2489" s="15" t="s">
        <v>1628</v>
      </c>
    </row>
    <row r="2490" spans="1:27" ht="33" customHeight="1">
      <c r="A2490" s="6" t="s">
        <v>7147</v>
      </c>
      <c r="B2490" s="7">
        <v>2477</v>
      </c>
      <c r="C2490" s="6" t="s">
        <v>7148</v>
      </c>
      <c r="D2490" s="6" t="s">
        <v>6563</v>
      </c>
      <c r="E2490" s="6" t="s">
        <v>1620</v>
      </c>
      <c r="F2490" s="6" t="s">
        <v>150</v>
      </c>
      <c r="G2490" s="6" t="s">
        <v>332</v>
      </c>
      <c r="H2490" s="6"/>
      <c r="I2490" s="14" t="s">
        <v>1642</v>
      </c>
      <c r="J2490" s="15"/>
      <c r="K2490" s="6" t="s">
        <v>1622</v>
      </c>
      <c r="L2490" s="6" t="s">
        <v>3828</v>
      </c>
      <c r="M2490" s="6" t="s">
        <v>1643</v>
      </c>
      <c r="N2490" s="6" t="s">
        <v>1624</v>
      </c>
      <c r="O2490" s="7">
        <f>SUMIFS('05_상품별배치367'!$K$7:$K$373,'05_상품별배치367'!$E$7:$E$373,A2490,'05_상품별배치367'!$H$7:$H$373,"본진")</f>
        <v>0</v>
      </c>
      <c r="P2490" s="7">
        <f>SUMIFS('05_상품별배치367'!$K$7:$K$373,'05_상품별배치367'!$E$7:$E$373,A2490,'05_상품별배치367'!$H$7:$H$373,"추가 진열")</f>
        <v>0</v>
      </c>
      <c r="Q2490" s="7">
        <f>O2490+P2490</f>
        <v>0</v>
      </c>
      <c r="R2490" s="7">
        <v>1</v>
      </c>
      <c r="S2490" s="6" t="s">
        <v>2037</v>
      </c>
      <c r="T2490" s="6" t="s">
        <v>1637</v>
      </c>
      <c r="U2490" s="6"/>
      <c r="V2490" s="16"/>
      <c r="W2490" s="16"/>
      <c r="X2490" s="16"/>
      <c r="Y2490" s="6" t="s">
        <v>1627</v>
      </c>
      <c r="Z2490" s="15"/>
      <c r="AA2490" s="15" t="s">
        <v>1628</v>
      </c>
    </row>
    <row r="2491" spans="1:27" ht="33" customHeight="1">
      <c r="A2491" s="6" t="s">
        <v>1531</v>
      </c>
      <c r="B2491" s="7">
        <v>2401</v>
      </c>
      <c r="C2491" s="6" t="s">
        <v>1530</v>
      </c>
      <c r="D2491" s="6" t="s">
        <v>1619</v>
      </c>
      <c r="E2491" s="6" t="s">
        <v>1620</v>
      </c>
      <c r="F2491" s="6" t="s">
        <v>150</v>
      </c>
      <c r="G2491" s="6" t="s">
        <v>332</v>
      </c>
      <c r="H2491" s="6" t="s">
        <v>1181</v>
      </c>
      <c r="I2491" s="14" t="s">
        <v>1633</v>
      </c>
      <c r="J2491" s="15"/>
      <c r="K2491" s="6" t="s">
        <v>1622</v>
      </c>
      <c r="L2491" s="6" t="s">
        <v>3828</v>
      </c>
      <c r="M2491" s="6" t="s">
        <v>1635</v>
      </c>
      <c r="N2491" s="6" t="s">
        <v>1624</v>
      </c>
      <c r="O2491" s="7">
        <f>SUMIFS('05_상품별배치367'!$K$7:$K$373,'05_상품별배치367'!$E$7:$E$373,A2491,'05_상품별배치367'!$H$7:$H$373,"본진")</f>
        <v>1</v>
      </c>
      <c r="P2491" s="7">
        <f>SUMIFS('05_상품별배치367'!$K$7:$K$373,'05_상품별배치367'!$E$7:$E$373,A2491,'05_상품별배치367'!$H$7:$H$373,"추가 진열")</f>
        <v>1</v>
      </c>
      <c r="Q2491" s="7">
        <f>O2491+P2491</f>
        <v>2</v>
      </c>
      <c r="R2491" s="7">
        <v>1</v>
      </c>
      <c r="S2491" s="6" t="s">
        <v>1636</v>
      </c>
      <c r="T2491" s="6" t="s">
        <v>1637</v>
      </c>
      <c r="U2491" s="6"/>
      <c r="V2491" s="16"/>
      <c r="W2491" s="16"/>
      <c r="X2491" s="16"/>
      <c r="Y2491" s="6" t="s">
        <v>1627</v>
      </c>
      <c r="Z2491" s="15"/>
      <c r="AA2491" s="15" t="s">
        <v>1628</v>
      </c>
    </row>
    <row r="2492" spans="1:27" ht="33" customHeight="1">
      <c r="A2492" s="6" t="s">
        <v>6586</v>
      </c>
      <c r="B2492" s="7">
        <v>2207</v>
      </c>
      <c r="C2492" s="6" t="s">
        <v>6587</v>
      </c>
      <c r="D2492" s="6" t="s">
        <v>6588</v>
      </c>
      <c r="E2492" s="6" t="s">
        <v>1620</v>
      </c>
      <c r="F2492" s="6" t="s">
        <v>2031</v>
      </c>
      <c r="G2492" s="6" t="s">
        <v>1668</v>
      </c>
      <c r="H2492" s="6"/>
      <c r="I2492" s="14" t="s">
        <v>1642</v>
      </c>
      <c r="J2492" s="15"/>
      <c r="K2492" s="6" t="s">
        <v>1622</v>
      </c>
      <c r="L2492" s="6" t="s">
        <v>2032</v>
      </c>
      <c r="M2492" s="6" t="s">
        <v>1643</v>
      </c>
      <c r="N2492" s="6" t="s">
        <v>1644</v>
      </c>
      <c r="O2492" s="7">
        <f>SUMIFS('05_상품별배치367'!$K$7:$K$373,'05_상품별배치367'!$E$7:$E$373,A2492,'05_상품별배치367'!$H$7:$H$373,"본진")</f>
        <v>0</v>
      </c>
      <c r="P2492" s="7">
        <f>SUMIFS('05_상품별배치367'!$K$7:$K$373,'05_상품별배치367'!$E$7:$E$373,A2492,'05_상품별배치367'!$H$7:$H$373,"추가 진열")</f>
        <v>0</v>
      </c>
      <c r="Q2492" s="7">
        <f>O2492+P2492</f>
        <v>0</v>
      </c>
      <c r="R2492" s="7">
        <v>1</v>
      </c>
      <c r="S2492" s="6" t="s">
        <v>2033</v>
      </c>
      <c r="T2492" s="6" t="s">
        <v>1637</v>
      </c>
      <c r="U2492" s="6"/>
      <c r="V2492" s="16"/>
      <c r="W2492" s="16"/>
      <c r="X2492" s="16"/>
      <c r="Y2492" s="6" t="s">
        <v>1627</v>
      </c>
      <c r="Z2492" s="15"/>
      <c r="AA2492" s="15" t="s">
        <v>1628</v>
      </c>
    </row>
    <row r="2493" spans="1:27" ht="33" customHeight="1">
      <c r="A2493" s="8" t="s">
        <v>6589</v>
      </c>
      <c r="B2493" s="9">
        <v>2208</v>
      </c>
      <c r="C2493" s="8" t="s">
        <v>6590</v>
      </c>
      <c r="D2493" s="8" t="s">
        <v>1682</v>
      </c>
      <c r="E2493" s="8" t="s">
        <v>1620</v>
      </c>
      <c r="F2493" s="8" t="s">
        <v>504</v>
      </c>
      <c r="G2493" s="8" t="s">
        <v>341</v>
      </c>
      <c r="H2493" s="8" t="s">
        <v>1194</v>
      </c>
      <c r="I2493" s="14" t="s">
        <v>1621</v>
      </c>
      <c r="J2493" s="15"/>
      <c r="K2493" s="8" t="s">
        <v>1622</v>
      </c>
      <c r="L2493" s="8"/>
      <c r="M2493" s="6" t="s">
        <v>1623</v>
      </c>
      <c r="N2493" s="6" t="s">
        <v>1624</v>
      </c>
      <c r="O2493" s="7">
        <f>SUMIFS('05_상품별배치367'!$K$7:$K$373,'05_상품별배치367'!$E$7:$E$373,A2493,'05_상품별배치367'!$H$7:$H$373,"본진")</f>
        <v>1</v>
      </c>
      <c r="P2493" s="7">
        <f>SUMIFS('05_상품별배치367'!$K$7:$K$373,'05_상품별배치367'!$E$7:$E$373,A2493,'05_상품별배치367'!$H$7:$H$373,"추가 진열")</f>
        <v>0</v>
      </c>
      <c r="Q2493" s="7">
        <f>O2493+P2493</f>
        <v>1</v>
      </c>
      <c r="R2493" s="7">
        <v>1</v>
      </c>
      <c r="S2493" s="6" t="s">
        <v>1625</v>
      </c>
      <c r="T2493" s="6" t="s">
        <v>1637</v>
      </c>
      <c r="U2493" s="6"/>
      <c r="V2493" s="16"/>
      <c r="W2493" s="16"/>
      <c r="X2493" s="16"/>
      <c r="Y2493" s="6" t="s">
        <v>1627</v>
      </c>
      <c r="Z2493" s="15"/>
      <c r="AA2493" s="15" t="s">
        <v>1628</v>
      </c>
    </row>
    <row r="2494" spans="1:27" ht="33" customHeight="1">
      <c r="A2494" s="6" t="s">
        <v>6591</v>
      </c>
      <c r="B2494" s="7">
        <v>2209</v>
      </c>
      <c r="C2494" s="6" t="s">
        <v>6592</v>
      </c>
      <c r="D2494" s="6" t="s">
        <v>1682</v>
      </c>
      <c r="E2494" s="6" t="s">
        <v>1620</v>
      </c>
      <c r="F2494" s="6" t="s">
        <v>1239</v>
      </c>
      <c r="G2494" s="6" t="s">
        <v>358</v>
      </c>
      <c r="H2494" s="6" t="s">
        <v>1238</v>
      </c>
      <c r="I2494" s="14" t="s">
        <v>1633</v>
      </c>
      <c r="J2494" s="15"/>
      <c r="K2494" s="6" t="s">
        <v>1622</v>
      </c>
      <c r="L2494" s="6"/>
      <c r="M2494" s="6" t="s">
        <v>1635</v>
      </c>
      <c r="N2494" s="6" t="s">
        <v>1624</v>
      </c>
      <c r="O2494" s="7">
        <f>SUMIFS('05_상품별배치367'!$K$7:$K$373,'05_상품별배치367'!$E$7:$E$373,A2494,'05_상품별배치367'!$H$7:$H$373,"본진")</f>
        <v>1</v>
      </c>
      <c r="P2494" s="7">
        <f>SUMIFS('05_상품별배치367'!$K$7:$K$373,'05_상품별배치367'!$E$7:$E$373,A2494,'05_상품별배치367'!$H$7:$H$373,"추가 진열")</f>
        <v>0</v>
      </c>
      <c r="Q2494" s="7">
        <f>O2494+P2494</f>
        <v>1</v>
      </c>
      <c r="R2494" s="7">
        <v>1</v>
      </c>
      <c r="S2494" s="6" t="s">
        <v>1636</v>
      </c>
      <c r="T2494" s="6" t="s">
        <v>1637</v>
      </c>
      <c r="U2494" s="6"/>
      <c r="V2494" s="16"/>
      <c r="W2494" s="16"/>
      <c r="X2494" s="16"/>
      <c r="Y2494" s="6" t="s">
        <v>1627</v>
      </c>
      <c r="Z2494" s="15"/>
      <c r="AA2494" s="15" t="s">
        <v>1628</v>
      </c>
    </row>
    <row r="2495" spans="1:27" ht="33" customHeight="1">
      <c r="A2495" s="8" t="s">
        <v>6593</v>
      </c>
      <c r="B2495" s="9">
        <v>2210</v>
      </c>
      <c r="C2495" s="8" t="s">
        <v>6594</v>
      </c>
      <c r="D2495" s="8" t="s">
        <v>2343</v>
      </c>
      <c r="E2495" s="8" t="s">
        <v>1620</v>
      </c>
      <c r="F2495" s="8" t="s">
        <v>505</v>
      </c>
      <c r="G2495" s="8" t="s">
        <v>69</v>
      </c>
      <c r="H2495" s="8" t="s">
        <v>626</v>
      </c>
      <c r="I2495" s="14" t="s">
        <v>1633</v>
      </c>
      <c r="J2495" s="15"/>
      <c r="K2495" s="8" t="s">
        <v>1622</v>
      </c>
      <c r="L2495" s="8"/>
      <c r="M2495" s="6" t="s">
        <v>1635</v>
      </c>
      <c r="N2495" s="6" t="s">
        <v>1624</v>
      </c>
      <c r="O2495" s="7">
        <f>SUMIFS('05_상품별배치367'!$K$7:$K$373,'05_상품별배치367'!$E$7:$E$373,A2495,'05_상품별배치367'!$H$7:$H$373,"본진")</f>
        <v>1</v>
      </c>
      <c r="P2495" s="7">
        <f>SUMIFS('05_상품별배치367'!$K$7:$K$373,'05_상품별배치367'!$E$7:$E$373,A2495,'05_상품별배치367'!$H$7:$H$373,"추가 진열")</f>
        <v>0</v>
      </c>
      <c r="Q2495" s="7">
        <f>O2495+P2495</f>
        <v>1</v>
      </c>
      <c r="R2495" s="7">
        <v>1</v>
      </c>
      <c r="S2495" s="6" t="s">
        <v>1636</v>
      </c>
      <c r="T2495" s="6" t="s">
        <v>1637</v>
      </c>
      <c r="U2495" s="6"/>
      <c r="V2495" s="16"/>
      <c r="W2495" s="16"/>
      <c r="X2495" s="16"/>
      <c r="Y2495" s="6" t="s">
        <v>1655</v>
      </c>
      <c r="Z2495" s="15"/>
      <c r="AA2495" s="15" t="s">
        <v>1628</v>
      </c>
    </row>
    <row r="2496" spans="1:27" ht="33" customHeight="1">
      <c r="A2496" s="8" t="s">
        <v>6856</v>
      </c>
      <c r="B2496" s="9">
        <v>2340</v>
      </c>
      <c r="C2496" s="8" t="s">
        <v>6857</v>
      </c>
      <c r="D2496" s="8" t="s">
        <v>1827</v>
      </c>
      <c r="E2496" s="8" t="s">
        <v>1641</v>
      </c>
      <c r="F2496" s="8" t="s">
        <v>1157</v>
      </c>
      <c r="G2496" s="8" t="s">
        <v>323</v>
      </c>
      <c r="H2496" s="8" t="s">
        <v>1158</v>
      </c>
      <c r="I2496" s="14" t="s">
        <v>1633</v>
      </c>
      <c r="J2496" s="15"/>
      <c r="K2496" s="8" t="s">
        <v>1634</v>
      </c>
      <c r="L2496" s="8" t="s">
        <v>3828</v>
      </c>
      <c r="M2496" s="6" t="s">
        <v>1635</v>
      </c>
      <c r="N2496" s="6" t="s">
        <v>1624</v>
      </c>
      <c r="O2496" s="7">
        <f>SUMIFS('05_상품별배치367'!$K$7:$K$373,'05_상품별배치367'!$E$7:$E$373,A2496,'05_상품별배치367'!$H$7:$H$373,"본진")</f>
        <v>1</v>
      </c>
      <c r="P2496" s="7">
        <f>SUMIFS('05_상품별배치367'!$K$7:$K$373,'05_상품별배치367'!$E$7:$E$373,A2496,'05_상품별배치367'!$H$7:$H$373,"추가 진열")</f>
        <v>0</v>
      </c>
      <c r="Q2496" s="7">
        <f>O2496+P2496</f>
        <v>1</v>
      </c>
      <c r="R2496" s="7">
        <v>1</v>
      </c>
      <c r="S2496" s="6" t="s">
        <v>1636</v>
      </c>
      <c r="T2496" s="6" t="s">
        <v>1637</v>
      </c>
      <c r="U2496" s="6"/>
      <c r="V2496" s="16"/>
      <c r="W2496" s="16"/>
      <c r="X2496" s="16"/>
      <c r="Y2496" s="6" t="s">
        <v>1627</v>
      </c>
      <c r="Z2496" s="15"/>
      <c r="AA2496" s="15" t="s">
        <v>1628</v>
      </c>
    </row>
    <row r="2497" spans="1:27" ht="33" customHeight="1">
      <c r="A2497" s="6" t="s">
        <v>6235</v>
      </c>
      <c r="B2497" s="7">
        <v>2051</v>
      </c>
      <c r="C2497" s="6" t="s">
        <v>6236</v>
      </c>
      <c r="D2497" s="6" t="s">
        <v>2387</v>
      </c>
      <c r="E2497" s="6" t="s">
        <v>1641</v>
      </c>
      <c r="F2497" s="6" t="s">
        <v>1691</v>
      </c>
      <c r="G2497" s="6" t="s">
        <v>59</v>
      </c>
      <c r="H2497" s="6" t="s">
        <v>620</v>
      </c>
      <c r="I2497" s="14" t="s">
        <v>1633</v>
      </c>
      <c r="J2497" s="15"/>
      <c r="K2497" s="6" t="s">
        <v>1634</v>
      </c>
      <c r="L2497" s="6" t="s">
        <v>3828</v>
      </c>
      <c r="M2497" s="6" t="s">
        <v>1635</v>
      </c>
      <c r="N2497" s="6" t="s">
        <v>1624</v>
      </c>
      <c r="O2497" s="7">
        <f>SUMIFS('05_상품별배치367'!$K$7:$K$373,'05_상품별배치367'!$E$7:$E$373,A2497,'05_상품별배치367'!$H$7:$H$373,"본진")</f>
        <v>1</v>
      </c>
      <c r="P2497" s="7">
        <f>SUMIFS('05_상품별배치367'!$K$7:$K$373,'05_상품별배치367'!$E$7:$E$373,A2497,'05_상품별배치367'!$H$7:$H$373,"추가 진열")</f>
        <v>0</v>
      </c>
      <c r="Q2497" s="7">
        <f>O2497+P2497</f>
        <v>1</v>
      </c>
      <c r="R2497" s="7">
        <v>1</v>
      </c>
      <c r="S2497" s="6" t="s">
        <v>1636</v>
      </c>
      <c r="T2497" s="6" t="s">
        <v>1637</v>
      </c>
      <c r="U2497" s="6"/>
      <c r="V2497" s="16"/>
      <c r="W2497" s="16"/>
      <c r="X2497" s="16"/>
      <c r="Y2497" s="6" t="s">
        <v>1627</v>
      </c>
      <c r="Z2497" s="15"/>
      <c r="AA2497" s="15" t="s">
        <v>1628</v>
      </c>
    </row>
    <row r="2498" spans="1:27" ht="33" customHeight="1">
      <c r="A2498" s="8" t="s">
        <v>5951</v>
      </c>
      <c r="B2498" s="9">
        <v>1928</v>
      </c>
      <c r="C2498" s="8" t="s">
        <v>5952</v>
      </c>
      <c r="D2498" s="8" t="s">
        <v>5953</v>
      </c>
      <c r="E2498" s="8" t="s">
        <v>1641</v>
      </c>
      <c r="F2498" s="8" t="s">
        <v>1806</v>
      </c>
      <c r="G2498" s="8" t="s">
        <v>1668</v>
      </c>
      <c r="H2498" s="8"/>
      <c r="I2498" s="14" t="s">
        <v>1807</v>
      </c>
      <c r="J2498" s="15"/>
      <c r="K2498" s="8" t="s">
        <v>1634</v>
      </c>
      <c r="L2498" s="8" t="s">
        <v>2001</v>
      </c>
      <c r="M2498" s="6" t="s">
        <v>1809</v>
      </c>
      <c r="N2498" s="6" t="s">
        <v>1644</v>
      </c>
      <c r="O2498" s="7">
        <f>SUMIFS('05_상품별배치367'!$K$7:$K$373,'05_상품별배치367'!$E$7:$E$373,A2498,'05_상품별배치367'!$H$7:$H$373,"본진")</f>
        <v>0</v>
      </c>
      <c r="P2498" s="7">
        <f>SUMIFS('05_상품별배치367'!$K$7:$K$373,'05_상품별배치367'!$E$7:$E$373,A2498,'05_상품별배치367'!$H$7:$H$373,"추가 진열")</f>
        <v>0</v>
      </c>
      <c r="Q2498" s="7">
        <f>O2498+P2498</f>
        <v>0</v>
      </c>
      <c r="R2498" s="7">
        <v>0</v>
      </c>
      <c r="S2498" s="6" t="s">
        <v>1810</v>
      </c>
      <c r="T2498" s="6" t="s">
        <v>1637</v>
      </c>
      <c r="U2498" s="6"/>
      <c r="V2498" s="16"/>
      <c r="W2498" s="16"/>
      <c r="X2498" s="16"/>
      <c r="Y2498" s="6" t="s">
        <v>1655</v>
      </c>
      <c r="Z2498" s="15"/>
      <c r="AA2498" s="15" t="s">
        <v>1628</v>
      </c>
    </row>
    <row r="2499" spans="1:27" ht="33" customHeight="1">
      <c r="A2499" s="8" t="s">
        <v>7005</v>
      </c>
      <c r="B2499" s="9">
        <v>2410</v>
      </c>
      <c r="C2499" s="8" t="s">
        <v>7006</v>
      </c>
      <c r="D2499" s="8" t="s">
        <v>6932</v>
      </c>
      <c r="E2499" s="8" t="s">
        <v>1641</v>
      </c>
      <c r="F2499" s="8" t="s">
        <v>651</v>
      </c>
      <c r="G2499" s="8" t="s">
        <v>79</v>
      </c>
      <c r="H2499" s="8"/>
      <c r="I2499" s="14" t="s">
        <v>1642</v>
      </c>
      <c r="J2499" s="15"/>
      <c r="K2499" s="8" t="s">
        <v>1634</v>
      </c>
      <c r="L2499" s="8" t="s">
        <v>3828</v>
      </c>
      <c r="M2499" s="6" t="s">
        <v>1643</v>
      </c>
      <c r="N2499" s="6" t="s">
        <v>1624</v>
      </c>
      <c r="O2499" s="7">
        <f>SUMIFS('05_상품별배치367'!$K$7:$K$373,'05_상품별배치367'!$E$7:$E$373,A2499,'05_상품별배치367'!$H$7:$H$373,"본진")</f>
        <v>0</v>
      </c>
      <c r="P2499" s="7">
        <f>SUMIFS('05_상품별배치367'!$K$7:$K$373,'05_상품별배치367'!$E$7:$E$373,A2499,'05_상품별배치367'!$H$7:$H$373,"추가 진열")</f>
        <v>0</v>
      </c>
      <c r="Q2499" s="7">
        <f>O2499+P2499</f>
        <v>0</v>
      </c>
      <c r="R2499" s="7">
        <v>1</v>
      </c>
      <c r="S2499" s="6" t="s">
        <v>6023</v>
      </c>
      <c r="T2499" s="6" t="s">
        <v>1637</v>
      </c>
      <c r="U2499" s="6"/>
      <c r="V2499" s="16"/>
      <c r="W2499" s="16"/>
      <c r="X2499" s="16"/>
      <c r="Y2499" s="6" t="s">
        <v>1655</v>
      </c>
      <c r="Z2499" s="15"/>
      <c r="AA2499" s="15" t="s">
        <v>1628</v>
      </c>
    </row>
    <row r="2500" spans="1:27" ht="33" customHeight="1">
      <c r="A2500" s="8" t="s">
        <v>7018</v>
      </c>
      <c r="B2500" s="9">
        <v>2416</v>
      </c>
      <c r="C2500" s="8" t="s">
        <v>7019</v>
      </c>
      <c r="D2500" s="8" t="s">
        <v>7015</v>
      </c>
      <c r="E2500" s="8" t="s">
        <v>1641</v>
      </c>
      <c r="F2500" s="8" t="s">
        <v>644</v>
      </c>
      <c r="G2500" s="8" t="s">
        <v>79</v>
      </c>
      <c r="H2500" s="8"/>
      <c r="I2500" s="14" t="s">
        <v>1642</v>
      </c>
      <c r="J2500" s="15"/>
      <c r="K2500" s="8" t="s">
        <v>1634</v>
      </c>
      <c r="L2500" s="8" t="s">
        <v>3828</v>
      </c>
      <c r="M2500" s="6" t="s">
        <v>1643</v>
      </c>
      <c r="N2500" s="6" t="s">
        <v>1624</v>
      </c>
      <c r="O2500" s="7">
        <f>SUMIFS('05_상품별배치367'!$K$7:$K$373,'05_상품별배치367'!$E$7:$E$373,A2500,'05_상품별배치367'!$H$7:$H$373,"본진")</f>
        <v>0</v>
      </c>
      <c r="P2500" s="7">
        <f>SUMIFS('05_상품별배치367'!$K$7:$K$373,'05_상품별배치367'!$E$7:$E$373,A2500,'05_상품별배치367'!$H$7:$H$373,"추가 진열")</f>
        <v>0</v>
      </c>
      <c r="Q2500" s="7">
        <f>O2500+P2500</f>
        <v>0</v>
      </c>
      <c r="R2500" s="7">
        <v>1</v>
      </c>
      <c r="S2500" s="6" t="s">
        <v>7020</v>
      </c>
      <c r="T2500" s="6" t="s">
        <v>1637</v>
      </c>
      <c r="U2500" s="6"/>
      <c r="V2500" s="16"/>
      <c r="W2500" s="16"/>
      <c r="X2500" s="16"/>
      <c r="Y2500" s="6" t="s">
        <v>1627</v>
      </c>
      <c r="Z2500" s="15"/>
      <c r="AA2500" s="15" t="s">
        <v>1628</v>
      </c>
    </row>
    <row r="2501" spans="1:27" ht="33" customHeight="1">
      <c r="A2501" s="8" t="s">
        <v>6191</v>
      </c>
      <c r="B2501" s="9">
        <v>2030</v>
      </c>
      <c r="C2501" s="8" t="s">
        <v>6192</v>
      </c>
      <c r="D2501" s="8" t="s">
        <v>6193</v>
      </c>
      <c r="E2501" s="8" t="s">
        <v>1641</v>
      </c>
      <c r="F2501" s="8" t="s">
        <v>684</v>
      </c>
      <c r="G2501" s="8" t="s">
        <v>91</v>
      </c>
      <c r="H2501" s="8" t="s">
        <v>683</v>
      </c>
      <c r="I2501" s="14" t="s">
        <v>1633</v>
      </c>
      <c r="J2501" s="15"/>
      <c r="K2501" s="8" t="s">
        <v>1634</v>
      </c>
      <c r="L2501" s="8" t="s">
        <v>3828</v>
      </c>
      <c r="M2501" s="6" t="s">
        <v>1635</v>
      </c>
      <c r="N2501" s="6" t="s">
        <v>1624</v>
      </c>
      <c r="O2501" s="7">
        <f>SUMIFS('05_상품별배치367'!$K$7:$K$373,'05_상품별배치367'!$E$7:$E$373,A2501,'05_상품별배치367'!$H$7:$H$373,"본진")</f>
        <v>1</v>
      </c>
      <c r="P2501" s="7">
        <f>SUMIFS('05_상품별배치367'!$K$7:$K$373,'05_상품별배치367'!$E$7:$E$373,A2501,'05_상품별배치367'!$H$7:$H$373,"추가 진열")</f>
        <v>0</v>
      </c>
      <c r="Q2501" s="7">
        <f>O2501+P2501</f>
        <v>1</v>
      </c>
      <c r="R2501" s="7">
        <v>1</v>
      </c>
      <c r="S2501" s="6" t="s">
        <v>1636</v>
      </c>
      <c r="T2501" s="6" t="s">
        <v>1637</v>
      </c>
      <c r="U2501" s="6"/>
      <c r="V2501" s="16"/>
      <c r="W2501" s="16"/>
      <c r="X2501" s="16"/>
      <c r="Y2501" s="6" t="s">
        <v>1627</v>
      </c>
      <c r="Z2501" s="15"/>
      <c r="AA2501" s="15" t="s">
        <v>1628</v>
      </c>
    </row>
    <row r="2502" spans="1:27" ht="33" customHeight="1">
      <c r="A2502" s="6" t="s">
        <v>6998</v>
      </c>
      <c r="B2502" s="7">
        <v>2407</v>
      </c>
      <c r="C2502" s="6" t="s">
        <v>6999</v>
      </c>
      <c r="D2502" s="6" t="s">
        <v>7000</v>
      </c>
      <c r="E2502" s="6" t="s">
        <v>1641</v>
      </c>
      <c r="F2502" s="6" t="s">
        <v>656</v>
      </c>
      <c r="G2502" s="6" t="s">
        <v>79</v>
      </c>
      <c r="H2502" s="6" t="s">
        <v>664</v>
      </c>
      <c r="I2502" s="14" t="s">
        <v>1642</v>
      </c>
      <c r="J2502" s="15"/>
      <c r="K2502" s="6" t="s">
        <v>1634</v>
      </c>
      <c r="L2502" s="6" t="s">
        <v>3828</v>
      </c>
      <c r="M2502" s="6" t="s">
        <v>1643</v>
      </c>
      <c r="N2502" s="6" t="s">
        <v>1624</v>
      </c>
      <c r="O2502" s="7">
        <f>SUMIFS('05_상품별배치367'!$K$7:$K$373,'05_상품별배치367'!$E$7:$E$373,A2502,'05_상품별배치367'!$H$7:$H$373,"본진")</f>
        <v>0</v>
      </c>
      <c r="P2502" s="7">
        <f>SUMIFS('05_상품별배치367'!$K$7:$K$373,'05_상품별배치367'!$E$7:$E$373,A2502,'05_상품별배치367'!$H$7:$H$373,"추가 진열")</f>
        <v>0</v>
      </c>
      <c r="Q2502" s="7">
        <f>O2502+P2502</f>
        <v>0</v>
      </c>
      <c r="R2502" s="7">
        <v>1</v>
      </c>
      <c r="S2502" s="6" t="s">
        <v>6285</v>
      </c>
      <c r="T2502" s="6" t="s">
        <v>1637</v>
      </c>
      <c r="U2502" s="6"/>
      <c r="V2502" s="16"/>
      <c r="W2502" s="16"/>
      <c r="X2502" s="16"/>
      <c r="Y2502" s="6" t="s">
        <v>1655</v>
      </c>
      <c r="Z2502" s="15"/>
      <c r="AA2502" s="15" t="s">
        <v>1628</v>
      </c>
    </row>
    <row r="2503" spans="1:27" ht="33" customHeight="1">
      <c r="A2503" s="6" t="s">
        <v>7016</v>
      </c>
      <c r="B2503" s="7">
        <v>2415</v>
      </c>
      <c r="C2503" s="6" t="s">
        <v>7017</v>
      </c>
      <c r="D2503" s="6" t="s">
        <v>6932</v>
      </c>
      <c r="E2503" s="6" t="s">
        <v>1641</v>
      </c>
      <c r="F2503" s="6" t="s">
        <v>656</v>
      </c>
      <c r="G2503" s="6" t="s">
        <v>79</v>
      </c>
      <c r="H2503" s="6"/>
      <c r="I2503" s="14" t="s">
        <v>1642</v>
      </c>
      <c r="J2503" s="15"/>
      <c r="K2503" s="6" t="s">
        <v>1634</v>
      </c>
      <c r="L2503" s="6" t="s">
        <v>3828</v>
      </c>
      <c r="M2503" s="6" t="s">
        <v>1643</v>
      </c>
      <c r="N2503" s="6" t="s">
        <v>1624</v>
      </c>
      <c r="O2503" s="7">
        <f>SUMIFS('05_상품별배치367'!$K$7:$K$373,'05_상품별배치367'!$E$7:$E$373,A2503,'05_상품별배치367'!$H$7:$H$373,"본진")</f>
        <v>0</v>
      </c>
      <c r="P2503" s="7">
        <f>SUMIFS('05_상품별배치367'!$K$7:$K$373,'05_상품별배치367'!$E$7:$E$373,A2503,'05_상품별배치367'!$H$7:$H$373,"추가 진열")</f>
        <v>0</v>
      </c>
      <c r="Q2503" s="7">
        <f>O2503+P2503</f>
        <v>0</v>
      </c>
      <c r="R2503" s="7">
        <v>1</v>
      </c>
      <c r="S2503" s="6" t="s">
        <v>6285</v>
      </c>
      <c r="T2503" s="6" t="s">
        <v>1637</v>
      </c>
      <c r="U2503" s="6"/>
      <c r="V2503" s="16"/>
      <c r="W2503" s="16"/>
      <c r="X2503" s="16"/>
      <c r="Y2503" s="6" t="s">
        <v>1655</v>
      </c>
      <c r="Z2503" s="15"/>
      <c r="AA2503" s="15" t="s">
        <v>1628</v>
      </c>
    </row>
    <row r="2504" spans="1:27" ht="33" customHeight="1">
      <c r="A2504" s="6" t="s">
        <v>6228</v>
      </c>
      <c r="B2504" s="7">
        <v>2047</v>
      </c>
      <c r="C2504" s="6" t="s">
        <v>6229</v>
      </c>
      <c r="D2504" s="6" t="s">
        <v>1823</v>
      </c>
      <c r="E2504" s="6" t="s">
        <v>1641</v>
      </c>
      <c r="F2504" s="6" t="s">
        <v>689</v>
      </c>
      <c r="G2504" s="6" t="s">
        <v>91</v>
      </c>
      <c r="H2504" s="6" t="s">
        <v>688</v>
      </c>
      <c r="I2504" s="14" t="s">
        <v>1633</v>
      </c>
      <c r="J2504" s="15"/>
      <c r="K2504" s="6" t="s">
        <v>1634</v>
      </c>
      <c r="L2504" s="6" t="s">
        <v>3828</v>
      </c>
      <c r="M2504" s="6" t="s">
        <v>1635</v>
      </c>
      <c r="N2504" s="6" t="s">
        <v>1624</v>
      </c>
      <c r="O2504" s="7">
        <f>SUMIFS('05_상품별배치367'!$K$7:$K$373,'05_상품별배치367'!$E$7:$E$373,A2504,'05_상품별배치367'!$H$7:$H$373,"본진")</f>
        <v>1</v>
      </c>
      <c r="P2504" s="7">
        <f>SUMIFS('05_상품별배치367'!$K$7:$K$373,'05_상품별배치367'!$E$7:$E$373,A2504,'05_상품별배치367'!$H$7:$H$373,"추가 진열")</f>
        <v>0</v>
      </c>
      <c r="Q2504" s="7">
        <f>O2504+P2504</f>
        <v>1</v>
      </c>
      <c r="R2504" s="7">
        <v>1</v>
      </c>
      <c r="S2504" s="6" t="s">
        <v>1636</v>
      </c>
      <c r="T2504" s="6" t="s">
        <v>1637</v>
      </c>
      <c r="U2504" s="6"/>
      <c r="V2504" s="16"/>
      <c r="W2504" s="16"/>
      <c r="X2504" s="16"/>
      <c r="Y2504" s="6" t="s">
        <v>1627</v>
      </c>
      <c r="Z2504" s="15"/>
      <c r="AA2504" s="15" t="s">
        <v>1628</v>
      </c>
    </row>
    <row r="2505" spans="1:27" ht="33" customHeight="1">
      <c r="A2505" s="6" t="s">
        <v>1955</v>
      </c>
      <c r="B2505" s="7">
        <v>119</v>
      </c>
      <c r="C2505" s="6" t="s">
        <v>1956</v>
      </c>
      <c r="D2505" s="6" t="s">
        <v>1957</v>
      </c>
      <c r="E2505" s="6" t="s">
        <v>1666</v>
      </c>
      <c r="F2505" s="6" t="s">
        <v>1880</v>
      </c>
      <c r="G2505" s="6" t="s">
        <v>1668</v>
      </c>
      <c r="H2505" s="6"/>
      <c r="I2505" s="14" t="s">
        <v>1642</v>
      </c>
      <c r="J2505" s="15"/>
      <c r="K2505" s="6" t="s">
        <v>1670</v>
      </c>
      <c r="L2505" s="6"/>
      <c r="M2505" s="6" t="s">
        <v>1643</v>
      </c>
      <c r="N2505" s="6" t="s">
        <v>1644</v>
      </c>
      <c r="O2505" s="7">
        <f>SUMIFS('05_상품별배치367'!$K$7:$K$373,'05_상품별배치367'!$E$7:$E$373,A2505,'05_상품별배치367'!$H$7:$H$373,"본진")</f>
        <v>0</v>
      </c>
      <c r="P2505" s="7">
        <f>SUMIFS('05_상품별배치367'!$K$7:$K$373,'05_상품별배치367'!$E$7:$E$373,A2505,'05_상품별배치367'!$H$7:$H$373,"추가 진열")</f>
        <v>0</v>
      </c>
      <c r="Q2505" s="7">
        <f>O2505+P2505</f>
        <v>0</v>
      </c>
      <c r="R2505" s="7">
        <v>1</v>
      </c>
      <c r="S2505" s="6" t="s">
        <v>1881</v>
      </c>
      <c r="T2505" s="6" t="s">
        <v>1637</v>
      </c>
      <c r="U2505" s="6"/>
      <c r="V2505" s="16"/>
      <c r="W2505" s="16"/>
      <c r="X2505" s="16"/>
      <c r="Y2505" s="6" t="s">
        <v>1655</v>
      </c>
      <c r="Z2505" s="15"/>
      <c r="AA2505" s="15" t="s">
        <v>1628</v>
      </c>
    </row>
    <row r="2506" spans="1:27" ht="33" customHeight="1">
      <c r="A2506" s="8" t="s">
        <v>6517</v>
      </c>
      <c r="B2506" s="9">
        <v>2174</v>
      </c>
      <c r="C2506" s="8" t="s">
        <v>6518</v>
      </c>
      <c r="D2506" s="8" t="s">
        <v>4291</v>
      </c>
      <c r="E2506" s="8" t="s">
        <v>1695</v>
      </c>
      <c r="F2506" s="8" t="s">
        <v>2846</v>
      </c>
      <c r="G2506" s="8" t="s">
        <v>1668</v>
      </c>
      <c r="H2506" s="8"/>
      <c r="I2506" s="14" t="s">
        <v>1669</v>
      </c>
      <c r="J2506" s="15"/>
      <c r="K2506" s="8" t="s">
        <v>1696</v>
      </c>
      <c r="L2506" s="8"/>
      <c r="M2506" s="6" t="s">
        <v>1671</v>
      </c>
      <c r="N2506" s="6" t="s">
        <v>1644</v>
      </c>
      <c r="O2506" s="7">
        <f>SUMIFS('05_상품별배치367'!$K$7:$K$373,'05_상품별배치367'!$E$7:$E$373,A2506,'05_상품별배치367'!$H$7:$H$373,"본진")</f>
        <v>0</v>
      </c>
      <c r="P2506" s="7">
        <f>SUMIFS('05_상품별배치367'!$K$7:$K$373,'05_상품별배치367'!$E$7:$E$373,A2506,'05_상품별배치367'!$H$7:$H$373,"추가 진열")</f>
        <v>0</v>
      </c>
      <c r="Q2506" s="7">
        <f>O2506+P2506</f>
        <v>0</v>
      </c>
      <c r="R2506" s="7">
        <v>0</v>
      </c>
      <c r="S2506" s="6" t="s">
        <v>1672</v>
      </c>
      <c r="T2506" s="6" t="s">
        <v>1637</v>
      </c>
      <c r="U2506" s="6"/>
      <c r="V2506" s="16"/>
      <c r="W2506" s="16"/>
      <c r="X2506" s="16"/>
      <c r="Y2506" s="6" t="s">
        <v>1627</v>
      </c>
      <c r="Z2506" s="15"/>
      <c r="AA2506" s="15" t="s">
        <v>1628</v>
      </c>
    </row>
    <row r="2507" spans="1:27" ht="33" customHeight="1">
      <c r="A2507" s="6" t="s">
        <v>6033</v>
      </c>
      <c r="B2507" s="7">
        <v>1965</v>
      </c>
      <c r="C2507" s="6" t="s">
        <v>6034</v>
      </c>
      <c r="D2507" s="6" t="s">
        <v>6017</v>
      </c>
      <c r="E2507" s="6" t="s">
        <v>1641</v>
      </c>
      <c r="F2507" s="6" t="s">
        <v>651</v>
      </c>
      <c r="G2507" s="6" t="s">
        <v>79</v>
      </c>
      <c r="H2507" s="6" t="s">
        <v>650</v>
      </c>
      <c r="I2507" s="14" t="s">
        <v>1633</v>
      </c>
      <c r="J2507" s="15"/>
      <c r="K2507" s="6" t="s">
        <v>1634</v>
      </c>
      <c r="L2507" s="6" t="s">
        <v>3828</v>
      </c>
      <c r="M2507" s="6" t="s">
        <v>1635</v>
      </c>
      <c r="N2507" s="6" t="s">
        <v>1624</v>
      </c>
      <c r="O2507" s="7">
        <f>SUMIFS('05_상품별배치367'!$K$7:$K$373,'05_상품별배치367'!$E$7:$E$373,A2507,'05_상품별배치367'!$H$7:$H$373,"본진")</f>
        <v>1</v>
      </c>
      <c r="P2507" s="7">
        <f>SUMIFS('05_상품별배치367'!$K$7:$K$373,'05_상품별배치367'!$E$7:$E$373,A2507,'05_상품별배치367'!$H$7:$H$373,"추가 진열")</f>
        <v>0</v>
      </c>
      <c r="Q2507" s="7">
        <f>O2507+P2507</f>
        <v>1</v>
      </c>
      <c r="R2507" s="7">
        <v>1</v>
      </c>
      <c r="S2507" s="6" t="s">
        <v>1636</v>
      </c>
      <c r="T2507" s="6" t="s">
        <v>1637</v>
      </c>
      <c r="U2507" s="6"/>
      <c r="V2507" s="16"/>
      <c r="W2507" s="16"/>
      <c r="X2507" s="16"/>
      <c r="Y2507" s="6" t="s">
        <v>1627</v>
      </c>
      <c r="Z2507" s="15"/>
      <c r="AA2507" s="15" t="s">
        <v>1628</v>
      </c>
    </row>
    <row r="2508" spans="1:27" ht="33" customHeight="1">
      <c r="A2508" s="6" t="s">
        <v>6043</v>
      </c>
      <c r="B2508" s="7">
        <v>1969</v>
      </c>
      <c r="C2508" s="6" t="s">
        <v>6034</v>
      </c>
      <c r="D2508" s="6" t="s">
        <v>1948</v>
      </c>
      <c r="E2508" s="6" t="s">
        <v>1641</v>
      </c>
      <c r="F2508" s="6" t="s">
        <v>651</v>
      </c>
      <c r="G2508" s="6" t="s">
        <v>79</v>
      </c>
      <c r="H2508" s="6"/>
      <c r="I2508" s="14" t="s">
        <v>1642</v>
      </c>
      <c r="J2508" s="15"/>
      <c r="K2508" s="6" t="s">
        <v>1634</v>
      </c>
      <c r="L2508" s="6" t="s">
        <v>3828</v>
      </c>
      <c r="M2508" s="6" t="s">
        <v>1643</v>
      </c>
      <c r="N2508" s="6" t="s">
        <v>1644</v>
      </c>
      <c r="O2508" s="7">
        <f>SUMIFS('05_상품별배치367'!$K$7:$K$373,'05_상품별배치367'!$E$7:$E$373,A2508,'05_상품별배치367'!$H$7:$H$373,"본진")</f>
        <v>0</v>
      </c>
      <c r="P2508" s="7">
        <f>SUMIFS('05_상품별배치367'!$K$7:$K$373,'05_상품별배치367'!$E$7:$E$373,A2508,'05_상품별배치367'!$H$7:$H$373,"추가 진열")</f>
        <v>0</v>
      </c>
      <c r="Q2508" s="7">
        <f>O2508+P2508</f>
        <v>0</v>
      </c>
      <c r="R2508" s="7">
        <v>1</v>
      </c>
      <c r="S2508" s="6" t="s">
        <v>6023</v>
      </c>
      <c r="T2508" s="6" t="s">
        <v>1637</v>
      </c>
      <c r="U2508" s="6"/>
      <c r="V2508" s="16"/>
      <c r="W2508" s="16"/>
      <c r="X2508" s="16"/>
      <c r="Y2508" s="6" t="s">
        <v>1627</v>
      </c>
      <c r="Z2508" s="15"/>
      <c r="AA2508" s="15" t="s">
        <v>1628</v>
      </c>
    </row>
    <row r="2509" spans="1:27" ht="33" customHeight="1">
      <c r="A2509" s="6" t="s">
        <v>6021</v>
      </c>
      <c r="B2509" s="7">
        <v>1959</v>
      </c>
      <c r="C2509" s="6" t="s">
        <v>6022</v>
      </c>
      <c r="D2509" s="6" t="s">
        <v>1948</v>
      </c>
      <c r="E2509" s="6" t="s">
        <v>1641</v>
      </c>
      <c r="F2509" s="6" t="s">
        <v>651</v>
      </c>
      <c r="G2509" s="6" t="s">
        <v>79</v>
      </c>
      <c r="H2509" s="6"/>
      <c r="I2509" s="14" t="s">
        <v>1642</v>
      </c>
      <c r="J2509" s="15"/>
      <c r="K2509" s="6" t="s">
        <v>1634</v>
      </c>
      <c r="L2509" s="6" t="s">
        <v>3828</v>
      </c>
      <c r="M2509" s="6" t="s">
        <v>1643</v>
      </c>
      <c r="N2509" s="6" t="s">
        <v>1644</v>
      </c>
      <c r="O2509" s="7">
        <f>SUMIFS('05_상품별배치367'!$K$7:$K$373,'05_상품별배치367'!$E$7:$E$373,A2509,'05_상품별배치367'!$H$7:$H$373,"본진")</f>
        <v>0</v>
      </c>
      <c r="P2509" s="7">
        <f>SUMIFS('05_상품별배치367'!$K$7:$K$373,'05_상품별배치367'!$E$7:$E$373,A2509,'05_상품별배치367'!$H$7:$H$373,"추가 진열")</f>
        <v>0</v>
      </c>
      <c r="Q2509" s="7">
        <f>O2509+P2509</f>
        <v>0</v>
      </c>
      <c r="R2509" s="7">
        <v>1</v>
      </c>
      <c r="S2509" s="6" t="s">
        <v>6023</v>
      </c>
      <c r="T2509" s="6" t="s">
        <v>1637</v>
      </c>
      <c r="U2509" s="6"/>
      <c r="V2509" s="16"/>
      <c r="W2509" s="16"/>
      <c r="X2509" s="16"/>
      <c r="Y2509" s="6" t="s">
        <v>1627</v>
      </c>
      <c r="Z2509" s="15"/>
      <c r="AA2509" s="15" t="s">
        <v>1628</v>
      </c>
    </row>
    <row r="2510" spans="1:27" ht="33" customHeight="1">
      <c r="A2510" s="6" t="s">
        <v>6015</v>
      </c>
      <c r="B2510" s="7">
        <v>1957</v>
      </c>
      <c r="C2510" s="6" t="s">
        <v>6016</v>
      </c>
      <c r="D2510" s="6" t="s">
        <v>6017</v>
      </c>
      <c r="E2510" s="6" t="s">
        <v>1641</v>
      </c>
      <c r="F2510" s="6" t="s">
        <v>651</v>
      </c>
      <c r="G2510" s="6" t="s">
        <v>79</v>
      </c>
      <c r="H2510" s="6" t="s">
        <v>650</v>
      </c>
      <c r="I2510" s="14" t="s">
        <v>1621</v>
      </c>
      <c r="J2510" s="15"/>
      <c r="K2510" s="6" t="s">
        <v>1634</v>
      </c>
      <c r="L2510" s="6" t="s">
        <v>3828</v>
      </c>
      <c r="M2510" s="6" t="s">
        <v>1623</v>
      </c>
      <c r="N2510" s="6" t="s">
        <v>1624</v>
      </c>
      <c r="O2510" s="7">
        <f>SUMIFS('05_상품별배치367'!$K$7:$K$373,'05_상품별배치367'!$E$7:$E$373,A2510,'05_상품별배치367'!$H$7:$H$373,"본진")</f>
        <v>1</v>
      </c>
      <c r="P2510" s="7">
        <f>SUMIFS('05_상품별배치367'!$K$7:$K$373,'05_상품별배치367'!$E$7:$E$373,A2510,'05_상품별배치367'!$H$7:$H$373,"추가 진열")</f>
        <v>0</v>
      </c>
      <c r="Q2510" s="7">
        <f>O2510+P2510</f>
        <v>1</v>
      </c>
      <c r="R2510" s="7">
        <v>1</v>
      </c>
      <c r="S2510" s="6" t="s">
        <v>1625</v>
      </c>
      <c r="T2510" s="6" t="s">
        <v>1637</v>
      </c>
      <c r="U2510" s="6"/>
      <c r="V2510" s="16"/>
      <c r="W2510" s="16"/>
      <c r="X2510" s="16"/>
      <c r="Y2510" s="6" t="s">
        <v>1627</v>
      </c>
      <c r="Z2510" s="15"/>
      <c r="AA2510" s="15" t="s">
        <v>1628</v>
      </c>
    </row>
    <row r="2511" spans="1:27" ht="33" customHeight="1">
      <c r="A2511" s="8" t="s">
        <v>6049</v>
      </c>
      <c r="B2511" s="9">
        <v>1972</v>
      </c>
      <c r="C2511" s="8" t="s">
        <v>6050</v>
      </c>
      <c r="D2511" s="8" t="s">
        <v>1948</v>
      </c>
      <c r="E2511" s="8" t="s">
        <v>1641</v>
      </c>
      <c r="F2511" s="8" t="s">
        <v>651</v>
      </c>
      <c r="G2511" s="8" t="s">
        <v>79</v>
      </c>
      <c r="H2511" s="8"/>
      <c r="I2511" s="14" t="s">
        <v>1642</v>
      </c>
      <c r="J2511" s="15"/>
      <c r="K2511" s="8" t="s">
        <v>1634</v>
      </c>
      <c r="L2511" s="8" t="s">
        <v>3828</v>
      </c>
      <c r="M2511" s="6" t="s">
        <v>1643</v>
      </c>
      <c r="N2511" s="6" t="s">
        <v>1644</v>
      </c>
      <c r="O2511" s="7">
        <f>SUMIFS('05_상품별배치367'!$K$7:$K$373,'05_상품별배치367'!$E$7:$E$373,A2511,'05_상품별배치367'!$H$7:$H$373,"본진")</f>
        <v>0</v>
      </c>
      <c r="P2511" s="7">
        <f>SUMIFS('05_상품별배치367'!$K$7:$K$373,'05_상품별배치367'!$E$7:$E$373,A2511,'05_상품별배치367'!$H$7:$H$373,"추가 진열")</f>
        <v>0</v>
      </c>
      <c r="Q2511" s="7">
        <f>O2511+P2511</f>
        <v>0</v>
      </c>
      <c r="R2511" s="7">
        <v>1</v>
      </c>
      <c r="S2511" s="6" t="s">
        <v>6023</v>
      </c>
      <c r="T2511" s="6" t="s">
        <v>1637</v>
      </c>
      <c r="U2511" s="6"/>
      <c r="V2511" s="16"/>
      <c r="W2511" s="16"/>
      <c r="X2511" s="16"/>
      <c r="Y2511" s="6" t="s">
        <v>1627</v>
      </c>
      <c r="Z2511" s="15"/>
      <c r="AA2511" s="15" t="s">
        <v>1628</v>
      </c>
    </row>
    <row r="2512" spans="1:27" ht="33" customHeight="1">
      <c r="A2512" s="8" t="s">
        <v>6029</v>
      </c>
      <c r="B2512" s="9">
        <v>1962</v>
      </c>
      <c r="C2512" s="8" t="s">
        <v>6030</v>
      </c>
      <c r="D2512" s="8" t="s">
        <v>1948</v>
      </c>
      <c r="E2512" s="8" t="s">
        <v>1641</v>
      </c>
      <c r="F2512" s="8" t="s">
        <v>651</v>
      </c>
      <c r="G2512" s="8" t="s">
        <v>79</v>
      </c>
      <c r="H2512" s="8"/>
      <c r="I2512" s="14" t="s">
        <v>1642</v>
      </c>
      <c r="J2512" s="15"/>
      <c r="K2512" s="8" t="s">
        <v>1634</v>
      </c>
      <c r="L2512" s="8" t="s">
        <v>3828</v>
      </c>
      <c r="M2512" s="6" t="s">
        <v>1643</v>
      </c>
      <c r="N2512" s="6" t="s">
        <v>1644</v>
      </c>
      <c r="O2512" s="7">
        <f>SUMIFS('05_상품별배치367'!$K$7:$K$373,'05_상품별배치367'!$E$7:$E$373,A2512,'05_상품별배치367'!$H$7:$H$373,"본진")</f>
        <v>0</v>
      </c>
      <c r="P2512" s="7">
        <f>SUMIFS('05_상품별배치367'!$K$7:$K$373,'05_상품별배치367'!$E$7:$E$373,A2512,'05_상품별배치367'!$H$7:$H$373,"추가 진열")</f>
        <v>0</v>
      </c>
      <c r="Q2512" s="7">
        <f>O2512+P2512</f>
        <v>0</v>
      </c>
      <c r="R2512" s="7">
        <v>1</v>
      </c>
      <c r="S2512" s="6" t="s">
        <v>6023</v>
      </c>
      <c r="T2512" s="6" t="s">
        <v>1637</v>
      </c>
      <c r="U2512" s="6"/>
      <c r="V2512" s="16"/>
      <c r="W2512" s="16"/>
      <c r="X2512" s="16"/>
      <c r="Y2512" s="6" t="s">
        <v>1627</v>
      </c>
      <c r="Z2512" s="15"/>
      <c r="AA2512" s="15" t="s">
        <v>1628</v>
      </c>
    </row>
    <row r="2513" spans="1:27" ht="33" customHeight="1">
      <c r="A2513" s="8" t="s">
        <v>1766</v>
      </c>
      <c r="B2513" s="9">
        <v>50</v>
      </c>
      <c r="C2513" s="8" t="s">
        <v>1767</v>
      </c>
      <c r="D2513" s="8" t="s">
        <v>1768</v>
      </c>
      <c r="E2513" s="8" t="s">
        <v>1641</v>
      </c>
      <c r="F2513" s="8" t="s">
        <v>1769</v>
      </c>
      <c r="G2513" s="8" t="s">
        <v>59</v>
      </c>
      <c r="H2513" s="8"/>
      <c r="I2513" s="14" t="s">
        <v>1642</v>
      </c>
      <c r="J2513" s="15"/>
      <c r="K2513" s="8" t="s">
        <v>1634</v>
      </c>
      <c r="L2513" s="8"/>
      <c r="M2513" s="6" t="s">
        <v>1643</v>
      </c>
      <c r="N2513" s="6" t="s">
        <v>1624</v>
      </c>
      <c r="O2513" s="7">
        <f>SUMIFS('05_상품별배치367'!$K$7:$K$373,'05_상품별배치367'!$E$7:$E$373,A2513,'05_상품별배치367'!$H$7:$H$373,"본진")</f>
        <v>0</v>
      </c>
      <c r="P2513" s="7">
        <f>SUMIFS('05_상품별배치367'!$K$7:$K$373,'05_상품별배치367'!$E$7:$E$373,A2513,'05_상품별배치367'!$H$7:$H$373,"추가 진열")</f>
        <v>0</v>
      </c>
      <c r="Q2513" s="7">
        <f>O2513+P2513</f>
        <v>0</v>
      </c>
      <c r="R2513" s="7">
        <v>1</v>
      </c>
      <c r="S2513" s="6" t="s">
        <v>1770</v>
      </c>
      <c r="T2513" s="6" t="s">
        <v>1637</v>
      </c>
      <c r="U2513" s="6"/>
      <c r="V2513" s="16"/>
      <c r="W2513" s="16"/>
      <c r="X2513" s="16"/>
      <c r="Y2513" s="6" t="s">
        <v>1627</v>
      </c>
      <c r="Z2513" s="15"/>
      <c r="AA2513" s="15" t="s">
        <v>1628</v>
      </c>
    </row>
    <row r="2514" spans="1:27" ht="33" customHeight="1">
      <c r="A2514" s="6" t="s">
        <v>7116</v>
      </c>
      <c r="B2514" s="7">
        <v>2463</v>
      </c>
      <c r="C2514" s="6" t="s">
        <v>7117</v>
      </c>
      <c r="D2514" s="6" t="s">
        <v>3042</v>
      </c>
      <c r="E2514" s="6" t="s">
        <v>1641</v>
      </c>
      <c r="F2514" s="6" t="s">
        <v>1769</v>
      </c>
      <c r="G2514" s="6" t="s">
        <v>59</v>
      </c>
      <c r="H2514" s="6" t="s">
        <v>620</v>
      </c>
      <c r="I2514" s="14" t="s">
        <v>1633</v>
      </c>
      <c r="J2514" s="15"/>
      <c r="K2514" s="6" t="s">
        <v>1634</v>
      </c>
      <c r="L2514" s="6" t="s">
        <v>3828</v>
      </c>
      <c r="M2514" s="6" t="s">
        <v>1635</v>
      </c>
      <c r="N2514" s="6" t="s">
        <v>1624</v>
      </c>
      <c r="O2514" s="7">
        <f>SUMIFS('05_상품별배치367'!$K$7:$K$373,'05_상품별배치367'!$E$7:$E$373,A2514,'05_상품별배치367'!$H$7:$H$373,"본진")</f>
        <v>1</v>
      </c>
      <c r="P2514" s="7">
        <f>SUMIFS('05_상품별배치367'!$K$7:$K$373,'05_상품별배치367'!$E$7:$E$373,A2514,'05_상품별배치367'!$H$7:$H$373,"추가 진열")</f>
        <v>0</v>
      </c>
      <c r="Q2514" s="7">
        <f>O2514+P2514</f>
        <v>1</v>
      </c>
      <c r="R2514" s="7">
        <v>1</v>
      </c>
      <c r="S2514" s="6" t="s">
        <v>1636</v>
      </c>
      <c r="T2514" s="6" t="s">
        <v>1637</v>
      </c>
      <c r="U2514" s="6"/>
      <c r="V2514" s="16"/>
      <c r="W2514" s="16"/>
      <c r="X2514" s="16"/>
      <c r="Y2514" s="6" t="s">
        <v>1627</v>
      </c>
      <c r="Z2514" s="15"/>
      <c r="AA2514" s="15" t="s">
        <v>1628</v>
      </c>
    </row>
    <row r="2515" spans="1:27" ht="33" customHeight="1">
      <c r="A2515" s="8" t="s">
        <v>3551</v>
      </c>
      <c r="B2515" s="9">
        <v>800</v>
      </c>
      <c r="C2515" s="8" t="s">
        <v>3552</v>
      </c>
      <c r="D2515" s="8" t="s">
        <v>3553</v>
      </c>
      <c r="E2515" s="8" t="s">
        <v>1986</v>
      </c>
      <c r="F2515" s="8" t="s">
        <v>913</v>
      </c>
      <c r="G2515" s="8" t="s">
        <v>201</v>
      </c>
      <c r="H2515" s="8"/>
      <c r="I2515" s="14" t="s">
        <v>1642</v>
      </c>
      <c r="J2515" s="15"/>
      <c r="K2515" s="8" t="s">
        <v>1976</v>
      </c>
      <c r="L2515" s="8"/>
      <c r="M2515" s="6" t="s">
        <v>1643</v>
      </c>
      <c r="N2515" s="6" t="s">
        <v>1644</v>
      </c>
      <c r="O2515" s="7">
        <f>SUMIFS('05_상품별배치367'!$K$7:$K$373,'05_상품별배치367'!$E$7:$E$373,A2515,'05_상품별배치367'!$H$7:$H$373,"본진")</f>
        <v>0</v>
      </c>
      <c r="P2515" s="7">
        <f>SUMIFS('05_상품별배치367'!$K$7:$K$373,'05_상품별배치367'!$E$7:$E$373,A2515,'05_상품별배치367'!$H$7:$H$373,"추가 진열")</f>
        <v>0</v>
      </c>
      <c r="Q2515" s="7">
        <f>O2515+P2515</f>
        <v>0</v>
      </c>
      <c r="R2515" s="7">
        <v>1</v>
      </c>
      <c r="S2515" s="6" t="s">
        <v>2907</v>
      </c>
      <c r="T2515" s="6" t="s">
        <v>1637</v>
      </c>
      <c r="U2515" s="6"/>
      <c r="V2515" s="16"/>
      <c r="W2515" s="16"/>
      <c r="X2515" s="16"/>
      <c r="Y2515" s="6" t="s">
        <v>1627</v>
      </c>
      <c r="Z2515" s="15"/>
      <c r="AA2515" s="15" t="s">
        <v>1628</v>
      </c>
    </row>
    <row r="2516" spans="1:27" ht="33" customHeight="1">
      <c r="A2516" s="6" t="s">
        <v>3554</v>
      </c>
      <c r="B2516" s="7">
        <v>801</v>
      </c>
      <c r="C2516" s="6" t="s">
        <v>3555</v>
      </c>
      <c r="D2516" s="6" t="s">
        <v>3556</v>
      </c>
      <c r="E2516" s="6" t="s">
        <v>2134</v>
      </c>
      <c r="F2516" s="6" t="s">
        <v>2933</v>
      </c>
      <c r="G2516" s="6" t="s">
        <v>1668</v>
      </c>
      <c r="H2516" s="6"/>
      <c r="I2516" s="14" t="s">
        <v>1807</v>
      </c>
      <c r="J2516" s="15"/>
      <c r="K2516" s="6" t="s">
        <v>1976</v>
      </c>
      <c r="L2516" s="6" t="s">
        <v>2032</v>
      </c>
      <c r="M2516" s="6" t="s">
        <v>1809</v>
      </c>
      <c r="N2516" s="6" t="s">
        <v>1644</v>
      </c>
      <c r="O2516" s="7">
        <f>SUMIFS('05_상품별배치367'!$K$7:$K$373,'05_상품별배치367'!$E$7:$E$373,A2516,'05_상품별배치367'!$H$7:$H$373,"본진")</f>
        <v>0</v>
      </c>
      <c r="P2516" s="7">
        <f>SUMIFS('05_상품별배치367'!$K$7:$K$373,'05_상품별배치367'!$E$7:$E$373,A2516,'05_상품별배치367'!$H$7:$H$373,"추가 진열")</f>
        <v>0</v>
      </c>
      <c r="Q2516" s="7">
        <f>O2516+P2516</f>
        <v>0</v>
      </c>
      <c r="R2516" s="7">
        <v>0</v>
      </c>
      <c r="S2516" s="6" t="s">
        <v>1810</v>
      </c>
      <c r="T2516" s="6" t="s">
        <v>1637</v>
      </c>
      <c r="U2516" s="6"/>
      <c r="V2516" s="16"/>
      <c r="W2516" s="16"/>
      <c r="X2516" s="16"/>
      <c r="Y2516" s="6" t="s">
        <v>1627</v>
      </c>
      <c r="Z2516" s="15"/>
      <c r="AA2516" s="15" t="s">
        <v>1628</v>
      </c>
    </row>
    <row r="2517" spans="1:27" ht="33" customHeight="1">
      <c r="A2517" s="8" t="s">
        <v>3557</v>
      </c>
      <c r="B2517" s="9">
        <v>802</v>
      </c>
      <c r="C2517" s="8" t="s">
        <v>3555</v>
      </c>
      <c r="D2517" s="8" t="s">
        <v>3558</v>
      </c>
      <c r="E2517" s="8" t="s">
        <v>2134</v>
      </c>
      <c r="F2517" s="8" t="s">
        <v>2933</v>
      </c>
      <c r="G2517" s="8" t="s">
        <v>1668</v>
      </c>
      <c r="H2517" s="8"/>
      <c r="I2517" s="14" t="s">
        <v>1807</v>
      </c>
      <c r="J2517" s="15"/>
      <c r="K2517" s="8" t="s">
        <v>1976</v>
      </c>
      <c r="L2517" s="8" t="s">
        <v>2032</v>
      </c>
      <c r="M2517" s="6" t="s">
        <v>1809</v>
      </c>
      <c r="N2517" s="6" t="s">
        <v>1644</v>
      </c>
      <c r="O2517" s="7">
        <f>SUMIFS('05_상품별배치367'!$K$7:$K$373,'05_상품별배치367'!$E$7:$E$373,A2517,'05_상품별배치367'!$H$7:$H$373,"본진")</f>
        <v>0</v>
      </c>
      <c r="P2517" s="7">
        <f>SUMIFS('05_상품별배치367'!$K$7:$K$373,'05_상품별배치367'!$E$7:$E$373,A2517,'05_상품별배치367'!$H$7:$H$373,"추가 진열")</f>
        <v>0</v>
      </c>
      <c r="Q2517" s="7">
        <f>O2517+P2517</f>
        <v>0</v>
      </c>
      <c r="R2517" s="7">
        <v>0</v>
      </c>
      <c r="S2517" s="6" t="s">
        <v>1810</v>
      </c>
      <c r="T2517" s="6" t="s">
        <v>1637</v>
      </c>
      <c r="U2517" s="6"/>
      <c r="V2517" s="16"/>
      <c r="W2517" s="16"/>
      <c r="X2517" s="16"/>
      <c r="Y2517" s="6" t="s">
        <v>1627</v>
      </c>
      <c r="Z2517" s="15"/>
      <c r="AA2517" s="15" t="s">
        <v>1628</v>
      </c>
    </row>
    <row r="2518" spans="1:27" ht="33" customHeight="1">
      <c r="A2518" s="6" t="s">
        <v>3549</v>
      </c>
      <c r="B2518" s="7">
        <v>799</v>
      </c>
      <c r="C2518" s="6" t="s">
        <v>3550</v>
      </c>
      <c r="D2518" s="6" t="s">
        <v>1658</v>
      </c>
      <c r="E2518" s="6" t="s">
        <v>2134</v>
      </c>
      <c r="F2518" s="6" t="s">
        <v>1081</v>
      </c>
      <c r="G2518" s="6" t="s">
        <v>290</v>
      </c>
      <c r="H2518" s="6"/>
      <c r="I2518" s="14" t="s">
        <v>1642</v>
      </c>
      <c r="J2518" s="15"/>
      <c r="K2518" s="6" t="s">
        <v>1976</v>
      </c>
      <c r="L2518" s="6"/>
      <c r="M2518" s="6" t="s">
        <v>1643</v>
      </c>
      <c r="N2518" s="6" t="s">
        <v>1644</v>
      </c>
      <c r="O2518" s="7">
        <f>SUMIFS('05_상품별배치367'!$K$7:$K$373,'05_상품별배치367'!$E$7:$E$373,A2518,'05_상품별배치367'!$H$7:$H$373,"본진")</f>
        <v>0</v>
      </c>
      <c r="P2518" s="7">
        <f>SUMIFS('05_상품별배치367'!$K$7:$K$373,'05_상품별배치367'!$E$7:$E$373,A2518,'05_상품별배치367'!$H$7:$H$373,"추가 진열")</f>
        <v>0</v>
      </c>
      <c r="Q2518" s="7">
        <f>O2518+P2518</f>
        <v>0</v>
      </c>
      <c r="R2518" s="7">
        <v>1</v>
      </c>
      <c r="S2518" s="6" t="s">
        <v>2135</v>
      </c>
      <c r="T2518" s="6" t="s">
        <v>1637</v>
      </c>
      <c r="U2518" s="6"/>
      <c r="V2518" s="16"/>
      <c r="W2518" s="16"/>
      <c r="X2518" s="16"/>
      <c r="Y2518" s="6" t="s">
        <v>1627</v>
      </c>
      <c r="Z2518" s="15"/>
      <c r="AA2518" s="15" t="s">
        <v>1628</v>
      </c>
    </row>
    <row r="2519" spans="1:27" ht="33" customHeight="1">
      <c r="A2519" s="8" t="s">
        <v>3547</v>
      </c>
      <c r="B2519" s="9">
        <v>798</v>
      </c>
      <c r="C2519" s="8" t="s">
        <v>3548</v>
      </c>
      <c r="D2519" s="8" t="s">
        <v>2856</v>
      </c>
      <c r="E2519" s="8" t="s">
        <v>2134</v>
      </c>
      <c r="F2519" s="8" t="s">
        <v>1081</v>
      </c>
      <c r="G2519" s="8" t="s">
        <v>290</v>
      </c>
      <c r="H2519" s="8"/>
      <c r="I2519" s="14" t="s">
        <v>1642</v>
      </c>
      <c r="J2519" s="15"/>
      <c r="K2519" s="8" t="s">
        <v>1976</v>
      </c>
      <c r="L2519" s="8"/>
      <c r="M2519" s="6" t="s">
        <v>1643</v>
      </c>
      <c r="N2519" s="6" t="s">
        <v>1644</v>
      </c>
      <c r="O2519" s="7">
        <f>SUMIFS('05_상품별배치367'!$K$7:$K$373,'05_상품별배치367'!$E$7:$E$373,A2519,'05_상품별배치367'!$H$7:$H$373,"본진")</f>
        <v>0</v>
      </c>
      <c r="P2519" s="7">
        <f>SUMIFS('05_상품별배치367'!$K$7:$K$373,'05_상품별배치367'!$E$7:$E$373,A2519,'05_상품별배치367'!$H$7:$H$373,"추가 진열")</f>
        <v>0</v>
      </c>
      <c r="Q2519" s="7">
        <f>O2519+P2519</f>
        <v>0</v>
      </c>
      <c r="R2519" s="7">
        <v>1</v>
      </c>
      <c r="S2519" s="6" t="s">
        <v>2135</v>
      </c>
      <c r="T2519" s="6" t="s">
        <v>1637</v>
      </c>
      <c r="U2519" s="6"/>
      <c r="V2519" s="16"/>
      <c r="W2519" s="16"/>
      <c r="X2519" s="16"/>
      <c r="Y2519" s="6" t="s">
        <v>1627</v>
      </c>
      <c r="Z2519" s="15"/>
      <c r="AA2519" s="15" t="s">
        <v>1628</v>
      </c>
    </row>
    <row r="2520" spans="1:27" ht="33" customHeight="1">
      <c r="A2520" s="6" t="s">
        <v>3564</v>
      </c>
      <c r="B2520" s="7">
        <v>805</v>
      </c>
      <c r="C2520" s="6" t="s">
        <v>3565</v>
      </c>
      <c r="D2520" s="6" t="s">
        <v>3561</v>
      </c>
      <c r="E2520" s="6" t="s">
        <v>1986</v>
      </c>
      <c r="F2520" s="6" t="s">
        <v>493</v>
      </c>
      <c r="G2520" s="6" t="s">
        <v>299</v>
      </c>
      <c r="H2520" s="6"/>
      <c r="I2520" s="14" t="s">
        <v>1642</v>
      </c>
      <c r="J2520" s="15"/>
      <c r="K2520" s="6" t="s">
        <v>1976</v>
      </c>
      <c r="L2520" s="6"/>
      <c r="M2520" s="6" t="s">
        <v>1643</v>
      </c>
      <c r="N2520" s="6" t="s">
        <v>1644</v>
      </c>
      <c r="O2520" s="7">
        <f>SUMIFS('05_상품별배치367'!$K$7:$K$373,'05_상품별배치367'!$E$7:$E$373,A2520,'05_상품별배치367'!$H$7:$H$373,"본진")</f>
        <v>0</v>
      </c>
      <c r="P2520" s="7">
        <f>SUMIFS('05_상품별배치367'!$K$7:$K$373,'05_상품별배치367'!$E$7:$E$373,A2520,'05_상품별배치367'!$H$7:$H$373,"추가 진열")</f>
        <v>0</v>
      </c>
      <c r="Q2520" s="7">
        <f>O2520+P2520</f>
        <v>0</v>
      </c>
      <c r="R2520" s="7">
        <v>1</v>
      </c>
      <c r="S2520" s="6" t="s">
        <v>3084</v>
      </c>
      <c r="T2520" s="6" t="s">
        <v>1637</v>
      </c>
      <c r="U2520" s="6"/>
      <c r="V2520" s="16"/>
      <c r="W2520" s="16"/>
      <c r="X2520" s="16"/>
      <c r="Y2520" s="6" t="s">
        <v>1627</v>
      </c>
      <c r="Z2520" s="15"/>
      <c r="AA2520" s="15" t="s">
        <v>1628</v>
      </c>
    </row>
    <row r="2521" spans="1:27" ht="33" customHeight="1">
      <c r="A2521" s="6" t="s">
        <v>3559</v>
      </c>
      <c r="B2521" s="7">
        <v>803</v>
      </c>
      <c r="C2521" s="6" t="s">
        <v>3560</v>
      </c>
      <c r="D2521" s="6" t="s">
        <v>3561</v>
      </c>
      <c r="E2521" s="6" t="s">
        <v>2134</v>
      </c>
      <c r="F2521" s="6" t="s">
        <v>2933</v>
      </c>
      <c r="G2521" s="6" t="s">
        <v>1668</v>
      </c>
      <c r="H2521" s="6"/>
      <c r="I2521" s="14" t="s">
        <v>1807</v>
      </c>
      <c r="J2521" s="15"/>
      <c r="K2521" s="6" t="s">
        <v>1976</v>
      </c>
      <c r="L2521" s="6" t="s">
        <v>2032</v>
      </c>
      <c r="M2521" s="6" t="s">
        <v>1809</v>
      </c>
      <c r="N2521" s="6" t="s">
        <v>1644</v>
      </c>
      <c r="O2521" s="7">
        <f>SUMIFS('05_상품별배치367'!$K$7:$K$373,'05_상품별배치367'!$E$7:$E$373,A2521,'05_상품별배치367'!$H$7:$H$373,"본진")</f>
        <v>0</v>
      </c>
      <c r="P2521" s="7">
        <f>SUMIFS('05_상품별배치367'!$K$7:$K$373,'05_상품별배치367'!$E$7:$E$373,A2521,'05_상품별배치367'!$H$7:$H$373,"추가 진열")</f>
        <v>0</v>
      </c>
      <c r="Q2521" s="7">
        <f>O2521+P2521</f>
        <v>0</v>
      </c>
      <c r="R2521" s="7">
        <v>0</v>
      </c>
      <c r="S2521" s="6" t="s">
        <v>1810</v>
      </c>
      <c r="T2521" s="6" t="s">
        <v>1637</v>
      </c>
      <c r="U2521" s="6"/>
      <c r="V2521" s="16"/>
      <c r="W2521" s="16"/>
      <c r="X2521" s="16"/>
      <c r="Y2521" s="6" t="s">
        <v>1627</v>
      </c>
      <c r="Z2521" s="15"/>
      <c r="AA2521" s="15" t="s">
        <v>1628</v>
      </c>
    </row>
    <row r="2522" spans="1:27" ht="33" customHeight="1">
      <c r="A2522" s="8" t="s">
        <v>3566</v>
      </c>
      <c r="B2522" s="9">
        <v>806</v>
      </c>
      <c r="C2522" s="8" t="s">
        <v>3567</v>
      </c>
      <c r="D2522" s="8" t="s">
        <v>1926</v>
      </c>
      <c r="E2522" s="8" t="s">
        <v>2134</v>
      </c>
      <c r="F2522" s="8" t="s">
        <v>163</v>
      </c>
      <c r="G2522" s="8" t="s">
        <v>414</v>
      </c>
      <c r="H2522" s="8"/>
      <c r="I2522" s="14" t="s">
        <v>1642</v>
      </c>
      <c r="J2522" s="15"/>
      <c r="K2522" s="8" t="s">
        <v>1976</v>
      </c>
      <c r="L2522" s="8"/>
      <c r="M2522" s="6" t="s">
        <v>1643</v>
      </c>
      <c r="N2522" s="6" t="s">
        <v>1644</v>
      </c>
      <c r="O2522" s="7">
        <f>SUMIFS('05_상품별배치367'!$K$7:$K$373,'05_상품별배치367'!$E$7:$E$373,A2522,'05_상품별배치367'!$H$7:$H$373,"본진")</f>
        <v>0</v>
      </c>
      <c r="P2522" s="7">
        <f>SUMIFS('05_상품별배치367'!$K$7:$K$373,'05_상품별배치367'!$E$7:$E$373,A2522,'05_상품별배치367'!$H$7:$H$373,"추가 진열")</f>
        <v>0</v>
      </c>
      <c r="Q2522" s="7">
        <f>O2522+P2522</f>
        <v>0</v>
      </c>
      <c r="R2522" s="7">
        <v>1</v>
      </c>
      <c r="S2522" s="6" t="s">
        <v>3048</v>
      </c>
      <c r="T2522" s="6" t="s">
        <v>1637</v>
      </c>
      <c r="U2522" s="6"/>
      <c r="V2522" s="16"/>
      <c r="W2522" s="16"/>
      <c r="X2522" s="16"/>
      <c r="Y2522" s="6" t="s">
        <v>1627</v>
      </c>
      <c r="Z2522" s="15"/>
      <c r="AA2522" s="15" t="s">
        <v>1628</v>
      </c>
    </row>
    <row r="2523" spans="1:27" ht="33" customHeight="1">
      <c r="A2523" s="6" t="s">
        <v>3568</v>
      </c>
      <c r="B2523" s="7">
        <v>807</v>
      </c>
      <c r="C2523" s="6" t="s">
        <v>3569</v>
      </c>
      <c r="D2523" s="6" t="s">
        <v>3570</v>
      </c>
      <c r="E2523" s="6" t="s">
        <v>2134</v>
      </c>
      <c r="F2523" s="6" t="s">
        <v>2933</v>
      </c>
      <c r="G2523" s="6" t="s">
        <v>1668</v>
      </c>
      <c r="H2523" s="6"/>
      <c r="I2523" s="14" t="s">
        <v>1807</v>
      </c>
      <c r="J2523" s="15"/>
      <c r="K2523" s="6" t="s">
        <v>1976</v>
      </c>
      <c r="L2523" s="6" t="s">
        <v>2032</v>
      </c>
      <c r="M2523" s="6" t="s">
        <v>1809</v>
      </c>
      <c r="N2523" s="6" t="s">
        <v>1644</v>
      </c>
      <c r="O2523" s="7">
        <f>SUMIFS('05_상품별배치367'!$K$7:$K$373,'05_상품별배치367'!$E$7:$E$373,A2523,'05_상품별배치367'!$H$7:$H$373,"본진")</f>
        <v>0</v>
      </c>
      <c r="P2523" s="7">
        <f>SUMIFS('05_상품별배치367'!$K$7:$K$373,'05_상품별배치367'!$E$7:$E$373,A2523,'05_상품별배치367'!$H$7:$H$373,"추가 진열")</f>
        <v>0</v>
      </c>
      <c r="Q2523" s="7">
        <f>O2523+P2523</f>
        <v>0</v>
      </c>
      <c r="R2523" s="7">
        <v>0</v>
      </c>
      <c r="S2523" s="6" t="s">
        <v>1810</v>
      </c>
      <c r="T2523" s="6" t="s">
        <v>1637</v>
      </c>
      <c r="U2523" s="6"/>
      <c r="V2523" s="16"/>
      <c r="W2523" s="16"/>
      <c r="X2523" s="16"/>
      <c r="Y2523" s="6" t="s">
        <v>1627</v>
      </c>
      <c r="Z2523" s="15"/>
      <c r="AA2523" s="15" t="s">
        <v>1628</v>
      </c>
    </row>
    <row r="2524" spans="1:27" ht="33" customHeight="1">
      <c r="A2524" s="8" t="s">
        <v>3562</v>
      </c>
      <c r="B2524" s="9">
        <v>804</v>
      </c>
      <c r="C2524" s="8" t="s">
        <v>3563</v>
      </c>
      <c r="D2524" s="8" t="s">
        <v>3561</v>
      </c>
      <c r="E2524" s="8" t="s">
        <v>1986</v>
      </c>
      <c r="F2524" s="8" t="s">
        <v>493</v>
      </c>
      <c r="G2524" s="8" t="s">
        <v>299</v>
      </c>
      <c r="H2524" s="8"/>
      <c r="I2524" s="14" t="s">
        <v>1642</v>
      </c>
      <c r="J2524" s="15"/>
      <c r="K2524" s="8" t="s">
        <v>1976</v>
      </c>
      <c r="L2524" s="8"/>
      <c r="M2524" s="6" t="s">
        <v>1643</v>
      </c>
      <c r="N2524" s="6" t="s">
        <v>1644</v>
      </c>
      <c r="O2524" s="7">
        <f>SUMIFS('05_상품별배치367'!$K$7:$K$373,'05_상품별배치367'!$E$7:$E$373,A2524,'05_상품별배치367'!$H$7:$H$373,"본진")</f>
        <v>0</v>
      </c>
      <c r="P2524" s="7">
        <f>SUMIFS('05_상품별배치367'!$K$7:$K$373,'05_상품별배치367'!$E$7:$E$373,A2524,'05_상품별배치367'!$H$7:$H$373,"추가 진열")</f>
        <v>0</v>
      </c>
      <c r="Q2524" s="7">
        <f>O2524+P2524</f>
        <v>0</v>
      </c>
      <c r="R2524" s="7">
        <v>1</v>
      </c>
      <c r="S2524" s="6" t="s">
        <v>3084</v>
      </c>
      <c r="T2524" s="6" t="s">
        <v>1637</v>
      </c>
      <c r="U2524" s="6"/>
      <c r="V2524" s="16"/>
      <c r="W2524" s="16"/>
      <c r="X2524" s="16"/>
      <c r="Y2524" s="6" t="s">
        <v>1627</v>
      </c>
      <c r="Z2524" s="15"/>
      <c r="AA2524" s="15" t="s">
        <v>1628</v>
      </c>
    </row>
    <row r="2525" spans="1:27" ht="33" customHeight="1">
      <c r="A2525" s="8" t="s">
        <v>3571</v>
      </c>
      <c r="B2525" s="9">
        <v>808</v>
      </c>
      <c r="C2525" s="8" t="s">
        <v>3572</v>
      </c>
      <c r="D2525" s="8" t="s">
        <v>3556</v>
      </c>
      <c r="E2525" s="8" t="s">
        <v>2134</v>
      </c>
      <c r="F2525" s="8" t="s">
        <v>2933</v>
      </c>
      <c r="G2525" s="8" t="s">
        <v>1668</v>
      </c>
      <c r="H2525" s="8"/>
      <c r="I2525" s="14" t="s">
        <v>1807</v>
      </c>
      <c r="J2525" s="15"/>
      <c r="K2525" s="8" t="s">
        <v>1976</v>
      </c>
      <c r="L2525" s="8" t="s">
        <v>2032</v>
      </c>
      <c r="M2525" s="6" t="s">
        <v>1809</v>
      </c>
      <c r="N2525" s="6" t="s">
        <v>1644</v>
      </c>
      <c r="O2525" s="7">
        <f>SUMIFS('05_상품별배치367'!$K$7:$K$373,'05_상품별배치367'!$E$7:$E$373,A2525,'05_상품별배치367'!$H$7:$H$373,"본진")</f>
        <v>0</v>
      </c>
      <c r="P2525" s="7">
        <f>SUMIFS('05_상품별배치367'!$K$7:$K$373,'05_상품별배치367'!$E$7:$E$373,A2525,'05_상품별배치367'!$H$7:$H$373,"추가 진열")</f>
        <v>0</v>
      </c>
      <c r="Q2525" s="7">
        <f>O2525+P2525</f>
        <v>0</v>
      </c>
      <c r="R2525" s="7">
        <v>0</v>
      </c>
      <c r="S2525" s="6" t="s">
        <v>1810</v>
      </c>
      <c r="T2525" s="6" t="s">
        <v>1637</v>
      </c>
      <c r="U2525" s="6"/>
      <c r="V2525" s="16"/>
      <c r="W2525" s="16"/>
      <c r="X2525" s="16"/>
      <c r="Y2525" s="6" t="s">
        <v>1627</v>
      </c>
      <c r="Z2525" s="15"/>
      <c r="AA2525" s="15" t="s">
        <v>1628</v>
      </c>
    </row>
    <row r="2526" spans="1:27" ht="33" customHeight="1">
      <c r="A2526" s="8" t="s">
        <v>6167</v>
      </c>
      <c r="B2526" s="9">
        <v>2020</v>
      </c>
      <c r="C2526" s="8" t="s">
        <v>6168</v>
      </c>
      <c r="D2526" s="8" t="s">
        <v>6169</v>
      </c>
      <c r="E2526" s="8" t="s">
        <v>1641</v>
      </c>
      <c r="F2526" s="8" t="s">
        <v>670</v>
      </c>
      <c r="G2526" s="8" t="s">
        <v>91</v>
      </c>
      <c r="H2526" s="8"/>
      <c r="I2526" s="14" t="s">
        <v>1642</v>
      </c>
      <c r="J2526" s="15"/>
      <c r="K2526" s="8" t="s">
        <v>1634</v>
      </c>
      <c r="L2526" s="8" t="s">
        <v>3828</v>
      </c>
      <c r="M2526" s="6" t="s">
        <v>1643</v>
      </c>
      <c r="N2526" s="6" t="s">
        <v>1624</v>
      </c>
      <c r="O2526" s="7">
        <f>SUMIFS('05_상품별배치367'!$K$7:$K$373,'05_상품별배치367'!$E$7:$E$373,A2526,'05_상품별배치367'!$H$7:$H$373,"본진")</f>
        <v>0</v>
      </c>
      <c r="P2526" s="7">
        <f>SUMIFS('05_상품별배치367'!$K$7:$K$373,'05_상품별배치367'!$E$7:$E$373,A2526,'05_상품별배치367'!$H$7:$H$373,"추가 진열")</f>
        <v>0</v>
      </c>
      <c r="Q2526" s="7">
        <f>O2526+P2526</f>
        <v>0</v>
      </c>
      <c r="R2526" s="7">
        <v>1</v>
      </c>
      <c r="S2526" s="6" t="s">
        <v>1645</v>
      </c>
      <c r="T2526" s="6" t="s">
        <v>1637</v>
      </c>
      <c r="U2526" s="6"/>
      <c r="V2526" s="16"/>
      <c r="W2526" s="16"/>
      <c r="X2526" s="16"/>
      <c r="Y2526" s="6" t="s">
        <v>1655</v>
      </c>
      <c r="Z2526" s="15"/>
      <c r="AA2526" s="15" t="s">
        <v>1628</v>
      </c>
    </row>
    <row r="2527" spans="1:27" ht="33" customHeight="1">
      <c r="A2527" s="6" t="s">
        <v>1771</v>
      </c>
      <c r="B2527" s="7">
        <v>51</v>
      </c>
      <c r="C2527" s="6" t="s">
        <v>1772</v>
      </c>
      <c r="D2527" s="6" t="s">
        <v>1773</v>
      </c>
      <c r="E2527" s="6" t="s">
        <v>1641</v>
      </c>
      <c r="F2527" s="6" t="s">
        <v>699</v>
      </c>
      <c r="G2527" s="6" t="s">
        <v>99</v>
      </c>
      <c r="H2527" s="6"/>
      <c r="I2527" s="14" t="s">
        <v>1642</v>
      </c>
      <c r="J2527" s="15"/>
      <c r="K2527" s="6" t="s">
        <v>1634</v>
      </c>
      <c r="L2527" s="6"/>
      <c r="M2527" s="6" t="s">
        <v>1643</v>
      </c>
      <c r="N2527" s="6" t="s">
        <v>1644</v>
      </c>
      <c r="O2527" s="7">
        <f>SUMIFS('05_상품별배치367'!$K$7:$K$373,'05_상품별배치367'!$E$7:$E$373,A2527,'05_상품별배치367'!$H$7:$H$373,"본진")</f>
        <v>0</v>
      </c>
      <c r="P2527" s="7">
        <f>SUMIFS('05_상품별배치367'!$K$7:$K$373,'05_상품별배치367'!$E$7:$E$373,A2527,'05_상품별배치367'!$H$7:$H$373,"추가 진열")</f>
        <v>0</v>
      </c>
      <c r="Q2527" s="7">
        <f>O2527+P2527</f>
        <v>0</v>
      </c>
      <c r="R2527" s="7">
        <v>1</v>
      </c>
      <c r="S2527" s="6" t="s">
        <v>1659</v>
      </c>
      <c r="T2527" s="6" t="s">
        <v>1637</v>
      </c>
      <c r="U2527" s="6"/>
      <c r="V2527" s="16"/>
      <c r="W2527" s="16"/>
      <c r="X2527" s="16"/>
      <c r="Y2527" s="6" t="s">
        <v>1627</v>
      </c>
      <c r="Z2527" s="15"/>
      <c r="AA2527" s="15" t="s">
        <v>1628</v>
      </c>
    </row>
    <row r="2528" spans="1:27" ht="33" customHeight="1">
      <c r="A2528" s="6" t="s">
        <v>5954</v>
      </c>
      <c r="B2528" s="7">
        <v>1929</v>
      </c>
      <c r="C2528" s="6" t="s">
        <v>5955</v>
      </c>
      <c r="D2528" s="6" t="s">
        <v>4191</v>
      </c>
      <c r="E2528" s="6" t="s">
        <v>2134</v>
      </c>
      <c r="F2528" s="6" t="s">
        <v>156</v>
      </c>
      <c r="G2528" s="6" t="s">
        <v>3239</v>
      </c>
      <c r="H2528" s="6"/>
      <c r="I2528" s="14" t="s">
        <v>1642</v>
      </c>
      <c r="J2528" s="15"/>
      <c r="K2528" s="6" t="s">
        <v>1976</v>
      </c>
      <c r="L2528" s="6" t="s">
        <v>3828</v>
      </c>
      <c r="M2528" s="6" t="s">
        <v>1643</v>
      </c>
      <c r="N2528" s="6" t="s">
        <v>1624</v>
      </c>
      <c r="O2528" s="7">
        <f>SUMIFS('05_상품별배치367'!$K$7:$K$373,'05_상품별배치367'!$E$7:$E$373,A2528,'05_상품별배치367'!$H$7:$H$373,"본진")</f>
        <v>0</v>
      </c>
      <c r="P2528" s="7">
        <f>SUMIFS('05_상품별배치367'!$K$7:$K$373,'05_상품별배치367'!$E$7:$E$373,A2528,'05_상품별배치367'!$H$7:$H$373,"추가 진열")</f>
        <v>0</v>
      </c>
      <c r="Q2528" s="7">
        <f>O2528+P2528</f>
        <v>0</v>
      </c>
      <c r="R2528" s="7">
        <v>1</v>
      </c>
      <c r="S2528" s="6" t="s">
        <v>3240</v>
      </c>
      <c r="T2528" s="6" t="s">
        <v>1637</v>
      </c>
      <c r="U2528" s="6"/>
      <c r="V2528" s="16"/>
      <c r="W2528" s="16"/>
      <c r="X2528" s="16"/>
      <c r="Y2528" s="6" t="s">
        <v>1627</v>
      </c>
      <c r="Z2528" s="15"/>
      <c r="AA2528" s="15" t="s">
        <v>1628</v>
      </c>
    </row>
    <row r="2529" spans="1:27" ht="33" customHeight="1">
      <c r="A2529" s="8" t="s">
        <v>5804</v>
      </c>
      <c r="B2529" s="9">
        <v>1858</v>
      </c>
      <c r="C2529" s="8" t="s">
        <v>5805</v>
      </c>
      <c r="D2529" s="8" t="s">
        <v>1686</v>
      </c>
      <c r="E2529" s="8" t="s">
        <v>1632</v>
      </c>
      <c r="F2529" s="8" t="s">
        <v>1014</v>
      </c>
      <c r="G2529" s="8" t="s">
        <v>254</v>
      </c>
      <c r="H2529" s="8" t="s">
        <v>1015</v>
      </c>
      <c r="I2529" s="14" t="s">
        <v>1642</v>
      </c>
      <c r="J2529" s="15"/>
      <c r="K2529" s="8" t="s">
        <v>1634</v>
      </c>
      <c r="L2529" s="8" t="s">
        <v>3828</v>
      </c>
      <c r="M2529" s="6" t="s">
        <v>1643</v>
      </c>
      <c r="N2529" s="6" t="s">
        <v>1624</v>
      </c>
      <c r="O2529" s="7">
        <f>SUMIFS('05_상품별배치367'!$K$7:$K$373,'05_상품별배치367'!$E$7:$E$373,A2529,'05_상품별배치367'!$H$7:$H$373,"본진")</f>
        <v>0</v>
      </c>
      <c r="P2529" s="7">
        <f>SUMIFS('05_상품별배치367'!$K$7:$K$373,'05_상품별배치367'!$E$7:$E$373,A2529,'05_상품별배치367'!$H$7:$H$373,"추가 진열")</f>
        <v>0</v>
      </c>
      <c r="Q2529" s="7">
        <f>O2529+P2529</f>
        <v>0</v>
      </c>
      <c r="R2529" s="7">
        <v>1</v>
      </c>
      <c r="S2529" s="6" t="s">
        <v>1725</v>
      </c>
      <c r="T2529" s="6" t="s">
        <v>1637</v>
      </c>
      <c r="U2529" s="6"/>
      <c r="V2529" s="16"/>
      <c r="W2529" s="16"/>
      <c r="X2529" s="16"/>
      <c r="Y2529" s="6" t="s">
        <v>1627</v>
      </c>
      <c r="Z2529" s="15"/>
      <c r="AA2529" s="15" t="s">
        <v>1628</v>
      </c>
    </row>
    <row r="2530" spans="1:27" ht="33" customHeight="1">
      <c r="A2530" s="6" t="s">
        <v>5734</v>
      </c>
      <c r="B2530" s="7">
        <v>1823</v>
      </c>
      <c r="C2530" s="6" t="s">
        <v>5735</v>
      </c>
      <c r="D2530" s="6" t="s">
        <v>5736</v>
      </c>
      <c r="E2530" s="6" t="s">
        <v>1632</v>
      </c>
      <c r="F2530" s="6" t="s">
        <v>1014</v>
      </c>
      <c r="G2530" s="6" t="s">
        <v>254</v>
      </c>
      <c r="H2530" s="6" t="s">
        <v>1015</v>
      </c>
      <c r="I2530" s="14" t="s">
        <v>1621</v>
      </c>
      <c r="J2530" s="15"/>
      <c r="K2530" s="6" t="s">
        <v>1634</v>
      </c>
      <c r="L2530" s="6"/>
      <c r="M2530" s="6" t="s">
        <v>1623</v>
      </c>
      <c r="N2530" s="6" t="s">
        <v>1624</v>
      </c>
      <c r="O2530" s="7">
        <f>SUMIFS('05_상품별배치367'!$K$7:$K$373,'05_상품별배치367'!$E$7:$E$373,A2530,'05_상품별배치367'!$H$7:$H$373,"본진")</f>
        <v>1</v>
      </c>
      <c r="P2530" s="7">
        <f>SUMIFS('05_상품별배치367'!$K$7:$K$373,'05_상품별배치367'!$E$7:$E$373,A2530,'05_상품별배치367'!$H$7:$H$373,"추가 진열")</f>
        <v>0</v>
      </c>
      <c r="Q2530" s="7">
        <f>O2530+P2530</f>
        <v>1</v>
      </c>
      <c r="R2530" s="7">
        <v>1</v>
      </c>
      <c r="S2530" s="6" t="s">
        <v>1625</v>
      </c>
      <c r="T2530" s="6" t="s">
        <v>1637</v>
      </c>
      <c r="U2530" s="6"/>
      <c r="V2530" s="16"/>
      <c r="W2530" s="16"/>
      <c r="X2530" s="16"/>
      <c r="Y2530" s="6" t="s">
        <v>1627</v>
      </c>
      <c r="Z2530" s="15"/>
      <c r="AA2530" s="15" t="s">
        <v>1628</v>
      </c>
    </row>
    <row r="2531" spans="1:27" ht="33" customHeight="1">
      <c r="A2531" s="8" t="s">
        <v>6198</v>
      </c>
      <c r="B2531" s="9">
        <v>2032</v>
      </c>
      <c r="C2531" s="8" t="s">
        <v>6199</v>
      </c>
      <c r="D2531" s="8" t="s">
        <v>6200</v>
      </c>
      <c r="E2531" s="8" t="s">
        <v>1641</v>
      </c>
      <c r="F2531" s="8" t="s">
        <v>1806</v>
      </c>
      <c r="G2531" s="8" t="s">
        <v>1668</v>
      </c>
      <c r="H2531" s="8"/>
      <c r="I2531" s="14" t="s">
        <v>1807</v>
      </c>
      <c r="J2531" s="15"/>
      <c r="K2531" s="8" t="s">
        <v>1634</v>
      </c>
      <c r="L2531" s="8" t="s">
        <v>2001</v>
      </c>
      <c r="M2531" s="6" t="s">
        <v>1809</v>
      </c>
      <c r="N2531" s="6" t="s">
        <v>1644</v>
      </c>
      <c r="O2531" s="7">
        <f>SUMIFS('05_상품별배치367'!$K$7:$K$373,'05_상품별배치367'!$E$7:$E$373,A2531,'05_상품별배치367'!$H$7:$H$373,"본진")</f>
        <v>0</v>
      </c>
      <c r="P2531" s="7">
        <f>SUMIFS('05_상품별배치367'!$K$7:$K$373,'05_상품별배치367'!$E$7:$E$373,A2531,'05_상품별배치367'!$H$7:$H$373,"추가 진열")</f>
        <v>0</v>
      </c>
      <c r="Q2531" s="7">
        <f>O2531+P2531</f>
        <v>0</v>
      </c>
      <c r="R2531" s="7">
        <v>0</v>
      </c>
      <c r="S2531" s="6" t="s">
        <v>1810</v>
      </c>
      <c r="T2531" s="6" t="s">
        <v>1637</v>
      </c>
      <c r="U2531" s="6"/>
      <c r="V2531" s="16"/>
      <c r="W2531" s="16"/>
      <c r="X2531" s="16"/>
      <c r="Y2531" s="6" t="s">
        <v>1655</v>
      </c>
      <c r="Z2531" s="15"/>
      <c r="AA2531" s="15" t="s">
        <v>1628</v>
      </c>
    </row>
    <row r="2532" spans="1:27" ht="33" customHeight="1">
      <c r="A2532" s="8" t="s">
        <v>6173</v>
      </c>
      <c r="B2532" s="9">
        <v>2022</v>
      </c>
      <c r="C2532" s="8" t="s">
        <v>6174</v>
      </c>
      <c r="D2532" s="8" t="s">
        <v>6175</v>
      </c>
      <c r="E2532" s="8" t="s">
        <v>1641</v>
      </c>
      <c r="F2532" s="8" t="s">
        <v>670</v>
      </c>
      <c r="G2532" s="8" t="s">
        <v>91</v>
      </c>
      <c r="H2532" s="8" t="s">
        <v>669</v>
      </c>
      <c r="I2532" s="14" t="s">
        <v>1621</v>
      </c>
      <c r="J2532" s="15"/>
      <c r="K2532" s="8" t="s">
        <v>1634</v>
      </c>
      <c r="L2532" s="8" t="s">
        <v>3828</v>
      </c>
      <c r="M2532" s="6" t="s">
        <v>1623</v>
      </c>
      <c r="N2532" s="6" t="s">
        <v>1624</v>
      </c>
      <c r="O2532" s="7">
        <f>SUMIFS('05_상품별배치367'!$K$7:$K$373,'05_상품별배치367'!$E$7:$E$373,A2532,'05_상품별배치367'!$H$7:$H$373,"본진")</f>
        <v>1</v>
      </c>
      <c r="P2532" s="7">
        <f>SUMIFS('05_상품별배치367'!$K$7:$K$373,'05_상품별배치367'!$E$7:$E$373,A2532,'05_상품별배치367'!$H$7:$H$373,"추가 진열")</f>
        <v>0</v>
      </c>
      <c r="Q2532" s="7">
        <f>O2532+P2532</f>
        <v>1</v>
      </c>
      <c r="R2532" s="7">
        <v>1</v>
      </c>
      <c r="S2532" s="6" t="s">
        <v>1625</v>
      </c>
      <c r="T2532" s="6" t="s">
        <v>1637</v>
      </c>
      <c r="U2532" s="6"/>
      <c r="V2532" s="16"/>
      <c r="W2532" s="16"/>
      <c r="X2532" s="16"/>
      <c r="Y2532" s="6" t="s">
        <v>1627</v>
      </c>
      <c r="Z2532" s="15"/>
      <c r="AA2532" s="15" t="s">
        <v>1628</v>
      </c>
    </row>
    <row r="2533" spans="1:27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</row>
  </sheetData>
  <mergeCells count="2">
    <mergeCell ref="A2:E2"/>
    <mergeCell ref="A3:F3"/>
  </mergeCells>
  <phoneticPr fontId="10" type="noConversion"/>
  <conditionalFormatting sqref="I7:I2532">
    <cfRule type="containsText" dxfId="5" priority="1" operator="containsText" text="오픈 핵심"/>
    <cfRule type="containsText" dxfId="4" priority="2" operator="containsText" text="오픈 보완"/>
    <cfRule type="containsText" dxfId="3" priority="3" operator="containsText" text="소량 시험"/>
    <cfRule type="containsText" dxfId="2" priority="4" operator="containsText" text="확인 후 검토"/>
    <cfRule type="containsText" dxfId="1" priority="5" operator="containsText" text="초도 비권장"/>
  </conditionalFormatting>
  <dataValidations disablePrompts="1" count="2">
    <dataValidation type="list" sqref="I7:I2532" xr:uid="{00000000-0002-0000-0200-000000000000}">
      <formula1>"오픈 핵심,오픈 보완,소량 시험,대체 후보,확인 후 검토,초도 비권장,판매 진열 제외"</formula1>
    </dataValidation>
    <dataValidation type="list" sqref="AA7:AA2532" xr:uid="{00000000-0002-0000-0200-000001000000}">
      <formula1>"미확정,취급 확정,취급 보류,미취급"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72D49"/>
  </sheetPr>
  <dimension ref="A1:L61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B8" sqref="B8"/>
    </sheetView>
  </sheetViews>
  <sheetFormatPr defaultRowHeight="14"/>
  <cols>
    <col min="1" max="1" width="28" customWidth="1"/>
    <col min="2" max="2" width="20" customWidth="1"/>
    <col min="3" max="3" width="51" customWidth="1"/>
    <col min="4" max="4" width="43" customWidth="1"/>
    <col min="5" max="5" width="73" customWidth="1"/>
    <col min="6" max="6" width="37" customWidth="1"/>
    <col min="7" max="7" width="12" customWidth="1"/>
    <col min="8" max="8" width="18" customWidth="1"/>
    <col min="9" max="9" width="79" customWidth="1"/>
    <col min="10" max="10" width="16" customWidth="1"/>
    <col min="11" max="11" width="27" customWidth="1"/>
    <col min="12" max="12" width="64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</row>
    <row r="2" spans="1:12" ht="30" customHeight="1">
      <c r="A2" s="21" t="s">
        <v>7258</v>
      </c>
      <c r="B2" s="26"/>
      <c r="C2" s="26"/>
      <c r="D2" s="26"/>
      <c r="E2" s="26"/>
      <c r="F2" s="4"/>
      <c r="G2" s="4"/>
      <c r="H2" s="4"/>
      <c r="I2" s="4"/>
      <c r="J2" s="3"/>
      <c r="K2" s="3"/>
      <c r="L2" s="3"/>
    </row>
    <row r="3" spans="1:12" ht="43" customHeight="1">
      <c r="A3" s="26" t="s">
        <v>7259</v>
      </c>
      <c r="B3" s="26"/>
      <c r="C3" s="26"/>
      <c r="D3" s="26"/>
      <c r="E3" s="26"/>
      <c r="F3" s="26"/>
      <c r="G3" s="4"/>
      <c r="H3" s="4"/>
      <c r="I3" s="4"/>
      <c r="J3" s="3"/>
      <c r="K3" s="3"/>
      <c r="L3" s="3"/>
    </row>
    <row r="4" spans="1:12">
      <c r="A4" s="12"/>
      <c r="B4" s="4"/>
      <c r="C4" s="4"/>
      <c r="D4" s="4"/>
      <c r="E4" s="4"/>
      <c r="F4" s="4"/>
      <c r="G4" s="4"/>
      <c r="H4" s="4"/>
      <c r="I4" s="4"/>
      <c r="J4" s="3"/>
      <c r="K4" s="3"/>
      <c r="L4" s="3"/>
    </row>
    <row r="5" spans="1:12">
      <c r="A5" s="4"/>
      <c r="B5" s="4"/>
      <c r="C5" s="4"/>
      <c r="D5" s="4"/>
      <c r="E5" s="4"/>
      <c r="F5" s="4"/>
      <c r="G5" s="4"/>
      <c r="H5" s="4"/>
      <c r="I5" s="4"/>
      <c r="J5" s="3"/>
      <c r="K5" s="3"/>
      <c r="L5" s="3"/>
    </row>
    <row r="6" spans="1:12" ht="33" customHeight="1">
      <c r="A6" s="10" t="s">
        <v>7260</v>
      </c>
      <c r="B6" s="10" t="s">
        <v>7261</v>
      </c>
      <c r="C6" s="10" t="s">
        <v>7262</v>
      </c>
      <c r="D6" s="10" t="s">
        <v>7263</v>
      </c>
      <c r="E6" s="10" t="s">
        <v>7264</v>
      </c>
      <c r="F6" s="10" t="s">
        <v>7265</v>
      </c>
      <c r="G6" s="10" t="s">
        <v>7266</v>
      </c>
      <c r="H6" s="10" t="s">
        <v>7267</v>
      </c>
      <c r="I6" s="10" t="s">
        <v>7268</v>
      </c>
      <c r="J6" s="11" t="s">
        <v>7269</v>
      </c>
      <c r="K6" s="11" t="s">
        <v>7270</v>
      </c>
      <c r="L6" s="11" t="s">
        <v>7271</v>
      </c>
    </row>
    <row r="7" spans="1:12" ht="58" customHeight="1">
      <c r="A7" s="4" t="s">
        <v>6823</v>
      </c>
      <c r="B7" s="4" t="s">
        <v>7272</v>
      </c>
      <c r="C7" s="4" t="s">
        <v>7273</v>
      </c>
      <c r="D7" s="4" t="s">
        <v>7274</v>
      </c>
      <c r="E7" s="4" t="s">
        <v>7275</v>
      </c>
      <c r="F7" s="4" t="s">
        <v>7276</v>
      </c>
      <c r="G7" s="4" t="s">
        <v>1624</v>
      </c>
      <c r="H7" s="13" t="s">
        <v>7277</v>
      </c>
      <c r="I7" s="4" t="s">
        <v>7278</v>
      </c>
      <c r="J7" s="20">
        <v>9</v>
      </c>
      <c r="K7" s="20" t="s">
        <v>7279</v>
      </c>
      <c r="L7" s="20" t="s">
        <v>7280</v>
      </c>
    </row>
    <row r="8" spans="1:12" ht="58" customHeight="1">
      <c r="A8" s="5" t="s">
        <v>5910</v>
      </c>
      <c r="B8" s="5" t="s">
        <v>7281</v>
      </c>
      <c r="C8" s="5" t="s">
        <v>7282</v>
      </c>
      <c r="D8" s="5" t="s">
        <v>7283</v>
      </c>
      <c r="E8" s="5" t="s">
        <v>7284</v>
      </c>
      <c r="F8" s="5" t="s">
        <v>7285</v>
      </c>
      <c r="G8" s="5" t="s">
        <v>1644</v>
      </c>
      <c r="H8" s="13" t="s">
        <v>7277</v>
      </c>
      <c r="I8" s="5" t="s">
        <v>7286</v>
      </c>
      <c r="J8" s="20">
        <v>12</v>
      </c>
      <c r="K8" s="20" t="s">
        <v>7279</v>
      </c>
      <c r="L8" s="20" t="s">
        <v>7287</v>
      </c>
    </row>
    <row r="9" spans="1:12" ht="58" customHeight="1">
      <c r="A9" s="4" t="s">
        <v>7237</v>
      </c>
      <c r="B9" s="4" t="s">
        <v>7281</v>
      </c>
      <c r="C9" s="4" t="s">
        <v>7288</v>
      </c>
      <c r="D9" s="4" t="s">
        <v>7289</v>
      </c>
      <c r="E9" s="4" t="s">
        <v>7290</v>
      </c>
      <c r="F9" s="4" t="s">
        <v>7291</v>
      </c>
      <c r="G9" s="4" t="s">
        <v>1644</v>
      </c>
      <c r="H9" s="13" t="s">
        <v>7277</v>
      </c>
      <c r="I9" s="4" t="s">
        <v>7292</v>
      </c>
      <c r="J9" s="20">
        <v>3</v>
      </c>
      <c r="K9" s="20" t="s">
        <v>7279</v>
      </c>
      <c r="L9" s="20" t="s">
        <v>7293</v>
      </c>
    </row>
    <row r="10" spans="1:12" ht="58" customHeight="1">
      <c r="A10" s="5" t="s">
        <v>7294</v>
      </c>
      <c r="B10" s="5" t="s">
        <v>7281</v>
      </c>
      <c r="C10" s="5" t="s">
        <v>7295</v>
      </c>
      <c r="D10" s="5" t="s">
        <v>386</v>
      </c>
      <c r="E10" s="5" t="s">
        <v>7296</v>
      </c>
      <c r="F10" s="5" t="s">
        <v>7297</v>
      </c>
      <c r="G10" s="5" t="s">
        <v>1644</v>
      </c>
      <c r="H10" s="13" t="s">
        <v>7277</v>
      </c>
      <c r="I10" s="5" t="s">
        <v>7298</v>
      </c>
      <c r="J10" s="20">
        <v>3</v>
      </c>
      <c r="K10" s="20" t="s">
        <v>7279</v>
      </c>
      <c r="L10" s="20" t="s">
        <v>7299</v>
      </c>
    </row>
    <row r="11" spans="1:12" ht="58" customHeight="1">
      <c r="A11" s="4" t="s">
        <v>7300</v>
      </c>
      <c r="B11" s="4" t="s">
        <v>7281</v>
      </c>
      <c r="C11" s="4" t="s">
        <v>7301</v>
      </c>
      <c r="D11" s="4" t="s">
        <v>7302</v>
      </c>
      <c r="E11" s="4" t="s">
        <v>7303</v>
      </c>
      <c r="F11" s="4" t="s">
        <v>7297</v>
      </c>
      <c r="G11" s="4" t="s">
        <v>1644</v>
      </c>
      <c r="H11" s="13" t="s">
        <v>7277</v>
      </c>
      <c r="I11" s="4" t="s">
        <v>7304</v>
      </c>
      <c r="J11" s="20">
        <v>0</v>
      </c>
      <c r="K11" s="20" t="s">
        <v>7305</v>
      </c>
      <c r="L11" s="20" t="s">
        <v>7306</v>
      </c>
    </row>
    <row r="12" spans="1:12" ht="58" customHeight="1">
      <c r="A12" s="5" t="s">
        <v>7307</v>
      </c>
      <c r="B12" s="5" t="s">
        <v>7281</v>
      </c>
      <c r="C12" s="5" t="s">
        <v>7308</v>
      </c>
      <c r="D12" s="5" t="s">
        <v>7309</v>
      </c>
      <c r="E12" s="5" t="s">
        <v>7310</v>
      </c>
      <c r="F12" s="5" t="s">
        <v>7311</v>
      </c>
      <c r="G12" s="5" t="s">
        <v>1644</v>
      </c>
      <c r="H12" s="13" t="s">
        <v>7277</v>
      </c>
      <c r="I12" s="5" t="s">
        <v>7312</v>
      </c>
      <c r="J12" s="20">
        <v>3</v>
      </c>
      <c r="K12" s="20" t="s">
        <v>7279</v>
      </c>
      <c r="L12" s="20" t="s">
        <v>7313</v>
      </c>
    </row>
    <row r="13" spans="1:12" ht="58" customHeight="1">
      <c r="A13" s="4" t="s">
        <v>7314</v>
      </c>
      <c r="B13" s="4" t="s">
        <v>7315</v>
      </c>
      <c r="C13" s="4" t="s">
        <v>7316</v>
      </c>
      <c r="D13" s="4" t="s">
        <v>7317</v>
      </c>
      <c r="E13" s="4" t="s">
        <v>7318</v>
      </c>
      <c r="F13" s="4" t="s">
        <v>7297</v>
      </c>
      <c r="G13" s="4" t="s">
        <v>1644</v>
      </c>
      <c r="H13" s="13" t="s">
        <v>7277</v>
      </c>
      <c r="I13" s="4" t="s">
        <v>7319</v>
      </c>
      <c r="J13" s="20">
        <v>0</v>
      </c>
      <c r="K13" s="20" t="s">
        <v>7305</v>
      </c>
      <c r="L13" s="20" t="s">
        <v>7306</v>
      </c>
    </row>
    <row r="14" spans="1:12" ht="58" customHeight="1">
      <c r="A14" s="5" t="s">
        <v>5537</v>
      </c>
      <c r="B14" s="5" t="s">
        <v>7320</v>
      </c>
      <c r="C14" s="5" t="s">
        <v>7321</v>
      </c>
      <c r="D14" s="5" t="s">
        <v>164</v>
      </c>
      <c r="E14" s="5" t="s">
        <v>7322</v>
      </c>
      <c r="F14" s="5" t="s">
        <v>7276</v>
      </c>
      <c r="G14" s="5" t="s">
        <v>1624</v>
      </c>
      <c r="H14" s="13" t="s">
        <v>7277</v>
      </c>
      <c r="I14" s="5" t="s">
        <v>7323</v>
      </c>
      <c r="J14" s="20">
        <v>7</v>
      </c>
      <c r="K14" s="20" t="s">
        <v>7279</v>
      </c>
      <c r="L14" s="20" t="s">
        <v>7324</v>
      </c>
    </row>
    <row r="15" spans="1:12" ht="58" customHeight="1">
      <c r="A15" s="4" t="s">
        <v>7325</v>
      </c>
      <c r="B15" s="4" t="s">
        <v>1642</v>
      </c>
      <c r="C15" s="4" t="s">
        <v>7326</v>
      </c>
      <c r="D15" s="4" t="s">
        <v>7327</v>
      </c>
      <c r="E15" s="4" t="s">
        <v>7328</v>
      </c>
      <c r="F15" s="4" t="s">
        <v>7329</v>
      </c>
      <c r="G15" s="4" t="s">
        <v>1644</v>
      </c>
      <c r="H15" s="13" t="s">
        <v>7277</v>
      </c>
      <c r="I15" s="4" t="s">
        <v>7330</v>
      </c>
      <c r="J15" s="20">
        <v>0</v>
      </c>
      <c r="K15" s="20" t="s">
        <v>7305</v>
      </c>
      <c r="L15" s="20" t="s">
        <v>7306</v>
      </c>
    </row>
    <row r="16" spans="1:12" ht="58" customHeight="1">
      <c r="A16" s="5" t="s">
        <v>7331</v>
      </c>
      <c r="B16" s="5" t="s">
        <v>7320</v>
      </c>
      <c r="C16" s="5" t="s">
        <v>7332</v>
      </c>
      <c r="D16" s="5" t="s">
        <v>7333</v>
      </c>
      <c r="E16" s="5" t="s">
        <v>7334</v>
      </c>
      <c r="F16" s="5" t="s">
        <v>7276</v>
      </c>
      <c r="G16" s="5" t="s">
        <v>1624</v>
      </c>
      <c r="H16" s="13" t="s">
        <v>7277</v>
      </c>
      <c r="I16" s="5" t="s">
        <v>7335</v>
      </c>
      <c r="J16" s="20">
        <v>0</v>
      </c>
      <c r="K16" s="20" t="s">
        <v>7305</v>
      </c>
      <c r="L16" s="20" t="s">
        <v>7306</v>
      </c>
    </row>
    <row r="17" spans="1:12" ht="58" customHeight="1">
      <c r="A17" s="4" t="s">
        <v>7336</v>
      </c>
      <c r="B17" s="4" t="s">
        <v>1642</v>
      </c>
      <c r="C17" s="4" t="s">
        <v>7337</v>
      </c>
      <c r="D17" s="4" t="s">
        <v>7338</v>
      </c>
      <c r="E17" s="4" t="s">
        <v>7339</v>
      </c>
      <c r="F17" s="4" t="s">
        <v>7340</v>
      </c>
      <c r="G17" s="4" t="s">
        <v>1644</v>
      </c>
      <c r="H17" s="13" t="s">
        <v>7277</v>
      </c>
      <c r="I17" s="4" t="s">
        <v>7341</v>
      </c>
      <c r="J17" s="20">
        <v>0</v>
      </c>
      <c r="K17" s="20" t="s">
        <v>7305</v>
      </c>
      <c r="L17" s="20" t="s">
        <v>7306</v>
      </c>
    </row>
    <row r="18" spans="1:12" ht="58" customHeight="1">
      <c r="A18" s="5" t="s">
        <v>7342</v>
      </c>
      <c r="B18" s="5" t="s">
        <v>7343</v>
      </c>
      <c r="C18" s="5" t="s">
        <v>7344</v>
      </c>
      <c r="D18" s="5" t="s">
        <v>7345</v>
      </c>
      <c r="E18" s="5" t="s">
        <v>7346</v>
      </c>
      <c r="F18" s="5" t="s">
        <v>7347</v>
      </c>
      <c r="G18" s="5" t="s">
        <v>1644</v>
      </c>
      <c r="H18" s="13" t="s">
        <v>7277</v>
      </c>
      <c r="I18" s="5" t="s">
        <v>7348</v>
      </c>
      <c r="J18" s="20">
        <v>0</v>
      </c>
      <c r="K18" s="20" t="s">
        <v>7305</v>
      </c>
      <c r="L18" s="20" t="s">
        <v>7306</v>
      </c>
    </row>
    <row r="19" spans="1:12" ht="58" customHeight="1">
      <c r="A19" s="4" t="s">
        <v>7349</v>
      </c>
      <c r="B19" s="4" t="s">
        <v>1642</v>
      </c>
      <c r="C19" s="4" t="s">
        <v>7350</v>
      </c>
      <c r="D19" s="4" t="s">
        <v>7351</v>
      </c>
      <c r="E19" s="4" t="s">
        <v>7352</v>
      </c>
      <c r="F19" s="4" t="s">
        <v>7297</v>
      </c>
      <c r="G19" s="4" t="s">
        <v>1644</v>
      </c>
      <c r="H19" s="13" t="s">
        <v>7277</v>
      </c>
      <c r="I19" s="4" t="s">
        <v>7335</v>
      </c>
      <c r="J19" s="20">
        <v>0</v>
      </c>
      <c r="K19" s="20" t="s">
        <v>7305</v>
      </c>
      <c r="L19" s="20" t="s">
        <v>7306</v>
      </c>
    </row>
    <row r="20" spans="1:12" ht="58" customHeight="1">
      <c r="A20" s="5" t="s">
        <v>7353</v>
      </c>
      <c r="B20" s="5" t="s">
        <v>1642</v>
      </c>
      <c r="C20" s="5" t="s">
        <v>7354</v>
      </c>
      <c r="D20" s="5" t="s">
        <v>7338</v>
      </c>
      <c r="E20" s="5" t="s">
        <v>7355</v>
      </c>
      <c r="F20" s="5" t="s">
        <v>7297</v>
      </c>
      <c r="G20" s="5" t="s">
        <v>1644</v>
      </c>
      <c r="H20" s="13" t="s">
        <v>7277</v>
      </c>
      <c r="I20" s="5" t="s">
        <v>7356</v>
      </c>
      <c r="J20" s="20">
        <v>0</v>
      </c>
      <c r="K20" s="20" t="s">
        <v>7305</v>
      </c>
      <c r="L20" s="20" t="s">
        <v>7306</v>
      </c>
    </row>
    <row r="21" spans="1:12" ht="58" customHeight="1">
      <c r="A21" s="4" t="s">
        <v>7357</v>
      </c>
      <c r="B21" s="4" t="s">
        <v>7343</v>
      </c>
      <c r="C21" s="4" t="s">
        <v>7358</v>
      </c>
      <c r="D21" s="4" t="s">
        <v>7351</v>
      </c>
      <c r="E21" s="4" t="s">
        <v>7359</v>
      </c>
      <c r="F21" s="4" t="s">
        <v>7360</v>
      </c>
      <c r="G21" s="4" t="s">
        <v>1644</v>
      </c>
      <c r="H21" s="13" t="s">
        <v>7277</v>
      </c>
      <c r="I21" s="4" t="s">
        <v>7361</v>
      </c>
      <c r="J21" s="20">
        <v>0</v>
      </c>
      <c r="K21" s="20" t="s">
        <v>7305</v>
      </c>
      <c r="L21" s="20" t="s">
        <v>7306</v>
      </c>
    </row>
    <row r="22" spans="1:12" ht="58" customHeight="1">
      <c r="A22" s="5" t="s">
        <v>7362</v>
      </c>
      <c r="B22" s="5" t="s">
        <v>1642</v>
      </c>
      <c r="C22" s="5" t="s">
        <v>7363</v>
      </c>
      <c r="D22" s="5" t="s">
        <v>7364</v>
      </c>
      <c r="E22" s="5" t="s">
        <v>7365</v>
      </c>
      <c r="F22" s="5" t="s">
        <v>7366</v>
      </c>
      <c r="G22" s="5" t="s">
        <v>1644</v>
      </c>
      <c r="H22" s="13" t="s">
        <v>7277</v>
      </c>
      <c r="I22" s="5" t="s">
        <v>7367</v>
      </c>
      <c r="J22" s="20">
        <v>0</v>
      </c>
      <c r="K22" s="20" t="s">
        <v>7305</v>
      </c>
      <c r="L22" s="20" t="s">
        <v>7306</v>
      </c>
    </row>
    <row r="23" spans="1:12" ht="58" customHeight="1">
      <c r="A23" s="4" t="s">
        <v>7368</v>
      </c>
      <c r="B23" s="4" t="s">
        <v>1642</v>
      </c>
      <c r="C23" s="4" t="s">
        <v>7369</v>
      </c>
      <c r="D23" s="4" t="s">
        <v>7370</v>
      </c>
      <c r="E23" s="4" t="s">
        <v>7371</v>
      </c>
      <c r="F23" s="4" t="s">
        <v>7372</v>
      </c>
      <c r="G23" s="4" t="s">
        <v>1644</v>
      </c>
      <c r="H23" s="13" t="s">
        <v>7277</v>
      </c>
      <c r="I23" s="4" t="s">
        <v>7373</v>
      </c>
      <c r="J23" s="20">
        <v>0</v>
      </c>
      <c r="K23" s="20" t="s">
        <v>7305</v>
      </c>
      <c r="L23" s="20" t="s">
        <v>7306</v>
      </c>
    </row>
    <row r="24" spans="1:12" ht="58" customHeight="1">
      <c r="A24" s="5" t="s">
        <v>7374</v>
      </c>
      <c r="B24" s="5" t="s">
        <v>7375</v>
      </c>
      <c r="C24" s="5" t="s">
        <v>7376</v>
      </c>
      <c r="D24" s="5" t="s">
        <v>1668</v>
      </c>
      <c r="E24" s="5" t="s">
        <v>7377</v>
      </c>
      <c r="F24" s="5" t="s">
        <v>7378</v>
      </c>
      <c r="G24" s="5" t="s">
        <v>1644</v>
      </c>
      <c r="H24" s="13" t="s">
        <v>7277</v>
      </c>
      <c r="I24" s="5"/>
      <c r="J24" s="20">
        <v>0</v>
      </c>
      <c r="K24" s="20" t="s">
        <v>7305</v>
      </c>
      <c r="L24" s="20" t="s">
        <v>7306</v>
      </c>
    </row>
    <row r="25" spans="1:12" ht="58" customHeight="1">
      <c r="A25" s="4" t="s">
        <v>7379</v>
      </c>
      <c r="B25" s="4" t="s">
        <v>7375</v>
      </c>
      <c r="C25" s="4" t="s">
        <v>7380</v>
      </c>
      <c r="D25" s="4" t="s">
        <v>1668</v>
      </c>
      <c r="E25" s="4" t="s">
        <v>7381</v>
      </c>
      <c r="F25" s="4" t="s">
        <v>7378</v>
      </c>
      <c r="G25" s="4" t="s">
        <v>1644</v>
      </c>
      <c r="H25" s="13" t="s">
        <v>7277</v>
      </c>
      <c r="I25" s="4"/>
      <c r="J25" s="20">
        <v>0</v>
      </c>
      <c r="K25" s="20" t="s">
        <v>7305</v>
      </c>
      <c r="L25" s="20" t="s">
        <v>7306</v>
      </c>
    </row>
    <row r="26" spans="1:12" ht="58" customHeight="1">
      <c r="A26" s="5" t="s">
        <v>7382</v>
      </c>
      <c r="B26" s="5" t="s">
        <v>7383</v>
      </c>
      <c r="C26" s="5" t="s">
        <v>7384</v>
      </c>
      <c r="D26" s="5" t="s">
        <v>7385</v>
      </c>
      <c r="E26" s="5" t="s">
        <v>7386</v>
      </c>
      <c r="F26" s="5" t="s">
        <v>7366</v>
      </c>
      <c r="G26" s="5" t="s">
        <v>1644</v>
      </c>
      <c r="H26" s="13" t="s">
        <v>7277</v>
      </c>
      <c r="I26" s="5" t="s">
        <v>7387</v>
      </c>
      <c r="J26" s="20">
        <v>3</v>
      </c>
      <c r="K26" s="20" t="s">
        <v>7279</v>
      </c>
      <c r="L26" s="20" t="s">
        <v>7388</v>
      </c>
    </row>
    <row r="27" spans="1:12" ht="58" customHeight="1">
      <c r="A27" s="4" t="s">
        <v>7389</v>
      </c>
      <c r="B27" s="4" t="s">
        <v>7383</v>
      </c>
      <c r="C27" s="4" t="s">
        <v>7390</v>
      </c>
      <c r="D27" s="4" t="s">
        <v>7391</v>
      </c>
      <c r="E27" s="4" t="s">
        <v>7392</v>
      </c>
      <c r="F27" s="4" t="s">
        <v>7297</v>
      </c>
      <c r="G27" s="4" t="s">
        <v>1644</v>
      </c>
      <c r="H27" s="13" t="s">
        <v>7277</v>
      </c>
      <c r="I27" s="4" t="s">
        <v>7393</v>
      </c>
      <c r="J27" s="20">
        <v>0</v>
      </c>
      <c r="K27" s="20" t="s">
        <v>7305</v>
      </c>
      <c r="L27" s="20" t="s">
        <v>7306</v>
      </c>
    </row>
    <row r="28" spans="1:12" ht="58" customHeight="1">
      <c r="A28" s="5" t="s">
        <v>7394</v>
      </c>
      <c r="B28" s="5" t="s">
        <v>7320</v>
      </c>
      <c r="C28" s="5" t="s">
        <v>7395</v>
      </c>
      <c r="D28" s="5" t="s">
        <v>164</v>
      </c>
      <c r="E28" s="5" t="s">
        <v>7396</v>
      </c>
      <c r="F28" s="5" t="s">
        <v>7397</v>
      </c>
      <c r="G28" s="5" t="s">
        <v>1624</v>
      </c>
      <c r="H28" s="13" t="s">
        <v>7277</v>
      </c>
      <c r="I28" s="5"/>
      <c r="J28" s="20">
        <v>0</v>
      </c>
      <c r="K28" s="20" t="s">
        <v>7305</v>
      </c>
      <c r="L28" s="20" t="s">
        <v>7306</v>
      </c>
    </row>
    <row r="29" spans="1:12" ht="58" customHeight="1">
      <c r="A29" s="4" t="s">
        <v>7398</v>
      </c>
      <c r="B29" s="4" t="s">
        <v>7399</v>
      </c>
      <c r="C29" s="4" t="s">
        <v>7400</v>
      </c>
      <c r="D29" s="4" t="s">
        <v>7401</v>
      </c>
      <c r="E29" s="4" t="s">
        <v>7402</v>
      </c>
      <c r="F29" s="4" t="s">
        <v>7276</v>
      </c>
      <c r="G29" s="4" t="s">
        <v>1624</v>
      </c>
      <c r="H29" s="13" t="s">
        <v>7277</v>
      </c>
      <c r="I29" s="4" t="s">
        <v>7403</v>
      </c>
      <c r="J29" s="20">
        <v>0</v>
      </c>
      <c r="K29" s="20" t="s">
        <v>7305</v>
      </c>
      <c r="L29" s="20" t="s">
        <v>7306</v>
      </c>
    </row>
    <row r="30" spans="1:12" ht="58" customHeight="1">
      <c r="A30" s="5" t="s">
        <v>4404</v>
      </c>
      <c r="B30" s="5" t="s">
        <v>7404</v>
      </c>
      <c r="C30" s="5" t="s">
        <v>7405</v>
      </c>
      <c r="D30" s="5" t="s">
        <v>7406</v>
      </c>
      <c r="E30" s="5" t="s">
        <v>7407</v>
      </c>
      <c r="F30" s="5" t="s">
        <v>7397</v>
      </c>
      <c r="G30" s="5" t="s">
        <v>1624</v>
      </c>
      <c r="H30" s="13" t="s">
        <v>7277</v>
      </c>
      <c r="I30" s="5"/>
      <c r="J30" s="20">
        <v>5</v>
      </c>
      <c r="K30" s="20" t="s">
        <v>7279</v>
      </c>
      <c r="L30" s="20" t="s">
        <v>7408</v>
      </c>
    </row>
    <row r="31" spans="1:12" ht="58" customHeight="1">
      <c r="A31" s="4" t="s">
        <v>7409</v>
      </c>
      <c r="B31" s="4" t="s">
        <v>7410</v>
      </c>
      <c r="C31" s="4" t="s">
        <v>7411</v>
      </c>
      <c r="D31" s="4" t="s">
        <v>211</v>
      </c>
      <c r="E31" s="4" t="s">
        <v>7412</v>
      </c>
      <c r="F31" s="4" t="s">
        <v>7397</v>
      </c>
      <c r="G31" s="4" t="s">
        <v>1624</v>
      </c>
      <c r="H31" s="13" t="s">
        <v>7277</v>
      </c>
      <c r="I31" s="4"/>
      <c r="J31" s="20">
        <v>0</v>
      </c>
      <c r="K31" s="20" t="s">
        <v>7305</v>
      </c>
      <c r="L31" s="20" t="s">
        <v>7306</v>
      </c>
    </row>
    <row r="32" spans="1:12" ht="58" customHeight="1">
      <c r="A32" s="5" t="s">
        <v>5961</v>
      </c>
      <c r="B32" s="5" t="s">
        <v>7399</v>
      </c>
      <c r="C32" s="5" t="s">
        <v>7413</v>
      </c>
      <c r="D32" s="5" t="s">
        <v>7414</v>
      </c>
      <c r="E32" s="5" t="s">
        <v>7415</v>
      </c>
      <c r="F32" s="5" t="s">
        <v>7397</v>
      </c>
      <c r="G32" s="5" t="s">
        <v>1624</v>
      </c>
      <c r="H32" s="13" t="s">
        <v>7277</v>
      </c>
      <c r="I32" s="5"/>
      <c r="J32" s="20">
        <v>2</v>
      </c>
      <c r="K32" s="20" t="s">
        <v>7279</v>
      </c>
      <c r="L32" s="20" t="s">
        <v>7416</v>
      </c>
    </row>
    <row r="33" spans="1:12" ht="58" customHeight="1">
      <c r="A33" s="4" t="s">
        <v>7417</v>
      </c>
      <c r="B33" s="4" t="s">
        <v>7320</v>
      </c>
      <c r="C33" s="4" t="s">
        <v>7418</v>
      </c>
      <c r="D33" s="4" t="s">
        <v>7419</v>
      </c>
      <c r="E33" s="4" t="s">
        <v>7420</v>
      </c>
      <c r="F33" s="4" t="s">
        <v>7397</v>
      </c>
      <c r="G33" s="4" t="s">
        <v>1624</v>
      </c>
      <c r="H33" s="13" t="s">
        <v>7277</v>
      </c>
      <c r="I33" s="4"/>
      <c r="J33" s="20">
        <v>0</v>
      </c>
      <c r="K33" s="20" t="s">
        <v>7305</v>
      </c>
      <c r="L33" s="20" t="s">
        <v>7306</v>
      </c>
    </row>
    <row r="34" spans="1:12" ht="58" customHeight="1">
      <c r="A34" s="5" t="s">
        <v>7421</v>
      </c>
      <c r="B34" s="5" t="s">
        <v>7404</v>
      </c>
      <c r="C34" s="5" t="s">
        <v>7422</v>
      </c>
      <c r="D34" s="5" t="s">
        <v>7351</v>
      </c>
      <c r="E34" s="5" t="s">
        <v>7423</v>
      </c>
      <c r="F34" s="5" t="s">
        <v>7397</v>
      </c>
      <c r="G34" s="5" t="s">
        <v>1624</v>
      </c>
      <c r="H34" s="13" t="s">
        <v>7277</v>
      </c>
      <c r="I34" s="5"/>
      <c r="J34" s="20">
        <v>0</v>
      </c>
      <c r="K34" s="20" t="s">
        <v>7305</v>
      </c>
      <c r="L34" s="20" t="s">
        <v>7306</v>
      </c>
    </row>
    <row r="35" spans="1:12" ht="58" customHeight="1">
      <c r="A35" s="4" t="s">
        <v>7424</v>
      </c>
      <c r="B35" s="4" t="s">
        <v>7425</v>
      </c>
      <c r="C35" s="4" t="s">
        <v>7426</v>
      </c>
      <c r="D35" s="4" t="s">
        <v>7427</v>
      </c>
      <c r="E35" s="4" t="s">
        <v>7428</v>
      </c>
      <c r="F35" s="4" t="s">
        <v>7397</v>
      </c>
      <c r="G35" s="4" t="s">
        <v>1624</v>
      </c>
      <c r="H35" s="13" t="s">
        <v>7277</v>
      </c>
      <c r="I35" s="4"/>
      <c r="J35" s="20">
        <v>0</v>
      </c>
      <c r="K35" s="20" t="s">
        <v>7305</v>
      </c>
      <c r="L35" s="20" t="s">
        <v>7306</v>
      </c>
    </row>
    <row r="36" spans="1:12" ht="58" customHeight="1">
      <c r="A36" s="5" t="s">
        <v>7429</v>
      </c>
      <c r="B36" s="5" t="s">
        <v>7425</v>
      </c>
      <c r="C36" s="5" t="s">
        <v>7430</v>
      </c>
      <c r="D36" s="5" t="s">
        <v>7351</v>
      </c>
      <c r="E36" s="5" t="s">
        <v>7431</v>
      </c>
      <c r="F36" s="5" t="s">
        <v>7397</v>
      </c>
      <c r="G36" s="5" t="s">
        <v>1624</v>
      </c>
      <c r="H36" s="13" t="s">
        <v>7277</v>
      </c>
      <c r="I36" s="5"/>
      <c r="J36" s="20">
        <v>0</v>
      </c>
      <c r="K36" s="20" t="s">
        <v>7305</v>
      </c>
      <c r="L36" s="20" t="s">
        <v>7306</v>
      </c>
    </row>
    <row r="37" spans="1:12" ht="58" customHeight="1">
      <c r="A37" s="4" t="s">
        <v>7432</v>
      </c>
      <c r="B37" s="4" t="s">
        <v>7399</v>
      </c>
      <c r="C37" s="4" t="s">
        <v>7433</v>
      </c>
      <c r="D37" s="4" t="s">
        <v>7434</v>
      </c>
      <c r="E37" s="4" t="s">
        <v>7435</v>
      </c>
      <c r="F37" s="4" t="s">
        <v>7276</v>
      </c>
      <c r="G37" s="4" t="s">
        <v>1624</v>
      </c>
      <c r="H37" s="13" t="s">
        <v>7277</v>
      </c>
      <c r="I37" s="4" t="s">
        <v>7436</v>
      </c>
      <c r="J37" s="20">
        <v>0</v>
      </c>
      <c r="K37" s="20" t="s">
        <v>7305</v>
      </c>
      <c r="L37" s="20" t="s">
        <v>7306</v>
      </c>
    </row>
    <row r="38" spans="1:12" ht="58" customHeight="1">
      <c r="A38" s="5" t="s">
        <v>7437</v>
      </c>
      <c r="B38" s="5" t="s">
        <v>7425</v>
      </c>
      <c r="C38" s="5" t="s">
        <v>7438</v>
      </c>
      <c r="D38" s="5" t="s">
        <v>7333</v>
      </c>
      <c r="E38" s="5" t="s">
        <v>7439</v>
      </c>
      <c r="F38" s="5" t="s">
        <v>7397</v>
      </c>
      <c r="G38" s="5" t="s">
        <v>1624</v>
      </c>
      <c r="H38" s="13" t="s">
        <v>7277</v>
      </c>
      <c r="I38" s="5"/>
      <c r="J38" s="20">
        <v>0</v>
      </c>
      <c r="K38" s="20" t="s">
        <v>7305</v>
      </c>
      <c r="L38" s="20" t="s">
        <v>7306</v>
      </c>
    </row>
    <row r="39" spans="1:12" ht="58" customHeight="1">
      <c r="A39" s="4" t="s">
        <v>7440</v>
      </c>
      <c r="B39" s="4" t="s">
        <v>7441</v>
      </c>
      <c r="C39" s="4" t="s">
        <v>7442</v>
      </c>
      <c r="D39" s="4" t="s">
        <v>7443</v>
      </c>
      <c r="E39" s="4" t="s">
        <v>7444</v>
      </c>
      <c r="F39" s="4" t="s">
        <v>7397</v>
      </c>
      <c r="G39" s="4" t="s">
        <v>1624</v>
      </c>
      <c r="H39" s="13" t="s">
        <v>7277</v>
      </c>
      <c r="I39" s="4"/>
      <c r="J39" s="20">
        <v>0</v>
      </c>
      <c r="K39" s="20" t="s">
        <v>7305</v>
      </c>
      <c r="L39" s="20" t="s">
        <v>7306</v>
      </c>
    </row>
    <row r="40" spans="1:12" ht="58" customHeight="1">
      <c r="A40" s="5" t="s">
        <v>7445</v>
      </c>
      <c r="B40" s="5" t="s">
        <v>7404</v>
      </c>
      <c r="C40" s="5" t="s">
        <v>7446</v>
      </c>
      <c r="D40" s="5" t="s">
        <v>7351</v>
      </c>
      <c r="E40" s="5" t="s">
        <v>7447</v>
      </c>
      <c r="F40" s="5" t="s">
        <v>7397</v>
      </c>
      <c r="G40" s="5" t="s">
        <v>1624</v>
      </c>
      <c r="H40" s="13" t="s">
        <v>7277</v>
      </c>
      <c r="I40" s="5"/>
      <c r="J40" s="20">
        <v>0</v>
      </c>
      <c r="K40" s="20" t="s">
        <v>7305</v>
      </c>
      <c r="L40" s="20" t="s">
        <v>7306</v>
      </c>
    </row>
    <row r="41" spans="1:12" ht="58" customHeight="1">
      <c r="A41" s="4" t="s">
        <v>7448</v>
      </c>
      <c r="B41" s="4" t="s">
        <v>7320</v>
      </c>
      <c r="C41" s="4" t="s">
        <v>7449</v>
      </c>
      <c r="D41" s="4" t="s">
        <v>7351</v>
      </c>
      <c r="E41" s="4" t="s">
        <v>7450</v>
      </c>
      <c r="F41" s="4" t="s">
        <v>7397</v>
      </c>
      <c r="G41" s="4" t="s">
        <v>1624</v>
      </c>
      <c r="H41" s="13" t="s">
        <v>7277</v>
      </c>
      <c r="I41" s="4"/>
      <c r="J41" s="20">
        <v>0</v>
      </c>
      <c r="K41" s="20" t="s">
        <v>7305</v>
      </c>
      <c r="L41" s="20" t="s">
        <v>7306</v>
      </c>
    </row>
    <row r="42" spans="1:12" ht="58" customHeight="1">
      <c r="A42" s="5" t="s">
        <v>7451</v>
      </c>
      <c r="B42" s="5" t="s">
        <v>7399</v>
      </c>
      <c r="C42" s="5" t="s">
        <v>7452</v>
      </c>
      <c r="D42" s="5" t="s">
        <v>7453</v>
      </c>
      <c r="E42" s="5" t="s">
        <v>7454</v>
      </c>
      <c r="F42" s="5" t="s">
        <v>7276</v>
      </c>
      <c r="G42" s="5" t="s">
        <v>1624</v>
      </c>
      <c r="H42" s="13" t="s">
        <v>7277</v>
      </c>
      <c r="I42" s="5" t="s">
        <v>7455</v>
      </c>
      <c r="J42" s="20">
        <v>0</v>
      </c>
      <c r="K42" s="20" t="s">
        <v>7305</v>
      </c>
      <c r="L42" s="20" t="s">
        <v>7306</v>
      </c>
    </row>
    <row r="43" spans="1:12">
      <c r="A43" s="4"/>
      <c r="B43" s="4"/>
      <c r="C43" s="4"/>
      <c r="D43" s="4"/>
      <c r="E43" s="4"/>
      <c r="F43" s="4"/>
      <c r="G43" s="4"/>
      <c r="H43" s="4"/>
      <c r="I43" s="4"/>
      <c r="J43" s="3"/>
      <c r="K43" s="3"/>
      <c r="L43" s="3"/>
    </row>
    <row r="44" spans="1:12">
      <c r="A44" s="4"/>
      <c r="B44" s="4"/>
      <c r="C44" s="4"/>
      <c r="D44" s="4"/>
      <c r="E44" s="4"/>
      <c r="F44" s="4"/>
      <c r="G44" s="4"/>
      <c r="H44" s="4"/>
      <c r="I44" s="4"/>
      <c r="J44" s="3"/>
      <c r="K44" s="3"/>
      <c r="L44" s="3"/>
    </row>
    <row r="45" spans="1:12" ht="30" customHeight="1">
      <c r="A45" s="19" t="s">
        <v>7456</v>
      </c>
      <c r="B45" s="19" t="s">
        <v>7457</v>
      </c>
      <c r="C45" s="19" t="s">
        <v>7458</v>
      </c>
      <c r="D45" s="19" t="s">
        <v>7459</v>
      </c>
      <c r="E45" s="4"/>
      <c r="F45" s="4"/>
      <c r="G45" s="4"/>
      <c r="H45" s="4"/>
      <c r="I45" s="4"/>
      <c r="J45" s="3"/>
      <c r="K45" s="3"/>
      <c r="L45" s="3"/>
    </row>
    <row r="46" spans="1:12" ht="105" customHeight="1">
      <c r="A46" s="4" t="s">
        <v>7460</v>
      </c>
      <c r="B46" s="4" t="s">
        <v>7461</v>
      </c>
      <c r="C46" s="4" t="s">
        <v>7462</v>
      </c>
      <c r="D46" s="4" t="s">
        <v>7463</v>
      </c>
      <c r="E46" s="4"/>
      <c r="F46" s="4"/>
      <c r="G46" s="4"/>
      <c r="H46" s="4"/>
      <c r="I46" s="4"/>
      <c r="J46" s="3"/>
      <c r="K46" s="3"/>
      <c r="L46" s="3"/>
    </row>
    <row r="47" spans="1:12" ht="105" customHeight="1">
      <c r="A47" s="4" t="s">
        <v>7464</v>
      </c>
      <c r="B47" s="4" t="s">
        <v>7465</v>
      </c>
      <c r="C47" s="4" t="s">
        <v>7466</v>
      </c>
      <c r="D47" s="4" t="s">
        <v>7467</v>
      </c>
      <c r="E47" s="4"/>
      <c r="F47" s="4"/>
      <c r="G47" s="4"/>
      <c r="H47" s="4"/>
      <c r="I47" s="4"/>
      <c r="J47" s="3"/>
      <c r="K47" s="3"/>
      <c r="L47" s="3"/>
    </row>
    <row r="48" spans="1:12" ht="105" customHeight="1">
      <c r="A48" s="4" t="s">
        <v>7468</v>
      </c>
      <c r="B48" s="4" t="s">
        <v>7469</v>
      </c>
      <c r="C48" s="4" t="s">
        <v>7470</v>
      </c>
      <c r="D48" s="4" t="s">
        <v>7471</v>
      </c>
      <c r="E48" s="4"/>
      <c r="F48" s="4"/>
      <c r="G48" s="4"/>
      <c r="H48" s="4"/>
      <c r="I48" s="4"/>
      <c r="J48" s="3"/>
      <c r="K48" s="3"/>
      <c r="L48" s="3"/>
    </row>
    <row r="49" spans="1:12" ht="105" customHeight="1">
      <c r="A49" s="4" t="s">
        <v>7472</v>
      </c>
      <c r="B49" s="4" t="s">
        <v>7473</v>
      </c>
      <c r="C49" s="4" t="s">
        <v>7474</v>
      </c>
      <c r="D49" s="4" t="s">
        <v>7475</v>
      </c>
      <c r="E49" s="4"/>
      <c r="F49" s="4"/>
      <c r="G49" s="4"/>
      <c r="H49" s="4"/>
      <c r="I49" s="4"/>
      <c r="J49" s="3"/>
      <c r="K49" s="3"/>
      <c r="L49" s="3"/>
    </row>
    <row r="50" spans="1:12" ht="105" customHeight="1">
      <c r="A50" s="4" t="s">
        <v>7476</v>
      </c>
      <c r="B50" s="4" t="s">
        <v>7477</v>
      </c>
      <c r="C50" s="4" t="s">
        <v>7278</v>
      </c>
      <c r="D50" s="4" t="s">
        <v>7478</v>
      </c>
      <c r="E50" s="4"/>
      <c r="F50" s="4"/>
      <c r="G50" s="4"/>
      <c r="H50" s="4"/>
      <c r="I50" s="4"/>
      <c r="J50" s="3"/>
      <c r="K50" s="3"/>
      <c r="L50" s="3"/>
    </row>
    <row r="51" spans="1:12" ht="105" customHeight="1">
      <c r="A51" s="4" t="s">
        <v>7476</v>
      </c>
      <c r="B51" s="4" t="s">
        <v>7479</v>
      </c>
      <c r="C51" s="4" t="s">
        <v>7403</v>
      </c>
      <c r="D51" s="4" t="s">
        <v>7480</v>
      </c>
      <c r="E51" s="4"/>
      <c r="F51" s="4"/>
      <c r="G51" s="4"/>
      <c r="H51" s="4"/>
      <c r="I51" s="4"/>
      <c r="J51" s="3"/>
      <c r="K51" s="3"/>
      <c r="L51" s="3"/>
    </row>
    <row r="52" spans="1:12" ht="105" customHeight="1">
      <c r="A52" s="4" t="s">
        <v>7476</v>
      </c>
      <c r="B52" s="4" t="s">
        <v>7481</v>
      </c>
      <c r="C52" s="4" t="s">
        <v>7436</v>
      </c>
      <c r="D52" s="4" t="s">
        <v>7482</v>
      </c>
      <c r="E52" s="4"/>
      <c r="F52" s="4"/>
      <c r="G52" s="4"/>
      <c r="H52" s="4"/>
      <c r="I52" s="4"/>
      <c r="J52" s="3"/>
      <c r="K52" s="3"/>
      <c r="L52" s="3"/>
    </row>
    <row r="53" spans="1:12" ht="105" customHeight="1">
      <c r="A53" s="4" t="s">
        <v>7483</v>
      </c>
      <c r="B53" s="4" t="s">
        <v>7484</v>
      </c>
      <c r="C53" s="4" t="s">
        <v>7485</v>
      </c>
      <c r="D53" s="4" t="s">
        <v>7486</v>
      </c>
      <c r="E53" s="4"/>
      <c r="F53" s="4"/>
      <c r="G53" s="4"/>
      <c r="H53" s="4"/>
      <c r="I53" s="4"/>
      <c r="J53" s="3"/>
      <c r="K53" s="3"/>
      <c r="L53" s="3"/>
    </row>
    <row r="54" spans="1:12" ht="105" customHeight="1">
      <c r="A54" s="4" t="s">
        <v>7483</v>
      </c>
      <c r="B54" s="4" t="s">
        <v>7487</v>
      </c>
      <c r="C54" s="4" t="s">
        <v>7488</v>
      </c>
      <c r="D54" s="4" t="s">
        <v>7489</v>
      </c>
      <c r="E54" s="4"/>
      <c r="F54" s="4"/>
      <c r="G54" s="4"/>
      <c r="H54" s="4"/>
      <c r="I54" s="4"/>
      <c r="J54" s="3"/>
      <c r="K54" s="3"/>
      <c r="L54" s="3"/>
    </row>
    <row r="55" spans="1:12">
      <c r="A55" s="1"/>
      <c r="B55" s="1"/>
      <c r="C55" s="1"/>
      <c r="D55" s="1"/>
      <c r="E55" s="1"/>
      <c r="F55" s="1"/>
      <c r="G55" s="1"/>
      <c r="H55" s="1"/>
      <c r="I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</row>
    <row r="61" spans="1:12">
      <c r="A61" s="1"/>
      <c r="B61" s="1"/>
      <c r="C61" s="1"/>
      <c r="D61" s="1"/>
      <c r="E61" s="1"/>
      <c r="F61" s="1"/>
      <c r="G61" s="1"/>
      <c r="H61" s="1"/>
      <c r="I61" s="1"/>
    </row>
  </sheetData>
  <mergeCells count="2">
    <mergeCell ref="A2:E2"/>
    <mergeCell ref="A3:F3"/>
  </mergeCells>
  <phoneticPr fontId="10" type="noConversion"/>
  <dataValidations count="1">
    <dataValidation type="list" sqref="H7:H42" xr:uid="{00000000-0002-0000-0300-000000000000}">
      <formula1>"미검토,기본,대체,시험,보류"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65870"/>
  </sheetPr>
  <dimension ref="A2:W373"/>
  <sheetViews>
    <sheetView showGridLines="0" workbookViewId="0">
      <pane xSplit="2" ySplit="6" topLeftCell="W7" activePane="bottomRight" state="frozen"/>
      <selection pane="topRight"/>
      <selection pane="bottomLeft"/>
      <selection pane="bottomRight" activeCell="C7" sqref="C7"/>
    </sheetView>
  </sheetViews>
  <sheetFormatPr defaultRowHeight="14"/>
  <cols>
    <col min="1" max="1" width="39" customWidth="1"/>
    <col min="2" max="2" width="22" customWidth="1"/>
    <col min="3" max="3" width="16" customWidth="1"/>
    <col min="4" max="4" width="8" customWidth="1"/>
    <col min="5" max="5" width="18" customWidth="1"/>
    <col min="6" max="6" width="60" customWidth="1"/>
    <col min="7" max="7" width="27" customWidth="1"/>
    <col min="8" max="8" width="14" customWidth="1"/>
    <col min="9" max="9" width="10" customWidth="1"/>
    <col min="10" max="10" width="14" customWidth="1"/>
    <col min="11" max="11" width="12" customWidth="1"/>
    <col min="12" max="14" width="14" customWidth="1"/>
    <col min="15" max="15" width="16" customWidth="1"/>
    <col min="16" max="17" width="18" customWidth="1"/>
    <col min="18" max="18" width="15" customWidth="1"/>
    <col min="19" max="19" width="16" customWidth="1"/>
    <col min="20" max="20" width="27" customWidth="1"/>
    <col min="21" max="21" width="32" customWidth="1"/>
    <col min="22" max="22" width="42" customWidth="1"/>
    <col min="23" max="23" width="62" customWidth="1"/>
  </cols>
  <sheetData>
    <row r="2" spans="1:23" ht="20">
      <c r="A2" s="17" t="s">
        <v>7490</v>
      </c>
    </row>
    <row r="3" spans="1:23">
      <c r="A3" s="18" t="s">
        <v>7491</v>
      </c>
    </row>
    <row r="4" spans="1:23">
      <c r="A4" s="18"/>
    </row>
    <row r="6" spans="1:23" ht="33" customHeight="1">
      <c r="A6" s="10" t="s">
        <v>7492</v>
      </c>
      <c r="B6" s="10" t="s">
        <v>524</v>
      </c>
      <c r="C6" s="10" t="s">
        <v>3</v>
      </c>
      <c r="D6" s="10" t="s">
        <v>525</v>
      </c>
      <c r="E6" s="10" t="s">
        <v>7493</v>
      </c>
      <c r="F6" s="10" t="s">
        <v>7494</v>
      </c>
      <c r="G6" s="10" t="s">
        <v>1596</v>
      </c>
      <c r="H6" s="10" t="s">
        <v>7</v>
      </c>
      <c r="I6" s="10" t="s">
        <v>1604</v>
      </c>
      <c r="J6" s="10" t="s">
        <v>7495</v>
      </c>
      <c r="K6" s="10" t="s">
        <v>7496</v>
      </c>
      <c r="L6" s="10" t="s">
        <v>7497</v>
      </c>
      <c r="M6" s="10" t="s">
        <v>7498</v>
      </c>
      <c r="N6" s="10" t="s">
        <v>7499</v>
      </c>
      <c r="O6" s="10" t="s">
        <v>7500</v>
      </c>
      <c r="P6" s="10" t="s">
        <v>540</v>
      </c>
      <c r="Q6" s="10" t="s">
        <v>541</v>
      </c>
      <c r="R6" s="10" t="s">
        <v>7501</v>
      </c>
      <c r="S6" s="10" t="s">
        <v>7502</v>
      </c>
      <c r="T6" s="10" t="s">
        <v>7503</v>
      </c>
      <c r="U6" s="10" t="s">
        <v>7504</v>
      </c>
      <c r="V6" s="10" t="s">
        <v>7505</v>
      </c>
      <c r="W6" s="10" t="s">
        <v>7506</v>
      </c>
    </row>
    <row r="7" spans="1:23" ht="33" customHeight="1">
      <c r="A7" s="6" t="s">
        <v>7507</v>
      </c>
      <c r="B7" s="6" t="s">
        <v>556</v>
      </c>
      <c r="C7" s="6" t="s">
        <v>25</v>
      </c>
      <c r="D7" s="6">
        <v>2</v>
      </c>
      <c r="E7" s="6" t="s">
        <v>558</v>
      </c>
      <c r="F7" s="6" t="str">
        <f>IFERROR(INDEX('03_상품분류2526'!$C$7:$C$2532,MATCH(E7,'03_상품분류2526'!$A$7:$A$2532,0)),"코드 확인")</f>
        <v>리쥬비넥스크림</v>
      </c>
      <c r="G7" s="6" t="str">
        <f>IFERROR(INDEX('03_상품분류2526'!$D$7:$D$2532,MATCH(E7,'03_상품분류2526'!$A$7:$A$2532,0)),"코드 확인")</f>
        <v>10g</v>
      </c>
      <c r="H7" s="6" t="s">
        <v>7508</v>
      </c>
      <c r="I7" s="6" t="str">
        <f>IFERROR(INDEX('03_상품분류2526'!$M$7:$M$2532,MATCH(E7,'03_상품분류2526'!$A$7:$A$2532,0)),"코드 확인")</f>
        <v>A</v>
      </c>
      <c r="J7" s="6">
        <v>1</v>
      </c>
      <c r="K7" s="15">
        <v>2</v>
      </c>
      <c r="L7" s="6" t="str">
        <f>IFERROR(IF(INDEX('03_상품분류2526'!$V$7:$V$2532,MATCH(E7,'03_상품분류2526'!$A$7:$A$2532,0))="","",INDEX('03_상품분류2526'!$V$7:$V$2532,MATCH(E7,'03_상품분류2526'!$A$7:$A$2532,0))),"")</f>
        <v/>
      </c>
      <c r="M7" s="6" t="str">
        <f>IFERROR(IF(INDEX('03_상품분류2526'!$W$7:$W$2532,MATCH(E7,'03_상품분류2526'!$A$7:$A$2532,0))="","",INDEX('03_상품분류2526'!$W$7:$W$2532,MATCH(E7,'03_상품분류2526'!$A$7:$A$2532,0))),"")</f>
        <v/>
      </c>
      <c r="N7" s="6" t="str">
        <f>IFERROR(IF(INDEX('03_상품분류2526'!$X$7:$X$2532,MATCH(E7,'03_상품분류2526'!$A$7:$A$2532,0))="","",INDEX('03_상품분류2526'!$X$7:$X$2532,MATCH(E7,'03_상품분류2526'!$A$7:$A$2532,0))),"")</f>
        <v/>
      </c>
      <c r="O7" s="6">
        <f>'02_선반315'!R8</f>
        <v>865</v>
      </c>
      <c r="P7" s="6">
        <f>'02_선반315'!T8</f>
        <v>290</v>
      </c>
      <c r="Q7" s="6">
        <f>'02_선반315'!U8</f>
        <v>270</v>
      </c>
      <c r="R7" s="6">
        <f>'02_선반315'!S8</f>
        <v>330</v>
      </c>
      <c r="S7" s="6" t="str">
        <f t="shared" ref="S7:S70" si="0">IF(K7=0,0,IF(L7="","",K7*L7))</f>
        <v/>
      </c>
      <c r="T7" s="6" t="str">
        <f t="shared" ref="T7:T70" si="1">IF(K7=0,"미진열",IF(OR(L7="",M7="",N7=""),"입력 대기",IF(AND(L7&gt;0,M7&gt;0,N7&gt;0,S7&lt;=O7,M7&lt;=Q7,N7&lt;=R7),"개별 범위 내","치수 초과")))</f>
        <v>입력 대기</v>
      </c>
      <c r="U7" s="6" t="s">
        <v>7509</v>
      </c>
      <c r="V7" s="6" t="s">
        <v>555</v>
      </c>
      <c r="W7" s="6" t="s">
        <v>554</v>
      </c>
    </row>
    <row r="8" spans="1:23" ht="33" customHeight="1">
      <c r="A8" s="6" t="s">
        <v>7510</v>
      </c>
      <c r="B8" s="6" t="s">
        <v>562</v>
      </c>
      <c r="C8" s="6" t="s">
        <v>25</v>
      </c>
      <c r="D8" s="6">
        <v>3</v>
      </c>
      <c r="E8" s="6" t="s">
        <v>1629</v>
      </c>
      <c r="F8" s="6" t="str">
        <f>IFERROR(INDEX('03_상품분류2526'!$C$7:$C$2532,MATCH(E8,'03_상품분류2526'!$A$7:$A$2532,0)),"코드 확인")</f>
        <v>리도프론크림</v>
      </c>
      <c r="G8" s="6" t="str">
        <f>IFERROR(INDEX('03_상품분류2526'!$D$7:$D$2532,MATCH(E8,'03_상품분류2526'!$A$7:$A$2532,0)),"코드 확인")</f>
        <v>30g</v>
      </c>
      <c r="H8" s="6" t="s">
        <v>7508</v>
      </c>
      <c r="I8" s="6" t="str">
        <f>IFERROR(INDEX('03_상품분류2526'!$M$7:$M$2532,MATCH(E8,'03_상품분류2526'!$A$7:$A$2532,0)),"코드 확인")</f>
        <v>B</v>
      </c>
      <c r="J8" s="6">
        <v>1</v>
      </c>
      <c r="K8" s="15">
        <v>1</v>
      </c>
      <c r="L8" s="6" t="str">
        <f>IFERROR(IF(INDEX('03_상품분류2526'!$V$7:$V$2532,MATCH(E8,'03_상품분류2526'!$A$7:$A$2532,0))="","",INDEX('03_상품분류2526'!$V$7:$V$2532,MATCH(E8,'03_상품분류2526'!$A$7:$A$2532,0))),"")</f>
        <v/>
      </c>
      <c r="M8" s="6" t="str">
        <f>IFERROR(IF(INDEX('03_상품분류2526'!$W$7:$W$2532,MATCH(E8,'03_상품분류2526'!$A$7:$A$2532,0))="","",INDEX('03_상품분류2526'!$W$7:$W$2532,MATCH(E8,'03_상품분류2526'!$A$7:$A$2532,0))),"")</f>
        <v/>
      </c>
      <c r="N8" s="6" t="str">
        <f>IFERROR(IF(INDEX('03_상품분류2526'!$X$7:$X$2532,MATCH(E8,'03_상품분류2526'!$A$7:$A$2532,0))="","",INDEX('03_상품분류2526'!$X$7:$X$2532,MATCH(E8,'03_상품분류2526'!$A$7:$A$2532,0))),"")</f>
        <v/>
      </c>
      <c r="O8" s="6">
        <f>'02_선반315'!R9</f>
        <v>865</v>
      </c>
      <c r="P8" s="6">
        <f>'02_선반315'!T9</f>
        <v>290</v>
      </c>
      <c r="Q8" s="6">
        <f>'02_선반315'!U9</f>
        <v>270</v>
      </c>
      <c r="R8" s="6">
        <f>'02_선반315'!S9</f>
        <v>330</v>
      </c>
      <c r="S8" s="6" t="str">
        <f t="shared" si="0"/>
        <v/>
      </c>
      <c r="T8" s="6" t="str">
        <f t="shared" si="1"/>
        <v>입력 대기</v>
      </c>
      <c r="U8" s="6" t="s">
        <v>7509</v>
      </c>
      <c r="V8" s="6" t="s">
        <v>555</v>
      </c>
      <c r="W8" s="6" t="s">
        <v>554</v>
      </c>
    </row>
    <row r="9" spans="1:23" ht="33" customHeight="1">
      <c r="A9" s="6" t="s">
        <v>7511</v>
      </c>
      <c r="B9" s="6" t="s">
        <v>562</v>
      </c>
      <c r="C9" s="6" t="s">
        <v>25</v>
      </c>
      <c r="D9" s="6">
        <v>3</v>
      </c>
      <c r="E9" s="6" t="s">
        <v>5890</v>
      </c>
      <c r="F9" s="6" t="str">
        <f>IFERROR(INDEX('03_상품분류2526'!$C$7:$C$2532,MATCH(E9,'03_상품분류2526'!$A$7:$A$2532,0)),"코드 확인")</f>
        <v>녹십자노바손크림</v>
      </c>
      <c r="G9" s="6" t="str">
        <f>IFERROR(INDEX('03_상품분류2526'!$D$7:$D$2532,MATCH(E9,'03_상품분류2526'!$A$7:$A$2532,0)),"코드 확인")</f>
        <v>15g</v>
      </c>
      <c r="H9" s="6" t="s">
        <v>7508</v>
      </c>
      <c r="I9" s="6" t="str">
        <f>IFERROR(INDEX('03_상품분류2526'!$M$7:$M$2532,MATCH(E9,'03_상품분류2526'!$A$7:$A$2532,0)),"코드 확인")</f>
        <v>B</v>
      </c>
      <c r="J9" s="6">
        <v>2</v>
      </c>
      <c r="K9" s="15">
        <v>1</v>
      </c>
      <c r="L9" s="6" t="str">
        <f>IFERROR(IF(INDEX('03_상품분류2526'!$V$7:$V$2532,MATCH(E9,'03_상품분류2526'!$A$7:$A$2532,0))="","",INDEX('03_상품분류2526'!$V$7:$V$2532,MATCH(E9,'03_상품분류2526'!$A$7:$A$2532,0))),"")</f>
        <v/>
      </c>
      <c r="M9" s="6" t="str">
        <f>IFERROR(IF(INDEX('03_상품분류2526'!$W$7:$W$2532,MATCH(E9,'03_상품분류2526'!$A$7:$A$2532,0))="","",INDEX('03_상품분류2526'!$W$7:$W$2532,MATCH(E9,'03_상품분류2526'!$A$7:$A$2532,0))),"")</f>
        <v/>
      </c>
      <c r="N9" s="6" t="str">
        <f>IFERROR(IF(INDEX('03_상품분류2526'!$X$7:$X$2532,MATCH(E9,'03_상품분류2526'!$A$7:$A$2532,0))="","",INDEX('03_상품분류2526'!$X$7:$X$2532,MATCH(E9,'03_상품분류2526'!$A$7:$A$2532,0))),"")</f>
        <v/>
      </c>
      <c r="O9" s="6">
        <f>'02_선반315'!R9</f>
        <v>865</v>
      </c>
      <c r="P9" s="6">
        <f>'02_선반315'!T9</f>
        <v>290</v>
      </c>
      <c r="Q9" s="6">
        <f>'02_선반315'!U9</f>
        <v>270</v>
      </c>
      <c r="R9" s="6">
        <f>'02_선반315'!S9</f>
        <v>330</v>
      </c>
      <c r="S9" s="6" t="str">
        <f t="shared" si="0"/>
        <v/>
      </c>
      <c r="T9" s="6" t="str">
        <f t="shared" si="1"/>
        <v>입력 대기</v>
      </c>
      <c r="U9" s="6" t="s">
        <v>7509</v>
      </c>
      <c r="V9" s="6" t="s">
        <v>555</v>
      </c>
      <c r="W9" s="6" t="s">
        <v>554</v>
      </c>
    </row>
    <row r="10" spans="1:23" ht="33" customHeight="1">
      <c r="A10" s="6" t="s">
        <v>7512</v>
      </c>
      <c r="B10" s="6" t="s">
        <v>569</v>
      </c>
      <c r="C10" s="6" t="s">
        <v>25</v>
      </c>
      <c r="D10" s="6">
        <v>5</v>
      </c>
      <c r="E10" s="6" t="s">
        <v>6826</v>
      </c>
      <c r="F10" s="6" t="str">
        <f>IFERROR(INDEX('03_상품분류2526'!$C$7:$C$2532,MATCH(E10,'03_상품분류2526'!$A$7:$A$2532,0)),"코드 확인")</f>
        <v>리쥬비엠디크림</v>
      </c>
      <c r="G10" s="6" t="str">
        <f>IFERROR(INDEX('03_상품분류2526'!$D$7:$D$2532,MATCH(E10,'03_상품분류2526'!$A$7:$A$2532,0)),"코드 확인")</f>
        <v>60g</v>
      </c>
      <c r="H10" s="6" t="s">
        <v>7508</v>
      </c>
      <c r="I10" s="6" t="str">
        <f>IFERROR(INDEX('03_상품분류2526'!$M$7:$M$2532,MATCH(E10,'03_상품분류2526'!$A$7:$A$2532,0)),"코드 확인")</f>
        <v>B</v>
      </c>
      <c r="J10" s="6">
        <v>1</v>
      </c>
      <c r="K10" s="15">
        <v>1</v>
      </c>
      <c r="L10" s="6" t="str">
        <f>IFERROR(IF(INDEX('03_상품분류2526'!$V$7:$V$2532,MATCH(E10,'03_상품분류2526'!$A$7:$A$2532,0))="","",INDEX('03_상품분류2526'!$V$7:$V$2532,MATCH(E10,'03_상품분류2526'!$A$7:$A$2532,0))),"")</f>
        <v/>
      </c>
      <c r="M10" s="6" t="str">
        <f>IFERROR(IF(INDEX('03_상품분류2526'!$W$7:$W$2532,MATCH(E10,'03_상품분류2526'!$A$7:$A$2532,0))="","",INDEX('03_상품분류2526'!$W$7:$W$2532,MATCH(E10,'03_상품분류2526'!$A$7:$A$2532,0))),"")</f>
        <v/>
      </c>
      <c r="N10" s="6" t="str">
        <f>IFERROR(IF(INDEX('03_상품분류2526'!$X$7:$X$2532,MATCH(E10,'03_상품분류2526'!$A$7:$A$2532,0))="","",INDEX('03_상품분류2526'!$X$7:$X$2532,MATCH(E10,'03_상품분류2526'!$A$7:$A$2532,0))),"")</f>
        <v/>
      </c>
      <c r="O10" s="6">
        <f>'02_선반315'!R11</f>
        <v>865</v>
      </c>
      <c r="P10" s="6">
        <f>'02_선반315'!T11</f>
        <v>330</v>
      </c>
      <c r="Q10" s="6">
        <f>'02_선반315'!U11</f>
        <v>310</v>
      </c>
      <c r="R10" s="6">
        <f>'02_선반315'!S11</f>
        <v>330</v>
      </c>
      <c r="S10" s="6" t="str">
        <f t="shared" si="0"/>
        <v/>
      </c>
      <c r="T10" s="6" t="str">
        <f t="shared" si="1"/>
        <v>입력 대기</v>
      </c>
      <c r="U10" s="6" t="s">
        <v>7509</v>
      </c>
      <c r="V10" s="6" t="s">
        <v>555</v>
      </c>
      <c r="W10" s="6" t="s">
        <v>554</v>
      </c>
    </row>
    <row r="11" spans="1:23" ht="33" customHeight="1">
      <c r="A11" s="6" t="s">
        <v>7513</v>
      </c>
      <c r="B11" s="6" t="s">
        <v>569</v>
      </c>
      <c r="C11" s="6" t="s">
        <v>25</v>
      </c>
      <c r="D11" s="6">
        <v>5</v>
      </c>
      <c r="E11" s="6" t="s">
        <v>3127</v>
      </c>
      <c r="F11" s="6" t="str">
        <f>IFERROR(INDEX('03_상품분류2526'!$C$7:$C$2532,MATCH(E11,'03_상품분류2526'!$A$7:$A$2532,0)),"코드 확인")</f>
        <v>비티테라 테라베리어크림 엠디(MD)</v>
      </c>
      <c r="G11" s="6" t="str">
        <f>IFERROR(INDEX('03_상품분류2526'!$D$7:$D$2532,MATCH(E11,'03_상품분류2526'!$A$7:$A$2532,0)),"코드 확인")</f>
        <v>100ml</v>
      </c>
      <c r="H11" s="6" t="s">
        <v>7508</v>
      </c>
      <c r="I11" s="6" t="str">
        <f>IFERROR(INDEX('03_상품분류2526'!$M$7:$M$2532,MATCH(E11,'03_상품분류2526'!$A$7:$A$2532,0)),"코드 확인")</f>
        <v>B</v>
      </c>
      <c r="J11" s="6">
        <v>2</v>
      </c>
      <c r="K11" s="15">
        <v>1</v>
      </c>
      <c r="L11" s="6" t="str">
        <f>IFERROR(IF(INDEX('03_상품분류2526'!$V$7:$V$2532,MATCH(E11,'03_상품분류2526'!$A$7:$A$2532,0))="","",INDEX('03_상품분류2526'!$V$7:$V$2532,MATCH(E11,'03_상품분류2526'!$A$7:$A$2532,0))),"")</f>
        <v/>
      </c>
      <c r="M11" s="6" t="str">
        <f>IFERROR(IF(INDEX('03_상품분류2526'!$W$7:$W$2532,MATCH(E11,'03_상품분류2526'!$A$7:$A$2532,0))="","",INDEX('03_상품분류2526'!$W$7:$W$2532,MATCH(E11,'03_상품분류2526'!$A$7:$A$2532,0))),"")</f>
        <v/>
      </c>
      <c r="N11" s="6" t="str">
        <f>IFERROR(IF(INDEX('03_상품분류2526'!$X$7:$X$2532,MATCH(E11,'03_상품분류2526'!$A$7:$A$2532,0))="","",INDEX('03_상품분류2526'!$X$7:$X$2532,MATCH(E11,'03_상품분류2526'!$A$7:$A$2532,0))),"")</f>
        <v/>
      </c>
      <c r="O11" s="6">
        <f>'02_선반315'!R11</f>
        <v>865</v>
      </c>
      <c r="P11" s="6">
        <f>'02_선반315'!T11</f>
        <v>330</v>
      </c>
      <c r="Q11" s="6">
        <f>'02_선반315'!U11</f>
        <v>310</v>
      </c>
      <c r="R11" s="6">
        <f>'02_선반315'!S11</f>
        <v>330</v>
      </c>
      <c r="S11" s="6" t="str">
        <f t="shared" si="0"/>
        <v/>
      </c>
      <c r="T11" s="6" t="str">
        <f t="shared" si="1"/>
        <v>입력 대기</v>
      </c>
      <c r="U11" s="6" t="s">
        <v>7509</v>
      </c>
      <c r="V11" s="6" t="s">
        <v>555</v>
      </c>
      <c r="W11" s="6" t="s">
        <v>554</v>
      </c>
    </row>
    <row r="12" spans="1:23" ht="33" customHeight="1">
      <c r="A12" s="6" t="s">
        <v>7514</v>
      </c>
      <c r="B12" s="6" t="s">
        <v>576</v>
      </c>
      <c r="C12" s="6" t="s">
        <v>38</v>
      </c>
      <c r="D12" s="6">
        <v>2</v>
      </c>
      <c r="E12" s="6" t="s">
        <v>6753</v>
      </c>
      <c r="F12" s="6" t="str">
        <f>IFERROR(INDEX('03_상품분류2526'!$C$7:$C$2532,MATCH(E12,'03_상품분류2526'!$A$7:$A$2532,0)),"코드 확인")</f>
        <v>이지에프엑스 포스트레이저</v>
      </c>
      <c r="G12" s="6" t="str">
        <f>IFERROR(INDEX('03_상품분류2526'!$D$7:$D$2532,MATCH(E12,'03_상품분류2526'!$A$7:$A$2532,0)),"코드 확인")</f>
        <v>10ml</v>
      </c>
      <c r="H12" s="6" t="s">
        <v>7508</v>
      </c>
      <c r="I12" s="6" t="str">
        <f>IFERROR(INDEX('03_상품분류2526'!$M$7:$M$2532,MATCH(E12,'03_상품분류2526'!$A$7:$A$2532,0)),"코드 확인")</f>
        <v>B</v>
      </c>
      <c r="J12" s="6">
        <v>1</v>
      </c>
      <c r="K12" s="15">
        <v>1</v>
      </c>
      <c r="L12" s="6" t="str">
        <f>IFERROR(IF(INDEX('03_상품분류2526'!$V$7:$V$2532,MATCH(E12,'03_상품분류2526'!$A$7:$A$2532,0))="","",INDEX('03_상품분류2526'!$V$7:$V$2532,MATCH(E12,'03_상품분류2526'!$A$7:$A$2532,0))),"")</f>
        <v/>
      </c>
      <c r="M12" s="6" t="str">
        <f>IFERROR(IF(INDEX('03_상품분류2526'!$W$7:$W$2532,MATCH(E12,'03_상품분류2526'!$A$7:$A$2532,0))="","",INDEX('03_상품분류2526'!$W$7:$W$2532,MATCH(E12,'03_상품분류2526'!$A$7:$A$2532,0))),"")</f>
        <v/>
      </c>
      <c r="N12" s="6" t="str">
        <f>IFERROR(IF(INDEX('03_상품분류2526'!$X$7:$X$2532,MATCH(E12,'03_상품분류2526'!$A$7:$A$2532,0))="","",INDEX('03_상품분류2526'!$X$7:$X$2532,MATCH(E12,'03_상품분류2526'!$A$7:$A$2532,0))),"")</f>
        <v/>
      </c>
      <c r="O12" s="6">
        <f>'02_선반315'!R13</f>
        <v>865</v>
      </c>
      <c r="P12" s="6">
        <f>'02_선반315'!T13</f>
        <v>290</v>
      </c>
      <c r="Q12" s="6">
        <f>'02_선반315'!U13</f>
        <v>270</v>
      </c>
      <c r="R12" s="6">
        <f>'02_선반315'!S13</f>
        <v>330</v>
      </c>
      <c r="S12" s="6" t="str">
        <f t="shared" si="0"/>
        <v/>
      </c>
      <c r="T12" s="6" t="str">
        <f t="shared" si="1"/>
        <v>입력 대기</v>
      </c>
      <c r="U12" s="6" t="s">
        <v>7509</v>
      </c>
      <c r="V12" s="6" t="s">
        <v>555</v>
      </c>
      <c r="W12" s="6" t="s">
        <v>554</v>
      </c>
    </row>
    <row r="13" spans="1:23" ht="33" customHeight="1">
      <c r="A13" s="6" t="s">
        <v>7515</v>
      </c>
      <c r="B13" s="6" t="s">
        <v>576</v>
      </c>
      <c r="C13" s="6" t="s">
        <v>38</v>
      </c>
      <c r="D13" s="6">
        <v>2</v>
      </c>
      <c r="E13" s="6" t="s">
        <v>6758</v>
      </c>
      <c r="F13" s="6" t="str">
        <f>IFERROR(INDEX('03_상품분류2526'!$C$7:$C$2532,MATCH(E13,'03_상품분류2526'!$A$7:$A$2532,0)),"코드 확인")</f>
        <v>이지에프엑스 포스트엘써마</v>
      </c>
      <c r="G13" s="6" t="str">
        <f>IFERROR(INDEX('03_상품분류2526'!$D$7:$D$2532,MATCH(E13,'03_상품분류2526'!$A$7:$A$2532,0)),"코드 확인")</f>
        <v>10ml</v>
      </c>
      <c r="H13" s="6" t="s">
        <v>7508</v>
      </c>
      <c r="I13" s="6" t="str">
        <f>IFERROR(INDEX('03_상품분류2526'!$M$7:$M$2532,MATCH(E13,'03_상품분류2526'!$A$7:$A$2532,0)),"코드 확인")</f>
        <v>B</v>
      </c>
      <c r="J13" s="6">
        <v>2</v>
      </c>
      <c r="K13" s="15">
        <v>1</v>
      </c>
      <c r="L13" s="6" t="str">
        <f>IFERROR(IF(INDEX('03_상품분류2526'!$V$7:$V$2532,MATCH(E13,'03_상품분류2526'!$A$7:$A$2532,0))="","",INDEX('03_상품분류2526'!$V$7:$V$2532,MATCH(E13,'03_상품분류2526'!$A$7:$A$2532,0))),"")</f>
        <v/>
      </c>
      <c r="M13" s="6" t="str">
        <f>IFERROR(IF(INDEX('03_상품분류2526'!$W$7:$W$2532,MATCH(E13,'03_상품분류2526'!$A$7:$A$2532,0))="","",INDEX('03_상품분류2526'!$W$7:$W$2532,MATCH(E13,'03_상품분류2526'!$A$7:$A$2532,0))),"")</f>
        <v/>
      </c>
      <c r="N13" s="6" t="str">
        <f>IFERROR(IF(INDEX('03_상품분류2526'!$X$7:$X$2532,MATCH(E13,'03_상품분류2526'!$A$7:$A$2532,0))="","",INDEX('03_상품분류2526'!$X$7:$X$2532,MATCH(E13,'03_상품분류2526'!$A$7:$A$2532,0))),"")</f>
        <v/>
      </c>
      <c r="O13" s="6">
        <f>'02_선반315'!R13</f>
        <v>865</v>
      </c>
      <c r="P13" s="6">
        <f>'02_선반315'!T13</f>
        <v>290</v>
      </c>
      <c r="Q13" s="6">
        <f>'02_선반315'!U13</f>
        <v>270</v>
      </c>
      <c r="R13" s="6">
        <f>'02_선반315'!S13</f>
        <v>330</v>
      </c>
      <c r="S13" s="6" t="str">
        <f t="shared" si="0"/>
        <v/>
      </c>
      <c r="T13" s="6" t="str">
        <f t="shared" si="1"/>
        <v>입력 대기</v>
      </c>
      <c r="U13" s="6" t="s">
        <v>7509</v>
      </c>
      <c r="V13" s="6" t="s">
        <v>555</v>
      </c>
      <c r="W13" s="6" t="s">
        <v>554</v>
      </c>
    </row>
    <row r="14" spans="1:23" ht="33" customHeight="1">
      <c r="A14" s="6" t="s">
        <v>7516</v>
      </c>
      <c r="B14" s="6" t="s">
        <v>576</v>
      </c>
      <c r="C14" s="6" t="s">
        <v>38</v>
      </c>
      <c r="D14" s="6">
        <v>2</v>
      </c>
      <c r="E14" s="6" t="s">
        <v>6763</v>
      </c>
      <c r="F14" s="6" t="str">
        <f>IFERROR(INDEX('03_상품분류2526'!$C$7:$C$2532,MATCH(E14,'03_상품분류2526'!$A$7:$A$2532,0)),"코드 확인")</f>
        <v>이지에프엑스 포스트스킨부스터</v>
      </c>
      <c r="G14" s="6" t="str">
        <f>IFERROR(INDEX('03_상품분류2526'!$D$7:$D$2532,MATCH(E14,'03_상품분류2526'!$A$7:$A$2532,0)),"코드 확인")</f>
        <v>10ml</v>
      </c>
      <c r="H14" s="6" t="s">
        <v>7508</v>
      </c>
      <c r="I14" s="6" t="str">
        <f>IFERROR(INDEX('03_상품분류2526'!$M$7:$M$2532,MATCH(E14,'03_상품분류2526'!$A$7:$A$2532,0)),"코드 확인")</f>
        <v>B</v>
      </c>
      <c r="J14" s="6">
        <v>3</v>
      </c>
      <c r="K14" s="15">
        <v>1</v>
      </c>
      <c r="L14" s="6" t="str">
        <f>IFERROR(IF(INDEX('03_상품분류2526'!$V$7:$V$2532,MATCH(E14,'03_상품분류2526'!$A$7:$A$2532,0))="","",INDEX('03_상품분류2526'!$V$7:$V$2532,MATCH(E14,'03_상품분류2526'!$A$7:$A$2532,0))),"")</f>
        <v/>
      </c>
      <c r="M14" s="6" t="str">
        <f>IFERROR(IF(INDEX('03_상품분류2526'!$W$7:$W$2532,MATCH(E14,'03_상품분류2526'!$A$7:$A$2532,0))="","",INDEX('03_상품분류2526'!$W$7:$W$2532,MATCH(E14,'03_상품분류2526'!$A$7:$A$2532,0))),"")</f>
        <v/>
      </c>
      <c r="N14" s="6" t="str">
        <f>IFERROR(IF(INDEX('03_상품분류2526'!$X$7:$X$2532,MATCH(E14,'03_상품분류2526'!$A$7:$A$2532,0))="","",INDEX('03_상품분류2526'!$X$7:$X$2532,MATCH(E14,'03_상품분류2526'!$A$7:$A$2532,0))),"")</f>
        <v/>
      </c>
      <c r="O14" s="6">
        <f>'02_선반315'!R13</f>
        <v>865</v>
      </c>
      <c r="P14" s="6">
        <f>'02_선반315'!T13</f>
        <v>290</v>
      </c>
      <c r="Q14" s="6">
        <f>'02_선반315'!U13</f>
        <v>270</v>
      </c>
      <c r="R14" s="6">
        <f>'02_선반315'!S13</f>
        <v>330</v>
      </c>
      <c r="S14" s="6" t="str">
        <f t="shared" si="0"/>
        <v/>
      </c>
      <c r="T14" s="6" t="str">
        <f t="shared" si="1"/>
        <v>입력 대기</v>
      </c>
      <c r="U14" s="6" t="s">
        <v>7509</v>
      </c>
      <c r="V14" s="6" t="s">
        <v>555</v>
      </c>
      <c r="W14" s="6" t="s">
        <v>554</v>
      </c>
    </row>
    <row r="15" spans="1:23" ht="33" customHeight="1">
      <c r="A15" s="6" t="s">
        <v>7517</v>
      </c>
      <c r="B15" s="6" t="s">
        <v>580</v>
      </c>
      <c r="C15" s="6" t="s">
        <v>38</v>
      </c>
      <c r="D15" s="6">
        <v>3</v>
      </c>
      <c r="E15" s="6" t="s">
        <v>7050</v>
      </c>
      <c r="F15" s="6" t="str">
        <f>IFERROR(INDEX('03_상품분류2526'!$C$7:$C$2532,MATCH(E15,'03_상품분류2526'!$A$7:$A$2532,0)),"코드 확인")</f>
        <v>프로캄EGF 액티브 바이탈 크림</v>
      </c>
      <c r="G15" s="6" t="str">
        <f>IFERROR(INDEX('03_상품분류2526'!$D$7:$D$2532,MATCH(E15,'03_상품분류2526'!$A$7:$A$2532,0)),"코드 확인")</f>
        <v>1ea</v>
      </c>
      <c r="H15" s="6" t="s">
        <v>7508</v>
      </c>
      <c r="I15" s="6" t="str">
        <f>IFERROR(INDEX('03_상품분류2526'!$M$7:$M$2532,MATCH(E15,'03_상품분류2526'!$A$7:$A$2532,0)),"코드 확인")</f>
        <v>A</v>
      </c>
      <c r="J15" s="6">
        <v>1</v>
      </c>
      <c r="K15" s="15">
        <v>2</v>
      </c>
      <c r="L15" s="6" t="str">
        <f>IFERROR(IF(INDEX('03_상품분류2526'!$V$7:$V$2532,MATCH(E15,'03_상품분류2526'!$A$7:$A$2532,0))="","",INDEX('03_상품분류2526'!$V$7:$V$2532,MATCH(E15,'03_상품분류2526'!$A$7:$A$2532,0))),"")</f>
        <v/>
      </c>
      <c r="M15" s="6" t="str">
        <f>IFERROR(IF(INDEX('03_상품분류2526'!$W$7:$W$2532,MATCH(E15,'03_상품분류2526'!$A$7:$A$2532,0))="","",INDEX('03_상품분류2526'!$W$7:$W$2532,MATCH(E15,'03_상품분류2526'!$A$7:$A$2532,0))),"")</f>
        <v/>
      </c>
      <c r="N15" s="6" t="str">
        <f>IFERROR(IF(INDEX('03_상품분류2526'!$X$7:$X$2532,MATCH(E15,'03_상품분류2526'!$A$7:$A$2532,0))="","",INDEX('03_상품분류2526'!$X$7:$X$2532,MATCH(E15,'03_상품분류2526'!$A$7:$A$2532,0))),"")</f>
        <v/>
      </c>
      <c r="O15" s="6">
        <f>'02_선반315'!R14</f>
        <v>865</v>
      </c>
      <c r="P15" s="6">
        <f>'02_선반315'!T14</f>
        <v>290</v>
      </c>
      <c r="Q15" s="6">
        <f>'02_선반315'!U14</f>
        <v>270</v>
      </c>
      <c r="R15" s="6">
        <f>'02_선반315'!S14</f>
        <v>330</v>
      </c>
      <c r="S15" s="6" t="str">
        <f t="shared" si="0"/>
        <v/>
      </c>
      <c r="T15" s="6" t="str">
        <f t="shared" si="1"/>
        <v>입력 대기</v>
      </c>
      <c r="U15" s="6" t="s">
        <v>7509</v>
      </c>
      <c r="V15" s="6" t="s">
        <v>555</v>
      </c>
      <c r="W15" s="6" t="s">
        <v>554</v>
      </c>
    </row>
    <row r="16" spans="1:23" ht="33" customHeight="1">
      <c r="A16" s="6" t="s">
        <v>7518</v>
      </c>
      <c r="B16" s="6" t="s">
        <v>580</v>
      </c>
      <c r="C16" s="6" t="s">
        <v>38</v>
      </c>
      <c r="D16" s="6">
        <v>3</v>
      </c>
      <c r="E16" s="6" t="s">
        <v>6769</v>
      </c>
      <c r="F16" s="6" t="str">
        <f>IFERROR(INDEX('03_상품분류2526'!$C$7:$C$2532,MATCH(E16,'03_상품분류2526'!$A$7:$A$2532,0)),"코드 확인")</f>
        <v>이지듀 3X 이지에프10 리페어크림</v>
      </c>
      <c r="G16" s="6" t="str">
        <f>IFERROR(INDEX('03_상품분류2526'!$D$7:$D$2532,MATCH(E16,'03_상품분류2526'!$A$7:$A$2532,0)),"코드 확인")</f>
        <v>20ml</v>
      </c>
      <c r="H16" s="6" t="s">
        <v>7508</v>
      </c>
      <c r="I16" s="6" t="str">
        <f>IFERROR(INDEX('03_상품분류2526'!$M$7:$M$2532,MATCH(E16,'03_상품분류2526'!$A$7:$A$2532,0)),"코드 확인")</f>
        <v>A</v>
      </c>
      <c r="J16" s="6">
        <v>2</v>
      </c>
      <c r="K16" s="15">
        <v>1</v>
      </c>
      <c r="L16" s="6" t="str">
        <f>IFERROR(IF(INDEX('03_상품분류2526'!$V$7:$V$2532,MATCH(E16,'03_상품분류2526'!$A$7:$A$2532,0))="","",INDEX('03_상품분류2526'!$V$7:$V$2532,MATCH(E16,'03_상품분류2526'!$A$7:$A$2532,0))),"")</f>
        <v/>
      </c>
      <c r="M16" s="6" t="str">
        <f>IFERROR(IF(INDEX('03_상품분류2526'!$W$7:$W$2532,MATCH(E16,'03_상품분류2526'!$A$7:$A$2532,0))="","",INDEX('03_상품분류2526'!$W$7:$W$2532,MATCH(E16,'03_상품분류2526'!$A$7:$A$2532,0))),"")</f>
        <v/>
      </c>
      <c r="N16" s="6" t="str">
        <f>IFERROR(IF(INDEX('03_상품분류2526'!$X$7:$X$2532,MATCH(E16,'03_상품분류2526'!$A$7:$A$2532,0))="","",INDEX('03_상품분류2526'!$X$7:$X$2532,MATCH(E16,'03_상품분류2526'!$A$7:$A$2532,0))),"")</f>
        <v/>
      </c>
      <c r="O16" s="6">
        <f>'02_선반315'!R14</f>
        <v>865</v>
      </c>
      <c r="P16" s="6">
        <f>'02_선반315'!T14</f>
        <v>290</v>
      </c>
      <c r="Q16" s="6">
        <f>'02_선반315'!U14</f>
        <v>270</v>
      </c>
      <c r="R16" s="6">
        <f>'02_선반315'!S14</f>
        <v>330</v>
      </c>
      <c r="S16" s="6" t="str">
        <f t="shared" si="0"/>
        <v/>
      </c>
      <c r="T16" s="6" t="str">
        <f t="shared" si="1"/>
        <v>입력 대기</v>
      </c>
      <c r="U16" s="6" t="s">
        <v>7509</v>
      </c>
      <c r="V16" s="6" t="s">
        <v>555</v>
      </c>
      <c r="W16" s="6" t="s">
        <v>554</v>
      </c>
    </row>
    <row r="17" spans="1:23" ht="33" customHeight="1">
      <c r="A17" s="6" t="s">
        <v>7519</v>
      </c>
      <c r="B17" s="6" t="s">
        <v>584</v>
      </c>
      <c r="C17" s="6" t="s">
        <v>38</v>
      </c>
      <c r="D17" s="6">
        <v>4</v>
      </c>
      <c r="E17" s="6" t="s">
        <v>586</v>
      </c>
      <c r="F17" s="6" t="str">
        <f>IFERROR(INDEX('03_상품분류2526'!$C$7:$C$2532,MATCH(E17,'03_상품분류2526'!$A$7:$A$2532,0)),"코드 확인")</f>
        <v>프로캄 EGF PDRN 액티브 시너지 마스크</v>
      </c>
      <c r="G17" s="6" t="str">
        <f>IFERROR(INDEX('03_상품분류2526'!$D$7:$D$2532,MATCH(E17,'03_상품분류2526'!$A$7:$A$2532,0)),"코드 확인")</f>
        <v>3매</v>
      </c>
      <c r="H17" s="6" t="s">
        <v>7508</v>
      </c>
      <c r="I17" s="6" t="str">
        <f>IFERROR(INDEX('03_상품분류2526'!$M$7:$M$2532,MATCH(E17,'03_상품분류2526'!$A$7:$A$2532,0)),"코드 확인")</f>
        <v>A</v>
      </c>
      <c r="J17" s="6">
        <v>1</v>
      </c>
      <c r="K17" s="15">
        <v>1</v>
      </c>
      <c r="L17" s="6" t="str">
        <f>IFERROR(IF(INDEX('03_상품분류2526'!$V$7:$V$2532,MATCH(E17,'03_상품분류2526'!$A$7:$A$2532,0))="","",INDEX('03_상품분류2526'!$V$7:$V$2532,MATCH(E17,'03_상품분류2526'!$A$7:$A$2532,0))),"")</f>
        <v/>
      </c>
      <c r="M17" s="6" t="str">
        <f>IFERROR(IF(INDEX('03_상품분류2526'!$W$7:$W$2532,MATCH(E17,'03_상품분류2526'!$A$7:$A$2532,0))="","",INDEX('03_상품분류2526'!$W$7:$W$2532,MATCH(E17,'03_상품분류2526'!$A$7:$A$2532,0))),"")</f>
        <v/>
      </c>
      <c r="N17" s="6" t="str">
        <f>IFERROR(IF(INDEX('03_상품분류2526'!$X$7:$X$2532,MATCH(E17,'03_상품분류2526'!$A$7:$A$2532,0))="","",INDEX('03_상품분류2526'!$X$7:$X$2532,MATCH(E17,'03_상품분류2526'!$A$7:$A$2532,0))),"")</f>
        <v/>
      </c>
      <c r="O17" s="6">
        <f>'02_선반315'!R15</f>
        <v>865</v>
      </c>
      <c r="P17" s="6">
        <f>'02_선반315'!T15</f>
        <v>290</v>
      </c>
      <c r="Q17" s="6">
        <f>'02_선반315'!U15</f>
        <v>270</v>
      </c>
      <c r="R17" s="6">
        <f>'02_선반315'!S15</f>
        <v>330</v>
      </c>
      <c r="S17" s="6" t="str">
        <f t="shared" si="0"/>
        <v/>
      </c>
      <c r="T17" s="6" t="str">
        <f t="shared" si="1"/>
        <v>입력 대기</v>
      </c>
      <c r="U17" s="6" t="s">
        <v>7509</v>
      </c>
      <c r="V17" s="6" t="s">
        <v>555</v>
      </c>
      <c r="W17" s="6" t="s">
        <v>554</v>
      </c>
    </row>
    <row r="18" spans="1:23" ht="33" customHeight="1">
      <c r="A18" s="6" t="s">
        <v>7520</v>
      </c>
      <c r="B18" s="6" t="s">
        <v>591</v>
      </c>
      <c r="C18" s="6" t="s">
        <v>49</v>
      </c>
      <c r="D18" s="6">
        <v>2</v>
      </c>
      <c r="E18" s="6" t="s">
        <v>593</v>
      </c>
      <c r="F18" s="6" t="str">
        <f>IFERROR(INDEX('03_상품분류2526'!$C$7:$C$2532,MATCH(E18,'03_상품분류2526'!$A$7:$A$2532,0)),"코드 확인")</f>
        <v>프로캄 후시메디 리페어 크림S</v>
      </c>
      <c r="G18" s="6" t="str">
        <f>IFERROR(INDEX('03_상품분류2526'!$D$7:$D$2532,MATCH(E18,'03_상품분류2526'!$A$7:$A$2532,0)),"코드 확인")</f>
        <v>50ml</v>
      </c>
      <c r="H18" s="6" t="s">
        <v>7521</v>
      </c>
      <c r="I18" s="6" t="str">
        <f>IFERROR(INDEX('03_상품분류2526'!$M$7:$M$2532,MATCH(E18,'03_상품분류2526'!$A$7:$A$2532,0)),"코드 확인")</f>
        <v>A</v>
      </c>
      <c r="J18" s="6">
        <v>1</v>
      </c>
      <c r="K18" s="15">
        <v>1</v>
      </c>
      <c r="L18" s="6" t="str">
        <f>IFERROR(IF(INDEX('03_상품분류2526'!$V$7:$V$2532,MATCH(E18,'03_상품분류2526'!$A$7:$A$2532,0))="","",INDEX('03_상품분류2526'!$V$7:$V$2532,MATCH(E18,'03_상품분류2526'!$A$7:$A$2532,0))),"")</f>
        <v/>
      </c>
      <c r="M18" s="6" t="str">
        <f>IFERROR(IF(INDEX('03_상품분류2526'!$W$7:$W$2532,MATCH(E18,'03_상품분류2526'!$A$7:$A$2532,0))="","",INDEX('03_상품분류2526'!$W$7:$W$2532,MATCH(E18,'03_상품분류2526'!$A$7:$A$2532,0))),"")</f>
        <v/>
      </c>
      <c r="N18" s="6" t="str">
        <f>IFERROR(IF(INDEX('03_상품분류2526'!$X$7:$X$2532,MATCH(E18,'03_상품분류2526'!$A$7:$A$2532,0))="","",INDEX('03_상품분류2526'!$X$7:$X$2532,MATCH(E18,'03_상품분류2526'!$A$7:$A$2532,0))),"")</f>
        <v/>
      </c>
      <c r="O18" s="6">
        <f>'02_선반315'!R18</f>
        <v>865</v>
      </c>
      <c r="P18" s="6">
        <f>'02_선반315'!T18</f>
        <v>290</v>
      </c>
      <c r="Q18" s="6">
        <f>'02_선반315'!U18</f>
        <v>270</v>
      </c>
      <c r="R18" s="6">
        <f>'02_선반315'!S18</f>
        <v>330</v>
      </c>
      <c r="S18" s="6" t="str">
        <f t="shared" si="0"/>
        <v/>
      </c>
      <c r="T18" s="6" t="str">
        <f t="shared" si="1"/>
        <v>입력 대기</v>
      </c>
      <c r="U18" s="6" t="s">
        <v>7509</v>
      </c>
      <c r="V18" s="6" t="s">
        <v>555</v>
      </c>
      <c r="W18" s="6" t="s">
        <v>554</v>
      </c>
    </row>
    <row r="19" spans="1:23" ht="33" customHeight="1">
      <c r="A19" s="6" t="s">
        <v>7522</v>
      </c>
      <c r="B19" s="6" t="s">
        <v>596</v>
      </c>
      <c r="C19" s="6" t="s">
        <v>49</v>
      </c>
      <c r="D19" s="6">
        <v>3</v>
      </c>
      <c r="E19" s="6" t="s">
        <v>598</v>
      </c>
      <c r="F19" s="6" t="str">
        <f>IFERROR(INDEX('03_상품분류2526'!$C$7:$C$2532,MATCH(E19,'03_상품분류2526'!$A$7:$A$2532,0)),"코드 확인")</f>
        <v>톰 PPM 트리플 시너지 베리어 세럼</v>
      </c>
      <c r="G19" s="6" t="str">
        <f>IFERROR(INDEX('03_상품분류2526'!$D$7:$D$2532,MATCH(E19,'03_상품분류2526'!$A$7:$A$2532,0)),"코드 확인")</f>
        <v>30mL</v>
      </c>
      <c r="H19" s="6" t="s">
        <v>7521</v>
      </c>
      <c r="I19" s="6" t="str">
        <f>IFERROR(INDEX('03_상품분류2526'!$M$7:$M$2532,MATCH(E19,'03_상품분류2526'!$A$7:$A$2532,0)),"코드 확인")</f>
        <v>A</v>
      </c>
      <c r="J19" s="6">
        <v>1</v>
      </c>
      <c r="K19" s="15">
        <v>1</v>
      </c>
      <c r="L19" s="6" t="str">
        <f>IFERROR(IF(INDEX('03_상품분류2526'!$V$7:$V$2532,MATCH(E19,'03_상품분류2526'!$A$7:$A$2532,0))="","",INDEX('03_상품분류2526'!$V$7:$V$2532,MATCH(E19,'03_상품분류2526'!$A$7:$A$2532,0))),"")</f>
        <v/>
      </c>
      <c r="M19" s="6" t="str">
        <f>IFERROR(IF(INDEX('03_상품분류2526'!$W$7:$W$2532,MATCH(E19,'03_상품분류2526'!$A$7:$A$2532,0))="","",INDEX('03_상품분류2526'!$W$7:$W$2532,MATCH(E19,'03_상품분류2526'!$A$7:$A$2532,0))),"")</f>
        <v/>
      </c>
      <c r="N19" s="6" t="str">
        <f>IFERROR(IF(INDEX('03_상품분류2526'!$X$7:$X$2532,MATCH(E19,'03_상품분류2526'!$A$7:$A$2532,0))="","",INDEX('03_상품분류2526'!$X$7:$X$2532,MATCH(E19,'03_상품분류2526'!$A$7:$A$2532,0))),"")</f>
        <v/>
      </c>
      <c r="O19" s="6">
        <f>'02_선반315'!R19</f>
        <v>865</v>
      </c>
      <c r="P19" s="6">
        <f>'02_선반315'!T19</f>
        <v>290</v>
      </c>
      <c r="Q19" s="6">
        <f>'02_선반315'!U19</f>
        <v>270</v>
      </c>
      <c r="R19" s="6">
        <f>'02_선반315'!S19</f>
        <v>330</v>
      </c>
      <c r="S19" s="6" t="str">
        <f t="shared" si="0"/>
        <v/>
      </c>
      <c r="T19" s="6" t="str">
        <f t="shared" si="1"/>
        <v>입력 대기</v>
      </c>
      <c r="U19" s="6" t="s">
        <v>7509</v>
      </c>
      <c r="V19" s="6" t="s">
        <v>555</v>
      </c>
      <c r="W19" s="6" t="s">
        <v>554</v>
      </c>
    </row>
    <row r="20" spans="1:23" ht="33" customHeight="1">
      <c r="A20" s="6" t="s">
        <v>7523</v>
      </c>
      <c r="B20" s="6" t="s">
        <v>600</v>
      </c>
      <c r="C20" s="6" t="s">
        <v>49</v>
      </c>
      <c r="D20" s="6">
        <v>4</v>
      </c>
      <c r="E20" s="6" t="s">
        <v>602</v>
      </c>
      <c r="F20" s="6" t="str">
        <f>IFERROR(INDEX('03_상품분류2526'!$C$7:$C$2532,MATCH(E20,'03_상품분류2526'!$A$7:$A$2532,0)),"코드 확인")</f>
        <v>리쥬올 PDRN 립세럼</v>
      </c>
      <c r="G20" s="6" t="str">
        <f>IFERROR(INDEX('03_상품분류2526'!$D$7:$D$2532,MATCH(E20,'03_상품분류2526'!$A$7:$A$2532,0)),"코드 확인")</f>
        <v>10ml</v>
      </c>
      <c r="H20" s="6" t="s">
        <v>7521</v>
      </c>
      <c r="I20" s="6" t="str">
        <f>IFERROR(INDEX('03_상품분류2526'!$M$7:$M$2532,MATCH(E20,'03_상품분류2526'!$A$7:$A$2532,0)),"코드 확인")</f>
        <v>A</v>
      </c>
      <c r="J20" s="6">
        <v>1</v>
      </c>
      <c r="K20" s="15">
        <v>1</v>
      </c>
      <c r="L20" s="6" t="str">
        <f>IFERROR(IF(INDEX('03_상품분류2526'!$V$7:$V$2532,MATCH(E20,'03_상품분류2526'!$A$7:$A$2532,0))="","",INDEX('03_상품분류2526'!$V$7:$V$2532,MATCH(E20,'03_상품분류2526'!$A$7:$A$2532,0))),"")</f>
        <v/>
      </c>
      <c r="M20" s="6" t="str">
        <f>IFERROR(IF(INDEX('03_상품분류2526'!$W$7:$W$2532,MATCH(E20,'03_상품분류2526'!$A$7:$A$2532,0))="","",INDEX('03_상품분류2526'!$W$7:$W$2532,MATCH(E20,'03_상품분류2526'!$A$7:$A$2532,0))),"")</f>
        <v/>
      </c>
      <c r="N20" s="6" t="str">
        <f>IFERROR(IF(INDEX('03_상품분류2526'!$X$7:$X$2532,MATCH(E20,'03_상품분류2526'!$A$7:$A$2532,0))="","",INDEX('03_상품분류2526'!$X$7:$X$2532,MATCH(E20,'03_상품분류2526'!$A$7:$A$2532,0))),"")</f>
        <v/>
      </c>
      <c r="O20" s="6">
        <f>'02_선반315'!R20</f>
        <v>865</v>
      </c>
      <c r="P20" s="6">
        <f>'02_선반315'!T20</f>
        <v>290</v>
      </c>
      <c r="Q20" s="6">
        <f>'02_선반315'!U20</f>
        <v>270</v>
      </c>
      <c r="R20" s="6">
        <f>'02_선반315'!S20</f>
        <v>330</v>
      </c>
      <c r="S20" s="6" t="str">
        <f t="shared" si="0"/>
        <v/>
      </c>
      <c r="T20" s="6" t="str">
        <f t="shared" si="1"/>
        <v>입력 대기</v>
      </c>
      <c r="U20" s="6" t="s">
        <v>7509</v>
      </c>
      <c r="V20" s="6" t="s">
        <v>555</v>
      </c>
      <c r="W20" s="6" t="s">
        <v>554</v>
      </c>
    </row>
    <row r="21" spans="1:23" ht="33" customHeight="1">
      <c r="A21" s="6" t="s">
        <v>7524</v>
      </c>
      <c r="B21" s="6" t="s">
        <v>607</v>
      </c>
      <c r="C21" s="6" t="s">
        <v>59</v>
      </c>
      <c r="D21" s="6">
        <v>2</v>
      </c>
      <c r="E21" s="6" t="s">
        <v>6105</v>
      </c>
      <c r="F21" s="6" t="str">
        <f>IFERROR(INDEX('03_상품분류2526'!$C$7:$C$2532,MATCH(E21,'03_상품분류2526'!$A$7:$A$2532,0)),"코드 확인")</f>
        <v>비맥스메타비</v>
      </c>
      <c r="G21" s="6" t="str">
        <f>IFERROR(INDEX('03_상품분류2526'!$D$7:$D$2532,MATCH(E21,'03_상품분류2526'!$A$7:$A$2532,0)),"코드 확인")</f>
        <v>120정*2</v>
      </c>
      <c r="H21" s="6" t="s">
        <v>7508</v>
      </c>
      <c r="I21" s="6" t="str">
        <f>IFERROR(INDEX('03_상품분류2526'!$M$7:$M$2532,MATCH(E21,'03_상품분류2526'!$A$7:$A$2532,0)),"코드 확인")</f>
        <v>A</v>
      </c>
      <c r="J21" s="6">
        <v>1</v>
      </c>
      <c r="K21" s="15">
        <v>1</v>
      </c>
      <c r="L21" s="6" t="str">
        <f>IFERROR(IF(INDEX('03_상품분류2526'!$V$7:$V$2532,MATCH(E21,'03_상품분류2526'!$A$7:$A$2532,0))="","",INDEX('03_상품분류2526'!$V$7:$V$2532,MATCH(E21,'03_상품분류2526'!$A$7:$A$2532,0))),"")</f>
        <v/>
      </c>
      <c r="M21" s="6" t="str">
        <f>IFERROR(IF(INDEX('03_상품분류2526'!$W$7:$W$2532,MATCH(E21,'03_상품분류2526'!$A$7:$A$2532,0))="","",INDEX('03_상품분류2526'!$W$7:$W$2532,MATCH(E21,'03_상품분류2526'!$A$7:$A$2532,0))),"")</f>
        <v/>
      </c>
      <c r="N21" s="6" t="str">
        <f>IFERROR(IF(INDEX('03_상품분류2526'!$X$7:$X$2532,MATCH(E21,'03_상품분류2526'!$A$7:$A$2532,0))="","",INDEX('03_상품분류2526'!$X$7:$X$2532,MATCH(E21,'03_상품분류2526'!$A$7:$A$2532,0))),"")</f>
        <v/>
      </c>
      <c r="O21" s="6">
        <f>'02_선반315'!R23</f>
        <v>865</v>
      </c>
      <c r="P21" s="6">
        <f>'02_선반315'!T23</f>
        <v>290</v>
      </c>
      <c r="Q21" s="6">
        <f>'02_선반315'!U23</f>
        <v>270</v>
      </c>
      <c r="R21" s="6">
        <f>'02_선반315'!S23</f>
        <v>330</v>
      </c>
      <c r="S21" s="6" t="str">
        <f t="shared" si="0"/>
        <v/>
      </c>
      <c r="T21" s="6" t="str">
        <f t="shared" si="1"/>
        <v>입력 대기</v>
      </c>
      <c r="U21" s="6" t="s">
        <v>7509</v>
      </c>
      <c r="V21" s="6" t="s">
        <v>555</v>
      </c>
      <c r="W21" s="6" t="s">
        <v>554</v>
      </c>
    </row>
    <row r="22" spans="1:23" ht="33" customHeight="1">
      <c r="A22" s="6" t="s">
        <v>7525</v>
      </c>
      <c r="B22" s="6" t="s">
        <v>607</v>
      </c>
      <c r="C22" s="6" t="s">
        <v>59</v>
      </c>
      <c r="D22" s="6">
        <v>2</v>
      </c>
      <c r="E22" s="6" t="s">
        <v>6970</v>
      </c>
      <c r="F22" s="6" t="str">
        <f>IFERROR(INDEX('03_상품분류2526'!$C$7:$C$2532,MATCH(E22,'03_상품분류2526'!$A$7:$A$2532,0)),"코드 확인")</f>
        <v>임팩타민 시그니처정</v>
      </c>
      <c r="G22" s="6" t="str">
        <f>IFERROR(INDEX('03_상품분류2526'!$D$7:$D$2532,MATCH(E22,'03_상품분류2526'!$A$7:$A$2532,0)),"코드 확인")</f>
        <v>120정</v>
      </c>
      <c r="H22" s="6" t="s">
        <v>7508</v>
      </c>
      <c r="I22" s="6" t="str">
        <f>IFERROR(INDEX('03_상품분류2526'!$M$7:$M$2532,MATCH(E22,'03_상품분류2526'!$A$7:$A$2532,0)),"코드 확인")</f>
        <v>A</v>
      </c>
      <c r="J22" s="6">
        <v>2</v>
      </c>
      <c r="K22" s="15">
        <v>1</v>
      </c>
      <c r="L22" s="6" t="str">
        <f>IFERROR(IF(INDEX('03_상품분류2526'!$V$7:$V$2532,MATCH(E22,'03_상품분류2526'!$A$7:$A$2532,0))="","",INDEX('03_상품분류2526'!$V$7:$V$2532,MATCH(E22,'03_상품분류2526'!$A$7:$A$2532,0))),"")</f>
        <v/>
      </c>
      <c r="M22" s="6" t="str">
        <f>IFERROR(IF(INDEX('03_상품분류2526'!$W$7:$W$2532,MATCH(E22,'03_상품분류2526'!$A$7:$A$2532,0))="","",INDEX('03_상품분류2526'!$W$7:$W$2532,MATCH(E22,'03_상품분류2526'!$A$7:$A$2532,0))),"")</f>
        <v/>
      </c>
      <c r="N22" s="6" t="str">
        <f>IFERROR(IF(INDEX('03_상품분류2526'!$X$7:$X$2532,MATCH(E22,'03_상품분류2526'!$A$7:$A$2532,0))="","",INDEX('03_상품분류2526'!$X$7:$X$2532,MATCH(E22,'03_상품분류2526'!$A$7:$A$2532,0))),"")</f>
        <v/>
      </c>
      <c r="O22" s="6">
        <f>'02_선반315'!R23</f>
        <v>865</v>
      </c>
      <c r="P22" s="6">
        <f>'02_선반315'!T23</f>
        <v>290</v>
      </c>
      <c r="Q22" s="6">
        <f>'02_선반315'!U23</f>
        <v>270</v>
      </c>
      <c r="R22" s="6">
        <f>'02_선반315'!S23</f>
        <v>330</v>
      </c>
      <c r="S22" s="6" t="str">
        <f t="shared" si="0"/>
        <v/>
      </c>
      <c r="T22" s="6" t="str">
        <f t="shared" si="1"/>
        <v>입력 대기</v>
      </c>
      <c r="U22" s="6" t="s">
        <v>7509</v>
      </c>
      <c r="V22" s="6" t="s">
        <v>555</v>
      </c>
      <c r="W22" s="6" t="s">
        <v>554</v>
      </c>
    </row>
    <row r="23" spans="1:23" ht="33" customHeight="1">
      <c r="A23" s="6" t="s">
        <v>7526</v>
      </c>
      <c r="B23" s="6" t="s">
        <v>607</v>
      </c>
      <c r="C23" s="6" t="s">
        <v>59</v>
      </c>
      <c r="D23" s="6">
        <v>2</v>
      </c>
      <c r="E23" s="6" t="s">
        <v>6117</v>
      </c>
      <c r="F23" s="6" t="str">
        <f>IFERROR(INDEX('03_상품분류2526'!$C$7:$C$2532,MATCH(E23,'03_상품분류2526'!$A$7:$A$2532,0)),"코드 확인")</f>
        <v>비맥스메타정</v>
      </c>
      <c r="G23" s="6" t="str">
        <f>IFERROR(INDEX('03_상품분류2526'!$D$7:$D$2532,MATCH(E23,'03_상품분류2526'!$A$7:$A$2532,0)),"코드 확인")</f>
        <v>60T*2EA</v>
      </c>
      <c r="H23" s="6" t="s">
        <v>7508</v>
      </c>
      <c r="I23" s="6" t="str">
        <f>IFERROR(INDEX('03_상품분류2526'!$M$7:$M$2532,MATCH(E23,'03_상품분류2526'!$A$7:$A$2532,0)),"코드 확인")</f>
        <v>B</v>
      </c>
      <c r="J23" s="6">
        <v>3</v>
      </c>
      <c r="K23" s="15">
        <v>1</v>
      </c>
      <c r="L23" s="6" t="str">
        <f>IFERROR(IF(INDEX('03_상품분류2526'!$V$7:$V$2532,MATCH(E23,'03_상품분류2526'!$A$7:$A$2532,0))="","",INDEX('03_상품분류2526'!$V$7:$V$2532,MATCH(E23,'03_상품분류2526'!$A$7:$A$2532,0))),"")</f>
        <v/>
      </c>
      <c r="M23" s="6" t="str">
        <f>IFERROR(IF(INDEX('03_상품분류2526'!$W$7:$W$2532,MATCH(E23,'03_상품분류2526'!$A$7:$A$2532,0))="","",INDEX('03_상품분류2526'!$W$7:$W$2532,MATCH(E23,'03_상품분류2526'!$A$7:$A$2532,0))),"")</f>
        <v/>
      </c>
      <c r="N23" s="6" t="str">
        <f>IFERROR(IF(INDEX('03_상품분류2526'!$X$7:$X$2532,MATCH(E23,'03_상품분류2526'!$A$7:$A$2532,0))="","",INDEX('03_상품분류2526'!$X$7:$X$2532,MATCH(E23,'03_상품분류2526'!$A$7:$A$2532,0))),"")</f>
        <v/>
      </c>
      <c r="O23" s="6">
        <f>'02_선반315'!R23</f>
        <v>865</v>
      </c>
      <c r="P23" s="6">
        <f>'02_선반315'!T23</f>
        <v>290</v>
      </c>
      <c r="Q23" s="6">
        <f>'02_선반315'!U23</f>
        <v>270</v>
      </c>
      <c r="R23" s="6">
        <f>'02_선반315'!S23</f>
        <v>330</v>
      </c>
      <c r="S23" s="6" t="str">
        <f t="shared" si="0"/>
        <v/>
      </c>
      <c r="T23" s="6" t="str">
        <f t="shared" si="1"/>
        <v>입력 대기</v>
      </c>
      <c r="U23" s="6" t="s">
        <v>7509</v>
      </c>
      <c r="V23" s="6" t="s">
        <v>555</v>
      </c>
      <c r="W23" s="6" t="s">
        <v>554</v>
      </c>
    </row>
    <row r="24" spans="1:23" ht="33" customHeight="1">
      <c r="A24" s="6" t="s">
        <v>7527</v>
      </c>
      <c r="B24" s="6" t="s">
        <v>611</v>
      </c>
      <c r="C24" s="6" t="s">
        <v>59</v>
      </c>
      <c r="D24" s="6">
        <v>3</v>
      </c>
      <c r="E24" s="6" t="s">
        <v>6980</v>
      </c>
      <c r="F24" s="6" t="str">
        <f>IFERROR(INDEX('03_상품분류2526'!$C$7:$C$2532,MATCH(E24,'03_상품분류2526'!$A$7:$A$2532,0)),"코드 확인")</f>
        <v>마그비스피드더블액션</v>
      </c>
      <c r="G24" s="6" t="str">
        <f>IFERROR(INDEX('03_상품분류2526'!$D$7:$D$2532,MATCH(E24,'03_상품분류2526'!$A$7:$A$2532,0)),"코드 확인")</f>
        <v>6병*5개</v>
      </c>
      <c r="H24" s="6" t="s">
        <v>7508</v>
      </c>
      <c r="I24" s="6" t="str">
        <f>IFERROR(INDEX('03_상품분류2526'!$M$7:$M$2532,MATCH(E24,'03_상품분류2526'!$A$7:$A$2532,0)),"코드 확인")</f>
        <v>A</v>
      </c>
      <c r="J24" s="6">
        <v>1</v>
      </c>
      <c r="K24" s="15">
        <v>1</v>
      </c>
      <c r="L24" s="6" t="str">
        <f>IFERROR(IF(INDEX('03_상품분류2526'!$V$7:$V$2532,MATCH(E24,'03_상품분류2526'!$A$7:$A$2532,0))="","",INDEX('03_상품분류2526'!$V$7:$V$2532,MATCH(E24,'03_상품분류2526'!$A$7:$A$2532,0))),"")</f>
        <v/>
      </c>
      <c r="M24" s="6" t="str">
        <f>IFERROR(IF(INDEX('03_상품분류2526'!$W$7:$W$2532,MATCH(E24,'03_상품분류2526'!$A$7:$A$2532,0))="","",INDEX('03_상품분류2526'!$W$7:$W$2532,MATCH(E24,'03_상품분류2526'!$A$7:$A$2532,0))),"")</f>
        <v/>
      </c>
      <c r="N24" s="6" t="str">
        <f>IFERROR(IF(INDEX('03_상품분류2526'!$X$7:$X$2532,MATCH(E24,'03_상품분류2526'!$A$7:$A$2532,0))="","",INDEX('03_상품분류2526'!$X$7:$X$2532,MATCH(E24,'03_상품분류2526'!$A$7:$A$2532,0))),"")</f>
        <v/>
      </c>
      <c r="O24" s="6">
        <f>'02_선반315'!R24</f>
        <v>865</v>
      </c>
      <c r="P24" s="6">
        <f>'02_선반315'!T24</f>
        <v>290</v>
      </c>
      <c r="Q24" s="6">
        <f>'02_선반315'!U24</f>
        <v>270</v>
      </c>
      <c r="R24" s="6">
        <f>'02_선반315'!S24</f>
        <v>330</v>
      </c>
      <c r="S24" s="6" t="str">
        <f t="shared" si="0"/>
        <v/>
      </c>
      <c r="T24" s="6" t="str">
        <f t="shared" si="1"/>
        <v>입력 대기</v>
      </c>
      <c r="U24" s="6" t="s">
        <v>7509</v>
      </c>
      <c r="V24" s="6" t="s">
        <v>555</v>
      </c>
      <c r="W24" s="6" t="s">
        <v>554</v>
      </c>
    </row>
    <row r="25" spans="1:23" ht="33" customHeight="1">
      <c r="A25" s="6" t="s">
        <v>7528</v>
      </c>
      <c r="B25" s="6" t="s">
        <v>611</v>
      </c>
      <c r="C25" s="6" t="s">
        <v>59</v>
      </c>
      <c r="D25" s="6">
        <v>3</v>
      </c>
      <c r="E25" s="6" t="s">
        <v>1778</v>
      </c>
      <c r="F25" s="6" t="str">
        <f>IFERROR(INDEX('03_상품분류2526'!$C$7:$C$2532,MATCH(E25,'03_상품분류2526'!$A$7:$A$2532,0)),"코드 확인")</f>
        <v>마그콤</v>
      </c>
      <c r="G25" s="6" t="str">
        <f>IFERROR(INDEX('03_상품분류2526'!$D$7:$D$2532,MATCH(E25,'03_상품분류2526'!$A$7:$A$2532,0)),"코드 확인")</f>
        <v>30mL*10병*3EA</v>
      </c>
      <c r="H25" s="6" t="s">
        <v>7508</v>
      </c>
      <c r="I25" s="6" t="str">
        <f>IFERROR(INDEX('03_상품분류2526'!$M$7:$M$2532,MATCH(E25,'03_상품분류2526'!$A$7:$A$2532,0)),"코드 확인")</f>
        <v>B</v>
      </c>
      <c r="J25" s="6">
        <v>2</v>
      </c>
      <c r="K25" s="15">
        <v>1</v>
      </c>
      <c r="L25" s="6" t="str">
        <f>IFERROR(IF(INDEX('03_상품분류2526'!$V$7:$V$2532,MATCH(E25,'03_상품분류2526'!$A$7:$A$2532,0))="","",INDEX('03_상품분류2526'!$V$7:$V$2532,MATCH(E25,'03_상품분류2526'!$A$7:$A$2532,0))),"")</f>
        <v/>
      </c>
      <c r="M25" s="6" t="str">
        <f>IFERROR(IF(INDEX('03_상품분류2526'!$W$7:$W$2532,MATCH(E25,'03_상품분류2526'!$A$7:$A$2532,0))="","",INDEX('03_상품분류2526'!$W$7:$W$2532,MATCH(E25,'03_상품분류2526'!$A$7:$A$2532,0))),"")</f>
        <v/>
      </c>
      <c r="N25" s="6" t="str">
        <f>IFERROR(IF(INDEX('03_상품분류2526'!$X$7:$X$2532,MATCH(E25,'03_상품분류2526'!$A$7:$A$2532,0))="","",INDEX('03_상품분류2526'!$X$7:$X$2532,MATCH(E25,'03_상품분류2526'!$A$7:$A$2532,0))),"")</f>
        <v/>
      </c>
      <c r="O25" s="6">
        <f>'02_선반315'!R24</f>
        <v>865</v>
      </c>
      <c r="P25" s="6">
        <f>'02_선반315'!T24</f>
        <v>290</v>
      </c>
      <c r="Q25" s="6">
        <f>'02_선반315'!U24</f>
        <v>270</v>
      </c>
      <c r="R25" s="6">
        <f>'02_선반315'!S24</f>
        <v>330</v>
      </c>
      <c r="S25" s="6" t="str">
        <f t="shared" si="0"/>
        <v/>
      </c>
      <c r="T25" s="6" t="str">
        <f t="shared" si="1"/>
        <v>입력 대기</v>
      </c>
      <c r="U25" s="6" t="s">
        <v>7509</v>
      </c>
      <c r="V25" s="6" t="s">
        <v>555</v>
      </c>
      <c r="W25" s="6" t="s">
        <v>554</v>
      </c>
    </row>
    <row r="26" spans="1:23" ht="33" customHeight="1">
      <c r="A26" s="6" t="s">
        <v>7529</v>
      </c>
      <c r="B26" s="6" t="s">
        <v>615</v>
      </c>
      <c r="C26" s="6" t="s">
        <v>59</v>
      </c>
      <c r="D26" s="6">
        <v>4</v>
      </c>
      <c r="E26" s="6" t="s">
        <v>618</v>
      </c>
      <c r="F26" s="6" t="str">
        <f>IFERROR(INDEX('03_상품분류2526'!$C$7:$C$2532,MATCH(E26,'03_상품분류2526'!$A$7:$A$2532,0)),"코드 확인")</f>
        <v>에바치온캡슐</v>
      </c>
      <c r="G26" s="6" t="str">
        <f>IFERROR(INDEX('03_상품분류2526'!$D$7:$D$2532,MATCH(E26,'03_상품분류2526'!$A$7:$A$2532,0)),"코드 확인")</f>
        <v>2c*90EA</v>
      </c>
      <c r="H26" s="6" t="s">
        <v>7508</v>
      </c>
      <c r="I26" s="6" t="str">
        <f>IFERROR(INDEX('03_상품분류2526'!$M$7:$M$2532,MATCH(E26,'03_상품분류2526'!$A$7:$A$2532,0)),"코드 확인")</f>
        <v>A</v>
      </c>
      <c r="J26" s="6">
        <v>1</v>
      </c>
      <c r="K26" s="15">
        <v>1</v>
      </c>
      <c r="L26" s="6" t="str">
        <f>IFERROR(IF(INDEX('03_상품분류2526'!$V$7:$V$2532,MATCH(E26,'03_상품분류2526'!$A$7:$A$2532,0))="","",INDEX('03_상품분류2526'!$V$7:$V$2532,MATCH(E26,'03_상품분류2526'!$A$7:$A$2532,0))),"")</f>
        <v/>
      </c>
      <c r="M26" s="6" t="str">
        <f>IFERROR(IF(INDEX('03_상품분류2526'!$W$7:$W$2532,MATCH(E26,'03_상품분류2526'!$A$7:$A$2532,0))="","",INDEX('03_상품분류2526'!$W$7:$W$2532,MATCH(E26,'03_상품분류2526'!$A$7:$A$2532,0))),"")</f>
        <v/>
      </c>
      <c r="N26" s="6" t="str">
        <f>IFERROR(IF(INDEX('03_상품분류2526'!$X$7:$X$2532,MATCH(E26,'03_상품분류2526'!$A$7:$A$2532,0))="","",INDEX('03_상품분류2526'!$X$7:$X$2532,MATCH(E26,'03_상품분류2526'!$A$7:$A$2532,0))),"")</f>
        <v/>
      </c>
      <c r="O26" s="6">
        <f>'02_선반315'!R25</f>
        <v>865</v>
      </c>
      <c r="P26" s="6">
        <f>'02_선반315'!T25</f>
        <v>290</v>
      </c>
      <c r="Q26" s="6">
        <f>'02_선반315'!U25</f>
        <v>270</v>
      </c>
      <c r="R26" s="6">
        <f>'02_선반315'!S25</f>
        <v>330</v>
      </c>
      <c r="S26" s="6" t="str">
        <f t="shared" si="0"/>
        <v/>
      </c>
      <c r="T26" s="6" t="str">
        <f t="shared" si="1"/>
        <v>입력 대기</v>
      </c>
      <c r="U26" s="6" t="s">
        <v>7509</v>
      </c>
      <c r="V26" s="6" t="s">
        <v>555</v>
      </c>
      <c r="W26" s="6" t="s">
        <v>554</v>
      </c>
    </row>
    <row r="27" spans="1:23" ht="33" customHeight="1">
      <c r="A27" s="6" t="s">
        <v>7530</v>
      </c>
      <c r="B27" s="6" t="s">
        <v>620</v>
      </c>
      <c r="C27" s="6" t="s">
        <v>59</v>
      </c>
      <c r="D27" s="6">
        <v>5</v>
      </c>
      <c r="E27" s="6" t="s">
        <v>1688</v>
      </c>
      <c r="F27" s="6" t="str">
        <f>IFERROR(INDEX('03_상품분류2526'!$C$7:$C$2532,MATCH(E27,'03_상품분류2526'!$A$7:$A$2532,0)),"코드 확인")</f>
        <v>글루콤액</v>
      </c>
      <c r="G27" s="6" t="str">
        <f>IFERROR(INDEX('03_상품분류2526'!$D$7:$D$2532,MATCH(E27,'03_상품분류2526'!$A$7:$A$2532,0)),"코드 확인")</f>
        <v>10mL*15병*3EA</v>
      </c>
      <c r="H27" s="6" t="s">
        <v>7508</v>
      </c>
      <c r="I27" s="6" t="str">
        <f>IFERROR(INDEX('03_상품분류2526'!$M$7:$M$2532,MATCH(E27,'03_상품분류2526'!$A$7:$A$2532,0)),"코드 확인")</f>
        <v>B</v>
      </c>
      <c r="J27" s="6">
        <v>1</v>
      </c>
      <c r="K27" s="15">
        <v>1</v>
      </c>
      <c r="L27" s="6" t="str">
        <f>IFERROR(IF(INDEX('03_상품분류2526'!$V$7:$V$2532,MATCH(E27,'03_상품분류2526'!$A$7:$A$2532,0))="","",INDEX('03_상품분류2526'!$V$7:$V$2532,MATCH(E27,'03_상품분류2526'!$A$7:$A$2532,0))),"")</f>
        <v/>
      </c>
      <c r="M27" s="6" t="str">
        <f>IFERROR(IF(INDEX('03_상품분류2526'!$W$7:$W$2532,MATCH(E27,'03_상품분류2526'!$A$7:$A$2532,0))="","",INDEX('03_상품분류2526'!$W$7:$W$2532,MATCH(E27,'03_상품분류2526'!$A$7:$A$2532,0))),"")</f>
        <v/>
      </c>
      <c r="N27" s="6" t="str">
        <f>IFERROR(IF(INDEX('03_상품분류2526'!$X$7:$X$2532,MATCH(E27,'03_상품분류2526'!$A$7:$A$2532,0))="","",INDEX('03_상품분류2526'!$X$7:$X$2532,MATCH(E27,'03_상품분류2526'!$A$7:$A$2532,0))),"")</f>
        <v/>
      </c>
      <c r="O27" s="6">
        <f>'02_선반315'!R26</f>
        <v>865</v>
      </c>
      <c r="P27" s="6">
        <f>'02_선반315'!T26</f>
        <v>330</v>
      </c>
      <c r="Q27" s="6">
        <f>'02_선반315'!U26</f>
        <v>310</v>
      </c>
      <c r="R27" s="6">
        <f>'02_선반315'!S26</f>
        <v>330</v>
      </c>
      <c r="S27" s="6" t="str">
        <f t="shared" si="0"/>
        <v/>
      </c>
      <c r="T27" s="6" t="str">
        <f t="shared" si="1"/>
        <v>입력 대기</v>
      </c>
      <c r="U27" s="6" t="s">
        <v>7509</v>
      </c>
      <c r="V27" s="6" t="s">
        <v>555</v>
      </c>
      <c r="W27" s="6" t="s">
        <v>554</v>
      </c>
    </row>
    <row r="28" spans="1:23" ht="33" customHeight="1">
      <c r="A28" s="6" t="s">
        <v>7531</v>
      </c>
      <c r="B28" s="6" t="s">
        <v>620</v>
      </c>
      <c r="C28" s="6" t="s">
        <v>59</v>
      </c>
      <c r="D28" s="6">
        <v>5</v>
      </c>
      <c r="E28" s="6" t="s">
        <v>6235</v>
      </c>
      <c r="F28" s="6" t="str">
        <f>IFERROR(INDEX('03_상품분류2526'!$C$7:$C$2532,MATCH(E28,'03_상품분류2526'!$A$7:$A$2532,0)),"코드 확인")</f>
        <v>한풍 경옥고</v>
      </c>
      <c r="G28" s="6" t="str">
        <f>IFERROR(INDEX('03_상품분류2526'!$D$7:$D$2532,MATCH(E28,'03_상품분류2526'!$A$7:$A$2532,0)),"코드 확인")</f>
        <v>20포</v>
      </c>
      <c r="H28" s="6" t="s">
        <v>7508</v>
      </c>
      <c r="I28" s="6" t="str">
        <f>IFERROR(INDEX('03_상품분류2526'!$M$7:$M$2532,MATCH(E28,'03_상품분류2526'!$A$7:$A$2532,0)),"코드 확인")</f>
        <v>B</v>
      </c>
      <c r="J28" s="6">
        <v>2</v>
      </c>
      <c r="K28" s="15">
        <v>1</v>
      </c>
      <c r="L28" s="6" t="str">
        <f>IFERROR(IF(INDEX('03_상품분류2526'!$V$7:$V$2532,MATCH(E28,'03_상품분류2526'!$A$7:$A$2532,0))="","",INDEX('03_상품분류2526'!$V$7:$V$2532,MATCH(E28,'03_상품분류2526'!$A$7:$A$2532,0))),"")</f>
        <v/>
      </c>
      <c r="M28" s="6" t="str">
        <f>IFERROR(IF(INDEX('03_상품분류2526'!$W$7:$W$2532,MATCH(E28,'03_상품분류2526'!$A$7:$A$2532,0))="","",INDEX('03_상품분류2526'!$W$7:$W$2532,MATCH(E28,'03_상품분류2526'!$A$7:$A$2532,0))),"")</f>
        <v/>
      </c>
      <c r="N28" s="6" t="str">
        <f>IFERROR(IF(INDEX('03_상품분류2526'!$X$7:$X$2532,MATCH(E28,'03_상품분류2526'!$A$7:$A$2532,0))="","",INDEX('03_상품분류2526'!$X$7:$X$2532,MATCH(E28,'03_상품분류2526'!$A$7:$A$2532,0))),"")</f>
        <v/>
      </c>
      <c r="O28" s="6">
        <f>'02_선반315'!R26</f>
        <v>865</v>
      </c>
      <c r="P28" s="6">
        <f>'02_선반315'!T26</f>
        <v>330</v>
      </c>
      <c r="Q28" s="6">
        <f>'02_선반315'!U26</f>
        <v>310</v>
      </c>
      <c r="R28" s="6">
        <f>'02_선반315'!S26</f>
        <v>330</v>
      </c>
      <c r="S28" s="6" t="str">
        <f t="shared" si="0"/>
        <v/>
      </c>
      <c r="T28" s="6" t="str">
        <f t="shared" si="1"/>
        <v>입력 대기</v>
      </c>
      <c r="U28" s="6" t="s">
        <v>7509</v>
      </c>
      <c r="V28" s="6" t="s">
        <v>555</v>
      </c>
      <c r="W28" s="6" t="s">
        <v>554</v>
      </c>
    </row>
    <row r="29" spans="1:23" ht="33" customHeight="1">
      <c r="A29" s="6" t="s">
        <v>7532</v>
      </c>
      <c r="B29" s="6" t="s">
        <v>620</v>
      </c>
      <c r="C29" s="6" t="s">
        <v>59</v>
      </c>
      <c r="D29" s="6">
        <v>5</v>
      </c>
      <c r="E29" s="6" t="s">
        <v>7118</v>
      </c>
      <c r="F29" s="6" t="str">
        <f>IFERROR(INDEX('03_상품분류2526'!$C$7:$C$2532,MATCH(E29,'03_상품분류2526'!$A$7:$A$2532,0)),"코드 확인")</f>
        <v>우루사정100mg</v>
      </c>
      <c r="G29" s="6" t="str">
        <f>IFERROR(INDEX('03_상품분류2526'!$D$7:$D$2532,MATCH(E29,'03_상품분류2526'!$A$7:$A$2532,0)),"코드 확인")</f>
        <v>10T</v>
      </c>
      <c r="H29" s="6" t="s">
        <v>7508</v>
      </c>
      <c r="I29" s="6" t="str">
        <f>IFERROR(INDEX('03_상품분류2526'!$M$7:$M$2532,MATCH(E29,'03_상품분류2526'!$A$7:$A$2532,0)),"코드 확인")</f>
        <v>B</v>
      </c>
      <c r="J29" s="6">
        <v>3</v>
      </c>
      <c r="K29" s="15">
        <v>1</v>
      </c>
      <c r="L29" s="6" t="str">
        <f>IFERROR(IF(INDEX('03_상품분류2526'!$V$7:$V$2532,MATCH(E29,'03_상품분류2526'!$A$7:$A$2532,0))="","",INDEX('03_상품분류2526'!$V$7:$V$2532,MATCH(E29,'03_상품분류2526'!$A$7:$A$2532,0))),"")</f>
        <v/>
      </c>
      <c r="M29" s="6" t="str">
        <f>IFERROR(IF(INDEX('03_상품분류2526'!$W$7:$W$2532,MATCH(E29,'03_상품분류2526'!$A$7:$A$2532,0))="","",INDEX('03_상품분류2526'!$W$7:$W$2532,MATCH(E29,'03_상품분류2526'!$A$7:$A$2532,0))),"")</f>
        <v/>
      </c>
      <c r="N29" s="6" t="str">
        <f>IFERROR(IF(INDEX('03_상품분류2526'!$X$7:$X$2532,MATCH(E29,'03_상품분류2526'!$A$7:$A$2532,0))="","",INDEX('03_상품분류2526'!$X$7:$X$2532,MATCH(E29,'03_상품분류2526'!$A$7:$A$2532,0))),"")</f>
        <v/>
      </c>
      <c r="O29" s="6">
        <f>'02_선반315'!R26</f>
        <v>865</v>
      </c>
      <c r="P29" s="6">
        <f>'02_선반315'!T26</f>
        <v>330</v>
      </c>
      <c r="Q29" s="6">
        <f>'02_선반315'!U26</f>
        <v>310</v>
      </c>
      <c r="R29" s="6">
        <f>'02_선반315'!S26</f>
        <v>330</v>
      </c>
      <c r="S29" s="6" t="str">
        <f t="shared" si="0"/>
        <v/>
      </c>
      <c r="T29" s="6" t="str">
        <f t="shared" si="1"/>
        <v>입력 대기</v>
      </c>
      <c r="U29" s="6" t="s">
        <v>7509</v>
      </c>
      <c r="V29" s="6" t="s">
        <v>555</v>
      </c>
      <c r="W29" s="6" t="s">
        <v>554</v>
      </c>
    </row>
    <row r="30" spans="1:23" ht="33" customHeight="1">
      <c r="A30" s="6" t="s">
        <v>7533</v>
      </c>
      <c r="B30" s="6" t="s">
        <v>620</v>
      </c>
      <c r="C30" s="6" t="s">
        <v>59</v>
      </c>
      <c r="D30" s="6">
        <v>5</v>
      </c>
      <c r="E30" s="6" t="s">
        <v>7116</v>
      </c>
      <c r="F30" s="6" t="str">
        <f>IFERROR(INDEX('03_상품분류2526'!$C$7:$C$2532,MATCH(E30,'03_상품분류2526'!$A$7:$A$2532,0)),"코드 확인")</f>
        <v>헤파토스시럽</v>
      </c>
      <c r="G30" s="6" t="str">
        <f>IFERROR(INDEX('03_상품분류2526'!$D$7:$D$2532,MATCH(E30,'03_상품분류2526'!$A$7:$A$2532,0)),"코드 확인")</f>
        <v>20ml</v>
      </c>
      <c r="H30" s="6" t="s">
        <v>7508</v>
      </c>
      <c r="I30" s="6" t="str">
        <f>IFERROR(INDEX('03_상품분류2526'!$M$7:$M$2532,MATCH(E30,'03_상품분류2526'!$A$7:$A$2532,0)),"코드 확인")</f>
        <v>B</v>
      </c>
      <c r="J30" s="6">
        <v>4</v>
      </c>
      <c r="K30" s="15">
        <v>1</v>
      </c>
      <c r="L30" s="6" t="str">
        <f>IFERROR(IF(INDEX('03_상품분류2526'!$V$7:$V$2532,MATCH(E30,'03_상품분류2526'!$A$7:$A$2532,0))="","",INDEX('03_상품분류2526'!$V$7:$V$2532,MATCH(E30,'03_상품분류2526'!$A$7:$A$2532,0))),"")</f>
        <v/>
      </c>
      <c r="M30" s="6" t="str">
        <f>IFERROR(IF(INDEX('03_상품분류2526'!$W$7:$W$2532,MATCH(E30,'03_상품분류2526'!$A$7:$A$2532,0))="","",INDEX('03_상품분류2526'!$W$7:$W$2532,MATCH(E30,'03_상품분류2526'!$A$7:$A$2532,0))),"")</f>
        <v/>
      </c>
      <c r="N30" s="6" t="str">
        <f>IFERROR(IF(INDEX('03_상품분류2526'!$X$7:$X$2532,MATCH(E30,'03_상품분류2526'!$A$7:$A$2532,0))="","",INDEX('03_상품분류2526'!$X$7:$X$2532,MATCH(E30,'03_상품분류2526'!$A$7:$A$2532,0))),"")</f>
        <v/>
      </c>
      <c r="O30" s="6">
        <f>'02_선반315'!R26</f>
        <v>865</v>
      </c>
      <c r="P30" s="6">
        <f>'02_선반315'!T26</f>
        <v>330</v>
      </c>
      <c r="Q30" s="6">
        <f>'02_선반315'!U26</f>
        <v>310</v>
      </c>
      <c r="R30" s="6">
        <f>'02_선반315'!S26</f>
        <v>330</v>
      </c>
      <c r="S30" s="6" t="str">
        <f t="shared" si="0"/>
        <v/>
      </c>
      <c r="T30" s="6" t="str">
        <f t="shared" si="1"/>
        <v>입력 대기</v>
      </c>
      <c r="U30" s="6" t="s">
        <v>7509</v>
      </c>
      <c r="V30" s="6" t="s">
        <v>555</v>
      </c>
      <c r="W30" s="6" t="s">
        <v>554</v>
      </c>
    </row>
    <row r="31" spans="1:23" ht="33" customHeight="1">
      <c r="A31" s="6" t="s">
        <v>7534</v>
      </c>
      <c r="B31" s="6" t="s">
        <v>626</v>
      </c>
      <c r="C31" s="6" t="s">
        <v>69</v>
      </c>
      <c r="D31" s="6">
        <v>2</v>
      </c>
      <c r="E31" s="6" t="s">
        <v>6593</v>
      </c>
      <c r="F31" s="6" t="str">
        <f>IFERROR(INDEX('03_상품분류2526'!$C$7:$C$2532,MATCH(E31,'03_상품분류2526'!$A$7:$A$2532,0)),"코드 확인")</f>
        <v>한미 엔플 프리미엄 멀티비타민 이뮨삿 7병</v>
      </c>
      <c r="G31" s="6" t="str">
        <f>IFERROR(INDEX('03_상품분류2526'!$D$7:$D$2532,MATCH(E31,'03_상품분류2526'!$A$7:$A$2532,0)),"코드 확인")</f>
        <v>7병</v>
      </c>
      <c r="H31" s="6" t="s">
        <v>7508</v>
      </c>
      <c r="I31" s="6" t="str">
        <f>IFERROR(INDEX('03_상품분류2526'!$M$7:$M$2532,MATCH(E31,'03_상품분류2526'!$A$7:$A$2532,0)),"코드 확인")</f>
        <v>B</v>
      </c>
      <c r="J31" s="6">
        <v>1</v>
      </c>
      <c r="K31" s="15">
        <v>1</v>
      </c>
      <c r="L31" s="6" t="str">
        <f>IFERROR(IF(INDEX('03_상품분류2526'!$V$7:$V$2532,MATCH(E31,'03_상품분류2526'!$A$7:$A$2532,0))="","",INDEX('03_상품분류2526'!$V$7:$V$2532,MATCH(E31,'03_상품분류2526'!$A$7:$A$2532,0))),"")</f>
        <v/>
      </c>
      <c r="M31" s="6" t="str">
        <f>IFERROR(IF(INDEX('03_상품분류2526'!$W$7:$W$2532,MATCH(E31,'03_상품분류2526'!$A$7:$A$2532,0))="","",INDEX('03_상품분류2526'!$W$7:$W$2532,MATCH(E31,'03_상품분류2526'!$A$7:$A$2532,0))),"")</f>
        <v/>
      </c>
      <c r="N31" s="6" t="str">
        <f>IFERROR(IF(INDEX('03_상품분류2526'!$X$7:$X$2532,MATCH(E31,'03_상품분류2526'!$A$7:$A$2532,0))="","",INDEX('03_상품분류2526'!$X$7:$X$2532,MATCH(E31,'03_상품분류2526'!$A$7:$A$2532,0))),"")</f>
        <v/>
      </c>
      <c r="O31" s="6">
        <f>'02_선반315'!R28</f>
        <v>865</v>
      </c>
      <c r="P31" s="6">
        <f>'02_선반315'!T28</f>
        <v>290</v>
      </c>
      <c r="Q31" s="6">
        <f>'02_선반315'!U28</f>
        <v>270</v>
      </c>
      <c r="R31" s="6">
        <f>'02_선반315'!S28</f>
        <v>330</v>
      </c>
      <c r="S31" s="6" t="str">
        <f t="shared" si="0"/>
        <v/>
      </c>
      <c r="T31" s="6" t="str">
        <f t="shared" si="1"/>
        <v>입력 대기</v>
      </c>
      <c r="U31" s="6" t="s">
        <v>7509</v>
      </c>
      <c r="V31" s="6" t="s">
        <v>555</v>
      </c>
      <c r="W31" s="6" t="s">
        <v>554</v>
      </c>
    </row>
    <row r="32" spans="1:23" ht="33" customHeight="1">
      <c r="A32" s="6" t="s">
        <v>7535</v>
      </c>
      <c r="B32" s="6" t="s">
        <v>626</v>
      </c>
      <c r="C32" s="6" t="s">
        <v>69</v>
      </c>
      <c r="D32" s="6">
        <v>2</v>
      </c>
      <c r="E32" s="6" t="s">
        <v>6953</v>
      </c>
      <c r="F32" s="6" t="str">
        <f>IFERROR(INDEX('03_상품분류2526'!$C$7:$C$2532,MATCH(E32,'03_상품분류2526'!$A$7:$A$2532,0)),"코드 확인")</f>
        <v>비타블로썸 멀티비타민 이뮨 부스터</v>
      </c>
      <c r="G32" s="6" t="str">
        <f>IFERROR(INDEX('03_상품분류2526'!$D$7:$D$2532,MATCH(E32,'03_상품분류2526'!$A$7:$A$2532,0)),"코드 확인")</f>
        <v>7병</v>
      </c>
      <c r="H32" s="6" t="s">
        <v>7508</v>
      </c>
      <c r="I32" s="6" t="str">
        <f>IFERROR(INDEX('03_상품분류2526'!$M$7:$M$2532,MATCH(E32,'03_상품분류2526'!$A$7:$A$2532,0)),"코드 확인")</f>
        <v>B</v>
      </c>
      <c r="J32" s="6">
        <v>2</v>
      </c>
      <c r="K32" s="15">
        <v>1</v>
      </c>
      <c r="L32" s="6" t="str">
        <f>IFERROR(IF(INDEX('03_상품분류2526'!$V$7:$V$2532,MATCH(E32,'03_상품분류2526'!$A$7:$A$2532,0))="","",INDEX('03_상품분류2526'!$V$7:$V$2532,MATCH(E32,'03_상품분류2526'!$A$7:$A$2532,0))),"")</f>
        <v/>
      </c>
      <c r="M32" s="6" t="str">
        <f>IFERROR(IF(INDEX('03_상품분류2526'!$W$7:$W$2532,MATCH(E32,'03_상품분류2526'!$A$7:$A$2532,0))="","",INDEX('03_상품분류2526'!$W$7:$W$2532,MATCH(E32,'03_상품분류2526'!$A$7:$A$2532,0))),"")</f>
        <v/>
      </c>
      <c r="N32" s="6" t="str">
        <f>IFERROR(IF(INDEX('03_상품분류2526'!$X$7:$X$2532,MATCH(E32,'03_상품분류2526'!$A$7:$A$2532,0))="","",INDEX('03_상품분류2526'!$X$7:$X$2532,MATCH(E32,'03_상품분류2526'!$A$7:$A$2532,0))),"")</f>
        <v/>
      </c>
      <c r="O32" s="6">
        <f>'02_선반315'!R28</f>
        <v>865</v>
      </c>
      <c r="P32" s="6">
        <f>'02_선반315'!T28</f>
        <v>290</v>
      </c>
      <c r="Q32" s="6">
        <f>'02_선반315'!U28</f>
        <v>270</v>
      </c>
      <c r="R32" s="6">
        <f>'02_선반315'!S28</f>
        <v>330</v>
      </c>
      <c r="S32" s="6" t="str">
        <f t="shared" si="0"/>
        <v/>
      </c>
      <c r="T32" s="6" t="str">
        <f t="shared" si="1"/>
        <v>입력 대기</v>
      </c>
      <c r="U32" s="6" t="s">
        <v>7509</v>
      </c>
      <c r="V32" s="6" t="s">
        <v>555</v>
      </c>
      <c r="W32" s="6" t="s">
        <v>554</v>
      </c>
    </row>
    <row r="33" spans="1:23" ht="33" customHeight="1">
      <c r="A33" s="6" t="s">
        <v>7536</v>
      </c>
      <c r="B33" s="6" t="s">
        <v>630</v>
      </c>
      <c r="C33" s="6" t="s">
        <v>69</v>
      </c>
      <c r="D33" s="6">
        <v>3</v>
      </c>
      <c r="E33" s="6" t="s">
        <v>809</v>
      </c>
      <c r="F33" s="6" t="str">
        <f>IFERROR(INDEX('03_상품분류2526'!$C$7:$C$2532,MATCH(E33,'03_상품분류2526'!$A$7:$A$2532,0)),"코드 확인")</f>
        <v>정원삼 6년근 고려홍삼정365스틱</v>
      </c>
      <c r="G33" s="6" t="str">
        <f>IFERROR(INDEX('03_상품분류2526'!$D$7:$D$2532,MATCH(E33,'03_상품분류2526'!$A$7:$A$2532,0)),"코드 확인")</f>
        <v>10g*30포</v>
      </c>
      <c r="H33" s="6" t="s">
        <v>7508</v>
      </c>
      <c r="I33" s="6" t="str">
        <f>IFERROR(INDEX('03_상품분류2526'!$M$7:$M$2532,MATCH(E33,'03_상품분류2526'!$A$7:$A$2532,0)),"코드 확인")</f>
        <v>A</v>
      </c>
      <c r="J33" s="6">
        <v>1</v>
      </c>
      <c r="K33" s="15">
        <v>1</v>
      </c>
      <c r="L33" s="6" t="str">
        <f>IFERROR(IF(INDEX('03_상품분류2526'!$V$7:$V$2532,MATCH(E33,'03_상품분류2526'!$A$7:$A$2532,0))="","",INDEX('03_상품분류2526'!$V$7:$V$2532,MATCH(E33,'03_상품분류2526'!$A$7:$A$2532,0))),"")</f>
        <v/>
      </c>
      <c r="M33" s="6" t="str">
        <f>IFERROR(IF(INDEX('03_상품분류2526'!$W$7:$W$2532,MATCH(E33,'03_상품분류2526'!$A$7:$A$2532,0))="","",INDEX('03_상품분류2526'!$W$7:$W$2532,MATCH(E33,'03_상품분류2526'!$A$7:$A$2532,0))),"")</f>
        <v/>
      </c>
      <c r="N33" s="6" t="str">
        <f>IFERROR(IF(INDEX('03_상품분류2526'!$X$7:$X$2532,MATCH(E33,'03_상품분류2526'!$A$7:$A$2532,0))="","",INDEX('03_상품분류2526'!$X$7:$X$2532,MATCH(E33,'03_상품분류2526'!$A$7:$A$2532,0))),"")</f>
        <v/>
      </c>
      <c r="O33" s="6">
        <f>'02_선반315'!R29</f>
        <v>865</v>
      </c>
      <c r="P33" s="6">
        <f>'02_선반315'!T29</f>
        <v>290</v>
      </c>
      <c r="Q33" s="6">
        <f>'02_선반315'!U29</f>
        <v>270</v>
      </c>
      <c r="R33" s="6">
        <f>'02_선반315'!S29</f>
        <v>330</v>
      </c>
      <c r="S33" s="6" t="str">
        <f t="shared" si="0"/>
        <v/>
      </c>
      <c r="T33" s="6" t="str">
        <f t="shared" si="1"/>
        <v>입력 대기</v>
      </c>
      <c r="U33" s="6" t="s">
        <v>7509</v>
      </c>
      <c r="V33" s="6" t="s">
        <v>555</v>
      </c>
      <c r="W33" s="6" t="s">
        <v>554</v>
      </c>
    </row>
    <row r="34" spans="1:23" ht="33" customHeight="1">
      <c r="A34" s="6" t="s">
        <v>7537</v>
      </c>
      <c r="B34" s="6" t="s">
        <v>630</v>
      </c>
      <c r="C34" s="6" t="s">
        <v>69</v>
      </c>
      <c r="D34" s="6">
        <v>3</v>
      </c>
      <c r="E34" s="6" t="s">
        <v>6244</v>
      </c>
      <c r="F34" s="6" t="str">
        <f>IFERROR(INDEX('03_상품분류2526'!$C$7:$C$2532,MATCH(E34,'03_상품분류2526'!$A$7:$A$2532,0)),"코드 확인")</f>
        <v>정원삼 6년근 발효홍삼 농축액스틱</v>
      </c>
      <c r="G34" s="6" t="str">
        <f>IFERROR(INDEX('03_상품분류2526'!$D$7:$D$2532,MATCH(E34,'03_상품분류2526'!$A$7:$A$2532,0)),"코드 확인")</f>
        <v>10g*30포</v>
      </c>
      <c r="H34" s="6" t="s">
        <v>7508</v>
      </c>
      <c r="I34" s="6" t="str">
        <f>IFERROR(INDEX('03_상품분류2526'!$M$7:$M$2532,MATCH(E34,'03_상품분류2526'!$A$7:$A$2532,0)),"코드 확인")</f>
        <v>B</v>
      </c>
      <c r="J34" s="6">
        <v>2</v>
      </c>
      <c r="K34" s="15">
        <v>1</v>
      </c>
      <c r="L34" s="6" t="str">
        <f>IFERROR(IF(INDEX('03_상품분류2526'!$V$7:$V$2532,MATCH(E34,'03_상품분류2526'!$A$7:$A$2532,0))="","",INDEX('03_상품분류2526'!$V$7:$V$2532,MATCH(E34,'03_상품분류2526'!$A$7:$A$2532,0))),"")</f>
        <v/>
      </c>
      <c r="M34" s="6" t="str">
        <f>IFERROR(IF(INDEX('03_상품분류2526'!$W$7:$W$2532,MATCH(E34,'03_상품분류2526'!$A$7:$A$2532,0))="","",INDEX('03_상품분류2526'!$W$7:$W$2532,MATCH(E34,'03_상품분류2526'!$A$7:$A$2532,0))),"")</f>
        <v/>
      </c>
      <c r="N34" s="6" t="str">
        <f>IFERROR(IF(INDEX('03_상품분류2526'!$X$7:$X$2532,MATCH(E34,'03_상품분류2526'!$A$7:$A$2532,0))="","",INDEX('03_상품분류2526'!$X$7:$X$2532,MATCH(E34,'03_상품분류2526'!$A$7:$A$2532,0))),"")</f>
        <v/>
      </c>
      <c r="O34" s="6">
        <f>'02_선반315'!R29</f>
        <v>865</v>
      </c>
      <c r="P34" s="6">
        <f>'02_선반315'!T29</f>
        <v>290</v>
      </c>
      <c r="Q34" s="6">
        <f>'02_선반315'!U29</f>
        <v>270</v>
      </c>
      <c r="R34" s="6">
        <f>'02_선반315'!S29</f>
        <v>330</v>
      </c>
      <c r="S34" s="6" t="str">
        <f t="shared" si="0"/>
        <v/>
      </c>
      <c r="T34" s="6" t="str">
        <f t="shared" si="1"/>
        <v>입력 대기</v>
      </c>
      <c r="U34" s="6" t="s">
        <v>7509</v>
      </c>
      <c r="V34" s="6" t="s">
        <v>555</v>
      </c>
      <c r="W34" s="6" t="s">
        <v>554</v>
      </c>
    </row>
    <row r="35" spans="1:23" ht="33" customHeight="1">
      <c r="A35" s="6" t="s">
        <v>7538</v>
      </c>
      <c r="B35" s="6" t="s">
        <v>634</v>
      </c>
      <c r="C35" s="6" t="s">
        <v>69</v>
      </c>
      <c r="D35" s="6">
        <v>4</v>
      </c>
      <c r="E35" s="6" t="s">
        <v>1800</v>
      </c>
      <c r="F35" s="6" t="str">
        <f>IFERROR(INDEX('03_상품분류2526'!$C$7:$C$2532,MATCH(E35,'03_상품분류2526'!$A$7:$A$2532,0)),"코드 확인")</f>
        <v>에버콜라겐 블랙</v>
      </c>
      <c r="G35" s="6" t="str">
        <f>IFERROR(INDEX('03_상품분류2526'!$D$7:$D$2532,MATCH(E35,'03_상품분류2526'!$A$7:$A$2532,0)),"코드 확인")</f>
        <v>84T</v>
      </c>
      <c r="H35" s="6" t="s">
        <v>7508</v>
      </c>
      <c r="I35" s="6" t="str">
        <f>IFERROR(INDEX('03_상품분류2526'!$M$7:$M$2532,MATCH(E35,'03_상품분류2526'!$A$7:$A$2532,0)),"코드 확인")</f>
        <v>B</v>
      </c>
      <c r="J35" s="6">
        <v>1</v>
      </c>
      <c r="K35" s="15">
        <v>1</v>
      </c>
      <c r="L35" s="6" t="str">
        <f>IFERROR(IF(INDEX('03_상품분류2526'!$V$7:$V$2532,MATCH(E35,'03_상품분류2526'!$A$7:$A$2532,0))="","",INDEX('03_상품분류2526'!$V$7:$V$2532,MATCH(E35,'03_상품분류2526'!$A$7:$A$2532,0))),"")</f>
        <v/>
      </c>
      <c r="M35" s="6" t="str">
        <f>IFERROR(IF(INDEX('03_상품분류2526'!$W$7:$W$2532,MATCH(E35,'03_상품분류2526'!$A$7:$A$2532,0))="","",INDEX('03_상품분류2526'!$W$7:$W$2532,MATCH(E35,'03_상품분류2526'!$A$7:$A$2532,0))),"")</f>
        <v/>
      </c>
      <c r="N35" s="6" t="str">
        <f>IFERROR(IF(INDEX('03_상품분류2526'!$X$7:$X$2532,MATCH(E35,'03_상품분류2526'!$A$7:$A$2532,0))="","",INDEX('03_상품분류2526'!$X$7:$X$2532,MATCH(E35,'03_상품분류2526'!$A$7:$A$2532,0))),"")</f>
        <v/>
      </c>
      <c r="O35" s="6">
        <f>'02_선반315'!R30</f>
        <v>865</v>
      </c>
      <c r="P35" s="6">
        <f>'02_선반315'!T30</f>
        <v>290</v>
      </c>
      <c r="Q35" s="6">
        <f>'02_선반315'!U30</f>
        <v>270</v>
      </c>
      <c r="R35" s="6">
        <f>'02_선반315'!S30</f>
        <v>330</v>
      </c>
      <c r="S35" s="6" t="str">
        <f t="shared" si="0"/>
        <v/>
      </c>
      <c r="T35" s="6" t="str">
        <f t="shared" si="1"/>
        <v>입력 대기</v>
      </c>
      <c r="U35" s="6" t="s">
        <v>7509</v>
      </c>
      <c r="V35" s="6" t="s">
        <v>555</v>
      </c>
      <c r="W35" s="6" t="s">
        <v>554</v>
      </c>
    </row>
    <row r="36" spans="1:23" ht="33" customHeight="1">
      <c r="A36" s="6" t="s">
        <v>7539</v>
      </c>
      <c r="B36" s="6" t="s">
        <v>634</v>
      </c>
      <c r="C36" s="6" t="s">
        <v>69</v>
      </c>
      <c r="D36" s="6">
        <v>4</v>
      </c>
      <c r="E36" s="6" t="s">
        <v>6237</v>
      </c>
      <c r="F36" s="6" t="str">
        <f>IFERROR(INDEX('03_상품분류2526'!$C$7:$C$2532,MATCH(E36,'03_상품분류2526'!$A$7:$A$2532,0)),"코드 확인")</f>
        <v>정원삼 6년근 고려홍삼정 로얄젤리스틱</v>
      </c>
      <c r="G36" s="6" t="str">
        <f>IFERROR(INDEX('03_상품분류2526'!$D$7:$D$2532,MATCH(E36,'03_상품분류2526'!$A$7:$A$2532,0)),"코드 확인")</f>
        <v>10g*30포</v>
      </c>
      <c r="H36" s="6" t="s">
        <v>7508</v>
      </c>
      <c r="I36" s="6" t="str">
        <f>IFERROR(INDEX('03_상품분류2526'!$M$7:$M$2532,MATCH(E36,'03_상품분류2526'!$A$7:$A$2532,0)),"코드 확인")</f>
        <v>B</v>
      </c>
      <c r="J36" s="6">
        <v>2</v>
      </c>
      <c r="K36" s="15">
        <v>1</v>
      </c>
      <c r="L36" s="6" t="str">
        <f>IFERROR(IF(INDEX('03_상품분류2526'!$V$7:$V$2532,MATCH(E36,'03_상품분류2526'!$A$7:$A$2532,0))="","",INDEX('03_상품분류2526'!$V$7:$V$2532,MATCH(E36,'03_상품분류2526'!$A$7:$A$2532,0))),"")</f>
        <v/>
      </c>
      <c r="M36" s="6" t="str">
        <f>IFERROR(IF(INDEX('03_상품분류2526'!$W$7:$W$2532,MATCH(E36,'03_상품분류2526'!$A$7:$A$2532,0))="","",INDEX('03_상품분류2526'!$W$7:$W$2532,MATCH(E36,'03_상품분류2526'!$A$7:$A$2532,0))),"")</f>
        <v/>
      </c>
      <c r="N36" s="6" t="str">
        <f>IFERROR(IF(INDEX('03_상품분류2526'!$X$7:$X$2532,MATCH(E36,'03_상품분류2526'!$A$7:$A$2532,0))="","",INDEX('03_상품분류2526'!$X$7:$X$2532,MATCH(E36,'03_상품분류2526'!$A$7:$A$2532,0))),"")</f>
        <v/>
      </c>
      <c r="O36" s="6">
        <f>'02_선반315'!R30</f>
        <v>865</v>
      </c>
      <c r="P36" s="6">
        <f>'02_선반315'!T30</f>
        <v>290</v>
      </c>
      <c r="Q36" s="6">
        <f>'02_선반315'!U30</f>
        <v>270</v>
      </c>
      <c r="R36" s="6">
        <f>'02_선반315'!S30</f>
        <v>330</v>
      </c>
      <c r="S36" s="6" t="str">
        <f t="shared" si="0"/>
        <v/>
      </c>
      <c r="T36" s="6" t="str">
        <f t="shared" si="1"/>
        <v>입력 대기</v>
      </c>
      <c r="U36" s="6" t="s">
        <v>7509</v>
      </c>
      <c r="V36" s="6" t="s">
        <v>555</v>
      </c>
      <c r="W36" s="6" t="s">
        <v>554</v>
      </c>
    </row>
    <row r="37" spans="1:23" ht="33" customHeight="1">
      <c r="A37" s="6" t="s">
        <v>7540</v>
      </c>
      <c r="B37" s="6" t="s">
        <v>639</v>
      </c>
      <c r="C37" s="6" t="s">
        <v>69</v>
      </c>
      <c r="D37" s="6">
        <v>5</v>
      </c>
      <c r="E37" s="6" t="s">
        <v>6249</v>
      </c>
      <c r="F37" s="6" t="str">
        <f>IFERROR(INDEX('03_상품분류2526'!$C$7:$C$2532,MATCH(E37,'03_상품분류2526'!$A$7:$A$2532,0)),"코드 확인")</f>
        <v>정원삼 6년근 고려홍삼정365스틱</v>
      </c>
      <c r="G37" s="6" t="str">
        <f>IFERROR(INDEX('03_상품분류2526'!$D$7:$D$2532,MATCH(E37,'03_상품분류2526'!$A$7:$A$2532,0)),"코드 확인")</f>
        <v>10g*50포</v>
      </c>
      <c r="H37" s="6" t="s">
        <v>7508</v>
      </c>
      <c r="I37" s="6" t="str">
        <f>IFERROR(INDEX('03_상품분류2526'!$M$7:$M$2532,MATCH(E37,'03_상품분류2526'!$A$7:$A$2532,0)),"코드 확인")</f>
        <v>B</v>
      </c>
      <c r="J37" s="6">
        <v>1</v>
      </c>
      <c r="K37" s="15">
        <v>1</v>
      </c>
      <c r="L37" s="6" t="str">
        <f>IFERROR(IF(INDEX('03_상품분류2526'!$V$7:$V$2532,MATCH(E37,'03_상품분류2526'!$A$7:$A$2532,0))="","",INDEX('03_상품분류2526'!$V$7:$V$2532,MATCH(E37,'03_상품분류2526'!$A$7:$A$2532,0))),"")</f>
        <v/>
      </c>
      <c r="M37" s="6" t="str">
        <f>IFERROR(IF(INDEX('03_상품분류2526'!$W$7:$W$2532,MATCH(E37,'03_상품분류2526'!$A$7:$A$2532,0))="","",INDEX('03_상품분류2526'!$W$7:$W$2532,MATCH(E37,'03_상품분류2526'!$A$7:$A$2532,0))),"")</f>
        <v/>
      </c>
      <c r="N37" s="6" t="str">
        <f>IFERROR(IF(INDEX('03_상품분류2526'!$X$7:$X$2532,MATCH(E37,'03_상품분류2526'!$A$7:$A$2532,0))="","",INDEX('03_상품분류2526'!$X$7:$X$2532,MATCH(E37,'03_상품분류2526'!$A$7:$A$2532,0))),"")</f>
        <v/>
      </c>
      <c r="O37" s="6">
        <f>'02_선반315'!R31</f>
        <v>865</v>
      </c>
      <c r="P37" s="6">
        <f>'02_선반315'!T31</f>
        <v>330</v>
      </c>
      <c r="Q37" s="6">
        <f>'02_선반315'!U31</f>
        <v>310</v>
      </c>
      <c r="R37" s="6">
        <f>'02_선반315'!S31</f>
        <v>330</v>
      </c>
      <c r="S37" s="6" t="str">
        <f t="shared" si="0"/>
        <v/>
      </c>
      <c r="T37" s="6" t="str">
        <f t="shared" si="1"/>
        <v>입력 대기</v>
      </c>
      <c r="U37" s="6" t="s">
        <v>7509</v>
      </c>
      <c r="V37" s="6" t="s">
        <v>555</v>
      </c>
      <c r="W37" s="6" t="s">
        <v>554</v>
      </c>
    </row>
    <row r="38" spans="1:23" ht="33" customHeight="1">
      <c r="A38" s="6" t="s">
        <v>7541</v>
      </c>
      <c r="B38" s="6" t="s">
        <v>639</v>
      </c>
      <c r="C38" s="6" t="s">
        <v>69</v>
      </c>
      <c r="D38" s="6">
        <v>5</v>
      </c>
      <c r="E38" s="6" t="s">
        <v>6314</v>
      </c>
      <c r="F38" s="6" t="str">
        <f>IFERROR(INDEX('03_상품분류2526'!$C$7:$C$2532,MATCH(E38,'03_상품분류2526'!$A$7:$A$2532,0)),"코드 확인")</f>
        <v>정원삼 고려홍삼절편 365</v>
      </c>
      <c r="G38" s="6" t="str">
        <f>IFERROR(INDEX('03_상품분류2526'!$D$7:$D$2532,MATCH(E38,'03_상품분류2526'!$A$7:$A$2532,0)),"코드 확인")</f>
        <v>20g*10개</v>
      </c>
      <c r="H38" s="6" t="s">
        <v>7508</v>
      </c>
      <c r="I38" s="6" t="str">
        <f>IFERROR(INDEX('03_상품분류2526'!$M$7:$M$2532,MATCH(E38,'03_상품분류2526'!$A$7:$A$2532,0)),"코드 확인")</f>
        <v>B</v>
      </c>
      <c r="J38" s="6">
        <v>2</v>
      </c>
      <c r="K38" s="15">
        <v>1</v>
      </c>
      <c r="L38" s="6" t="str">
        <f>IFERROR(IF(INDEX('03_상품분류2526'!$V$7:$V$2532,MATCH(E38,'03_상품분류2526'!$A$7:$A$2532,0))="","",INDEX('03_상품분류2526'!$V$7:$V$2532,MATCH(E38,'03_상품분류2526'!$A$7:$A$2532,0))),"")</f>
        <v/>
      </c>
      <c r="M38" s="6" t="str">
        <f>IFERROR(IF(INDEX('03_상품분류2526'!$W$7:$W$2532,MATCH(E38,'03_상품분류2526'!$A$7:$A$2532,0))="","",INDEX('03_상품분류2526'!$W$7:$W$2532,MATCH(E38,'03_상품분류2526'!$A$7:$A$2532,0))),"")</f>
        <v/>
      </c>
      <c r="N38" s="6" t="str">
        <f>IFERROR(IF(INDEX('03_상품분류2526'!$X$7:$X$2532,MATCH(E38,'03_상품분류2526'!$A$7:$A$2532,0))="","",INDEX('03_상품분류2526'!$X$7:$X$2532,MATCH(E38,'03_상품분류2526'!$A$7:$A$2532,0))),"")</f>
        <v/>
      </c>
      <c r="O38" s="6">
        <f>'02_선반315'!R31</f>
        <v>865</v>
      </c>
      <c r="P38" s="6">
        <f>'02_선반315'!T31</f>
        <v>330</v>
      </c>
      <c r="Q38" s="6">
        <f>'02_선반315'!U31</f>
        <v>310</v>
      </c>
      <c r="R38" s="6">
        <f>'02_선반315'!S31</f>
        <v>330</v>
      </c>
      <c r="S38" s="6" t="str">
        <f t="shared" si="0"/>
        <v/>
      </c>
      <c r="T38" s="6" t="str">
        <f t="shared" si="1"/>
        <v>입력 대기</v>
      </c>
      <c r="U38" s="6" t="s">
        <v>7509</v>
      </c>
      <c r="V38" s="6" t="s">
        <v>555</v>
      </c>
      <c r="W38" s="6" t="s">
        <v>554</v>
      </c>
    </row>
    <row r="39" spans="1:23" ht="33" customHeight="1">
      <c r="A39" s="6" t="s">
        <v>7542</v>
      </c>
      <c r="B39" s="6" t="s">
        <v>643</v>
      </c>
      <c r="C39" s="6" t="s">
        <v>79</v>
      </c>
      <c r="D39" s="6">
        <v>1</v>
      </c>
      <c r="E39" s="6" t="s">
        <v>6013</v>
      </c>
      <c r="F39" s="6" t="str">
        <f>IFERROR(INDEX('03_상품분류2526'!$C$7:$C$2532,MATCH(E39,'03_상품분류2526'!$A$7:$A$2532,0)),"코드 확인")</f>
        <v>지르텍정</v>
      </c>
      <c r="G39" s="6" t="str">
        <f>IFERROR(INDEX('03_상품분류2526'!$D$7:$D$2532,MATCH(E39,'03_상품분류2526'!$A$7:$A$2532,0)),"코드 확인")</f>
        <v>10T</v>
      </c>
      <c r="H39" s="6" t="s">
        <v>7508</v>
      </c>
      <c r="I39" s="6" t="str">
        <f>IFERROR(INDEX('03_상품분류2526'!$M$7:$M$2532,MATCH(E39,'03_상품분류2526'!$A$7:$A$2532,0)),"코드 확인")</f>
        <v>A</v>
      </c>
      <c r="J39" s="6">
        <v>1</v>
      </c>
      <c r="K39" s="15">
        <v>1</v>
      </c>
      <c r="L39" s="6" t="str">
        <f>IFERROR(IF(INDEX('03_상품분류2526'!$V$7:$V$2532,MATCH(E39,'03_상품분류2526'!$A$7:$A$2532,0))="","",INDEX('03_상품분류2526'!$V$7:$V$2532,MATCH(E39,'03_상품분류2526'!$A$7:$A$2532,0))),"")</f>
        <v/>
      </c>
      <c r="M39" s="6" t="str">
        <f>IFERROR(IF(INDEX('03_상품분류2526'!$W$7:$W$2532,MATCH(E39,'03_상품분류2526'!$A$7:$A$2532,0))="","",INDEX('03_상품분류2526'!$W$7:$W$2532,MATCH(E39,'03_상품분류2526'!$A$7:$A$2532,0))),"")</f>
        <v/>
      </c>
      <c r="N39" s="6" t="str">
        <f>IFERROR(IF(INDEX('03_상품분류2526'!$X$7:$X$2532,MATCH(E39,'03_상품분류2526'!$A$7:$A$2532,0))="","",INDEX('03_상품분류2526'!$X$7:$X$2532,MATCH(E39,'03_상품분류2526'!$A$7:$A$2532,0))),"")</f>
        <v/>
      </c>
      <c r="O39" s="6">
        <f>'02_선반315'!R32</f>
        <v>865</v>
      </c>
      <c r="P39" s="6">
        <f>'02_선반315'!T32</f>
        <v>100</v>
      </c>
      <c r="Q39" s="6">
        <f>'02_선반315'!U32</f>
        <v>80</v>
      </c>
      <c r="R39" s="6">
        <f>'02_선반315'!S32</f>
        <v>270</v>
      </c>
      <c r="S39" s="6" t="str">
        <f t="shared" si="0"/>
        <v/>
      </c>
      <c r="T39" s="6" t="str">
        <f t="shared" si="1"/>
        <v>입력 대기</v>
      </c>
      <c r="U39" s="6" t="s">
        <v>7543</v>
      </c>
      <c r="V39" s="6" t="s">
        <v>555</v>
      </c>
      <c r="W39" s="6" t="s">
        <v>648</v>
      </c>
    </row>
    <row r="40" spans="1:23" ht="33" customHeight="1">
      <c r="A40" s="6" t="s">
        <v>7544</v>
      </c>
      <c r="B40" s="6" t="s">
        <v>643</v>
      </c>
      <c r="C40" s="6" t="s">
        <v>79</v>
      </c>
      <c r="D40" s="6">
        <v>1</v>
      </c>
      <c r="E40" s="6" t="s">
        <v>7033</v>
      </c>
      <c r="F40" s="6" t="str">
        <f>IFERROR(INDEX('03_상품분류2526'!$C$7:$C$2532,MATCH(E40,'03_상품분류2526'!$A$7:$A$2532,0)),"코드 확인")</f>
        <v>알러샷연질캡슐</v>
      </c>
      <c r="G40" s="6" t="str">
        <f>IFERROR(INDEX('03_상품분류2526'!$D$7:$D$2532,MATCH(E40,'03_상품분류2526'!$A$7:$A$2532,0)),"코드 확인")</f>
        <v>10c</v>
      </c>
      <c r="H40" s="6" t="s">
        <v>7508</v>
      </c>
      <c r="I40" s="6" t="str">
        <f>IFERROR(INDEX('03_상품분류2526'!$M$7:$M$2532,MATCH(E40,'03_상품분류2526'!$A$7:$A$2532,0)),"코드 확인")</f>
        <v>B</v>
      </c>
      <c r="J40" s="6">
        <v>2</v>
      </c>
      <c r="K40" s="15">
        <v>1</v>
      </c>
      <c r="L40" s="6" t="str">
        <f>IFERROR(IF(INDEX('03_상품분류2526'!$V$7:$V$2532,MATCH(E40,'03_상품분류2526'!$A$7:$A$2532,0))="","",INDEX('03_상품분류2526'!$V$7:$V$2532,MATCH(E40,'03_상품분류2526'!$A$7:$A$2532,0))),"")</f>
        <v/>
      </c>
      <c r="M40" s="6" t="str">
        <f>IFERROR(IF(INDEX('03_상품분류2526'!$W$7:$W$2532,MATCH(E40,'03_상품분류2526'!$A$7:$A$2532,0))="","",INDEX('03_상품분류2526'!$W$7:$W$2532,MATCH(E40,'03_상품분류2526'!$A$7:$A$2532,0))),"")</f>
        <v/>
      </c>
      <c r="N40" s="6" t="str">
        <f>IFERROR(IF(INDEX('03_상품분류2526'!$X$7:$X$2532,MATCH(E40,'03_상품분류2526'!$A$7:$A$2532,0))="","",INDEX('03_상품분류2526'!$X$7:$X$2532,MATCH(E40,'03_상품분류2526'!$A$7:$A$2532,0))),"")</f>
        <v/>
      </c>
      <c r="O40" s="6">
        <f>'02_선반315'!R32</f>
        <v>865</v>
      </c>
      <c r="P40" s="6">
        <f>'02_선반315'!T32</f>
        <v>100</v>
      </c>
      <c r="Q40" s="6">
        <f>'02_선반315'!U32</f>
        <v>80</v>
      </c>
      <c r="R40" s="6">
        <f>'02_선반315'!S32</f>
        <v>270</v>
      </c>
      <c r="S40" s="6" t="str">
        <f t="shared" si="0"/>
        <v/>
      </c>
      <c r="T40" s="6" t="str">
        <f t="shared" si="1"/>
        <v>입력 대기</v>
      </c>
      <c r="U40" s="6" t="s">
        <v>7543</v>
      </c>
      <c r="V40" s="6" t="s">
        <v>555</v>
      </c>
      <c r="W40" s="6" t="s">
        <v>648</v>
      </c>
    </row>
    <row r="41" spans="1:23" ht="33" customHeight="1">
      <c r="A41" s="6" t="s">
        <v>7545</v>
      </c>
      <c r="B41" s="6" t="s">
        <v>650</v>
      </c>
      <c r="C41" s="6" t="s">
        <v>79</v>
      </c>
      <c r="D41" s="6">
        <v>2</v>
      </c>
      <c r="E41" s="6" t="s">
        <v>6015</v>
      </c>
      <c r="F41" s="6" t="str">
        <f>IFERROR(INDEX('03_상품분류2526'!$C$7:$C$2532,MATCH(E41,'03_상품분류2526'!$A$7:$A$2532,0)),"코드 확인")</f>
        <v>헤일리온_테라플루 데이타임 (포) 6P</v>
      </c>
      <c r="G41" s="6" t="str">
        <f>IFERROR(INDEX('03_상품분류2526'!$D$7:$D$2532,MATCH(E41,'03_상품분류2526'!$A$7:$A$2532,0)),"코드 확인")</f>
        <v>6포</v>
      </c>
      <c r="H41" s="6" t="s">
        <v>7508</v>
      </c>
      <c r="I41" s="6" t="str">
        <f>IFERROR(INDEX('03_상품분류2526'!$M$7:$M$2532,MATCH(E41,'03_상품분류2526'!$A$7:$A$2532,0)),"코드 확인")</f>
        <v>A</v>
      </c>
      <c r="J41" s="6">
        <v>1</v>
      </c>
      <c r="K41" s="15">
        <v>1</v>
      </c>
      <c r="L41" s="6" t="str">
        <f>IFERROR(IF(INDEX('03_상품분류2526'!$V$7:$V$2532,MATCH(E41,'03_상품분류2526'!$A$7:$A$2532,0))="","",INDEX('03_상품분류2526'!$V$7:$V$2532,MATCH(E41,'03_상품분류2526'!$A$7:$A$2532,0))),"")</f>
        <v/>
      </c>
      <c r="M41" s="6" t="str">
        <f>IFERROR(IF(INDEX('03_상품분류2526'!$W$7:$W$2532,MATCH(E41,'03_상품분류2526'!$A$7:$A$2532,0))="","",INDEX('03_상품분류2526'!$W$7:$W$2532,MATCH(E41,'03_상품분류2526'!$A$7:$A$2532,0))),"")</f>
        <v/>
      </c>
      <c r="N41" s="6" t="str">
        <f>IFERROR(IF(INDEX('03_상품분류2526'!$X$7:$X$2532,MATCH(E41,'03_상품분류2526'!$A$7:$A$2532,0))="","",INDEX('03_상품분류2526'!$X$7:$X$2532,MATCH(E41,'03_상품분류2526'!$A$7:$A$2532,0))),"")</f>
        <v/>
      </c>
      <c r="O41" s="6">
        <f>'02_선반315'!R33</f>
        <v>865</v>
      </c>
      <c r="P41" s="6">
        <f>'02_선반315'!T33</f>
        <v>220</v>
      </c>
      <c r="Q41" s="6">
        <f>'02_선반315'!U33</f>
        <v>200</v>
      </c>
      <c r="R41" s="6">
        <f>'02_선반315'!S33</f>
        <v>270</v>
      </c>
      <c r="S41" s="6" t="str">
        <f t="shared" si="0"/>
        <v/>
      </c>
      <c r="T41" s="6" t="str">
        <f t="shared" si="1"/>
        <v>입력 대기</v>
      </c>
      <c r="U41" s="6" t="s">
        <v>7509</v>
      </c>
      <c r="V41" s="6" t="s">
        <v>555</v>
      </c>
      <c r="W41" s="6" t="s">
        <v>648</v>
      </c>
    </row>
    <row r="42" spans="1:23" ht="33" customHeight="1">
      <c r="A42" s="6" t="s">
        <v>7546</v>
      </c>
      <c r="B42" s="6" t="s">
        <v>650</v>
      </c>
      <c r="C42" s="6" t="s">
        <v>79</v>
      </c>
      <c r="D42" s="6">
        <v>2</v>
      </c>
      <c r="E42" s="6" t="s">
        <v>7035</v>
      </c>
      <c r="F42" s="6" t="str">
        <f>IFERROR(INDEX('03_상품분류2526'!$C$7:$C$2532,MATCH(E42,'03_상품분류2526'!$A$7:$A$2532,0)),"코드 확인")</f>
        <v>콜대원 콜드큐시럽</v>
      </c>
      <c r="G42" s="6" t="str">
        <f>IFERROR(INDEX('03_상품분류2526'!$D$7:$D$2532,MATCH(E42,'03_상품분류2526'!$A$7:$A$2532,0)),"코드 확인")</f>
        <v>20ml*5</v>
      </c>
      <c r="H42" s="6" t="s">
        <v>7508</v>
      </c>
      <c r="I42" s="6" t="str">
        <f>IFERROR(INDEX('03_상품분류2526'!$M$7:$M$2532,MATCH(E42,'03_상품분류2526'!$A$7:$A$2532,0)),"코드 확인")</f>
        <v>A</v>
      </c>
      <c r="J42" s="6">
        <v>2</v>
      </c>
      <c r="K42" s="15">
        <v>1</v>
      </c>
      <c r="L42" s="6" t="str">
        <f>IFERROR(IF(INDEX('03_상품분류2526'!$V$7:$V$2532,MATCH(E42,'03_상품분류2526'!$A$7:$A$2532,0))="","",INDEX('03_상품분류2526'!$V$7:$V$2532,MATCH(E42,'03_상품분류2526'!$A$7:$A$2532,0))),"")</f>
        <v/>
      </c>
      <c r="M42" s="6" t="str">
        <f>IFERROR(IF(INDEX('03_상품분류2526'!$W$7:$W$2532,MATCH(E42,'03_상품분류2526'!$A$7:$A$2532,0))="","",INDEX('03_상품분류2526'!$W$7:$W$2532,MATCH(E42,'03_상품분류2526'!$A$7:$A$2532,0))),"")</f>
        <v/>
      </c>
      <c r="N42" s="6" t="str">
        <f>IFERROR(IF(INDEX('03_상품분류2526'!$X$7:$X$2532,MATCH(E42,'03_상품분류2526'!$A$7:$A$2532,0))="","",INDEX('03_상품분류2526'!$X$7:$X$2532,MATCH(E42,'03_상품분류2526'!$A$7:$A$2532,0))),"")</f>
        <v/>
      </c>
      <c r="O42" s="6">
        <f>'02_선반315'!R33</f>
        <v>865</v>
      </c>
      <c r="P42" s="6">
        <f>'02_선반315'!T33</f>
        <v>220</v>
      </c>
      <c r="Q42" s="6">
        <f>'02_선반315'!U33</f>
        <v>200</v>
      </c>
      <c r="R42" s="6">
        <f>'02_선반315'!S33</f>
        <v>270</v>
      </c>
      <c r="S42" s="6" t="str">
        <f t="shared" si="0"/>
        <v/>
      </c>
      <c r="T42" s="6" t="str">
        <f t="shared" si="1"/>
        <v>입력 대기</v>
      </c>
      <c r="U42" s="6" t="s">
        <v>7509</v>
      </c>
      <c r="V42" s="6" t="s">
        <v>555</v>
      </c>
      <c r="W42" s="6" t="s">
        <v>648</v>
      </c>
    </row>
    <row r="43" spans="1:23" ht="33" customHeight="1">
      <c r="A43" s="6" t="s">
        <v>7547</v>
      </c>
      <c r="B43" s="6" t="s">
        <v>650</v>
      </c>
      <c r="C43" s="6" t="s">
        <v>79</v>
      </c>
      <c r="D43" s="6">
        <v>2</v>
      </c>
      <c r="E43" s="6" t="s">
        <v>6033</v>
      </c>
      <c r="F43" s="6" t="str">
        <f>IFERROR(INDEX('03_상품분류2526'!$C$7:$C$2532,MATCH(E43,'03_상품분류2526'!$A$7:$A$2532,0)),"코드 확인")</f>
        <v>헤일리온_테라플루 나이트타임</v>
      </c>
      <c r="G43" s="6" t="str">
        <f>IFERROR(INDEX('03_상품분류2526'!$D$7:$D$2532,MATCH(E43,'03_상품분류2526'!$A$7:$A$2532,0)),"코드 확인")</f>
        <v>6포</v>
      </c>
      <c r="H43" s="6" t="s">
        <v>7508</v>
      </c>
      <c r="I43" s="6" t="str">
        <f>IFERROR(INDEX('03_상품분류2526'!$M$7:$M$2532,MATCH(E43,'03_상품분류2526'!$A$7:$A$2532,0)),"코드 확인")</f>
        <v>B</v>
      </c>
      <c r="J43" s="6">
        <v>3</v>
      </c>
      <c r="K43" s="15">
        <v>1</v>
      </c>
      <c r="L43" s="6" t="str">
        <f>IFERROR(IF(INDEX('03_상품분류2526'!$V$7:$V$2532,MATCH(E43,'03_상품분류2526'!$A$7:$A$2532,0))="","",INDEX('03_상품분류2526'!$V$7:$V$2532,MATCH(E43,'03_상품분류2526'!$A$7:$A$2532,0))),"")</f>
        <v/>
      </c>
      <c r="M43" s="6" t="str">
        <f>IFERROR(IF(INDEX('03_상품분류2526'!$W$7:$W$2532,MATCH(E43,'03_상품분류2526'!$A$7:$A$2532,0))="","",INDEX('03_상품분류2526'!$W$7:$W$2532,MATCH(E43,'03_상품분류2526'!$A$7:$A$2532,0))),"")</f>
        <v/>
      </c>
      <c r="N43" s="6" t="str">
        <f>IFERROR(IF(INDEX('03_상품분류2526'!$X$7:$X$2532,MATCH(E43,'03_상품분류2526'!$A$7:$A$2532,0))="","",INDEX('03_상품분류2526'!$X$7:$X$2532,MATCH(E43,'03_상품분류2526'!$A$7:$A$2532,0))),"")</f>
        <v/>
      </c>
      <c r="O43" s="6">
        <f>'02_선반315'!R33</f>
        <v>865</v>
      </c>
      <c r="P43" s="6">
        <f>'02_선반315'!T33</f>
        <v>220</v>
      </c>
      <c r="Q43" s="6">
        <f>'02_선반315'!U33</f>
        <v>200</v>
      </c>
      <c r="R43" s="6">
        <f>'02_선반315'!S33</f>
        <v>270</v>
      </c>
      <c r="S43" s="6" t="str">
        <f t="shared" si="0"/>
        <v/>
      </c>
      <c r="T43" s="6" t="str">
        <f t="shared" si="1"/>
        <v>입력 대기</v>
      </c>
      <c r="U43" s="6" t="s">
        <v>7509</v>
      </c>
      <c r="V43" s="6" t="s">
        <v>555</v>
      </c>
      <c r="W43" s="6" t="s">
        <v>648</v>
      </c>
    </row>
    <row r="44" spans="1:23" ht="33" customHeight="1">
      <c r="A44" s="6" t="s">
        <v>7548</v>
      </c>
      <c r="B44" s="6" t="s">
        <v>650</v>
      </c>
      <c r="C44" s="6" t="s">
        <v>79</v>
      </c>
      <c r="D44" s="6">
        <v>2</v>
      </c>
      <c r="E44" s="6" t="s">
        <v>7211</v>
      </c>
      <c r="F44" s="6" t="str">
        <f>IFERROR(INDEX('03_상품분류2526'!$C$7:$C$2532,MATCH(E44,'03_상품분류2526'!$A$7:$A$2532,0)),"코드 확인")</f>
        <v>모드콜에스연질캡슐</v>
      </c>
      <c r="G44" s="6" t="str">
        <f>IFERROR(INDEX('03_상품분류2526'!$D$7:$D$2532,MATCH(E44,'03_상품분류2526'!$A$7:$A$2532,0)),"코드 확인")</f>
        <v>10c</v>
      </c>
      <c r="H44" s="6" t="s">
        <v>7508</v>
      </c>
      <c r="I44" s="6" t="str">
        <f>IFERROR(INDEX('03_상품분류2526'!$M$7:$M$2532,MATCH(E44,'03_상품분류2526'!$A$7:$A$2532,0)),"코드 확인")</f>
        <v>B</v>
      </c>
      <c r="J44" s="6">
        <v>4</v>
      </c>
      <c r="K44" s="15">
        <v>1</v>
      </c>
      <c r="L44" s="6" t="str">
        <f>IFERROR(IF(INDEX('03_상품분류2526'!$V$7:$V$2532,MATCH(E44,'03_상품분류2526'!$A$7:$A$2532,0))="","",INDEX('03_상품분류2526'!$V$7:$V$2532,MATCH(E44,'03_상품분류2526'!$A$7:$A$2532,0))),"")</f>
        <v/>
      </c>
      <c r="M44" s="6" t="str">
        <f>IFERROR(IF(INDEX('03_상품분류2526'!$W$7:$W$2532,MATCH(E44,'03_상품분류2526'!$A$7:$A$2532,0))="","",INDEX('03_상품분류2526'!$W$7:$W$2532,MATCH(E44,'03_상품분류2526'!$A$7:$A$2532,0))),"")</f>
        <v/>
      </c>
      <c r="N44" s="6" t="str">
        <f>IFERROR(IF(INDEX('03_상품분류2526'!$X$7:$X$2532,MATCH(E44,'03_상품분류2526'!$A$7:$A$2532,0))="","",INDEX('03_상품분류2526'!$X$7:$X$2532,MATCH(E44,'03_상품분류2526'!$A$7:$A$2532,0))),"")</f>
        <v/>
      </c>
      <c r="O44" s="6">
        <f>'02_선반315'!R33</f>
        <v>865</v>
      </c>
      <c r="P44" s="6">
        <f>'02_선반315'!T33</f>
        <v>220</v>
      </c>
      <c r="Q44" s="6">
        <f>'02_선반315'!U33</f>
        <v>200</v>
      </c>
      <c r="R44" s="6">
        <f>'02_선반315'!S33</f>
        <v>270</v>
      </c>
      <c r="S44" s="6" t="str">
        <f t="shared" si="0"/>
        <v/>
      </c>
      <c r="T44" s="6" t="str">
        <f t="shared" si="1"/>
        <v>입력 대기</v>
      </c>
      <c r="U44" s="6" t="s">
        <v>7509</v>
      </c>
      <c r="V44" s="6" t="s">
        <v>555</v>
      </c>
      <c r="W44" s="6" t="s">
        <v>648</v>
      </c>
    </row>
    <row r="45" spans="1:23" ht="33" customHeight="1">
      <c r="A45" s="6" t="s">
        <v>7549</v>
      </c>
      <c r="B45" s="6" t="s">
        <v>655</v>
      </c>
      <c r="C45" s="6" t="s">
        <v>79</v>
      </c>
      <c r="D45" s="6">
        <v>3</v>
      </c>
      <c r="E45" s="6" t="s">
        <v>6281</v>
      </c>
      <c r="F45" s="6" t="str">
        <f>IFERROR(INDEX('03_상품분류2526'!$C$7:$C$2532,MATCH(E45,'03_상품분류2526'!$A$7:$A$2532,0)),"코드 확인")</f>
        <v>용각산쿨과립(복숭아)</v>
      </c>
      <c r="G45" s="6" t="str">
        <f>IFERROR(INDEX('03_상품분류2526'!$D$7:$D$2532,MATCH(E45,'03_상품분류2526'!$A$7:$A$2532,0)),"코드 확인")</f>
        <v>18p</v>
      </c>
      <c r="H45" s="6" t="s">
        <v>7508</v>
      </c>
      <c r="I45" s="6" t="str">
        <f>IFERROR(INDEX('03_상품분류2526'!$M$7:$M$2532,MATCH(E45,'03_상품분류2526'!$A$7:$A$2532,0)),"코드 확인")</f>
        <v>A</v>
      </c>
      <c r="J45" s="6">
        <v>1</v>
      </c>
      <c r="K45" s="15">
        <v>1</v>
      </c>
      <c r="L45" s="6" t="str">
        <f>IFERROR(IF(INDEX('03_상품분류2526'!$V$7:$V$2532,MATCH(E45,'03_상품분류2526'!$A$7:$A$2532,0))="","",INDEX('03_상품분류2526'!$V$7:$V$2532,MATCH(E45,'03_상품분류2526'!$A$7:$A$2532,0))),"")</f>
        <v/>
      </c>
      <c r="M45" s="6" t="str">
        <f>IFERROR(IF(INDEX('03_상품분류2526'!$W$7:$W$2532,MATCH(E45,'03_상품분류2526'!$A$7:$A$2532,0))="","",INDEX('03_상품분류2526'!$W$7:$W$2532,MATCH(E45,'03_상품분류2526'!$A$7:$A$2532,0))),"")</f>
        <v/>
      </c>
      <c r="N45" s="6" t="str">
        <f>IFERROR(IF(INDEX('03_상품분류2526'!$X$7:$X$2532,MATCH(E45,'03_상품분류2526'!$A$7:$A$2532,0))="","",INDEX('03_상품분류2526'!$X$7:$X$2532,MATCH(E45,'03_상품분류2526'!$A$7:$A$2532,0))),"")</f>
        <v/>
      </c>
      <c r="O45" s="6">
        <f>'02_선반315'!R34</f>
        <v>865</v>
      </c>
      <c r="P45" s="6">
        <f>'02_선반315'!T34</f>
        <v>220</v>
      </c>
      <c r="Q45" s="6">
        <f>'02_선반315'!U34</f>
        <v>200</v>
      </c>
      <c r="R45" s="6">
        <f>'02_선반315'!S34</f>
        <v>270</v>
      </c>
      <c r="S45" s="6" t="str">
        <f t="shared" si="0"/>
        <v/>
      </c>
      <c r="T45" s="6" t="str">
        <f t="shared" si="1"/>
        <v>입력 대기</v>
      </c>
      <c r="U45" s="6" t="s">
        <v>7509</v>
      </c>
      <c r="V45" s="6" t="s">
        <v>555</v>
      </c>
      <c r="W45" s="6" t="s">
        <v>648</v>
      </c>
    </row>
    <row r="46" spans="1:23" ht="33" customHeight="1">
      <c r="A46" s="6" t="s">
        <v>7550</v>
      </c>
      <c r="B46" s="6" t="s">
        <v>655</v>
      </c>
      <c r="C46" s="6" t="s">
        <v>79</v>
      </c>
      <c r="D46" s="6">
        <v>3</v>
      </c>
      <c r="E46" s="6" t="s">
        <v>7023</v>
      </c>
      <c r="F46" s="6" t="str">
        <f>IFERROR(INDEX('03_상품분류2526'!$C$7:$C$2532,MATCH(E46,'03_상품분류2526'!$A$7:$A$2532,0)),"코드 확인")</f>
        <v>목앤스프레이</v>
      </c>
      <c r="G46" s="6" t="str">
        <f>IFERROR(INDEX('03_상품분류2526'!$D$7:$D$2532,MATCH(E46,'03_상품분류2526'!$A$7:$A$2532,0)),"코드 확인")</f>
        <v>20ml</v>
      </c>
      <c r="H46" s="6" t="s">
        <v>7508</v>
      </c>
      <c r="I46" s="6" t="str">
        <f>IFERROR(INDEX('03_상품분류2526'!$M$7:$M$2532,MATCH(E46,'03_상품분류2526'!$A$7:$A$2532,0)),"코드 확인")</f>
        <v>A</v>
      </c>
      <c r="J46" s="6">
        <v>2</v>
      </c>
      <c r="K46" s="15">
        <v>1</v>
      </c>
      <c r="L46" s="6" t="str">
        <f>IFERROR(IF(INDEX('03_상품분류2526'!$V$7:$V$2532,MATCH(E46,'03_상품분류2526'!$A$7:$A$2532,0))="","",INDEX('03_상품분류2526'!$V$7:$V$2532,MATCH(E46,'03_상품분류2526'!$A$7:$A$2532,0))),"")</f>
        <v/>
      </c>
      <c r="M46" s="6" t="str">
        <f>IFERROR(IF(INDEX('03_상품분류2526'!$W$7:$W$2532,MATCH(E46,'03_상품분류2526'!$A$7:$A$2532,0))="","",INDEX('03_상품분류2526'!$W$7:$W$2532,MATCH(E46,'03_상품분류2526'!$A$7:$A$2532,0))),"")</f>
        <v/>
      </c>
      <c r="N46" s="6" t="str">
        <f>IFERROR(IF(INDEX('03_상품분류2526'!$X$7:$X$2532,MATCH(E46,'03_상품분류2526'!$A$7:$A$2532,0))="","",INDEX('03_상품분류2526'!$X$7:$X$2532,MATCH(E46,'03_상품분류2526'!$A$7:$A$2532,0))),"")</f>
        <v/>
      </c>
      <c r="O46" s="6">
        <f>'02_선반315'!R34</f>
        <v>865</v>
      </c>
      <c r="P46" s="6">
        <f>'02_선반315'!T34</f>
        <v>220</v>
      </c>
      <c r="Q46" s="6">
        <f>'02_선반315'!U34</f>
        <v>200</v>
      </c>
      <c r="R46" s="6">
        <f>'02_선반315'!S34</f>
        <v>270</v>
      </c>
      <c r="S46" s="6" t="str">
        <f t="shared" si="0"/>
        <v/>
      </c>
      <c r="T46" s="6" t="str">
        <f t="shared" si="1"/>
        <v>입력 대기</v>
      </c>
      <c r="U46" s="6" t="s">
        <v>7509</v>
      </c>
      <c r="V46" s="6" t="s">
        <v>555</v>
      </c>
      <c r="W46" s="6" t="s">
        <v>648</v>
      </c>
    </row>
    <row r="47" spans="1:23" ht="33" customHeight="1">
      <c r="A47" s="6" t="s">
        <v>7551</v>
      </c>
      <c r="B47" s="6" t="s">
        <v>655</v>
      </c>
      <c r="C47" s="6" t="s">
        <v>79</v>
      </c>
      <c r="D47" s="6">
        <v>3</v>
      </c>
      <c r="E47" s="6" t="s">
        <v>7028</v>
      </c>
      <c r="F47" s="6" t="str">
        <f>IFERROR(INDEX('03_상품분류2526'!$C$7:$C$2532,MATCH(E47,'03_상품분류2526'!$A$7:$A$2532,0)),"코드 확인")</f>
        <v>콜대원코프큐시럽</v>
      </c>
      <c r="G47" s="6" t="str">
        <f>IFERROR(INDEX('03_상품분류2526'!$D$7:$D$2532,MATCH(E47,'03_상품분류2526'!$A$7:$A$2532,0)),"코드 확인")</f>
        <v>20mL*5포</v>
      </c>
      <c r="H47" s="6" t="s">
        <v>7508</v>
      </c>
      <c r="I47" s="6" t="str">
        <f>IFERROR(INDEX('03_상품분류2526'!$M$7:$M$2532,MATCH(E47,'03_상품분류2526'!$A$7:$A$2532,0)),"코드 확인")</f>
        <v>B</v>
      </c>
      <c r="J47" s="6">
        <v>3</v>
      </c>
      <c r="K47" s="15">
        <v>1</v>
      </c>
      <c r="L47" s="6" t="str">
        <f>IFERROR(IF(INDEX('03_상품분류2526'!$V$7:$V$2532,MATCH(E47,'03_상품분류2526'!$A$7:$A$2532,0))="","",INDEX('03_상품분류2526'!$V$7:$V$2532,MATCH(E47,'03_상품분류2526'!$A$7:$A$2532,0))),"")</f>
        <v/>
      </c>
      <c r="M47" s="6" t="str">
        <f>IFERROR(IF(INDEX('03_상품분류2526'!$W$7:$W$2532,MATCH(E47,'03_상품분류2526'!$A$7:$A$2532,0))="","",INDEX('03_상품분류2526'!$W$7:$W$2532,MATCH(E47,'03_상품분류2526'!$A$7:$A$2532,0))),"")</f>
        <v/>
      </c>
      <c r="N47" s="6" t="str">
        <f>IFERROR(IF(INDEX('03_상품분류2526'!$X$7:$X$2532,MATCH(E47,'03_상품분류2526'!$A$7:$A$2532,0))="","",INDEX('03_상품분류2526'!$X$7:$X$2532,MATCH(E47,'03_상품분류2526'!$A$7:$A$2532,0))),"")</f>
        <v/>
      </c>
      <c r="O47" s="6">
        <f>'02_선반315'!R34</f>
        <v>865</v>
      </c>
      <c r="P47" s="6">
        <f>'02_선반315'!T34</f>
        <v>220</v>
      </c>
      <c r="Q47" s="6">
        <f>'02_선반315'!U34</f>
        <v>200</v>
      </c>
      <c r="R47" s="6">
        <f>'02_선반315'!S34</f>
        <v>270</v>
      </c>
      <c r="S47" s="6" t="str">
        <f t="shared" si="0"/>
        <v/>
      </c>
      <c r="T47" s="6" t="str">
        <f t="shared" si="1"/>
        <v>입력 대기</v>
      </c>
      <c r="U47" s="6" t="s">
        <v>7509</v>
      </c>
      <c r="V47" s="6" t="s">
        <v>555</v>
      </c>
      <c r="W47" s="6" t="s">
        <v>648</v>
      </c>
    </row>
    <row r="48" spans="1:23" ht="33" customHeight="1">
      <c r="A48" s="6" t="s">
        <v>7552</v>
      </c>
      <c r="B48" s="6" t="s">
        <v>660</v>
      </c>
      <c r="C48" s="6" t="s">
        <v>79</v>
      </c>
      <c r="D48" s="6">
        <v>4</v>
      </c>
      <c r="E48" s="6" t="s">
        <v>7001</v>
      </c>
      <c r="F48" s="6" t="str">
        <f>IFERROR(INDEX('03_상품분류2526'!$C$7:$C$2532,MATCH(E48,'03_상품분류2526'!$A$7:$A$2532,0)),"코드 확인")</f>
        <v>코앤나잘스프레이</v>
      </c>
      <c r="G48" s="6" t="str">
        <f>IFERROR(INDEX('03_상품분류2526'!$D$7:$D$2532,MATCH(E48,'03_상품분류2526'!$A$7:$A$2532,0)),"코드 확인")</f>
        <v>15ml</v>
      </c>
      <c r="H48" s="6" t="s">
        <v>7508</v>
      </c>
      <c r="I48" s="6" t="str">
        <f>IFERROR(INDEX('03_상품분류2526'!$M$7:$M$2532,MATCH(E48,'03_상품분류2526'!$A$7:$A$2532,0)),"코드 확인")</f>
        <v>B</v>
      </c>
      <c r="J48" s="6">
        <v>1</v>
      </c>
      <c r="K48" s="15">
        <v>1</v>
      </c>
      <c r="L48" s="6" t="str">
        <f>IFERROR(IF(INDEX('03_상품분류2526'!$V$7:$V$2532,MATCH(E48,'03_상품분류2526'!$A$7:$A$2532,0))="","",INDEX('03_상품분류2526'!$V$7:$V$2532,MATCH(E48,'03_상품분류2526'!$A$7:$A$2532,0))),"")</f>
        <v/>
      </c>
      <c r="M48" s="6" t="str">
        <f>IFERROR(IF(INDEX('03_상품분류2526'!$W$7:$W$2532,MATCH(E48,'03_상품분류2526'!$A$7:$A$2532,0))="","",INDEX('03_상품분류2526'!$W$7:$W$2532,MATCH(E48,'03_상품분류2526'!$A$7:$A$2532,0))),"")</f>
        <v/>
      </c>
      <c r="N48" s="6" t="str">
        <f>IFERROR(IF(INDEX('03_상품분류2526'!$X$7:$X$2532,MATCH(E48,'03_상품분류2526'!$A$7:$A$2532,0))="","",INDEX('03_상품분류2526'!$X$7:$X$2532,MATCH(E48,'03_상품분류2526'!$A$7:$A$2532,0))),"")</f>
        <v/>
      </c>
      <c r="O48" s="6">
        <f>'02_선반315'!R35</f>
        <v>865</v>
      </c>
      <c r="P48" s="6">
        <f>'02_선반315'!T35</f>
        <v>220</v>
      </c>
      <c r="Q48" s="6">
        <f>'02_선반315'!U35</f>
        <v>200</v>
      </c>
      <c r="R48" s="6">
        <f>'02_선반315'!S35</f>
        <v>270</v>
      </c>
      <c r="S48" s="6" t="str">
        <f t="shared" si="0"/>
        <v/>
      </c>
      <c r="T48" s="6" t="str">
        <f t="shared" si="1"/>
        <v>입력 대기</v>
      </c>
      <c r="U48" s="6" t="s">
        <v>7509</v>
      </c>
      <c r="V48" s="6" t="s">
        <v>555</v>
      </c>
      <c r="W48" s="6" t="s">
        <v>648</v>
      </c>
    </row>
    <row r="49" spans="1:23" ht="33" customHeight="1">
      <c r="A49" s="6" t="s">
        <v>7553</v>
      </c>
      <c r="B49" s="6" t="s">
        <v>660</v>
      </c>
      <c r="C49" s="6" t="s">
        <v>79</v>
      </c>
      <c r="D49" s="6">
        <v>4</v>
      </c>
      <c r="E49" s="6" t="s">
        <v>7007</v>
      </c>
      <c r="F49" s="6" t="str">
        <f>IFERROR(INDEX('03_상품분류2526'!$C$7:$C$2532,MATCH(E49,'03_상품분류2526'!$A$7:$A$2532,0)),"코드 확인")</f>
        <v>코앤쿨나잘스프레이</v>
      </c>
      <c r="G49" s="6" t="str">
        <f>IFERROR(INDEX('03_상품분류2526'!$D$7:$D$2532,MATCH(E49,'03_상품분류2526'!$A$7:$A$2532,0)),"코드 확인")</f>
        <v>20ml</v>
      </c>
      <c r="H49" s="6" t="s">
        <v>7508</v>
      </c>
      <c r="I49" s="6" t="str">
        <f>IFERROR(INDEX('03_상품분류2526'!$M$7:$M$2532,MATCH(E49,'03_상품분류2526'!$A$7:$A$2532,0)),"코드 확인")</f>
        <v>B</v>
      </c>
      <c r="J49" s="6">
        <v>2</v>
      </c>
      <c r="K49" s="15">
        <v>1</v>
      </c>
      <c r="L49" s="6" t="str">
        <f>IFERROR(IF(INDEX('03_상품분류2526'!$V$7:$V$2532,MATCH(E49,'03_상품분류2526'!$A$7:$A$2532,0))="","",INDEX('03_상품분류2526'!$V$7:$V$2532,MATCH(E49,'03_상품분류2526'!$A$7:$A$2532,0))),"")</f>
        <v/>
      </c>
      <c r="M49" s="6" t="str">
        <f>IFERROR(IF(INDEX('03_상품분류2526'!$W$7:$W$2532,MATCH(E49,'03_상품분류2526'!$A$7:$A$2532,0))="","",INDEX('03_상품분류2526'!$W$7:$W$2532,MATCH(E49,'03_상품분류2526'!$A$7:$A$2532,0))),"")</f>
        <v/>
      </c>
      <c r="N49" s="6" t="str">
        <f>IFERROR(IF(INDEX('03_상품분류2526'!$X$7:$X$2532,MATCH(E49,'03_상품분류2526'!$A$7:$A$2532,0))="","",INDEX('03_상품분류2526'!$X$7:$X$2532,MATCH(E49,'03_상품분류2526'!$A$7:$A$2532,0))),"")</f>
        <v/>
      </c>
      <c r="O49" s="6">
        <f>'02_선반315'!R35</f>
        <v>865</v>
      </c>
      <c r="P49" s="6">
        <f>'02_선반315'!T35</f>
        <v>220</v>
      </c>
      <c r="Q49" s="6">
        <f>'02_선반315'!U35</f>
        <v>200</v>
      </c>
      <c r="R49" s="6">
        <f>'02_선반315'!S35</f>
        <v>270</v>
      </c>
      <c r="S49" s="6" t="str">
        <f t="shared" si="0"/>
        <v/>
      </c>
      <c r="T49" s="6" t="str">
        <f t="shared" si="1"/>
        <v>입력 대기</v>
      </c>
      <c r="U49" s="6" t="s">
        <v>7509</v>
      </c>
      <c r="V49" s="6" t="s">
        <v>555</v>
      </c>
      <c r="W49" s="6" t="s">
        <v>648</v>
      </c>
    </row>
    <row r="50" spans="1:23" ht="33" customHeight="1">
      <c r="A50" s="6" t="s">
        <v>7554</v>
      </c>
      <c r="B50" s="6" t="s">
        <v>664</v>
      </c>
      <c r="C50" s="6" t="s">
        <v>79</v>
      </c>
      <c r="D50" s="6">
        <v>5</v>
      </c>
      <c r="E50" s="6" t="s">
        <v>6218</v>
      </c>
      <c r="F50" s="6" t="str">
        <f>IFERROR(INDEX('03_상품분류2526'!$C$7:$C$2532,MATCH(E50,'03_상품분류2526'!$A$7:$A$2532,0)),"코드 확인")</f>
        <v>챔프콜드펜시럽</v>
      </c>
      <c r="G50" s="6" t="str">
        <f>IFERROR(INDEX('03_상품분류2526'!$D$7:$D$2532,MATCH(E50,'03_상품분류2526'!$A$7:$A$2532,0)),"코드 확인")</f>
        <v>10포</v>
      </c>
      <c r="H50" s="6" t="s">
        <v>7508</v>
      </c>
      <c r="I50" s="6" t="str">
        <f>IFERROR(INDEX('03_상품분류2526'!$M$7:$M$2532,MATCH(E50,'03_상품분류2526'!$A$7:$A$2532,0)),"코드 확인")</f>
        <v>B</v>
      </c>
      <c r="J50" s="6">
        <v>1</v>
      </c>
      <c r="K50" s="15">
        <v>1</v>
      </c>
      <c r="L50" s="6" t="str">
        <f>IFERROR(IF(INDEX('03_상품분류2526'!$V$7:$V$2532,MATCH(E50,'03_상품분류2526'!$A$7:$A$2532,0))="","",INDEX('03_상품분류2526'!$V$7:$V$2532,MATCH(E50,'03_상품분류2526'!$A$7:$A$2532,0))),"")</f>
        <v/>
      </c>
      <c r="M50" s="6" t="str">
        <f>IFERROR(IF(INDEX('03_상품분류2526'!$W$7:$W$2532,MATCH(E50,'03_상품분류2526'!$A$7:$A$2532,0))="","",INDEX('03_상품분류2526'!$W$7:$W$2532,MATCH(E50,'03_상품분류2526'!$A$7:$A$2532,0))),"")</f>
        <v/>
      </c>
      <c r="N50" s="6" t="str">
        <f>IFERROR(IF(INDEX('03_상품분류2526'!$X$7:$X$2532,MATCH(E50,'03_상품분류2526'!$A$7:$A$2532,0))="","",INDEX('03_상품분류2526'!$X$7:$X$2532,MATCH(E50,'03_상품분류2526'!$A$7:$A$2532,0))),"")</f>
        <v/>
      </c>
      <c r="O50" s="6">
        <f>'02_선반315'!R36</f>
        <v>865</v>
      </c>
      <c r="P50" s="6">
        <f>'02_선반315'!T36</f>
        <v>220</v>
      </c>
      <c r="Q50" s="6">
        <f>'02_선반315'!U36</f>
        <v>200</v>
      </c>
      <c r="R50" s="6">
        <f>'02_선반315'!S36</f>
        <v>270</v>
      </c>
      <c r="S50" s="6" t="str">
        <f t="shared" si="0"/>
        <v/>
      </c>
      <c r="T50" s="6" t="str">
        <f t="shared" si="1"/>
        <v>입력 대기</v>
      </c>
      <c r="U50" s="6" t="s">
        <v>7509</v>
      </c>
      <c r="V50" s="6" t="s">
        <v>555</v>
      </c>
      <c r="W50" s="6" t="s">
        <v>648</v>
      </c>
    </row>
    <row r="51" spans="1:23" ht="33" customHeight="1">
      <c r="A51" s="6" t="s">
        <v>7555</v>
      </c>
      <c r="B51" s="6" t="s">
        <v>664</v>
      </c>
      <c r="C51" s="6" t="s">
        <v>79</v>
      </c>
      <c r="D51" s="6">
        <v>5</v>
      </c>
      <c r="E51" s="6" t="s">
        <v>6220</v>
      </c>
      <c r="F51" s="6" t="str">
        <f>IFERROR(INDEX('03_상품분류2526'!$C$7:$C$2532,MATCH(E51,'03_상품분류2526'!$A$7:$A$2532,0)),"코드 확인")</f>
        <v>챔프코프액(포도향)</v>
      </c>
      <c r="G51" s="6" t="str">
        <f>IFERROR(INDEX('03_상품분류2526'!$D$7:$D$2532,MATCH(E51,'03_상품분류2526'!$A$7:$A$2532,0)),"코드 확인")</f>
        <v>10포</v>
      </c>
      <c r="H51" s="6" t="s">
        <v>7508</v>
      </c>
      <c r="I51" s="6" t="str">
        <f>IFERROR(INDEX('03_상품분류2526'!$M$7:$M$2532,MATCH(E51,'03_상품분류2526'!$A$7:$A$2532,0)),"코드 확인")</f>
        <v>B</v>
      </c>
      <c r="J51" s="6">
        <v>2</v>
      </c>
      <c r="K51" s="15">
        <v>1</v>
      </c>
      <c r="L51" s="6" t="str">
        <f>IFERROR(IF(INDEX('03_상품분류2526'!$V$7:$V$2532,MATCH(E51,'03_상품분류2526'!$A$7:$A$2532,0))="","",INDEX('03_상품분류2526'!$V$7:$V$2532,MATCH(E51,'03_상품분류2526'!$A$7:$A$2532,0))),"")</f>
        <v/>
      </c>
      <c r="M51" s="6" t="str">
        <f>IFERROR(IF(INDEX('03_상품분류2526'!$W$7:$W$2532,MATCH(E51,'03_상품분류2526'!$A$7:$A$2532,0))="","",INDEX('03_상품분류2526'!$W$7:$W$2532,MATCH(E51,'03_상품분류2526'!$A$7:$A$2532,0))),"")</f>
        <v/>
      </c>
      <c r="N51" s="6" t="str">
        <f>IFERROR(IF(INDEX('03_상품분류2526'!$X$7:$X$2532,MATCH(E51,'03_상품분류2526'!$A$7:$A$2532,0))="","",INDEX('03_상품분류2526'!$X$7:$X$2532,MATCH(E51,'03_상품분류2526'!$A$7:$A$2532,0))),"")</f>
        <v/>
      </c>
      <c r="O51" s="6">
        <f>'02_선반315'!R36</f>
        <v>865</v>
      </c>
      <c r="P51" s="6">
        <f>'02_선반315'!T36</f>
        <v>220</v>
      </c>
      <c r="Q51" s="6">
        <f>'02_선반315'!U36</f>
        <v>200</v>
      </c>
      <c r="R51" s="6">
        <f>'02_선반315'!S36</f>
        <v>270</v>
      </c>
      <c r="S51" s="6" t="str">
        <f t="shared" si="0"/>
        <v/>
      </c>
      <c r="T51" s="6" t="str">
        <f t="shared" si="1"/>
        <v>입력 대기</v>
      </c>
      <c r="U51" s="6" t="s">
        <v>7509</v>
      </c>
      <c r="V51" s="6" t="s">
        <v>555</v>
      </c>
      <c r="W51" s="6" t="s">
        <v>648</v>
      </c>
    </row>
    <row r="52" spans="1:23" ht="33" customHeight="1">
      <c r="A52" s="6" t="s">
        <v>7556</v>
      </c>
      <c r="B52" s="6" t="s">
        <v>664</v>
      </c>
      <c r="C52" s="6" t="s">
        <v>79</v>
      </c>
      <c r="D52" s="6">
        <v>5</v>
      </c>
      <c r="E52" s="6" t="s">
        <v>6226</v>
      </c>
      <c r="F52" s="6" t="str">
        <f>IFERROR(INDEX('03_상품분류2526'!$C$7:$C$2532,MATCH(E52,'03_상품분류2526'!$A$7:$A$2532,0)),"코드 확인")</f>
        <v>챔프노즈시럽(복숭아향)</v>
      </c>
      <c r="G52" s="6" t="str">
        <f>IFERROR(INDEX('03_상품분류2526'!$D$7:$D$2532,MATCH(E52,'03_상품분류2526'!$A$7:$A$2532,0)),"코드 확인")</f>
        <v>10포</v>
      </c>
      <c r="H52" s="6" t="s">
        <v>7508</v>
      </c>
      <c r="I52" s="6" t="str">
        <f>IFERROR(INDEX('03_상품분류2526'!$M$7:$M$2532,MATCH(E52,'03_상품분류2526'!$A$7:$A$2532,0)),"코드 확인")</f>
        <v>B</v>
      </c>
      <c r="J52" s="6">
        <v>3</v>
      </c>
      <c r="K52" s="15">
        <v>1</v>
      </c>
      <c r="L52" s="6" t="str">
        <f>IFERROR(IF(INDEX('03_상품분류2526'!$V$7:$V$2532,MATCH(E52,'03_상품분류2526'!$A$7:$A$2532,0))="","",INDEX('03_상품분류2526'!$V$7:$V$2532,MATCH(E52,'03_상품분류2526'!$A$7:$A$2532,0))),"")</f>
        <v/>
      </c>
      <c r="M52" s="6" t="str">
        <f>IFERROR(IF(INDEX('03_상품분류2526'!$W$7:$W$2532,MATCH(E52,'03_상품분류2526'!$A$7:$A$2532,0))="","",INDEX('03_상품분류2526'!$W$7:$W$2532,MATCH(E52,'03_상품분류2526'!$A$7:$A$2532,0))),"")</f>
        <v/>
      </c>
      <c r="N52" s="6" t="str">
        <f>IFERROR(IF(INDEX('03_상품분류2526'!$X$7:$X$2532,MATCH(E52,'03_상품분류2526'!$A$7:$A$2532,0))="","",INDEX('03_상품분류2526'!$X$7:$X$2532,MATCH(E52,'03_상품분류2526'!$A$7:$A$2532,0))),"")</f>
        <v/>
      </c>
      <c r="O52" s="6">
        <f>'02_선반315'!R36</f>
        <v>865</v>
      </c>
      <c r="P52" s="6">
        <f>'02_선반315'!T36</f>
        <v>220</v>
      </c>
      <c r="Q52" s="6">
        <f>'02_선반315'!U36</f>
        <v>200</v>
      </c>
      <c r="R52" s="6">
        <f>'02_선반315'!S36</f>
        <v>270</v>
      </c>
      <c r="S52" s="6" t="str">
        <f t="shared" si="0"/>
        <v/>
      </c>
      <c r="T52" s="6" t="str">
        <f t="shared" si="1"/>
        <v>입력 대기</v>
      </c>
      <c r="U52" s="6" t="s">
        <v>7509</v>
      </c>
      <c r="V52" s="6" t="s">
        <v>555</v>
      </c>
      <c r="W52" s="6" t="s">
        <v>648</v>
      </c>
    </row>
    <row r="53" spans="1:23" ht="33" customHeight="1">
      <c r="A53" s="6" t="s">
        <v>7557</v>
      </c>
      <c r="B53" s="6" t="s">
        <v>669</v>
      </c>
      <c r="C53" s="6" t="s">
        <v>91</v>
      </c>
      <c r="D53" s="6">
        <v>1</v>
      </c>
      <c r="E53" s="6" t="s">
        <v>6173</v>
      </c>
      <c r="F53" s="6" t="str">
        <f>IFERROR(INDEX('03_상품분류2526'!$C$7:$C$2532,MATCH(E53,'03_상품분류2526'!$A$7:$A$2532,0)),"코드 확인")</f>
        <v>훼스탈슈퍼자임정</v>
      </c>
      <c r="G53" s="6" t="str">
        <f>IFERROR(INDEX('03_상품분류2526'!$D$7:$D$2532,MATCH(E53,'03_상품분류2526'!$A$7:$A$2532,0)),"코드 확인")</f>
        <v>12T</v>
      </c>
      <c r="H53" s="6" t="s">
        <v>7508</v>
      </c>
      <c r="I53" s="6" t="str">
        <f>IFERROR(INDEX('03_상품분류2526'!$M$7:$M$2532,MATCH(E53,'03_상품분류2526'!$A$7:$A$2532,0)),"코드 확인")</f>
        <v>A</v>
      </c>
      <c r="J53" s="6">
        <v>1</v>
      </c>
      <c r="K53" s="15">
        <v>1</v>
      </c>
      <c r="L53" s="6" t="str">
        <f>IFERROR(IF(INDEX('03_상품분류2526'!$V$7:$V$2532,MATCH(E53,'03_상품분류2526'!$A$7:$A$2532,0))="","",INDEX('03_상품분류2526'!$V$7:$V$2532,MATCH(E53,'03_상품분류2526'!$A$7:$A$2532,0))),"")</f>
        <v/>
      </c>
      <c r="M53" s="6" t="str">
        <f>IFERROR(IF(INDEX('03_상품분류2526'!$W$7:$W$2532,MATCH(E53,'03_상품분류2526'!$A$7:$A$2532,0))="","",INDEX('03_상품분류2526'!$W$7:$W$2532,MATCH(E53,'03_상품분류2526'!$A$7:$A$2532,0))),"")</f>
        <v/>
      </c>
      <c r="N53" s="6" t="str">
        <f>IFERROR(IF(INDEX('03_상품분류2526'!$X$7:$X$2532,MATCH(E53,'03_상품분류2526'!$A$7:$A$2532,0))="","",INDEX('03_상품분류2526'!$X$7:$X$2532,MATCH(E53,'03_상품분류2526'!$A$7:$A$2532,0))),"")</f>
        <v/>
      </c>
      <c r="O53" s="6">
        <f>'02_선반315'!R37</f>
        <v>865</v>
      </c>
      <c r="P53" s="6">
        <f>'02_선반315'!T37</f>
        <v>100</v>
      </c>
      <c r="Q53" s="6">
        <f>'02_선반315'!U37</f>
        <v>80</v>
      </c>
      <c r="R53" s="6">
        <f>'02_선반315'!S37</f>
        <v>270</v>
      </c>
      <c r="S53" s="6" t="str">
        <f t="shared" si="0"/>
        <v/>
      </c>
      <c r="T53" s="6" t="str">
        <f t="shared" si="1"/>
        <v>입력 대기</v>
      </c>
      <c r="U53" s="6" t="s">
        <v>7543</v>
      </c>
      <c r="V53" s="6" t="s">
        <v>555</v>
      </c>
      <c r="W53" s="6" t="s">
        <v>648</v>
      </c>
    </row>
    <row r="54" spans="1:23" ht="33" customHeight="1">
      <c r="A54" s="6" t="s">
        <v>7558</v>
      </c>
      <c r="B54" s="6" t="s">
        <v>669</v>
      </c>
      <c r="C54" s="6" t="s">
        <v>91</v>
      </c>
      <c r="D54" s="6">
        <v>1</v>
      </c>
      <c r="E54" s="6" t="s">
        <v>6189</v>
      </c>
      <c r="F54" s="6" t="str">
        <f>IFERROR(INDEX('03_상품분류2526'!$C$7:$C$2532,MATCH(E54,'03_상품분류2526'!$A$7:$A$2532,0)),"코드 확인")</f>
        <v>다제스캡슐</v>
      </c>
      <c r="G54" s="6" t="str">
        <f>IFERROR(INDEX('03_상품분류2526'!$D$7:$D$2532,MATCH(E54,'03_상품분류2526'!$A$7:$A$2532,0)),"코드 확인")</f>
        <v>10C</v>
      </c>
      <c r="H54" s="6" t="s">
        <v>7508</v>
      </c>
      <c r="I54" s="6" t="str">
        <f>IFERROR(INDEX('03_상품분류2526'!$M$7:$M$2532,MATCH(E54,'03_상품분류2526'!$A$7:$A$2532,0)),"코드 확인")</f>
        <v>B</v>
      </c>
      <c r="J54" s="6">
        <v>2</v>
      </c>
      <c r="K54" s="15">
        <v>1</v>
      </c>
      <c r="L54" s="6" t="str">
        <f>IFERROR(IF(INDEX('03_상품분류2526'!$V$7:$V$2532,MATCH(E54,'03_상품분류2526'!$A$7:$A$2532,0))="","",INDEX('03_상품분류2526'!$V$7:$V$2532,MATCH(E54,'03_상품분류2526'!$A$7:$A$2532,0))),"")</f>
        <v/>
      </c>
      <c r="M54" s="6" t="str">
        <f>IFERROR(IF(INDEX('03_상품분류2526'!$W$7:$W$2532,MATCH(E54,'03_상품분류2526'!$A$7:$A$2532,0))="","",INDEX('03_상품분류2526'!$W$7:$W$2532,MATCH(E54,'03_상품분류2526'!$A$7:$A$2532,0))),"")</f>
        <v/>
      </c>
      <c r="N54" s="6" t="str">
        <f>IFERROR(IF(INDEX('03_상품분류2526'!$X$7:$X$2532,MATCH(E54,'03_상품분류2526'!$A$7:$A$2532,0))="","",INDEX('03_상품분류2526'!$X$7:$X$2532,MATCH(E54,'03_상품분류2526'!$A$7:$A$2532,0))),"")</f>
        <v/>
      </c>
      <c r="O54" s="6">
        <f>'02_선반315'!R37</f>
        <v>865</v>
      </c>
      <c r="P54" s="6">
        <f>'02_선반315'!T37</f>
        <v>100</v>
      </c>
      <c r="Q54" s="6">
        <f>'02_선반315'!U37</f>
        <v>80</v>
      </c>
      <c r="R54" s="6">
        <f>'02_선반315'!S37</f>
        <v>270</v>
      </c>
      <c r="S54" s="6" t="str">
        <f t="shared" si="0"/>
        <v/>
      </c>
      <c r="T54" s="6" t="str">
        <f t="shared" si="1"/>
        <v>입력 대기</v>
      </c>
      <c r="U54" s="6" t="s">
        <v>7543</v>
      </c>
      <c r="V54" s="6" t="s">
        <v>555</v>
      </c>
      <c r="W54" s="6" t="s">
        <v>648</v>
      </c>
    </row>
    <row r="55" spans="1:23" ht="33" customHeight="1">
      <c r="A55" s="6" t="s">
        <v>7559</v>
      </c>
      <c r="B55" s="6" t="s">
        <v>669</v>
      </c>
      <c r="C55" s="6" t="s">
        <v>91</v>
      </c>
      <c r="D55" s="6">
        <v>1</v>
      </c>
      <c r="E55" s="6" t="s">
        <v>6933</v>
      </c>
      <c r="F55" s="6" t="str">
        <f>IFERROR(INDEX('03_상품분류2526'!$C$7:$C$2532,MATCH(E55,'03_상품분류2526'!$A$7:$A$2532,0)),"코드 확인")</f>
        <v>까스앤프리츄정</v>
      </c>
      <c r="G55" s="6" t="str">
        <f>IFERROR(INDEX('03_상품분류2526'!$D$7:$D$2532,MATCH(E55,'03_상품분류2526'!$A$7:$A$2532,0)),"코드 확인")</f>
        <v>12T</v>
      </c>
      <c r="H55" s="6" t="s">
        <v>7508</v>
      </c>
      <c r="I55" s="6" t="str">
        <f>IFERROR(INDEX('03_상품분류2526'!$M$7:$M$2532,MATCH(E55,'03_상품분류2526'!$A$7:$A$2532,0)),"코드 확인")</f>
        <v>B</v>
      </c>
      <c r="J55" s="6">
        <v>3</v>
      </c>
      <c r="K55" s="15">
        <v>1</v>
      </c>
      <c r="L55" s="6" t="str">
        <f>IFERROR(IF(INDEX('03_상품분류2526'!$V$7:$V$2532,MATCH(E55,'03_상품분류2526'!$A$7:$A$2532,0))="","",INDEX('03_상품분류2526'!$V$7:$V$2532,MATCH(E55,'03_상품분류2526'!$A$7:$A$2532,0))),"")</f>
        <v/>
      </c>
      <c r="M55" s="6" t="str">
        <f>IFERROR(IF(INDEX('03_상품분류2526'!$W$7:$W$2532,MATCH(E55,'03_상품분류2526'!$A$7:$A$2532,0))="","",INDEX('03_상품분류2526'!$W$7:$W$2532,MATCH(E55,'03_상품분류2526'!$A$7:$A$2532,0))),"")</f>
        <v/>
      </c>
      <c r="N55" s="6" t="str">
        <f>IFERROR(IF(INDEX('03_상품분류2526'!$X$7:$X$2532,MATCH(E55,'03_상품분류2526'!$A$7:$A$2532,0))="","",INDEX('03_상품분류2526'!$X$7:$X$2532,MATCH(E55,'03_상품분류2526'!$A$7:$A$2532,0))),"")</f>
        <v/>
      </c>
      <c r="O55" s="6">
        <f>'02_선반315'!R37</f>
        <v>865</v>
      </c>
      <c r="P55" s="6">
        <f>'02_선반315'!T37</f>
        <v>100</v>
      </c>
      <c r="Q55" s="6">
        <f>'02_선반315'!U37</f>
        <v>80</v>
      </c>
      <c r="R55" s="6">
        <f>'02_선반315'!S37</f>
        <v>270</v>
      </c>
      <c r="S55" s="6" t="str">
        <f t="shared" si="0"/>
        <v/>
      </c>
      <c r="T55" s="6" t="str">
        <f t="shared" si="1"/>
        <v>입력 대기</v>
      </c>
      <c r="U55" s="6" t="s">
        <v>7543</v>
      </c>
      <c r="V55" s="6" t="s">
        <v>555</v>
      </c>
      <c r="W55" s="6" t="s">
        <v>648</v>
      </c>
    </row>
    <row r="56" spans="1:23" ht="33" customHeight="1">
      <c r="A56" s="6" t="s">
        <v>7560</v>
      </c>
      <c r="B56" s="6" t="s">
        <v>674</v>
      </c>
      <c r="C56" s="6" t="s">
        <v>91</v>
      </c>
      <c r="D56" s="6">
        <v>2</v>
      </c>
      <c r="E56" s="6" t="s">
        <v>6163</v>
      </c>
      <c r="F56" s="6" t="str">
        <f>IFERROR(INDEX('03_상품분류2526'!$C$7:$C$2532,MATCH(E56,'03_상품분류2526'!$A$7:$A$2532,0)),"코드 확인")</f>
        <v>겔포스엘 현탁액</v>
      </c>
      <c r="G56" s="6" t="str">
        <f>IFERROR(INDEX('03_상품분류2526'!$D$7:$D$2532,MATCH(E56,'03_상품분류2526'!$A$7:$A$2532,0)),"코드 확인")</f>
        <v>6포</v>
      </c>
      <c r="H56" s="6" t="s">
        <v>7508</v>
      </c>
      <c r="I56" s="6" t="str">
        <f>IFERROR(INDEX('03_상품분류2526'!$M$7:$M$2532,MATCH(E56,'03_상품분류2526'!$A$7:$A$2532,0)),"코드 확인")</f>
        <v>A</v>
      </c>
      <c r="J56" s="6">
        <v>1</v>
      </c>
      <c r="K56" s="15">
        <v>1</v>
      </c>
      <c r="L56" s="6" t="str">
        <f>IFERROR(IF(INDEX('03_상품분류2526'!$V$7:$V$2532,MATCH(E56,'03_상품분류2526'!$A$7:$A$2532,0))="","",INDEX('03_상품분류2526'!$V$7:$V$2532,MATCH(E56,'03_상품분류2526'!$A$7:$A$2532,0))),"")</f>
        <v/>
      </c>
      <c r="M56" s="6" t="str">
        <f>IFERROR(IF(INDEX('03_상품분류2526'!$W$7:$W$2532,MATCH(E56,'03_상품분류2526'!$A$7:$A$2532,0))="","",INDEX('03_상품분류2526'!$W$7:$W$2532,MATCH(E56,'03_상품분류2526'!$A$7:$A$2532,0))),"")</f>
        <v/>
      </c>
      <c r="N56" s="6" t="str">
        <f>IFERROR(IF(INDEX('03_상품분류2526'!$X$7:$X$2532,MATCH(E56,'03_상품분류2526'!$A$7:$A$2532,0))="","",INDEX('03_상품분류2526'!$X$7:$X$2532,MATCH(E56,'03_상품분류2526'!$A$7:$A$2532,0))),"")</f>
        <v/>
      </c>
      <c r="O56" s="6">
        <f>'02_선반315'!R38</f>
        <v>865</v>
      </c>
      <c r="P56" s="6">
        <f>'02_선반315'!T38</f>
        <v>220</v>
      </c>
      <c r="Q56" s="6">
        <f>'02_선반315'!U38</f>
        <v>200</v>
      </c>
      <c r="R56" s="6">
        <f>'02_선반315'!S38</f>
        <v>270</v>
      </c>
      <c r="S56" s="6" t="str">
        <f t="shared" si="0"/>
        <v/>
      </c>
      <c r="T56" s="6" t="str">
        <f t="shared" si="1"/>
        <v>입력 대기</v>
      </c>
      <c r="U56" s="6" t="s">
        <v>7509</v>
      </c>
      <c r="V56" s="6" t="s">
        <v>555</v>
      </c>
      <c r="W56" s="6" t="s">
        <v>648</v>
      </c>
    </row>
    <row r="57" spans="1:23" ht="33" customHeight="1">
      <c r="A57" s="6" t="s">
        <v>7561</v>
      </c>
      <c r="B57" s="6" t="s">
        <v>674</v>
      </c>
      <c r="C57" s="6" t="s">
        <v>91</v>
      </c>
      <c r="D57" s="6">
        <v>2</v>
      </c>
      <c r="E57" s="6" t="s">
        <v>6165</v>
      </c>
      <c r="F57" s="6" t="str">
        <f>IFERROR(INDEX('03_상품분류2526'!$C$7:$C$2532,MATCH(E57,'03_상품분류2526'!$A$7:$A$2532,0)),"코드 확인")</f>
        <v>베나치오이지</v>
      </c>
      <c r="G57" s="6" t="str">
        <f>IFERROR(INDEX('03_상품분류2526'!$D$7:$D$2532,MATCH(E57,'03_상품분류2526'!$A$7:$A$2532,0)),"코드 확인")</f>
        <v>6포</v>
      </c>
      <c r="H57" s="6" t="s">
        <v>7508</v>
      </c>
      <c r="I57" s="6" t="str">
        <f>IFERROR(INDEX('03_상품분류2526'!$M$7:$M$2532,MATCH(E57,'03_상품분류2526'!$A$7:$A$2532,0)),"코드 확인")</f>
        <v>A</v>
      </c>
      <c r="J57" s="6">
        <v>2</v>
      </c>
      <c r="K57" s="15">
        <v>1</v>
      </c>
      <c r="L57" s="6" t="str">
        <f>IFERROR(IF(INDEX('03_상품분류2526'!$V$7:$V$2532,MATCH(E57,'03_상품분류2526'!$A$7:$A$2532,0))="","",INDEX('03_상품분류2526'!$V$7:$V$2532,MATCH(E57,'03_상품분류2526'!$A$7:$A$2532,0))),"")</f>
        <v/>
      </c>
      <c r="M57" s="6" t="str">
        <f>IFERROR(IF(INDEX('03_상품분류2526'!$W$7:$W$2532,MATCH(E57,'03_상품분류2526'!$A$7:$A$2532,0))="","",INDEX('03_상품분류2526'!$W$7:$W$2532,MATCH(E57,'03_상품분류2526'!$A$7:$A$2532,0))),"")</f>
        <v/>
      </c>
      <c r="N57" s="6" t="str">
        <f>IFERROR(IF(INDEX('03_상품분류2526'!$X$7:$X$2532,MATCH(E57,'03_상품분류2526'!$A$7:$A$2532,0))="","",INDEX('03_상품분류2526'!$X$7:$X$2532,MATCH(E57,'03_상품분류2526'!$A$7:$A$2532,0))),"")</f>
        <v/>
      </c>
      <c r="O57" s="6">
        <f>'02_선반315'!R38</f>
        <v>865</v>
      </c>
      <c r="P57" s="6">
        <f>'02_선반315'!T38</f>
        <v>220</v>
      </c>
      <c r="Q57" s="6">
        <f>'02_선반315'!U38</f>
        <v>200</v>
      </c>
      <c r="R57" s="6">
        <f>'02_선반315'!S38</f>
        <v>270</v>
      </c>
      <c r="S57" s="6" t="str">
        <f t="shared" si="0"/>
        <v/>
      </c>
      <c r="T57" s="6" t="str">
        <f t="shared" si="1"/>
        <v>입력 대기</v>
      </c>
      <c r="U57" s="6" t="s">
        <v>7509</v>
      </c>
      <c r="V57" s="6" t="s">
        <v>555</v>
      </c>
      <c r="W57" s="6" t="s">
        <v>648</v>
      </c>
    </row>
    <row r="58" spans="1:23" ht="33" customHeight="1">
      <c r="A58" s="6" t="s">
        <v>7562</v>
      </c>
      <c r="B58" s="6" t="s">
        <v>674</v>
      </c>
      <c r="C58" s="6" t="s">
        <v>91</v>
      </c>
      <c r="D58" s="6">
        <v>2</v>
      </c>
      <c r="E58" s="6" t="s">
        <v>6957</v>
      </c>
      <c r="F58" s="6" t="str">
        <f>IFERROR(INDEX('03_상품분류2526'!$C$7:$C$2532,MATCH(E58,'03_상품분류2526'!$A$7:$A$2532,0)),"코드 확인")</f>
        <v>트리겔현탁액 10ml*8p</v>
      </c>
      <c r="G58" s="6" t="str">
        <f>IFERROR(INDEX('03_상품분류2526'!$D$7:$D$2532,MATCH(E58,'03_상품분류2526'!$A$7:$A$2532,0)),"코드 확인")</f>
        <v>10ml*8p</v>
      </c>
      <c r="H58" s="6" t="s">
        <v>7508</v>
      </c>
      <c r="I58" s="6" t="str">
        <f>IFERROR(INDEX('03_상품분류2526'!$M$7:$M$2532,MATCH(E58,'03_상품분류2526'!$A$7:$A$2532,0)),"코드 확인")</f>
        <v>B</v>
      </c>
      <c r="J58" s="6">
        <v>3</v>
      </c>
      <c r="K58" s="15">
        <v>1</v>
      </c>
      <c r="L58" s="6" t="str">
        <f>IFERROR(IF(INDEX('03_상품분류2526'!$V$7:$V$2532,MATCH(E58,'03_상품분류2526'!$A$7:$A$2532,0))="","",INDEX('03_상품분류2526'!$V$7:$V$2532,MATCH(E58,'03_상품분류2526'!$A$7:$A$2532,0))),"")</f>
        <v/>
      </c>
      <c r="M58" s="6" t="str">
        <f>IFERROR(IF(INDEX('03_상품분류2526'!$W$7:$W$2532,MATCH(E58,'03_상품분류2526'!$A$7:$A$2532,0))="","",INDEX('03_상품분류2526'!$W$7:$W$2532,MATCH(E58,'03_상품분류2526'!$A$7:$A$2532,0))),"")</f>
        <v/>
      </c>
      <c r="N58" s="6" t="str">
        <f>IFERROR(IF(INDEX('03_상품분류2526'!$X$7:$X$2532,MATCH(E58,'03_상품분류2526'!$A$7:$A$2532,0))="","",INDEX('03_상품분류2526'!$X$7:$X$2532,MATCH(E58,'03_상품분류2526'!$A$7:$A$2532,0))),"")</f>
        <v/>
      </c>
      <c r="O58" s="6">
        <f>'02_선반315'!R38</f>
        <v>865</v>
      </c>
      <c r="P58" s="6">
        <f>'02_선반315'!T38</f>
        <v>220</v>
      </c>
      <c r="Q58" s="6">
        <f>'02_선반315'!U38</f>
        <v>200</v>
      </c>
      <c r="R58" s="6">
        <f>'02_선반315'!S38</f>
        <v>270</v>
      </c>
      <c r="S58" s="6" t="str">
        <f t="shared" si="0"/>
        <v/>
      </c>
      <c r="T58" s="6" t="str">
        <f t="shared" si="1"/>
        <v>입력 대기</v>
      </c>
      <c r="U58" s="6" t="s">
        <v>7509</v>
      </c>
      <c r="V58" s="6" t="s">
        <v>555</v>
      </c>
      <c r="W58" s="6" t="s">
        <v>648</v>
      </c>
    </row>
    <row r="59" spans="1:23" ht="33" customHeight="1">
      <c r="A59" s="6" t="s">
        <v>7563</v>
      </c>
      <c r="B59" s="6" t="s">
        <v>678</v>
      </c>
      <c r="C59" s="6" t="s">
        <v>91</v>
      </c>
      <c r="D59" s="6">
        <v>3</v>
      </c>
      <c r="E59" s="6" t="s">
        <v>6944</v>
      </c>
      <c r="F59" s="6" t="str">
        <f>IFERROR(INDEX('03_상품분류2526'!$C$7:$C$2532,MATCH(E59,'03_상품분류2526'!$A$7:$A$2532,0)),"코드 확인")</f>
        <v>포타겔현탁액</v>
      </c>
      <c r="G59" s="6" t="str">
        <f>IFERROR(INDEX('03_상품분류2526'!$D$7:$D$2532,MATCH(E59,'03_상품분류2526'!$A$7:$A$2532,0)),"코드 확인")</f>
        <v>20mL*6포</v>
      </c>
      <c r="H59" s="6" t="s">
        <v>7508</v>
      </c>
      <c r="I59" s="6" t="str">
        <f>IFERROR(INDEX('03_상품분류2526'!$M$7:$M$2532,MATCH(E59,'03_상품분류2526'!$A$7:$A$2532,0)),"코드 확인")</f>
        <v>A</v>
      </c>
      <c r="J59" s="6">
        <v>1</v>
      </c>
      <c r="K59" s="15">
        <v>1</v>
      </c>
      <c r="L59" s="6" t="str">
        <f>IFERROR(IF(INDEX('03_상품분류2526'!$V$7:$V$2532,MATCH(E59,'03_상품분류2526'!$A$7:$A$2532,0))="","",INDEX('03_상품분류2526'!$V$7:$V$2532,MATCH(E59,'03_상품분류2526'!$A$7:$A$2532,0))),"")</f>
        <v/>
      </c>
      <c r="M59" s="6" t="str">
        <f>IFERROR(IF(INDEX('03_상품분류2526'!$W$7:$W$2532,MATCH(E59,'03_상품분류2526'!$A$7:$A$2532,0))="","",INDEX('03_상품분류2526'!$W$7:$W$2532,MATCH(E59,'03_상품분류2526'!$A$7:$A$2532,0))),"")</f>
        <v/>
      </c>
      <c r="N59" s="6" t="str">
        <f>IFERROR(IF(INDEX('03_상품분류2526'!$X$7:$X$2532,MATCH(E59,'03_상품분류2526'!$A$7:$A$2532,0))="","",INDEX('03_상품분류2526'!$X$7:$X$2532,MATCH(E59,'03_상품분류2526'!$A$7:$A$2532,0))),"")</f>
        <v/>
      </c>
      <c r="O59" s="6">
        <f>'02_선반315'!R39</f>
        <v>865</v>
      </c>
      <c r="P59" s="6">
        <f>'02_선반315'!T39</f>
        <v>220</v>
      </c>
      <c r="Q59" s="6">
        <f>'02_선반315'!U39</f>
        <v>200</v>
      </c>
      <c r="R59" s="6">
        <f>'02_선반315'!S39</f>
        <v>270</v>
      </c>
      <c r="S59" s="6" t="str">
        <f t="shared" si="0"/>
        <v/>
      </c>
      <c r="T59" s="6" t="str">
        <f t="shared" si="1"/>
        <v>입력 대기</v>
      </c>
      <c r="U59" s="6" t="s">
        <v>7509</v>
      </c>
      <c r="V59" s="6" t="s">
        <v>555</v>
      </c>
      <c r="W59" s="6" t="s">
        <v>648</v>
      </c>
    </row>
    <row r="60" spans="1:23" ht="33" customHeight="1">
      <c r="A60" s="6" t="s">
        <v>7564</v>
      </c>
      <c r="B60" s="6" t="s">
        <v>678</v>
      </c>
      <c r="C60" s="6" t="s">
        <v>91</v>
      </c>
      <c r="D60" s="6">
        <v>3</v>
      </c>
      <c r="E60" s="6" t="s">
        <v>6940</v>
      </c>
      <c r="F60" s="6" t="str">
        <f>IFERROR(INDEX('03_상품분류2526'!$C$7:$C$2532,MATCH(E60,'03_상품분류2526'!$A$7:$A$2532,0)),"코드 확인")</f>
        <v>로페시콘츄정</v>
      </c>
      <c r="G60" s="6" t="str">
        <f>IFERROR(INDEX('03_상품분류2526'!$D$7:$D$2532,MATCH(E60,'03_상품분류2526'!$A$7:$A$2532,0)),"코드 확인")</f>
        <v>12T</v>
      </c>
      <c r="H60" s="6" t="s">
        <v>7508</v>
      </c>
      <c r="I60" s="6" t="str">
        <f>IFERROR(INDEX('03_상품분류2526'!$M$7:$M$2532,MATCH(E60,'03_상품분류2526'!$A$7:$A$2532,0)),"코드 확인")</f>
        <v>B</v>
      </c>
      <c r="J60" s="6">
        <v>2</v>
      </c>
      <c r="K60" s="15">
        <v>1</v>
      </c>
      <c r="L60" s="6" t="str">
        <f>IFERROR(IF(INDEX('03_상품분류2526'!$V$7:$V$2532,MATCH(E60,'03_상품분류2526'!$A$7:$A$2532,0))="","",INDEX('03_상품분류2526'!$V$7:$V$2532,MATCH(E60,'03_상품분류2526'!$A$7:$A$2532,0))),"")</f>
        <v/>
      </c>
      <c r="M60" s="6" t="str">
        <f>IFERROR(IF(INDEX('03_상품분류2526'!$W$7:$W$2532,MATCH(E60,'03_상품분류2526'!$A$7:$A$2532,0))="","",INDEX('03_상품분류2526'!$W$7:$W$2532,MATCH(E60,'03_상품분류2526'!$A$7:$A$2532,0))),"")</f>
        <v/>
      </c>
      <c r="N60" s="6" t="str">
        <f>IFERROR(IF(INDEX('03_상품분류2526'!$X$7:$X$2532,MATCH(E60,'03_상품분류2526'!$A$7:$A$2532,0))="","",INDEX('03_상품분류2526'!$X$7:$X$2532,MATCH(E60,'03_상품분류2526'!$A$7:$A$2532,0))),"")</f>
        <v/>
      </c>
      <c r="O60" s="6">
        <f>'02_선반315'!R39</f>
        <v>865</v>
      </c>
      <c r="P60" s="6">
        <f>'02_선반315'!T39</f>
        <v>220</v>
      </c>
      <c r="Q60" s="6">
        <f>'02_선반315'!U39</f>
        <v>200</v>
      </c>
      <c r="R60" s="6">
        <f>'02_선반315'!S39</f>
        <v>270</v>
      </c>
      <c r="S60" s="6" t="str">
        <f t="shared" si="0"/>
        <v/>
      </c>
      <c r="T60" s="6" t="str">
        <f t="shared" si="1"/>
        <v>입력 대기</v>
      </c>
      <c r="U60" s="6" t="s">
        <v>7509</v>
      </c>
      <c r="V60" s="6" t="s">
        <v>555</v>
      </c>
      <c r="W60" s="6" t="s">
        <v>648</v>
      </c>
    </row>
    <row r="61" spans="1:23" ht="33" customHeight="1">
      <c r="A61" s="6" t="s">
        <v>7565</v>
      </c>
      <c r="B61" s="6" t="s">
        <v>678</v>
      </c>
      <c r="C61" s="6" t="s">
        <v>91</v>
      </c>
      <c r="D61" s="6">
        <v>3</v>
      </c>
      <c r="E61" s="6" t="s">
        <v>7217</v>
      </c>
      <c r="F61" s="6" t="str">
        <f>IFERROR(INDEX('03_상품분류2526'!$C$7:$C$2532,MATCH(E61,'03_상품분류2526'!$A$7:$A$2532,0)),"코드 확인")</f>
        <v>일양정로환에프정</v>
      </c>
      <c r="G61" s="6" t="str">
        <f>IFERROR(INDEX('03_상품분류2526'!$D$7:$D$2532,MATCH(E61,'03_상품분류2526'!$A$7:$A$2532,0)),"코드 확인")</f>
        <v>36정</v>
      </c>
      <c r="H61" s="6" t="s">
        <v>7508</v>
      </c>
      <c r="I61" s="6" t="str">
        <f>IFERROR(INDEX('03_상품분류2526'!$M$7:$M$2532,MATCH(E61,'03_상품분류2526'!$A$7:$A$2532,0)),"코드 확인")</f>
        <v>B</v>
      </c>
      <c r="J61" s="6">
        <v>3</v>
      </c>
      <c r="K61" s="15">
        <v>1</v>
      </c>
      <c r="L61" s="6" t="str">
        <f>IFERROR(IF(INDEX('03_상품분류2526'!$V$7:$V$2532,MATCH(E61,'03_상품분류2526'!$A$7:$A$2532,0))="","",INDEX('03_상품분류2526'!$V$7:$V$2532,MATCH(E61,'03_상품분류2526'!$A$7:$A$2532,0))),"")</f>
        <v/>
      </c>
      <c r="M61" s="6" t="str">
        <f>IFERROR(IF(INDEX('03_상품분류2526'!$W$7:$W$2532,MATCH(E61,'03_상품분류2526'!$A$7:$A$2532,0))="","",INDEX('03_상품분류2526'!$W$7:$W$2532,MATCH(E61,'03_상품분류2526'!$A$7:$A$2532,0))),"")</f>
        <v/>
      </c>
      <c r="N61" s="6" t="str">
        <f>IFERROR(IF(INDEX('03_상품분류2526'!$X$7:$X$2532,MATCH(E61,'03_상품분류2526'!$A$7:$A$2532,0))="","",INDEX('03_상품분류2526'!$X$7:$X$2532,MATCH(E61,'03_상품분류2526'!$A$7:$A$2532,0))),"")</f>
        <v/>
      </c>
      <c r="O61" s="6">
        <f>'02_선반315'!R39</f>
        <v>865</v>
      </c>
      <c r="P61" s="6">
        <f>'02_선반315'!T39</f>
        <v>220</v>
      </c>
      <c r="Q61" s="6">
        <f>'02_선반315'!U39</f>
        <v>200</v>
      </c>
      <c r="R61" s="6">
        <f>'02_선반315'!S39</f>
        <v>270</v>
      </c>
      <c r="S61" s="6" t="str">
        <f t="shared" si="0"/>
        <v/>
      </c>
      <c r="T61" s="6" t="str">
        <f t="shared" si="1"/>
        <v>입력 대기</v>
      </c>
      <c r="U61" s="6" t="s">
        <v>7509</v>
      </c>
      <c r="V61" s="6" t="s">
        <v>555</v>
      </c>
      <c r="W61" s="6" t="s">
        <v>648</v>
      </c>
    </row>
    <row r="62" spans="1:23" ht="33" customHeight="1">
      <c r="A62" s="6" t="s">
        <v>7566</v>
      </c>
      <c r="B62" s="6" t="s">
        <v>683</v>
      </c>
      <c r="C62" s="6" t="s">
        <v>91</v>
      </c>
      <c r="D62" s="6">
        <v>4</v>
      </c>
      <c r="E62" s="6" t="s">
        <v>6203</v>
      </c>
      <c r="F62" s="6" t="str">
        <f>IFERROR(INDEX('03_상품분류2526'!$C$7:$C$2532,MATCH(E62,'03_상품분류2526'!$A$7:$A$2532,0)),"코드 확인")</f>
        <v>굿모닝에스과립</v>
      </c>
      <c r="G62" s="6" t="str">
        <f>IFERROR(INDEX('03_상품분류2526'!$D$7:$D$2532,MATCH(E62,'03_상품분류2526'!$A$7:$A$2532,0)),"코드 확인")</f>
        <v>10P</v>
      </c>
      <c r="H62" s="6" t="s">
        <v>7508</v>
      </c>
      <c r="I62" s="6" t="str">
        <f>IFERROR(INDEX('03_상품분류2526'!$M$7:$M$2532,MATCH(E62,'03_상품분류2526'!$A$7:$A$2532,0)),"코드 확인")</f>
        <v>A</v>
      </c>
      <c r="J62" s="6">
        <v>1</v>
      </c>
      <c r="K62" s="15">
        <v>1</v>
      </c>
      <c r="L62" s="6" t="str">
        <f>IFERROR(IF(INDEX('03_상품분류2526'!$V$7:$V$2532,MATCH(E62,'03_상품분류2526'!$A$7:$A$2532,0))="","",INDEX('03_상품분류2526'!$V$7:$V$2532,MATCH(E62,'03_상품분류2526'!$A$7:$A$2532,0))),"")</f>
        <v/>
      </c>
      <c r="M62" s="6" t="str">
        <f>IFERROR(IF(INDEX('03_상품분류2526'!$W$7:$W$2532,MATCH(E62,'03_상품분류2526'!$A$7:$A$2532,0))="","",INDEX('03_상품분류2526'!$W$7:$W$2532,MATCH(E62,'03_상품분류2526'!$A$7:$A$2532,0))),"")</f>
        <v/>
      </c>
      <c r="N62" s="6" t="str">
        <f>IFERROR(IF(INDEX('03_상품분류2526'!$X$7:$X$2532,MATCH(E62,'03_상품분류2526'!$A$7:$A$2532,0))="","",INDEX('03_상품분류2526'!$X$7:$X$2532,MATCH(E62,'03_상품분류2526'!$A$7:$A$2532,0))),"")</f>
        <v/>
      </c>
      <c r="O62" s="6">
        <f>'02_선반315'!R40</f>
        <v>865</v>
      </c>
      <c r="P62" s="6">
        <f>'02_선반315'!T40</f>
        <v>220</v>
      </c>
      <c r="Q62" s="6">
        <f>'02_선반315'!U40</f>
        <v>200</v>
      </c>
      <c r="R62" s="6">
        <f>'02_선반315'!S40</f>
        <v>270</v>
      </c>
      <c r="S62" s="6" t="str">
        <f t="shared" si="0"/>
        <v/>
      </c>
      <c r="T62" s="6" t="str">
        <f t="shared" si="1"/>
        <v>입력 대기</v>
      </c>
      <c r="U62" s="6" t="s">
        <v>7509</v>
      </c>
      <c r="V62" s="6" t="s">
        <v>555</v>
      </c>
      <c r="W62" s="6" t="s">
        <v>648</v>
      </c>
    </row>
    <row r="63" spans="1:23" ht="33" customHeight="1">
      <c r="A63" s="6" t="s">
        <v>7567</v>
      </c>
      <c r="B63" s="6" t="s">
        <v>683</v>
      </c>
      <c r="C63" s="6" t="s">
        <v>91</v>
      </c>
      <c r="D63" s="6">
        <v>4</v>
      </c>
      <c r="E63" s="6" t="s">
        <v>6191</v>
      </c>
      <c r="F63" s="6" t="str">
        <f>IFERROR(INDEX('03_상품분류2526'!$C$7:$C$2532,MATCH(E63,'03_상품분류2526'!$A$7:$A$2532,0)),"코드 확인")</f>
        <v>한풍올가과립</v>
      </c>
      <c r="G63" s="6" t="str">
        <f>IFERROR(INDEX('03_상품분류2526'!$D$7:$D$2532,MATCH(E63,'03_상품분류2526'!$A$7:$A$2532,0)),"코드 확인")</f>
        <v>6P</v>
      </c>
      <c r="H63" s="6" t="s">
        <v>7508</v>
      </c>
      <c r="I63" s="6" t="str">
        <f>IFERROR(INDEX('03_상품분류2526'!$M$7:$M$2532,MATCH(E63,'03_상품분류2526'!$A$7:$A$2532,0)),"코드 확인")</f>
        <v>B</v>
      </c>
      <c r="J63" s="6">
        <v>2</v>
      </c>
      <c r="K63" s="15">
        <v>1</v>
      </c>
      <c r="L63" s="6" t="str">
        <f>IFERROR(IF(INDEX('03_상품분류2526'!$V$7:$V$2532,MATCH(E63,'03_상품분류2526'!$A$7:$A$2532,0))="","",INDEX('03_상품분류2526'!$V$7:$V$2532,MATCH(E63,'03_상품분류2526'!$A$7:$A$2532,0))),"")</f>
        <v/>
      </c>
      <c r="M63" s="6" t="str">
        <f>IFERROR(IF(INDEX('03_상품분류2526'!$W$7:$W$2532,MATCH(E63,'03_상품분류2526'!$A$7:$A$2532,0))="","",INDEX('03_상품분류2526'!$W$7:$W$2532,MATCH(E63,'03_상품분류2526'!$A$7:$A$2532,0))),"")</f>
        <v/>
      </c>
      <c r="N63" s="6" t="str">
        <f>IFERROR(IF(INDEX('03_상품분류2526'!$X$7:$X$2532,MATCH(E63,'03_상품분류2526'!$A$7:$A$2532,0))="","",INDEX('03_상품분류2526'!$X$7:$X$2532,MATCH(E63,'03_상품분류2526'!$A$7:$A$2532,0))),"")</f>
        <v/>
      </c>
      <c r="O63" s="6">
        <f>'02_선반315'!R40</f>
        <v>865</v>
      </c>
      <c r="P63" s="6">
        <f>'02_선반315'!T40</f>
        <v>220</v>
      </c>
      <c r="Q63" s="6">
        <f>'02_선반315'!U40</f>
        <v>200</v>
      </c>
      <c r="R63" s="6">
        <f>'02_선반315'!S40</f>
        <v>270</v>
      </c>
      <c r="S63" s="6" t="str">
        <f t="shared" si="0"/>
        <v/>
      </c>
      <c r="T63" s="6" t="str">
        <f t="shared" si="1"/>
        <v>입력 대기</v>
      </c>
      <c r="U63" s="6" t="s">
        <v>7509</v>
      </c>
      <c r="V63" s="6" t="s">
        <v>555</v>
      </c>
      <c r="W63" s="6" t="s">
        <v>648</v>
      </c>
    </row>
    <row r="64" spans="1:23" ht="33" customHeight="1">
      <c r="A64" s="6" t="s">
        <v>7568</v>
      </c>
      <c r="B64" s="6" t="s">
        <v>688</v>
      </c>
      <c r="C64" s="6" t="s">
        <v>91</v>
      </c>
      <c r="D64" s="6">
        <v>5</v>
      </c>
      <c r="E64" s="6" t="s">
        <v>6230</v>
      </c>
      <c r="F64" s="6" t="str">
        <f>IFERROR(INDEX('03_상품분류2526'!$C$7:$C$2532,MATCH(E64,'03_상품분류2526'!$A$7:$A$2532,0)),"코드 확인")</f>
        <v>보나링츄어블정</v>
      </c>
      <c r="G64" s="6" t="str">
        <f>IFERROR(INDEX('03_상품분류2526'!$D$7:$D$2532,MATCH(E64,'03_상품분류2526'!$A$7:$A$2532,0)),"코드 확인")</f>
        <v>4T</v>
      </c>
      <c r="H64" s="6" t="s">
        <v>7508</v>
      </c>
      <c r="I64" s="6" t="str">
        <f>IFERROR(INDEX('03_상품분류2526'!$M$7:$M$2532,MATCH(E64,'03_상품분류2526'!$A$7:$A$2532,0)),"코드 확인")</f>
        <v>A</v>
      </c>
      <c r="J64" s="6">
        <v>1</v>
      </c>
      <c r="K64" s="15">
        <v>1</v>
      </c>
      <c r="L64" s="6" t="str">
        <f>IFERROR(IF(INDEX('03_상품분류2526'!$V$7:$V$2532,MATCH(E64,'03_상품분류2526'!$A$7:$A$2532,0))="","",INDEX('03_상품분류2526'!$V$7:$V$2532,MATCH(E64,'03_상품분류2526'!$A$7:$A$2532,0))),"")</f>
        <v/>
      </c>
      <c r="M64" s="6" t="str">
        <f>IFERROR(IF(INDEX('03_상품분류2526'!$W$7:$W$2532,MATCH(E64,'03_상품분류2526'!$A$7:$A$2532,0))="","",INDEX('03_상품분류2526'!$W$7:$W$2532,MATCH(E64,'03_상품분류2526'!$A$7:$A$2532,0))),"")</f>
        <v/>
      </c>
      <c r="N64" s="6" t="str">
        <f>IFERROR(IF(INDEX('03_상품분류2526'!$X$7:$X$2532,MATCH(E64,'03_상품분류2526'!$A$7:$A$2532,0))="","",INDEX('03_상품분류2526'!$X$7:$X$2532,MATCH(E64,'03_상품분류2526'!$A$7:$A$2532,0))),"")</f>
        <v/>
      </c>
      <c r="O64" s="6">
        <f>'02_선반315'!R41</f>
        <v>865</v>
      </c>
      <c r="P64" s="6">
        <f>'02_선반315'!T41</f>
        <v>220</v>
      </c>
      <c r="Q64" s="6">
        <f>'02_선반315'!U41</f>
        <v>200</v>
      </c>
      <c r="R64" s="6">
        <f>'02_선반315'!S41</f>
        <v>270</v>
      </c>
      <c r="S64" s="6" t="str">
        <f t="shared" si="0"/>
        <v/>
      </c>
      <c r="T64" s="6" t="str">
        <f t="shared" si="1"/>
        <v>입력 대기</v>
      </c>
      <c r="U64" s="6" t="s">
        <v>7509</v>
      </c>
      <c r="V64" s="6" t="s">
        <v>555</v>
      </c>
      <c r="W64" s="6" t="s">
        <v>648</v>
      </c>
    </row>
    <row r="65" spans="1:23" ht="33" customHeight="1">
      <c r="A65" s="6" t="s">
        <v>7569</v>
      </c>
      <c r="B65" s="6" t="s">
        <v>688</v>
      </c>
      <c r="C65" s="6" t="s">
        <v>91</v>
      </c>
      <c r="D65" s="6">
        <v>5</v>
      </c>
      <c r="E65" s="6" t="s">
        <v>6233</v>
      </c>
      <c r="F65" s="6" t="str">
        <f>IFERROR(INDEX('03_상품분류2526'!$C$7:$C$2532,MATCH(E65,'03_상품분류2526'!$A$7:$A$2532,0)),"코드 확인")</f>
        <v>멀스토구강용해필름</v>
      </c>
      <c r="G65" s="6" t="str">
        <f>IFERROR(INDEX('03_상품분류2526'!$D$7:$D$2532,MATCH(E65,'03_상품분류2526'!$A$7:$A$2532,0)),"코드 확인")</f>
        <v>2매</v>
      </c>
      <c r="H65" s="6" t="s">
        <v>7508</v>
      </c>
      <c r="I65" s="6" t="str">
        <f>IFERROR(INDEX('03_상품분류2526'!$M$7:$M$2532,MATCH(E65,'03_상품분류2526'!$A$7:$A$2532,0)),"코드 확인")</f>
        <v>B</v>
      </c>
      <c r="J65" s="6">
        <v>2</v>
      </c>
      <c r="K65" s="15">
        <v>1</v>
      </c>
      <c r="L65" s="6" t="str">
        <f>IFERROR(IF(INDEX('03_상품분류2526'!$V$7:$V$2532,MATCH(E65,'03_상품분류2526'!$A$7:$A$2532,0))="","",INDEX('03_상품분류2526'!$V$7:$V$2532,MATCH(E65,'03_상품분류2526'!$A$7:$A$2532,0))),"")</f>
        <v/>
      </c>
      <c r="M65" s="6" t="str">
        <f>IFERROR(IF(INDEX('03_상품분류2526'!$W$7:$W$2532,MATCH(E65,'03_상품분류2526'!$A$7:$A$2532,0))="","",INDEX('03_상품분류2526'!$W$7:$W$2532,MATCH(E65,'03_상품분류2526'!$A$7:$A$2532,0))),"")</f>
        <v/>
      </c>
      <c r="N65" s="6" t="str">
        <f>IFERROR(IF(INDEX('03_상품분류2526'!$X$7:$X$2532,MATCH(E65,'03_상품분류2526'!$A$7:$A$2532,0))="","",INDEX('03_상품분류2526'!$X$7:$X$2532,MATCH(E65,'03_상품분류2526'!$A$7:$A$2532,0))),"")</f>
        <v/>
      </c>
      <c r="O65" s="6">
        <f>'02_선반315'!R41</f>
        <v>865</v>
      </c>
      <c r="P65" s="6">
        <f>'02_선반315'!T41</f>
        <v>220</v>
      </c>
      <c r="Q65" s="6">
        <f>'02_선반315'!U41</f>
        <v>200</v>
      </c>
      <c r="R65" s="6">
        <f>'02_선반315'!S41</f>
        <v>270</v>
      </c>
      <c r="S65" s="6" t="str">
        <f t="shared" si="0"/>
        <v/>
      </c>
      <c r="T65" s="6" t="str">
        <f t="shared" si="1"/>
        <v>입력 대기</v>
      </c>
      <c r="U65" s="6" t="s">
        <v>7509</v>
      </c>
      <c r="V65" s="6" t="s">
        <v>555</v>
      </c>
      <c r="W65" s="6" t="s">
        <v>648</v>
      </c>
    </row>
    <row r="66" spans="1:23" ht="33" customHeight="1">
      <c r="A66" s="6" t="s">
        <v>7570</v>
      </c>
      <c r="B66" s="6" t="s">
        <v>688</v>
      </c>
      <c r="C66" s="6" t="s">
        <v>91</v>
      </c>
      <c r="D66" s="6">
        <v>5</v>
      </c>
      <c r="E66" s="6" t="s">
        <v>6228</v>
      </c>
      <c r="F66" s="6" t="str">
        <f>IFERROR(INDEX('03_상품분류2526'!$C$7:$C$2532,MATCH(E66,'03_상품분류2526'!$A$7:$A$2532,0)),"코드 확인")</f>
        <v>해피트립액</v>
      </c>
      <c r="G66" s="6" t="str">
        <f>IFERROR(INDEX('03_상품분류2526'!$D$7:$D$2532,MATCH(E66,'03_상품분류2526'!$A$7:$A$2532,0)),"코드 확인")</f>
        <v>4포</v>
      </c>
      <c r="H66" s="6" t="s">
        <v>7508</v>
      </c>
      <c r="I66" s="6" t="str">
        <f>IFERROR(INDEX('03_상품분류2526'!$M$7:$M$2532,MATCH(E66,'03_상품분류2526'!$A$7:$A$2532,0)),"코드 확인")</f>
        <v>B</v>
      </c>
      <c r="J66" s="6">
        <v>3</v>
      </c>
      <c r="K66" s="15">
        <v>1</v>
      </c>
      <c r="L66" s="6" t="str">
        <f>IFERROR(IF(INDEX('03_상품분류2526'!$V$7:$V$2532,MATCH(E66,'03_상품분류2526'!$A$7:$A$2532,0))="","",INDEX('03_상품분류2526'!$V$7:$V$2532,MATCH(E66,'03_상품분류2526'!$A$7:$A$2532,0))),"")</f>
        <v/>
      </c>
      <c r="M66" s="6" t="str">
        <f>IFERROR(IF(INDEX('03_상품분류2526'!$W$7:$W$2532,MATCH(E66,'03_상품분류2526'!$A$7:$A$2532,0))="","",INDEX('03_상품분류2526'!$W$7:$W$2532,MATCH(E66,'03_상품분류2526'!$A$7:$A$2532,0))),"")</f>
        <v/>
      </c>
      <c r="N66" s="6" t="str">
        <f>IFERROR(IF(INDEX('03_상품분류2526'!$X$7:$X$2532,MATCH(E66,'03_상품분류2526'!$A$7:$A$2532,0))="","",INDEX('03_상품분류2526'!$X$7:$X$2532,MATCH(E66,'03_상품분류2526'!$A$7:$A$2532,0))),"")</f>
        <v/>
      </c>
      <c r="O66" s="6">
        <f>'02_선반315'!R41</f>
        <v>865</v>
      </c>
      <c r="P66" s="6">
        <f>'02_선반315'!T41</f>
        <v>220</v>
      </c>
      <c r="Q66" s="6">
        <f>'02_선반315'!U41</f>
        <v>200</v>
      </c>
      <c r="R66" s="6">
        <f>'02_선반315'!S41</f>
        <v>270</v>
      </c>
      <c r="S66" s="6" t="str">
        <f t="shared" si="0"/>
        <v/>
      </c>
      <c r="T66" s="6" t="str">
        <f t="shared" si="1"/>
        <v>입력 대기</v>
      </c>
      <c r="U66" s="6" t="s">
        <v>7509</v>
      </c>
      <c r="V66" s="6" t="s">
        <v>555</v>
      </c>
      <c r="W66" s="6" t="s">
        <v>648</v>
      </c>
    </row>
    <row r="67" spans="1:23" ht="33" customHeight="1">
      <c r="A67" s="6" t="s">
        <v>7571</v>
      </c>
      <c r="B67" s="6" t="s">
        <v>693</v>
      </c>
      <c r="C67" s="6" t="s">
        <v>99</v>
      </c>
      <c r="D67" s="6">
        <v>1</v>
      </c>
      <c r="E67" s="6" t="s">
        <v>5965</v>
      </c>
      <c r="F67" s="6" t="str">
        <f>IFERROR(INDEX('03_상품분류2526'!$C$7:$C$2532,MATCH(E67,'03_상품분류2526'!$A$7:$A$2532,0)),"코드 확인")</f>
        <v>타이레놀정500mg</v>
      </c>
      <c r="G67" s="6" t="str">
        <f>IFERROR(INDEX('03_상품분류2526'!$D$7:$D$2532,MATCH(E67,'03_상품분류2526'!$A$7:$A$2532,0)),"코드 확인")</f>
        <v>10T</v>
      </c>
      <c r="H67" s="6" t="s">
        <v>7508</v>
      </c>
      <c r="I67" s="6" t="str">
        <f>IFERROR(INDEX('03_상품분류2526'!$M$7:$M$2532,MATCH(E67,'03_상품분류2526'!$A$7:$A$2532,0)),"코드 확인")</f>
        <v>A</v>
      </c>
      <c r="J67" s="6">
        <v>1</v>
      </c>
      <c r="K67" s="15">
        <v>2</v>
      </c>
      <c r="L67" s="6" t="str">
        <f>IFERROR(IF(INDEX('03_상품분류2526'!$V$7:$V$2532,MATCH(E67,'03_상품분류2526'!$A$7:$A$2532,0))="","",INDEX('03_상품분류2526'!$V$7:$V$2532,MATCH(E67,'03_상품분류2526'!$A$7:$A$2532,0))),"")</f>
        <v/>
      </c>
      <c r="M67" s="6" t="str">
        <f>IFERROR(IF(INDEX('03_상품분류2526'!$W$7:$W$2532,MATCH(E67,'03_상품분류2526'!$A$7:$A$2532,0))="","",INDEX('03_상품분류2526'!$W$7:$W$2532,MATCH(E67,'03_상품분류2526'!$A$7:$A$2532,0))),"")</f>
        <v/>
      </c>
      <c r="N67" s="6" t="str">
        <f>IFERROR(IF(INDEX('03_상품분류2526'!$X$7:$X$2532,MATCH(E67,'03_상품분류2526'!$A$7:$A$2532,0))="","",INDEX('03_상품분류2526'!$X$7:$X$2532,MATCH(E67,'03_상품분류2526'!$A$7:$A$2532,0))),"")</f>
        <v/>
      </c>
      <c r="O67" s="6">
        <f>'02_선반315'!R42</f>
        <v>865</v>
      </c>
      <c r="P67" s="6">
        <f>'02_선반315'!T42</f>
        <v>100</v>
      </c>
      <c r="Q67" s="6">
        <f>'02_선반315'!U42</f>
        <v>80</v>
      </c>
      <c r="R67" s="6">
        <f>'02_선반315'!S42</f>
        <v>270</v>
      </c>
      <c r="S67" s="6" t="str">
        <f t="shared" si="0"/>
        <v/>
      </c>
      <c r="T67" s="6" t="str">
        <f t="shared" si="1"/>
        <v>입력 대기</v>
      </c>
      <c r="U67" s="6" t="s">
        <v>7543</v>
      </c>
      <c r="V67" s="6" t="s">
        <v>555</v>
      </c>
      <c r="W67" s="6" t="s">
        <v>648</v>
      </c>
    </row>
    <row r="68" spans="1:23" ht="33" customHeight="1">
      <c r="A68" s="6" t="s">
        <v>7572</v>
      </c>
      <c r="B68" s="6" t="s">
        <v>693</v>
      </c>
      <c r="C68" s="6" t="s">
        <v>99</v>
      </c>
      <c r="D68" s="6">
        <v>1</v>
      </c>
      <c r="E68" s="6" t="s">
        <v>5977</v>
      </c>
      <c r="F68" s="6" t="str">
        <f>IFERROR(INDEX('03_상품분류2526'!$C$7:$C$2532,MATCH(E68,'03_상품분류2526'!$A$7:$A$2532,0)),"코드 확인")</f>
        <v>이지엔6이브</v>
      </c>
      <c r="G68" s="6" t="str">
        <f>IFERROR(INDEX('03_상품분류2526'!$D$7:$D$2532,MATCH(E68,'03_상품분류2526'!$A$7:$A$2532,0)),"코드 확인")</f>
        <v>10c</v>
      </c>
      <c r="H68" s="6" t="s">
        <v>7508</v>
      </c>
      <c r="I68" s="6" t="str">
        <f>IFERROR(INDEX('03_상품분류2526'!$M$7:$M$2532,MATCH(E68,'03_상품분류2526'!$A$7:$A$2532,0)),"코드 확인")</f>
        <v>A</v>
      </c>
      <c r="J68" s="6">
        <v>2</v>
      </c>
      <c r="K68" s="15">
        <v>1</v>
      </c>
      <c r="L68" s="6" t="str">
        <f>IFERROR(IF(INDEX('03_상품분류2526'!$V$7:$V$2532,MATCH(E68,'03_상품분류2526'!$A$7:$A$2532,0))="","",INDEX('03_상품분류2526'!$V$7:$V$2532,MATCH(E68,'03_상품분류2526'!$A$7:$A$2532,0))),"")</f>
        <v/>
      </c>
      <c r="M68" s="6" t="str">
        <f>IFERROR(IF(INDEX('03_상품분류2526'!$W$7:$W$2532,MATCH(E68,'03_상품분류2526'!$A$7:$A$2532,0))="","",INDEX('03_상품분류2526'!$W$7:$W$2532,MATCH(E68,'03_상품분류2526'!$A$7:$A$2532,0))),"")</f>
        <v/>
      </c>
      <c r="N68" s="6" t="str">
        <f>IFERROR(IF(INDEX('03_상품분류2526'!$X$7:$X$2532,MATCH(E68,'03_상품분류2526'!$A$7:$A$2532,0))="","",INDEX('03_상품분류2526'!$X$7:$X$2532,MATCH(E68,'03_상품분류2526'!$A$7:$A$2532,0))),"")</f>
        <v/>
      </c>
      <c r="O68" s="6">
        <f>'02_선반315'!R42</f>
        <v>865</v>
      </c>
      <c r="P68" s="6">
        <f>'02_선반315'!T42</f>
        <v>100</v>
      </c>
      <c r="Q68" s="6">
        <f>'02_선반315'!U42</f>
        <v>80</v>
      </c>
      <c r="R68" s="6">
        <f>'02_선반315'!S42</f>
        <v>270</v>
      </c>
      <c r="S68" s="6" t="str">
        <f t="shared" si="0"/>
        <v/>
      </c>
      <c r="T68" s="6" t="str">
        <f t="shared" si="1"/>
        <v>입력 대기</v>
      </c>
      <c r="U68" s="6" t="s">
        <v>7543</v>
      </c>
      <c r="V68" s="6" t="s">
        <v>555</v>
      </c>
      <c r="W68" s="6" t="s">
        <v>648</v>
      </c>
    </row>
    <row r="69" spans="1:23" ht="33" customHeight="1">
      <c r="A69" s="6" t="s">
        <v>7573</v>
      </c>
      <c r="B69" s="6" t="s">
        <v>693</v>
      </c>
      <c r="C69" s="6" t="s">
        <v>99</v>
      </c>
      <c r="D69" s="6">
        <v>1</v>
      </c>
      <c r="E69" s="6" t="s">
        <v>5990</v>
      </c>
      <c r="F69" s="6" t="str">
        <f>IFERROR(INDEX('03_상품분류2526'!$C$7:$C$2532,MATCH(E69,'03_상품분류2526'!$A$7:$A$2532,0)),"코드 확인")</f>
        <v>탁센연질캡슐</v>
      </c>
      <c r="G69" s="6" t="str">
        <f>IFERROR(INDEX('03_상품분류2526'!$D$7:$D$2532,MATCH(E69,'03_상품분류2526'!$A$7:$A$2532,0)),"코드 확인")</f>
        <v>10c</v>
      </c>
      <c r="H69" s="6" t="s">
        <v>7508</v>
      </c>
      <c r="I69" s="6" t="str">
        <f>IFERROR(INDEX('03_상품분류2526'!$M$7:$M$2532,MATCH(E69,'03_상품분류2526'!$A$7:$A$2532,0)),"코드 확인")</f>
        <v>B</v>
      </c>
      <c r="J69" s="6">
        <v>3</v>
      </c>
      <c r="K69" s="15">
        <v>1</v>
      </c>
      <c r="L69" s="6" t="str">
        <f>IFERROR(IF(INDEX('03_상품분류2526'!$V$7:$V$2532,MATCH(E69,'03_상품분류2526'!$A$7:$A$2532,0))="","",INDEX('03_상품분류2526'!$V$7:$V$2532,MATCH(E69,'03_상품분류2526'!$A$7:$A$2532,0))),"")</f>
        <v/>
      </c>
      <c r="M69" s="6" t="str">
        <f>IFERROR(IF(INDEX('03_상품분류2526'!$W$7:$W$2532,MATCH(E69,'03_상품분류2526'!$A$7:$A$2532,0))="","",INDEX('03_상품분류2526'!$W$7:$W$2532,MATCH(E69,'03_상품분류2526'!$A$7:$A$2532,0))),"")</f>
        <v/>
      </c>
      <c r="N69" s="6" t="str">
        <f>IFERROR(IF(INDEX('03_상품분류2526'!$X$7:$X$2532,MATCH(E69,'03_상품분류2526'!$A$7:$A$2532,0))="","",INDEX('03_상품분류2526'!$X$7:$X$2532,MATCH(E69,'03_상품분류2526'!$A$7:$A$2532,0))),"")</f>
        <v/>
      </c>
      <c r="O69" s="6">
        <f>'02_선반315'!R42</f>
        <v>865</v>
      </c>
      <c r="P69" s="6">
        <f>'02_선반315'!T42</f>
        <v>100</v>
      </c>
      <c r="Q69" s="6">
        <f>'02_선반315'!U42</f>
        <v>80</v>
      </c>
      <c r="R69" s="6">
        <f>'02_선반315'!S42</f>
        <v>270</v>
      </c>
      <c r="S69" s="6" t="str">
        <f t="shared" si="0"/>
        <v/>
      </c>
      <c r="T69" s="6" t="str">
        <f t="shared" si="1"/>
        <v>입력 대기</v>
      </c>
      <c r="U69" s="6" t="s">
        <v>7543</v>
      </c>
      <c r="V69" s="6" t="s">
        <v>555</v>
      </c>
      <c r="W69" s="6" t="s">
        <v>648</v>
      </c>
    </row>
    <row r="70" spans="1:23" ht="33" customHeight="1">
      <c r="A70" s="6" t="s">
        <v>7574</v>
      </c>
      <c r="B70" s="6" t="s">
        <v>693</v>
      </c>
      <c r="C70" s="6" t="s">
        <v>99</v>
      </c>
      <c r="D70" s="6">
        <v>1</v>
      </c>
      <c r="E70" s="6" t="s">
        <v>5995</v>
      </c>
      <c r="F70" s="6" t="str">
        <f>IFERROR(INDEX('03_상품분류2526'!$C$7:$C$2532,MATCH(E70,'03_상품분류2526'!$A$7:$A$2532,0)),"코드 확인")</f>
        <v>탁센덱시연질캡슐</v>
      </c>
      <c r="G70" s="6" t="str">
        <f>IFERROR(INDEX('03_상품분류2526'!$D$7:$D$2532,MATCH(E70,'03_상품분류2526'!$A$7:$A$2532,0)),"코드 확인")</f>
        <v>10C</v>
      </c>
      <c r="H70" s="6" t="s">
        <v>7508</v>
      </c>
      <c r="I70" s="6" t="str">
        <f>IFERROR(INDEX('03_상품분류2526'!$M$7:$M$2532,MATCH(E70,'03_상품분류2526'!$A$7:$A$2532,0)),"코드 확인")</f>
        <v>B</v>
      </c>
      <c r="J70" s="6">
        <v>4</v>
      </c>
      <c r="K70" s="15">
        <v>1</v>
      </c>
      <c r="L70" s="6" t="str">
        <f>IFERROR(IF(INDEX('03_상품분류2526'!$V$7:$V$2532,MATCH(E70,'03_상품분류2526'!$A$7:$A$2532,0))="","",INDEX('03_상품분류2526'!$V$7:$V$2532,MATCH(E70,'03_상품분류2526'!$A$7:$A$2532,0))),"")</f>
        <v/>
      </c>
      <c r="M70" s="6" t="str">
        <f>IFERROR(IF(INDEX('03_상품분류2526'!$W$7:$W$2532,MATCH(E70,'03_상품분류2526'!$A$7:$A$2532,0))="","",INDEX('03_상품분류2526'!$W$7:$W$2532,MATCH(E70,'03_상품분류2526'!$A$7:$A$2532,0))),"")</f>
        <v/>
      </c>
      <c r="N70" s="6" t="str">
        <f>IFERROR(IF(INDEX('03_상품분류2526'!$X$7:$X$2532,MATCH(E70,'03_상품분류2526'!$A$7:$A$2532,0))="","",INDEX('03_상품분류2526'!$X$7:$X$2532,MATCH(E70,'03_상품분류2526'!$A$7:$A$2532,0))),"")</f>
        <v/>
      </c>
      <c r="O70" s="6">
        <f>'02_선반315'!R42</f>
        <v>865</v>
      </c>
      <c r="P70" s="6">
        <f>'02_선반315'!T42</f>
        <v>100</v>
      </c>
      <c r="Q70" s="6">
        <f>'02_선반315'!U42</f>
        <v>80</v>
      </c>
      <c r="R70" s="6">
        <f>'02_선반315'!S42</f>
        <v>270</v>
      </c>
      <c r="S70" s="6" t="str">
        <f t="shared" si="0"/>
        <v/>
      </c>
      <c r="T70" s="6" t="str">
        <f t="shared" si="1"/>
        <v>입력 대기</v>
      </c>
      <c r="U70" s="6" t="s">
        <v>7543</v>
      </c>
      <c r="V70" s="6" t="s">
        <v>555</v>
      </c>
      <c r="W70" s="6" t="s">
        <v>648</v>
      </c>
    </row>
    <row r="71" spans="1:23" ht="33" customHeight="1">
      <c r="A71" s="6" t="s">
        <v>7575</v>
      </c>
      <c r="B71" s="6" t="s">
        <v>698</v>
      </c>
      <c r="C71" s="6" t="s">
        <v>99</v>
      </c>
      <c r="D71" s="6">
        <v>2</v>
      </c>
      <c r="E71" s="6" t="s">
        <v>5867</v>
      </c>
      <c r="F71" s="6" t="str">
        <f>IFERROR(INDEX('03_상품분류2526'!$C$7:$C$2532,MATCH(E71,'03_상품분류2526'!$A$7:$A$2532,0)),"코드 확인")</f>
        <v>신신파스아렉스(중)</v>
      </c>
      <c r="G71" s="6" t="str">
        <f>IFERROR(INDEX('03_상품분류2526'!$D$7:$D$2532,MATCH(E71,'03_상품분류2526'!$A$7:$A$2532,0)),"코드 확인")</f>
        <v>10매</v>
      </c>
      <c r="H71" s="6" t="s">
        <v>7508</v>
      </c>
      <c r="I71" s="6" t="str">
        <f>IFERROR(INDEX('03_상품분류2526'!$M$7:$M$2532,MATCH(E71,'03_상품분류2526'!$A$7:$A$2532,0)),"코드 확인")</f>
        <v>A</v>
      </c>
      <c r="J71" s="6">
        <v>1</v>
      </c>
      <c r="K71" s="15">
        <v>2</v>
      </c>
      <c r="L71" s="6" t="str">
        <f>IFERROR(IF(INDEX('03_상품분류2526'!$V$7:$V$2532,MATCH(E71,'03_상품분류2526'!$A$7:$A$2532,0))="","",INDEX('03_상품분류2526'!$V$7:$V$2532,MATCH(E71,'03_상품분류2526'!$A$7:$A$2532,0))),"")</f>
        <v/>
      </c>
      <c r="M71" s="6" t="str">
        <f>IFERROR(IF(INDEX('03_상품분류2526'!$W$7:$W$2532,MATCH(E71,'03_상품분류2526'!$A$7:$A$2532,0))="","",INDEX('03_상품분류2526'!$W$7:$W$2532,MATCH(E71,'03_상품분류2526'!$A$7:$A$2532,0))),"")</f>
        <v/>
      </c>
      <c r="N71" s="6" t="str">
        <f>IFERROR(IF(INDEX('03_상품분류2526'!$X$7:$X$2532,MATCH(E71,'03_상품분류2526'!$A$7:$A$2532,0))="","",INDEX('03_상품분류2526'!$X$7:$X$2532,MATCH(E71,'03_상품분류2526'!$A$7:$A$2532,0))),"")</f>
        <v/>
      </c>
      <c r="O71" s="6">
        <f>'02_선반315'!R43</f>
        <v>865</v>
      </c>
      <c r="P71" s="6">
        <f>'02_선반315'!T43</f>
        <v>220</v>
      </c>
      <c r="Q71" s="6">
        <f>'02_선반315'!U43</f>
        <v>200</v>
      </c>
      <c r="R71" s="6">
        <f>'02_선반315'!S43</f>
        <v>270</v>
      </c>
      <c r="S71" s="6" t="str">
        <f t="shared" ref="S71:S134" si="2">IF(K71=0,0,IF(L71="","",K71*L71))</f>
        <v/>
      </c>
      <c r="T71" s="6" t="str">
        <f t="shared" ref="T71:T134" si="3">IF(K71=0,"미진열",IF(OR(L71="",M71="",N71=""),"입력 대기",IF(AND(L71&gt;0,M71&gt;0,N71&gt;0,S71&lt;=O71,M71&lt;=Q71,N71&lt;=R71),"개별 범위 내","치수 초과")))</f>
        <v>입력 대기</v>
      </c>
      <c r="U71" s="6" t="s">
        <v>7509</v>
      </c>
      <c r="V71" s="6" t="s">
        <v>555</v>
      </c>
      <c r="W71" s="6" t="s">
        <v>648</v>
      </c>
    </row>
    <row r="72" spans="1:23" ht="33" customHeight="1">
      <c r="A72" s="6" t="s">
        <v>7576</v>
      </c>
      <c r="B72" s="6" t="s">
        <v>698</v>
      </c>
      <c r="C72" s="6" t="s">
        <v>99</v>
      </c>
      <c r="D72" s="6">
        <v>2</v>
      </c>
      <c r="E72" s="6" t="s">
        <v>5837</v>
      </c>
      <c r="F72" s="6" t="str">
        <f>IFERROR(INDEX('03_상품분류2526'!$C$7:$C$2532,MATCH(E72,'03_상품분류2526'!$A$7:$A$2532,0)),"코드 확인")</f>
        <v>신신파스플렉스 아렉스마일드</v>
      </c>
      <c r="G72" s="6" t="str">
        <f>IFERROR(INDEX('03_상품분류2526'!$D$7:$D$2532,MATCH(E72,'03_상품분류2526'!$A$7:$A$2532,0)),"코드 확인")</f>
        <v>6매</v>
      </c>
      <c r="H72" s="6" t="s">
        <v>7508</v>
      </c>
      <c r="I72" s="6" t="str">
        <f>IFERROR(INDEX('03_상품분류2526'!$M$7:$M$2532,MATCH(E72,'03_상품분류2526'!$A$7:$A$2532,0)),"코드 확인")</f>
        <v>B</v>
      </c>
      <c r="J72" s="6">
        <v>2</v>
      </c>
      <c r="K72" s="15">
        <v>1</v>
      </c>
      <c r="L72" s="6" t="str">
        <f>IFERROR(IF(INDEX('03_상품분류2526'!$V$7:$V$2532,MATCH(E72,'03_상품분류2526'!$A$7:$A$2532,0))="","",INDEX('03_상품분류2526'!$V$7:$V$2532,MATCH(E72,'03_상품분류2526'!$A$7:$A$2532,0))),"")</f>
        <v/>
      </c>
      <c r="M72" s="6" t="str">
        <f>IFERROR(IF(INDEX('03_상품분류2526'!$W$7:$W$2532,MATCH(E72,'03_상품분류2526'!$A$7:$A$2532,0))="","",INDEX('03_상품분류2526'!$W$7:$W$2532,MATCH(E72,'03_상품분류2526'!$A$7:$A$2532,0))),"")</f>
        <v/>
      </c>
      <c r="N72" s="6" t="str">
        <f>IFERROR(IF(INDEX('03_상품분류2526'!$X$7:$X$2532,MATCH(E72,'03_상품분류2526'!$A$7:$A$2532,0))="","",INDEX('03_상품분류2526'!$X$7:$X$2532,MATCH(E72,'03_상품분류2526'!$A$7:$A$2532,0))),"")</f>
        <v/>
      </c>
      <c r="O72" s="6">
        <f>'02_선반315'!R43</f>
        <v>865</v>
      </c>
      <c r="P72" s="6">
        <f>'02_선반315'!T43</f>
        <v>220</v>
      </c>
      <c r="Q72" s="6">
        <f>'02_선반315'!U43</f>
        <v>200</v>
      </c>
      <c r="R72" s="6">
        <f>'02_선반315'!S43</f>
        <v>270</v>
      </c>
      <c r="S72" s="6" t="str">
        <f t="shared" si="2"/>
        <v/>
      </c>
      <c r="T72" s="6" t="str">
        <f t="shared" si="3"/>
        <v>입력 대기</v>
      </c>
      <c r="U72" s="6" t="s">
        <v>7509</v>
      </c>
      <c r="V72" s="6" t="s">
        <v>555</v>
      </c>
      <c r="W72" s="6" t="s">
        <v>648</v>
      </c>
    </row>
    <row r="73" spans="1:23" ht="33" customHeight="1">
      <c r="A73" s="6" t="s">
        <v>7577</v>
      </c>
      <c r="B73" s="6" t="s">
        <v>698</v>
      </c>
      <c r="C73" s="6" t="s">
        <v>99</v>
      </c>
      <c r="D73" s="6">
        <v>2</v>
      </c>
      <c r="E73" s="6" t="s">
        <v>5853</v>
      </c>
      <c r="F73" s="6" t="str">
        <f>IFERROR(INDEX('03_상품분류2526'!$C$7:$C$2532,MATCH(E73,'03_상품분류2526'!$A$7:$A$2532,0)),"코드 확인")</f>
        <v>신신파스 아렉스 롱</v>
      </c>
      <c r="G73" s="6" t="str">
        <f>IFERROR(INDEX('03_상품분류2526'!$D$7:$D$2532,MATCH(E73,'03_상품분류2526'!$A$7:$A$2532,0)),"코드 확인")</f>
        <v>6매</v>
      </c>
      <c r="H73" s="6" t="s">
        <v>7508</v>
      </c>
      <c r="I73" s="6" t="str">
        <f>IFERROR(INDEX('03_상품분류2526'!$M$7:$M$2532,MATCH(E73,'03_상품분류2526'!$A$7:$A$2532,0)),"코드 확인")</f>
        <v>B</v>
      </c>
      <c r="J73" s="6">
        <v>3</v>
      </c>
      <c r="K73" s="15">
        <v>1</v>
      </c>
      <c r="L73" s="6" t="str">
        <f>IFERROR(IF(INDEX('03_상품분류2526'!$V$7:$V$2532,MATCH(E73,'03_상품분류2526'!$A$7:$A$2532,0))="","",INDEX('03_상품분류2526'!$V$7:$V$2532,MATCH(E73,'03_상품분류2526'!$A$7:$A$2532,0))),"")</f>
        <v/>
      </c>
      <c r="M73" s="6" t="str">
        <f>IFERROR(IF(INDEX('03_상품분류2526'!$W$7:$W$2532,MATCH(E73,'03_상품분류2526'!$A$7:$A$2532,0))="","",INDEX('03_상품분류2526'!$W$7:$W$2532,MATCH(E73,'03_상품분류2526'!$A$7:$A$2532,0))),"")</f>
        <v/>
      </c>
      <c r="N73" s="6" t="str">
        <f>IFERROR(IF(INDEX('03_상품분류2526'!$X$7:$X$2532,MATCH(E73,'03_상품분류2526'!$A$7:$A$2532,0))="","",INDEX('03_상품분류2526'!$X$7:$X$2532,MATCH(E73,'03_상품분류2526'!$A$7:$A$2532,0))),"")</f>
        <v/>
      </c>
      <c r="O73" s="6">
        <f>'02_선반315'!R43</f>
        <v>865</v>
      </c>
      <c r="P73" s="6">
        <f>'02_선반315'!T43</f>
        <v>220</v>
      </c>
      <c r="Q73" s="6">
        <f>'02_선반315'!U43</f>
        <v>200</v>
      </c>
      <c r="R73" s="6">
        <f>'02_선반315'!S43</f>
        <v>270</v>
      </c>
      <c r="S73" s="6" t="str">
        <f t="shared" si="2"/>
        <v/>
      </c>
      <c r="T73" s="6" t="str">
        <f t="shared" si="3"/>
        <v>입력 대기</v>
      </c>
      <c r="U73" s="6" t="s">
        <v>7509</v>
      </c>
      <c r="V73" s="6" t="s">
        <v>555</v>
      </c>
      <c r="W73" s="6" t="s">
        <v>648</v>
      </c>
    </row>
    <row r="74" spans="1:23" ht="33" customHeight="1">
      <c r="A74" s="6" t="s">
        <v>7578</v>
      </c>
      <c r="B74" s="6" t="s">
        <v>703</v>
      </c>
      <c r="C74" s="6" t="s">
        <v>99</v>
      </c>
      <c r="D74" s="6">
        <v>3</v>
      </c>
      <c r="E74" s="6" t="s">
        <v>5892</v>
      </c>
      <c r="F74" s="6" t="str">
        <f>IFERROR(INDEX('03_상품분류2526'!$C$7:$C$2532,MATCH(E74,'03_상품분류2526'!$A$7:$A$2532,0)),"코드 확인")</f>
        <v>로이히츠보코 코인플라스타</v>
      </c>
      <c r="G74" s="6" t="str">
        <f>IFERROR(INDEX('03_상품분류2526'!$D$7:$D$2532,MATCH(E74,'03_상품분류2526'!$A$7:$A$2532,0)),"코드 확인")</f>
        <v>156매</v>
      </c>
      <c r="H74" s="6" t="s">
        <v>7508</v>
      </c>
      <c r="I74" s="6" t="str">
        <f>IFERROR(INDEX('03_상품분류2526'!$M$7:$M$2532,MATCH(E74,'03_상품분류2526'!$A$7:$A$2532,0)),"코드 확인")</f>
        <v>A</v>
      </c>
      <c r="J74" s="6">
        <v>1</v>
      </c>
      <c r="K74" s="15">
        <v>1</v>
      </c>
      <c r="L74" s="6" t="str">
        <f>IFERROR(IF(INDEX('03_상품분류2526'!$V$7:$V$2532,MATCH(E74,'03_상품분류2526'!$A$7:$A$2532,0))="","",INDEX('03_상품분류2526'!$V$7:$V$2532,MATCH(E74,'03_상품분류2526'!$A$7:$A$2532,0))),"")</f>
        <v/>
      </c>
      <c r="M74" s="6" t="str">
        <f>IFERROR(IF(INDEX('03_상품분류2526'!$W$7:$W$2532,MATCH(E74,'03_상품분류2526'!$A$7:$A$2532,0))="","",INDEX('03_상품분류2526'!$W$7:$W$2532,MATCH(E74,'03_상품분류2526'!$A$7:$A$2532,0))),"")</f>
        <v/>
      </c>
      <c r="N74" s="6" t="str">
        <f>IFERROR(IF(INDEX('03_상품분류2526'!$X$7:$X$2532,MATCH(E74,'03_상품분류2526'!$A$7:$A$2532,0))="","",INDEX('03_상품분류2526'!$X$7:$X$2532,MATCH(E74,'03_상품분류2526'!$A$7:$A$2532,0))),"")</f>
        <v/>
      </c>
      <c r="O74" s="6">
        <f>'02_선반315'!R44</f>
        <v>865</v>
      </c>
      <c r="P74" s="6">
        <f>'02_선반315'!T44</f>
        <v>220</v>
      </c>
      <c r="Q74" s="6">
        <f>'02_선반315'!U44</f>
        <v>200</v>
      </c>
      <c r="R74" s="6">
        <f>'02_선반315'!S44</f>
        <v>270</v>
      </c>
      <c r="S74" s="6" t="str">
        <f t="shared" si="2"/>
        <v/>
      </c>
      <c r="T74" s="6" t="str">
        <f t="shared" si="3"/>
        <v>입력 대기</v>
      </c>
      <c r="U74" s="6" t="s">
        <v>7509</v>
      </c>
      <c r="V74" s="6" t="s">
        <v>555</v>
      </c>
      <c r="W74" s="6" t="s">
        <v>648</v>
      </c>
    </row>
    <row r="75" spans="1:23" ht="33" customHeight="1">
      <c r="A75" s="6" t="s">
        <v>7579</v>
      </c>
      <c r="B75" s="6" t="s">
        <v>703</v>
      </c>
      <c r="C75" s="6" t="s">
        <v>99</v>
      </c>
      <c r="D75" s="6">
        <v>3</v>
      </c>
      <c r="E75" s="6" t="s">
        <v>5820</v>
      </c>
      <c r="F75" s="6" t="str">
        <f>IFERROR(INDEX('03_상품분류2526'!$C$7:$C$2532,MATCH(E75,'03_상품분류2526'!$A$7:$A$2532,0)),"코드 확인")</f>
        <v>디펜쿨플라스타</v>
      </c>
      <c r="G75" s="6" t="str">
        <f>IFERROR(INDEX('03_상품분류2526'!$D$7:$D$2532,MATCH(E75,'03_상품분류2526'!$A$7:$A$2532,0)),"코드 확인")</f>
        <v>10매*4EA</v>
      </c>
      <c r="H75" s="6" t="s">
        <v>7508</v>
      </c>
      <c r="I75" s="6" t="str">
        <f>IFERROR(INDEX('03_상품분류2526'!$M$7:$M$2532,MATCH(E75,'03_상품분류2526'!$A$7:$A$2532,0)),"코드 확인")</f>
        <v>B</v>
      </c>
      <c r="J75" s="6">
        <v>2</v>
      </c>
      <c r="K75" s="15">
        <v>1</v>
      </c>
      <c r="L75" s="6" t="str">
        <f>IFERROR(IF(INDEX('03_상품분류2526'!$V$7:$V$2532,MATCH(E75,'03_상품분류2526'!$A$7:$A$2532,0))="","",INDEX('03_상품분류2526'!$V$7:$V$2532,MATCH(E75,'03_상품분류2526'!$A$7:$A$2532,0))),"")</f>
        <v/>
      </c>
      <c r="M75" s="6" t="str">
        <f>IFERROR(IF(INDEX('03_상품분류2526'!$W$7:$W$2532,MATCH(E75,'03_상품분류2526'!$A$7:$A$2532,0))="","",INDEX('03_상품분류2526'!$W$7:$W$2532,MATCH(E75,'03_상품분류2526'!$A$7:$A$2532,0))),"")</f>
        <v/>
      </c>
      <c r="N75" s="6" t="str">
        <f>IFERROR(IF(INDEX('03_상품분류2526'!$X$7:$X$2532,MATCH(E75,'03_상품분류2526'!$A$7:$A$2532,0))="","",INDEX('03_상품분류2526'!$X$7:$X$2532,MATCH(E75,'03_상품분류2526'!$A$7:$A$2532,0))),"")</f>
        <v/>
      </c>
      <c r="O75" s="6">
        <f>'02_선반315'!R44</f>
        <v>865</v>
      </c>
      <c r="P75" s="6">
        <f>'02_선반315'!T44</f>
        <v>220</v>
      </c>
      <c r="Q75" s="6">
        <f>'02_선반315'!U44</f>
        <v>200</v>
      </c>
      <c r="R75" s="6">
        <f>'02_선반315'!S44</f>
        <v>270</v>
      </c>
      <c r="S75" s="6" t="str">
        <f t="shared" si="2"/>
        <v/>
      </c>
      <c r="T75" s="6" t="str">
        <f t="shared" si="3"/>
        <v>입력 대기</v>
      </c>
      <c r="U75" s="6" t="s">
        <v>7509</v>
      </c>
      <c r="V75" s="6" t="s">
        <v>555</v>
      </c>
      <c r="W75" s="6" t="s">
        <v>648</v>
      </c>
    </row>
    <row r="76" spans="1:23" ht="33" customHeight="1">
      <c r="A76" s="6" t="s">
        <v>7580</v>
      </c>
      <c r="B76" s="6" t="s">
        <v>707</v>
      </c>
      <c r="C76" s="6" t="s">
        <v>99</v>
      </c>
      <c r="D76" s="6">
        <v>4</v>
      </c>
      <c r="E76" s="6" t="s">
        <v>6969</v>
      </c>
      <c r="F76" s="6" t="str">
        <f>IFERROR(INDEX('03_상품분류2526'!$C$7:$C$2532,MATCH(E76,'03_상품분류2526'!$A$7:$A$2532,0)),"코드 확인")</f>
        <v>안티푸라민연고</v>
      </c>
      <c r="G76" s="6" t="str">
        <f>IFERROR(INDEX('03_상품분류2526'!$D$7:$D$2532,MATCH(E76,'03_상품분류2526'!$A$7:$A$2532,0)),"코드 확인")</f>
        <v>30g</v>
      </c>
      <c r="H76" s="6" t="s">
        <v>7508</v>
      </c>
      <c r="I76" s="6" t="str">
        <f>IFERROR(INDEX('03_상품분류2526'!$M$7:$M$2532,MATCH(E76,'03_상품분류2526'!$A$7:$A$2532,0)),"코드 확인")</f>
        <v>A</v>
      </c>
      <c r="J76" s="6">
        <v>1</v>
      </c>
      <c r="K76" s="15">
        <v>1</v>
      </c>
      <c r="L76" s="6" t="str">
        <f>IFERROR(IF(INDEX('03_상품분류2526'!$V$7:$V$2532,MATCH(E76,'03_상품분류2526'!$A$7:$A$2532,0))="","",INDEX('03_상품분류2526'!$V$7:$V$2532,MATCH(E76,'03_상품분류2526'!$A$7:$A$2532,0))),"")</f>
        <v/>
      </c>
      <c r="M76" s="6" t="str">
        <f>IFERROR(IF(INDEX('03_상품분류2526'!$W$7:$W$2532,MATCH(E76,'03_상품분류2526'!$A$7:$A$2532,0))="","",INDEX('03_상품분류2526'!$W$7:$W$2532,MATCH(E76,'03_상품분류2526'!$A$7:$A$2532,0))),"")</f>
        <v/>
      </c>
      <c r="N76" s="6" t="str">
        <f>IFERROR(IF(INDEX('03_상품분류2526'!$X$7:$X$2532,MATCH(E76,'03_상품분류2526'!$A$7:$A$2532,0))="","",INDEX('03_상품분류2526'!$X$7:$X$2532,MATCH(E76,'03_상품분류2526'!$A$7:$A$2532,0))),"")</f>
        <v/>
      </c>
      <c r="O76" s="6">
        <f>'02_선반315'!R45</f>
        <v>865</v>
      </c>
      <c r="P76" s="6">
        <f>'02_선반315'!T45</f>
        <v>220</v>
      </c>
      <c r="Q76" s="6">
        <f>'02_선반315'!U45</f>
        <v>200</v>
      </c>
      <c r="R76" s="6">
        <f>'02_선반315'!S45</f>
        <v>270</v>
      </c>
      <c r="S76" s="6" t="str">
        <f t="shared" si="2"/>
        <v/>
      </c>
      <c r="T76" s="6" t="str">
        <f t="shared" si="3"/>
        <v>입력 대기</v>
      </c>
      <c r="U76" s="6" t="s">
        <v>7509</v>
      </c>
      <c r="V76" s="6" t="s">
        <v>555</v>
      </c>
      <c r="W76" s="6" t="s">
        <v>648</v>
      </c>
    </row>
    <row r="77" spans="1:23" ht="33" customHeight="1">
      <c r="A77" s="6" t="s">
        <v>7581</v>
      </c>
      <c r="B77" s="6" t="s">
        <v>707</v>
      </c>
      <c r="C77" s="6" t="s">
        <v>99</v>
      </c>
      <c r="D77" s="6">
        <v>4</v>
      </c>
      <c r="E77" s="6" t="s">
        <v>5882</v>
      </c>
      <c r="F77" s="6" t="str">
        <f>IFERROR(INDEX('03_상품분류2526'!$C$7:$C$2532,MATCH(E77,'03_상품분류2526'!$A$7:$A$2532,0)),"코드 확인")</f>
        <v>안티푸라민로션에스</v>
      </c>
      <c r="G77" s="6" t="str">
        <f>IFERROR(INDEX('03_상품분류2526'!$D$7:$D$2532,MATCH(E77,'03_상품분류2526'!$A$7:$A$2532,0)),"코드 확인")</f>
        <v>100ml</v>
      </c>
      <c r="H77" s="6" t="s">
        <v>7508</v>
      </c>
      <c r="I77" s="6" t="str">
        <f>IFERROR(INDEX('03_상품분류2526'!$M$7:$M$2532,MATCH(E77,'03_상품분류2526'!$A$7:$A$2532,0)),"코드 확인")</f>
        <v>B</v>
      </c>
      <c r="J77" s="6">
        <v>2</v>
      </c>
      <c r="K77" s="15">
        <v>1</v>
      </c>
      <c r="L77" s="6" t="str">
        <f>IFERROR(IF(INDEX('03_상품분류2526'!$V$7:$V$2532,MATCH(E77,'03_상품분류2526'!$A$7:$A$2532,0))="","",INDEX('03_상품분류2526'!$V$7:$V$2532,MATCH(E77,'03_상품분류2526'!$A$7:$A$2532,0))),"")</f>
        <v/>
      </c>
      <c r="M77" s="6" t="str">
        <f>IFERROR(IF(INDEX('03_상품분류2526'!$W$7:$W$2532,MATCH(E77,'03_상품분류2526'!$A$7:$A$2532,0))="","",INDEX('03_상품분류2526'!$W$7:$W$2532,MATCH(E77,'03_상품분류2526'!$A$7:$A$2532,0))),"")</f>
        <v/>
      </c>
      <c r="N77" s="6" t="str">
        <f>IFERROR(IF(INDEX('03_상품분류2526'!$X$7:$X$2532,MATCH(E77,'03_상품분류2526'!$A$7:$A$2532,0))="","",INDEX('03_상품분류2526'!$X$7:$X$2532,MATCH(E77,'03_상품분류2526'!$A$7:$A$2532,0))),"")</f>
        <v/>
      </c>
      <c r="O77" s="6">
        <f>'02_선반315'!R45</f>
        <v>865</v>
      </c>
      <c r="P77" s="6">
        <f>'02_선반315'!T45</f>
        <v>220</v>
      </c>
      <c r="Q77" s="6">
        <f>'02_선반315'!U45</f>
        <v>200</v>
      </c>
      <c r="R77" s="6">
        <f>'02_선반315'!S45</f>
        <v>270</v>
      </c>
      <c r="S77" s="6" t="str">
        <f t="shared" si="2"/>
        <v/>
      </c>
      <c r="T77" s="6" t="str">
        <f t="shared" si="3"/>
        <v>입력 대기</v>
      </c>
      <c r="U77" s="6" t="s">
        <v>7509</v>
      </c>
      <c r="V77" s="6" t="s">
        <v>555</v>
      </c>
      <c r="W77" s="6" t="s">
        <v>648</v>
      </c>
    </row>
    <row r="78" spans="1:23" ht="33" customHeight="1">
      <c r="A78" s="6" t="s">
        <v>7582</v>
      </c>
      <c r="B78" s="6" t="s">
        <v>707</v>
      </c>
      <c r="C78" s="6" t="s">
        <v>99</v>
      </c>
      <c r="D78" s="6">
        <v>4</v>
      </c>
      <c r="E78" s="6" t="s">
        <v>5878</v>
      </c>
      <c r="F78" s="6" t="str">
        <f>IFERROR(INDEX('03_상품분류2526'!$C$7:$C$2532,MATCH(E78,'03_상품분류2526'!$A$7:$A$2532,0)),"코드 확인")</f>
        <v>제놀록소파워겔</v>
      </c>
      <c r="G78" s="6" t="str">
        <f>IFERROR(INDEX('03_상품분류2526'!$D$7:$D$2532,MATCH(E78,'03_상품분류2526'!$A$7:$A$2532,0)),"코드 확인")</f>
        <v>60g</v>
      </c>
      <c r="H78" s="6" t="s">
        <v>7508</v>
      </c>
      <c r="I78" s="6" t="str">
        <f>IFERROR(INDEX('03_상품분류2526'!$M$7:$M$2532,MATCH(E78,'03_상품분류2526'!$A$7:$A$2532,0)),"코드 확인")</f>
        <v>B</v>
      </c>
      <c r="J78" s="6">
        <v>3</v>
      </c>
      <c r="K78" s="15">
        <v>1</v>
      </c>
      <c r="L78" s="6" t="str">
        <f>IFERROR(IF(INDEX('03_상품분류2526'!$V$7:$V$2532,MATCH(E78,'03_상품분류2526'!$A$7:$A$2532,0))="","",INDEX('03_상품분류2526'!$V$7:$V$2532,MATCH(E78,'03_상품분류2526'!$A$7:$A$2532,0))),"")</f>
        <v/>
      </c>
      <c r="M78" s="6" t="str">
        <f>IFERROR(IF(INDEX('03_상품분류2526'!$W$7:$W$2532,MATCH(E78,'03_상품분류2526'!$A$7:$A$2532,0))="","",INDEX('03_상품분류2526'!$W$7:$W$2532,MATCH(E78,'03_상품분류2526'!$A$7:$A$2532,0))),"")</f>
        <v/>
      </c>
      <c r="N78" s="6" t="str">
        <f>IFERROR(IF(INDEX('03_상품분류2526'!$X$7:$X$2532,MATCH(E78,'03_상품분류2526'!$A$7:$A$2532,0))="","",INDEX('03_상품분류2526'!$X$7:$X$2532,MATCH(E78,'03_상품분류2526'!$A$7:$A$2532,0))),"")</f>
        <v/>
      </c>
      <c r="O78" s="6">
        <f>'02_선반315'!R45</f>
        <v>865</v>
      </c>
      <c r="P78" s="6">
        <f>'02_선반315'!T45</f>
        <v>220</v>
      </c>
      <c r="Q78" s="6">
        <f>'02_선반315'!U45</f>
        <v>200</v>
      </c>
      <c r="R78" s="6">
        <f>'02_선반315'!S45</f>
        <v>270</v>
      </c>
      <c r="S78" s="6" t="str">
        <f t="shared" si="2"/>
        <v/>
      </c>
      <c r="T78" s="6" t="str">
        <f t="shared" si="3"/>
        <v>입력 대기</v>
      </c>
      <c r="U78" s="6" t="s">
        <v>7509</v>
      </c>
      <c r="V78" s="6" t="s">
        <v>555</v>
      </c>
      <c r="W78" s="6" t="s">
        <v>648</v>
      </c>
    </row>
    <row r="79" spans="1:23" ht="33" customHeight="1">
      <c r="A79" s="6" t="s">
        <v>7583</v>
      </c>
      <c r="B79" s="6" t="s">
        <v>711</v>
      </c>
      <c r="C79" s="6" t="s">
        <v>99</v>
      </c>
      <c r="D79" s="6">
        <v>5</v>
      </c>
      <c r="E79" s="6" t="s">
        <v>5869</v>
      </c>
      <c r="F79" s="6" t="str">
        <f>IFERROR(INDEX('03_상품분류2526'!$C$7:$C$2532,MATCH(E79,'03_상품분류2526'!$A$7:$A$2532,0)),"코드 확인")</f>
        <v>신신에어파스에프</v>
      </c>
      <c r="G79" s="6" t="str">
        <f>IFERROR(INDEX('03_상품분류2526'!$D$7:$D$2532,MATCH(E79,'03_상품분류2526'!$A$7:$A$2532,0)),"코드 확인")</f>
        <v>300ml</v>
      </c>
      <c r="H79" s="6" t="s">
        <v>7508</v>
      </c>
      <c r="I79" s="6" t="str">
        <f>IFERROR(INDEX('03_상품분류2526'!$M$7:$M$2532,MATCH(E79,'03_상품분류2526'!$A$7:$A$2532,0)),"코드 확인")</f>
        <v>B</v>
      </c>
      <c r="J79" s="6">
        <v>1</v>
      </c>
      <c r="K79" s="15">
        <v>1</v>
      </c>
      <c r="L79" s="6" t="str">
        <f>IFERROR(IF(INDEX('03_상품분류2526'!$V$7:$V$2532,MATCH(E79,'03_상품분류2526'!$A$7:$A$2532,0))="","",INDEX('03_상품분류2526'!$V$7:$V$2532,MATCH(E79,'03_상품분류2526'!$A$7:$A$2532,0))),"")</f>
        <v/>
      </c>
      <c r="M79" s="6" t="str">
        <f>IFERROR(IF(INDEX('03_상품분류2526'!$W$7:$W$2532,MATCH(E79,'03_상품분류2526'!$A$7:$A$2532,0))="","",INDEX('03_상품분류2526'!$W$7:$W$2532,MATCH(E79,'03_상품분류2526'!$A$7:$A$2532,0))),"")</f>
        <v/>
      </c>
      <c r="N79" s="6" t="str">
        <f>IFERROR(IF(INDEX('03_상품분류2526'!$X$7:$X$2532,MATCH(E79,'03_상품분류2526'!$A$7:$A$2532,0))="","",INDEX('03_상품분류2526'!$X$7:$X$2532,MATCH(E79,'03_상품분류2526'!$A$7:$A$2532,0))),"")</f>
        <v/>
      </c>
      <c r="O79" s="6">
        <f>'02_선반315'!R46</f>
        <v>865</v>
      </c>
      <c r="P79" s="6">
        <f>'02_선반315'!T46</f>
        <v>220</v>
      </c>
      <c r="Q79" s="6">
        <f>'02_선반315'!U46</f>
        <v>200</v>
      </c>
      <c r="R79" s="6">
        <f>'02_선반315'!S46</f>
        <v>270</v>
      </c>
      <c r="S79" s="6" t="str">
        <f t="shared" si="2"/>
        <v/>
      </c>
      <c r="T79" s="6" t="str">
        <f t="shared" si="3"/>
        <v>입력 대기</v>
      </c>
      <c r="U79" s="6" t="s">
        <v>7509</v>
      </c>
      <c r="V79" s="6" t="s">
        <v>555</v>
      </c>
      <c r="W79" s="6" t="s">
        <v>648</v>
      </c>
    </row>
    <row r="80" spans="1:23" ht="33" customHeight="1">
      <c r="A80" s="6" t="s">
        <v>7584</v>
      </c>
      <c r="B80" s="6" t="s">
        <v>711</v>
      </c>
      <c r="C80" s="6" t="s">
        <v>99</v>
      </c>
      <c r="D80" s="6">
        <v>5</v>
      </c>
      <c r="E80" s="6" t="s">
        <v>6965</v>
      </c>
      <c r="F80" s="6" t="str">
        <f>IFERROR(INDEX('03_상품분류2526'!$C$7:$C$2532,MATCH(E80,'03_상품분류2526'!$A$7:$A$2532,0)),"코드 확인")</f>
        <v>안티푸라민쿨에어파스</v>
      </c>
      <c r="G80" s="6" t="str">
        <f>IFERROR(INDEX('03_상품분류2526'!$D$7:$D$2532,MATCH(E80,'03_상품분류2526'!$A$7:$A$2532,0)),"코드 확인")</f>
        <v>220ml</v>
      </c>
      <c r="H80" s="6" t="s">
        <v>7508</v>
      </c>
      <c r="I80" s="6" t="str">
        <f>IFERROR(INDEX('03_상품분류2526'!$M$7:$M$2532,MATCH(E80,'03_상품분류2526'!$A$7:$A$2532,0)),"코드 확인")</f>
        <v>B</v>
      </c>
      <c r="J80" s="6">
        <v>2</v>
      </c>
      <c r="K80" s="15">
        <v>1</v>
      </c>
      <c r="L80" s="6" t="str">
        <f>IFERROR(IF(INDEX('03_상품분류2526'!$V$7:$V$2532,MATCH(E80,'03_상품분류2526'!$A$7:$A$2532,0))="","",INDEX('03_상품분류2526'!$V$7:$V$2532,MATCH(E80,'03_상품분류2526'!$A$7:$A$2532,0))),"")</f>
        <v/>
      </c>
      <c r="M80" s="6" t="str">
        <f>IFERROR(IF(INDEX('03_상품분류2526'!$W$7:$W$2532,MATCH(E80,'03_상품분류2526'!$A$7:$A$2532,0))="","",INDEX('03_상품분류2526'!$W$7:$W$2532,MATCH(E80,'03_상품분류2526'!$A$7:$A$2532,0))),"")</f>
        <v/>
      </c>
      <c r="N80" s="6" t="str">
        <f>IFERROR(IF(INDEX('03_상품분류2526'!$X$7:$X$2532,MATCH(E80,'03_상품분류2526'!$A$7:$A$2532,0))="","",INDEX('03_상품분류2526'!$X$7:$X$2532,MATCH(E80,'03_상품분류2526'!$A$7:$A$2532,0))),"")</f>
        <v/>
      </c>
      <c r="O80" s="6">
        <f>'02_선반315'!R46</f>
        <v>865</v>
      </c>
      <c r="P80" s="6">
        <f>'02_선반315'!T46</f>
        <v>220</v>
      </c>
      <c r="Q80" s="6">
        <f>'02_선반315'!U46</f>
        <v>200</v>
      </c>
      <c r="R80" s="6">
        <f>'02_선반315'!S46</f>
        <v>270</v>
      </c>
      <c r="S80" s="6" t="str">
        <f t="shared" si="2"/>
        <v/>
      </c>
      <c r="T80" s="6" t="str">
        <f t="shared" si="3"/>
        <v>입력 대기</v>
      </c>
      <c r="U80" s="6" t="s">
        <v>7509</v>
      </c>
      <c r="V80" s="6" t="s">
        <v>555</v>
      </c>
      <c r="W80" s="6" t="s">
        <v>648</v>
      </c>
    </row>
    <row r="81" spans="1:23" ht="33" customHeight="1">
      <c r="A81" s="6" t="s">
        <v>7585</v>
      </c>
      <c r="B81" s="6" t="s">
        <v>715</v>
      </c>
      <c r="C81" s="6" t="s">
        <v>107</v>
      </c>
      <c r="D81" s="6">
        <v>1</v>
      </c>
      <c r="E81" s="6" t="s">
        <v>5947</v>
      </c>
      <c r="F81" s="6" t="str">
        <f>IFERROR(INDEX('03_상품분류2526'!$C$7:$C$2532,MATCH(E81,'03_상품분류2526'!$A$7:$A$2532,0)),"코드 확인")</f>
        <v>페리톡겔 10g</v>
      </c>
      <c r="G81" s="6" t="str">
        <f>IFERROR(INDEX('03_상품분류2526'!$D$7:$D$2532,MATCH(E81,'03_상품분류2526'!$A$7:$A$2532,0)),"코드 확인")</f>
        <v>10g</v>
      </c>
      <c r="H81" s="6" t="s">
        <v>7508</v>
      </c>
      <c r="I81" s="6" t="str">
        <f>IFERROR(INDEX('03_상품분류2526'!$M$7:$M$2532,MATCH(E81,'03_상품분류2526'!$A$7:$A$2532,0)),"코드 확인")</f>
        <v>A</v>
      </c>
      <c r="J81" s="6">
        <v>1</v>
      </c>
      <c r="K81" s="15">
        <v>1</v>
      </c>
      <c r="L81" s="6" t="str">
        <f>IFERROR(IF(INDEX('03_상품분류2526'!$V$7:$V$2532,MATCH(E81,'03_상품분류2526'!$A$7:$A$2532,0))="","",INDEX('03_상품분류2526'!$V$7:$V$2532,MATCH(E81,'03_상품분류2526'!$A$7:$A$2532,0))),"")</f>
        <v/>
      </c>
      <c r="M81" s="6" t="str">
        <f>IFERROR(IF(INDEX('03_상품분류2526'!$W$7:$W$2532,MATCH(E81,'03_상품분류2526'!$A$7:$A$2532,0))="","",INDEX('03_상품분류2526'!$W$7:$W$2532,MATCH(E81,'03_상품분류2526'!$A$7:$A$2532,0))),"")</f>
        <v/>
      </c>
      <c r="N81" s="6" t="str">
        <f>IFERROR(IF(INDEX('03_상품분류2526'!$X$7:$X$2532,MATCH(E81,'03_상품분류2526'!$A$7:$A$2532,0))="","",INDEX('03_상품분류2526'!$X$7:$X$2532,MATCH(E81,'03_상품분류2526'!$A$7:$A$2532,0))),"")</f>
        <v/>
      </c>
      <c r="O81" s="6">
        <f>'02_선반315'!R47</f>
        <v>865</v>
      </c>
      <c r="P81" s="6">
        <f>'02_선반315'!T47</f>
        <v>100</v>
      </c>
      <c r="Q81" s="6">
        <f>'02_선반315'!U47</f>
        <v>80</v>
      </c>
      <c r="R81" s="6">
        <f>'02_선반315'!S47</f>
        <v>270</v>
      </c>
      <c r="S81" s="6" t="str">
        <f t="shared" si="2"/>
        <v/>
      </c>
      <c r="T81" s="6" t="str">
        <f t="shared" si="3"/>
        <v>입력 대기</v>
      </c>
      <c r="U81" s="6" t="s">
        <v>7543</v>
      </c>
      <c r="V81" s="6" t="s">
        <v>555</v>
      </c>
      <c r="W81" s="6" t="s">
        <v>648</v>
      </c>
    </row>
    <row r="82" spans="1:23" ht="33" customHeight="1">
      <c r="A82" s="6" t="s">
        <v>7586</v>
      </c>
      <c r="B82" s="6" t="s">
        <v>715</v>
      </c>
      <c r="C82" s="6" t="s">
        <v>107</v>
      </c>
      <c r="D82" s="6">
        <v>1</v>
      </c>
      <c r="E82" s="6" t="s">
        <v>5970</v>
      </c>
      <c r="F82" s="6" t="str">
        <f>IFERROR(INDEX('03_상품분류2526'!$C$7:$C$2532,MATCH(E82,'03_상품분류2526'!$A$7:$A$2532,0)),"코드 확인")</f>
        <v>페리덱스연고</v>
      </c>
      <c r="G82" s="6" t="str">
        <f>IFERROR(INDEX('03_상품분류2526'!$D$7:$D$2532,MATCH(E82,'03_상품분류2526'!$A$7:$A$2532,0)),"코드 확인")</f>
        <v>6g</v>
      </c>
      <c r="H82" s="6" t="s">
        <v>7508</v>
      </c>
      <c r="I82" s="6" t="str">
        <f>IFERROR(INDEX('03_상품분류2526'!$M$7:$M$2532,MATCH(E82,'03_상품분류2526'!$A$7:$A$2532,0)),"코드 확인")</f>
        <v>B</v>
      </c>
      <c r="J82" s="6">
        <v>2</v>
      </c>
      <c r="K82" s="15">
        <v>1</v>
      </c>
      <c r="L82" s="6" t="str">
        <f>IFERROR(IF(INDEX('03_상품분류2526'!$V$7:$V$2532,MATCH(E82,'03_상품분류2526'!$A$7:$A$2532,0))="","",INDEX('03_상품분류2526'!$V$7:$V$2532,MATCH(E82,'03_상품분류2526'!$A$7:$A$2532,0))),"")</f>
        <v/>
      </c>
      <c r="M82" s="6" t="str">
        <f>IFERROR(IF(INDEX('03_상품분류2526'!$W$7:$W$2532,MATCH(E82,'03_상품분류2526'!$A$7:$A$2532,0))="","",INDEX('03_상품분류2526'!$W$7:$W$2532,MATCH(E82,'03_상품분류2526'!$A$7:$A$2532,0))),"")</f>
        <v/>
      </c>
      <c r="N82" s="6" t="str">
        <f>IFERROR(IF(INDEX('03_상품분류2526'!$X$7:$X$2532,MATCH(E82,'03_상품분류2526'!$A$7:$A$2532,0))="","",INDEX('03_상품분류2526'!$X$7:$X$2532,MATCH(E82,'03_상품분류2526'!$A$7:$A$2532,0))),"")</f>
        <v/>
      </c>
      <c r="O82" s="6">
        <f>'02_선반315'!R47</f>
        <v>865</v>
      </c>
      <c r="P82" s="6">
        <f>'02_선반315'!T47</f>
        <v>100</v>
      </c>
      <c r="Q82" s="6">
        <f>'02_선반315'!U47</f>
        <v>80</v>
      </c>
      <c r="R82" s="6">
        <f>'02_선반315'!S47</f>
        <v>270</v>
      </c>
      <c r="S82" s="6" t="str">
        <f t="shared" si="2"/>
        <v/>
      </c>
      <c r="T82" s="6" t="str">
        <f t="shared" si="3"/>
        <v>입력 대기</v>
      </c>
      <c r="U82" s="6" t="s">
        <v>7543</v>
      </c>
      <c r="V82" s="6" t="s">
        <v>555</v>
      </c>
      <c r="W82" s="6" t="s">
        <v>648</v>
      </c>
    </row>
    <row r="83" spans="1:23" ht="33" customHeight="1">
      <c r="A83" s="6" t="s">
        <v>7587</v>
      </c>
      <c r="B83" s="6" t="s">
        <v>720</v>
      </c>
      <c r="C83" s="6" t="s">
        <v>107</v>
      </c>
      <c r="D83" s="6">
        <v>2</v>
      </c>
      <c r="E83" s="6" t="s">
        <v>6799</v>
      </c>
      <c r="F83" s="6" t="str">
        <f>IFERROR(INDEX('03_상품분류2526'!$C$7:$C$2532,MATCH(E83,'03_상품분류2526'!$A$7:$A$2532,0)),"코드 확인")</f>
        <v>오스템 옥치잇몸치약</v>
      </c>
      <c r="G83" s="6" t="str">
        <f>IFERROR(INDEX('03_상품분류2526'!$D$7:$D$2532,MATCH(E83,'03_상품분류2526'!$A$7:$A$2532,0)),"코드 확인")</f>
        <v>150g</v>
      </c>
      <c r="H83" s="6" t="s">
        <v>7508</v>
      </c>
      <c r="I83" s="6" t="str">
        <f>IFERROR(INDEX('03_상품분류2526'!$M$7:$M$2532,MATCH(E83,'03_상품분류2526'!$A$7:$A$2532,0)),"코드 확인")</f>
        <v>A</v>
      </c>
      <c r="J83" s="6">
        <v>1</v>
      </c>
      <c r="K83" s="15">
        <v>1</v>
      </c>
      <c r="L83" s="6" t="str">
        <f>IFERROR(IF(INDEX('03_상품분류2526'!$V$7:$V$2532,MATCH(E83,'03_상품분류2526'!$A$7:$A$2532,0))="","",INDEX('03_상품분류2526'!$V$7:$V$2532,MATCH(E83,'03_상품분류2526'!$A$7:$A$2532,0))),"")</f>
        <v/>
      </c>
      <c r="M83" s="6" t="str">
        <f>IFERROR(IF(INDEX('03_상품분류2526'!$W$7:$W$2532,MATCH(E83,'03_상품분류2526'!$A$7:$A$2532,0))="","",INDEX('03_상품분류2526'!$W$7:$W$2532,MATCH(E83,'03_상품분류2526'!$A$7:$A$2532,0))),"")</f>
        <v/>
      </c>
      <c r="N83" s="6" t="str">
        <f>IFERROR(IF(INDEX('03_상품분류2526'!$X$7:$X$2532,MATCH(E83,'03_상품분류2526'!$A$7:$A$2532,0))="","",INDEX('03_상품분류2526'!$X$7:$X$2532,MATCH(E83,'03_상품분류2526'!$A$7:$A$2532,0))),"")</f>
        <v/>
      </c>
      <c r="O83" s="6">
        <f>'02_선반315'!R48</f>
        <v>865</v>
      </c>
      <c r="P83" s="6">
        <f>'02_선반315'!T48</f>
        <v>220</v>
      </c>
      <c r="Q83" s="6">
        <f>'02_선반315'!U48</f>
        <v>200</v>
      </c>
      <c r="R83" s="6">
        <f>'02_선반315'!S48</f>
        <v>270</v>
      </c>
      <c r="S83" s="6" t="str">
        <f t="shared" si="2"/>
        <v/>
      </c>
      <c r="T83" s="6" t="str">
        <f t="shared" si="3"/>
        <v>입력 대기</v>
      </c>
      <c r="U83" s="6" t="s">
        <v>7509</v>
      </c>
      <c r="V83" s="6" t="s">
        <v>555</v>
      </c>
      <c r="W83" s="6" t="s">
        <v>648</v>
      </c>
    </row>
    <row r="84" spans="1:23" ht="33" customHeight="1">
      <c r="A84" s="6" t="s">
        <v>7588</v>
      </c>
      <c r="B84" s="6" t="s">
        <v>720</v>
      </c>
      <c r="C84" s="6" t="s">
        <v>107</v>
      </c>
      <c r="D84" s="6">
        <v>2</v>
      </c>
      <c r="E84" s="6" t="s">
        <v>6801</v>
      </c>
      <c r="F84" s="6" t="str">
        <f>IFERROR(INDEX('03_상품분류2526'!$C$7:$C$2532,MATCH(E84,'03_상품분류2526'!$A$7:$A$2532,0)),"코드 확인")</f>
        <v>옥치불소1450치약</v>
      </c>
      <c r="G84" s="6" t="str">
        <f>IFERROR(INDEX('03_상품분류2526'!$D$7:$D$2532,MATCH(E84,'03_상품분류2526'!$A$7:$A$2532,0)),"코드 확인")</f>
        <v>150g</v>
      </c>
      <c r="H84" s="6" t="s">
        <v>7508</v>
      </c>
      <c r="I84" s="6" t="str">
        <f>IFERROR(INDEX('03_상품분류2526'!$M$7:$M$2532,MATCH(E84,'03_상품분류2526'!$A$7:$A$2532,0)),"코드 확인")</f>
        <v>B</v>
      </c>
      <c r="J84" s="6">
        <v>2</v>
      </c>
      <c r="K84" s="15">
        <v>1</v>
      </c>
      <c r="L84" s="6" t="str">
        <f>IFERROR(IF(INDEX('03_상품분류2526'!$V$7:$V$2532,MATCH(E84,'03_상품분류2526'!$A$7:$A$2532,0))="","",INDEX('03_상품분류2526'!$V$7:$V$2532,MATCH(E84,'03_상품분류2526'!$A$7:$A$2532,0))),"")</f>
        <v/>
      </c>
      <c r="M84" s="6" t="str">
        <f>IFERROR(IF(INDEX('03_상품분류2526'!$W$7:$W$2532,MATCH(E84,'03_상품분류2526'!$A$7:$A$2532,0))="","",INDEX('03_상품분류2526'!$W$7:$W$2532,MATCH(E84,'03_상품분류2526'!$A$7:$A$2532,0))),"")</f>
        <v/>
      </c>
      <c r="N84" s="6" t="str">
        <f>IFERROR(IF(INDEX('03_상품분류2526'!$X$7:$X$2532,MATCH(E84,'03_상품분류2526'!$A$7:$A$2532,0))="","",INDEX('03_상품분류2526'!$X$7:$X$2532,MATCH(E84,'03_상품분류2526'!$A$7:$A$2532,0))),"")</f>
        <v/>
      </c>
      <c r="O84" s="6">
        <f>'02_선반315'!R48</f>
        <v>865</v>
      </c>
      <c r="P84" s="6">
        <f>'02_선반315'!T48</f>
        <v>220</v>
      </c>
      <c r="Q84" s="6">
        <f>'02_선반315'!U48</f>
        <v>200</v>
      </c>
      <c r="R84" s="6">
        <f>'02_선반315'!S48</f>
        <v>270</v>
      </c>
      <c r="S84" s="6" t="str">
        <f t="shared" si="2"/>
        <v/>
      </c>
      <c r="T84" s="6" t="str">
        <f t="shared" si="3"/>
        <v>입력 대기</v>
      </c>
      <c r="U84" s="6" t="s">
        <v>7509</v>
      </c>
      <c r="V84" s="6" t="s">
        <v>555</v>
      </c>
      <c r="W84" s="6" t="s">
        <v>648</v>
      </c>
    </row>
    <row r="85" spans="1:23" ht="33" customHeight="1">
      <c r="A85" s="6" t="s">
        <v>7589</v>
      </c>
      <c r="B85" s="6" t="s">
        <v>725</v>
      </c>
      <c r="C85" s="6" t="s">
        <v>107</v>
      </c>
      <c r="D85" s="6">
        <v>3</v>
      </c>
      <c r="E85" s="6" t="s">
        <v>6506</v>
      </c>
      <c r="F85" s="6" t="str">
        <f>IFERROR(INDEX('03_상품분류2526'!$C$7:$C$2532,MATCH(E85,'03_상품분류2526'!$A$7:$A$2532,0)),"코드 확인")</f>
        <v>폼글 거품가글 슈퍼민트(알란토인) 50ml</v>
      </c>
      <c r="G85" s="6" t="str">
        <f>IFERROR(INDEX('03_상품분류2526'!$D$7:$D$2532,MATCH(E85,'03_상품분류2526'!$A$7:$A$2532,0)),"코드 확인")</f>
        <v>50ML</v>
      </c>
      <c r="H85" s="6" t="s">
        <v>7508</v>
      </c>
      <c r="I85" s="6" t="str">
        <f>IFERROR(INDEX('03_상품분류2526'!$M$7:$M$2532,MATCH(E85,'03_상품분류2526'!$A$7:$A$2532,0)),"코드 확인")</f>
        <v>A</v>
      </c>
      <c r="J85" s="6">
        <v>1</v>
      </c>
      <c r="K85" s="15">
        <v>1</v>
      </c>
      <c r="L85" s="6" t="str">
        <f>IFERROR(IF(INDEX('03_상품분류2526'!$V$7:$V$2532,MATCH(E85,'03_상품분류2526'!$A$7:$A$2532,0))="","",INDEX('03_상품분류2526'!$V$7:$V$2532,MATCH(E85,'03_상품분류2526'!$A$7:$A$2532,0))),"")</f>
        <v/>
      </c>
      <c r="M85" s="6" t="str">
        <f>IFERROR(IF(INDEX('03_상품분류2526'!$W$7:$W$2532,MATCH(E85,'03_상품분류2526'!$A$7:$A$2532,0))="","",INDEX('03_상품분류2526'!$W$7:$W$2532,MATCH(E85,'03_상품분류2526'!$A$7:$A$2532,0))),"")</f>
        <v/>
      </c>
      <c r="N85" s="6" t="str">
        <f>IFERROR(IF(INDEX('03_상품분류2526'!$X$7:$X$2532,MATCH(E85,'03_상품분류2526'!$A$7:$A$2532,0))="","",INDEX('03_상품분류2526'!$X$7:$X$2532,MATCH(E85,'03_상품분류2526'!$A$7:$A$2532,0))),"")</f>
        <v/>
      </c>
      <c r="O85" s="6">
        <f>'02_선반315'!R49</f>
        <v>865</v>
      </c>
      <c r="P85" s="6">
        <f>'02_선반315'!T49</f>
        <v>220</v>
      </c>
      <c r="Q85" s="6">
        <f>'02_선반315'!U49</f>
        <v>200</v>
      </c>
      <c r="R85" s="6">
        <f>'02_선반315'!S49</f>
        <v>270</v>
      </c>
      <c r="S85" s="6" t="str">
        <f t="shared" si="2"/>
        <v/>
      </c>
      <c r="T85" s="6" t="str">
        <f t="shared" si="3"/>
        <v>입력 대기</v>
      </c>
      <c r="U85" s="6" t="s">
        <v>7509</v>
      </c>
      <c r="V85" s="6" t="s">
        <v>555</v>
      </c>
      <c r="W85" s="6" t="s">
        <v>648</v>
      </c>
    </row>
    <row r="86" spans="1:23" ht="33" customHeight="1">
      <c r="A86" s="6" t="s">
        <v>7590</v>
      </c>
      <c r="B86" s="6" t="s">
        <v>725</v>
      </c>
      <c r="C86" s="6" t="s">
        <v>107</v>
      </c>
      <c r="D86" s="6">
        <v>3</v>
      </c>
      <c r="E86" s="6" t="s">
        <v>6360</v>
      </c>
      <c r="F86" s="6" t="str">
        <f>IFERROR(INDEX('03_상품분류2526'!$C$7:$C$2532,MATCH(E86,'03_상품분류2526'!$A$7:$A$2532,0)),"코드 확인")</f>
        <v>블루브레스구강스프레이</v>
      </c>
      <c r="G86" s="6" t="str">
        <f>IFERROR(INDEX('03_상품분류2526'!$D$7:$D$2532,MATCH(E86,'03_상품분류2526'!$A$7:$A$2532,0)),"코드 확인")</f>
        <v>15ml</v>
      </c>
      <c r="H86" s="6" t="s">
        <v>7508</v>
      </c>
      <c r="I86" s="6" t="str">
        <f>IFERROR(INDEX('03_상품분류2526'!$M$7:$M$2532,MATCH(E86,'03_상품분류2526'!$A$7:$A$2532,0)),"코드 확인")</f>
        <v>B</v>
      </c>
      <c r="J86" s="6">
        <v>2</v>
      </c>
      <c r="K86" s="15">
        <v>1</v>
      </c>
      <c r="L86" s="6" t="str">
        <f>IFERROR(IF(INDEX('03_상품분류2526'!$V$7:$V$2532,MATCH(E86,'03_상품분류2526'!$A$7:$A$2532,0))="","",INDEX('03_상품분류2526'!$V$7:$V$2532,MATCH(E86,'03_상품분류2526'!$A$7:$A$2532,0))),"")</f>
        <v/>
      </c>
      <c r="M86" s="6" t="str">
        <f>IFERROR(IF(INDEX('03_상품분류2526'!$W$7:$W$2532,MATCH(E86,'03_상품분류2526'!$A$7:$A$2532,0))="","",INDEX('03_상품분류2526'!$W$7:$W$2532,MATCH(E86,'03_상품분류2526'!$A$7:$A$2532,0))),"")</f>
        <v/>
      </c>
      <c r="N86" s="6" t="str">
        <f>IFERROR(IF(INDEX('03_상품분류2526'!$X$7:$X$2532,MATCH(E86,'03_상품분류2526'!$A$7:$A$2532,0))="","",INDEX('03_상품분류2526'!$X$7:$X$2532,MATCH(E86,'03_상품분류2526'!$A$7:$A$2532,0))),"")</f>
        <v/>
      </c>
      <c r="O86" s="6">
        <f>'02_선반315'!R49</f>
        <v>865</v>
      </c>
      <c r="P86" s="6">
        <f>'02_선반315'!T49</f>
        <v>220</v>
      </c>
      <c r="Q86" s="6">
        <f>'02_선반315'!U49</f>
        <v>200</v>
      </c>
      <c r="R86" s="6">
        <f>'02_선반315'!S49</f>
        <v>270</v>
      </c>
      <c r="S86" s="6" t="str">
        <f t="shared" si="2"/>
        <v/>
      </c>
      <c r="T86" s="6" t="str">
        <f t="shared" si="3"/>
        <v>입력 대기</v>
      </c>
      <c r="U86" s="6" t="s">
        <v>7509</v>
      </c>
      <c r="V86" s="6" t="s">
        <v>555</v>
      </c>
      <c r="W86" s="6" t="s">
        <v>648</v>
      </c>
    </row>
    <row r="87" spans="1:23" ht="33" customHeight="1">
      <c r="A87" s="6" t="s">
        <v>7591</v>
      </c>
      <c r="B87" s="6" t="s">
        <v>730</v>
      </c>
      <c r="C87" s="6" t="s">
        <v>107</v>
      </c>
      <c r="D87" s="6">
        <v>4</v>
      </c>
      <c r="E87" s="6" t="s">
        <v>6441</v>
      </c>
      <c r="F87" s="6" t="str">
        <f>IFERROR(INDEX('03_상품분류2526'!$C$7:$C$2532,MATCH(E87,'03_상품분류2526'!$A$7:$A$2532,0)),"코드 확인")</f>
        <v>유이앤루이 핀포인트 칫솔</v>
      </c>
      <c r="G87" s="6" t="str">
        <f>IFERROR(INDEX('03_상품분류2526'!$D$7:$D$2532,MATCH(E87,'03_상품분류2526'!$A$7:$A$2532,0)),"코드 확인")</f>
        <v>1개</v>
      </c>
      <c r="H87" s="6" t="s">
        <v>7508</v>
      </c>
      <c r="I87" s="6" t="str">
        <f>IFERROR(INDEX('03_상품분류2526'!$M$7:$M$2532,MATCH(E87,'03_상품분류2526'!$A$7:$A$2532,0)),"코드 확인")</f>
        <v>A</v>
      </c>
      <c r="J87" s="6">
        <v>1</v>
      </c>
      <c r="K87" s="15">
        <v>1</v>
      </c>
      <c r="L87" s="6" t="str">
        <f>IFERROR(IF(INDEX('03_상품분류2526'!$V$7:$V$2532,MATCH(E87,'03_상품분류2526'!$A$7:$A$2532,0))="","",INDEX('03_상품분류2526'!$V$7:$V$2532,MATCH(E87,'03_상품분류2526'!$A$7:$A$2532,0))),"")</f>
        <v/>
      </c>
      <c r="M87" s="6" t="str">
        <f>IFERROR(IF(INDEX('03_상품분류2526'!$W$7:$W$2532,MATCH(E87,'03_상품분류2526'!$A$7:$A$2532,0))="","",INDEX('03_상품분류2526'!$W$7:$W$2532,MATCH(E87,'03_상품분류2526'!$A$7:$A$2532,0))),"")</f>
        <v/>
      </c>
      <c r="N87" s="6" t="str">
        <f>IFERROR(IF(INDEX('03_상품분류2526'!$X$7:$X$2532,MATCH(E87,'03_상품분류2526'!$A$7:$A$2532,0))="","",INDEX('03_상품분류2526'!$X$7:$X$2532,MATCH(E87,'03_상품분류2526'!$A$7:$A$2532,0))),"")</f>
        <v/>
      </c>
      <c r="O87" s="6">
        <f>'02_선반315'!R50</f>
        <v>865</v>
      </c>
      <c r="P87" s="6">
        <f>'02_선반315'!T50</f>
        <v>220</v>
      </c>
      <c r="Q87" s="6">
        <f>'02_선반315'!U50</f>
        <v>200</v>
      </c>
      <c r="R87" s="6">
        <f>'02_선반315'!S50</f>
        <v>270</v>
      </c>
      <c r="S87" s="6" t="str">
        <f t="shared" si="2"/>
        <v/>
      </c>
      <c r="T87" s="6" t="str">
        <f t="shared" si="3"/>
        <v>입력 대기</v>
      </c>
      <c r="U87" s="6" t="s">
        <v>7509</v>
      </c>
      <c r="V87" s="6" t="s">
        <v>555</v>
      </c>
      <c r="W87" s="6" t="s">
        <v>648</v>
      </c>
    </row>
    <row r="88" spans="1:23" ht="33" customHeight="1">
      <c r="A88" s="6" t="s">
        <v>7592</v>
      </c>
      <c r="B88" s="6" t="s">
        <v>730</v>
      </c>
      <c r="C88" s="6" t="s">
        <v>107</v>
      </c>
      <c r="D88" s="6">
        <v>4</v>
      </c>
      <c r="E88" s="6" t="s">
        <v>6420</v>
      </c>
      <c r="F88" s="6" t="str">
        <f>IFERROR(INDEX('03_상품분류2526'!$C$7:$C$2532,MATCH(E88,'03_상품분류2526'!$A$7:$A$2532,0)),"코드 확인")</f>
        <v>아케이바이 오토 디스펜서 치실</v>
      </c>
      <c r="G88" s="6" t="str">
        <f>IFERROR(INDEX('03_상품분류2526'!$D$7:$D$2532,MATCH(E88,'03_상품분류2526'!$A$7:$A$2532,0)),"코드 확인")</f>
        <v>1개입</v>
      </c>
      <c r="H88" s="6" t="s">
        <v>7508</v>
      </c>
      <c r="I88" s="6" t="str">
        <f>IFERROR(INDEX('03_상품분류2526'!$M$7:$M$2532,MATCH(E88,'03_상품분류2526'!$A$7:$A$2532,0)),"코드 확인")</f>
        <v>B</v>
      </c>
      <c r="J88" s="6">
        <v>2</v>
      </c>
      <c r="K88" s="15">
        <v>1</v>
      </c>
      <c r="L88" s="6" t="str">
        <f>IFERROR(IF(INDEX('03_상품분류2526'!$V$7:$V$2532,MATCH(E88,'03_상품분류2526'!$A$7:$A$2532,0))="","",INDEX('03_상품분류2526'!$V$7:$V$2532,MATCH(E88,'03_상품분류2526'!$A$7:$A$2532,0))),"")</f>
        <v/>
      </c>
      <c r="M88" s="6" t="str">
        <f>IFERROR(IF(INDEX('03_상품분류2526'!$W$7:$W$2532,MATCH(E88,'03_상품분류2526'!$A$7:$A$2532,0))="","",INDEX('03_상품분류2526'!$W$7:$W$2532,MATCH(E88,'03_상품분류2526'!$A$7:$A$2532,0))),"")</f>
        <v/>
      </c>
      <c r="N88" s="6" t="str">
        <f>IFERROR(IF(INDEX('03_상품분류2526'!$X$7:$X$2532,MATCH(E88,'03_상품분류2526'!$A$7:$A$2532,0))="","",INDEX('03_상품분류2526'!$X$7:$X$2532,MATCH(E88,'03_상품분류2526'!$A$7:$A$2532,0))),"")</f>
        <v/>
      </c>
      <c r="O88" s="6">
        <f>'02_선반315'!R50</f>
        <v>865</v>
      </c>
      <c r="P88" s="6">
        <f>'02_선반315'!T50</f>
        <v>220</v>
      </c>
      <c r="Q88" s="6">
        <f>'02_선반315'!U50</f>
        <v>200</v>
      </c>
      <c r="R88" s="6">
        <f>'02_선반315'!S50</f>
        <v>270</v>
      </c>
      <c r="S88" s="6" t="str">
        <f t="shared" si="2"/>
        <v/>
      </c>
      <c r="T88" s="6" t="str">
        <f t="shared" si="3"/>
        <v>입력 대기</v>
      </c>
      <c r="U88" s="6" t="s">
        <v>7509</v>
      </c>
      <c r="V88" s="6" t="s">
        <v>555</v>
      </c>
      <c r="W88" s="6" t="s">
        <v>648</v>
      </c>
    </row>
    <row r="89" spans="1:23" ht="33" customHeight="1">
      <c r="A89" s="6" t="s">
        <v>7593</v>
      </c>
      <c r="B89" s="6" t="s">
        <v>730</v>
      </c>
      <c r="C89" s="6" t="s">
        <v>107</v>
      </c>
      <c r="D89" s="6">
        <v>4</v>
      </c>
      <c r="E89" s="6" t="s">
        <v>6508</v>
      </c>
      <c r="F89" s="6" t="str">
        <f>IFERROR(INDEX('03_상품분류2526'!$C$7:$C$2532,MATCH(E89,'03_상품분류2526'!$A$7:$A$2532,0)),"코드 확인")</f>
        <v>폼글 양면 혀클리너 (블루) 1P</v>
      </c>
      <c r="G89" s="6" t="str">
        <f>IFERROR(INDEX('03_상품분류2526'!$D$7:$D$2532,MATCH(E89,'03_상품분류2526'!$A$7:$A$2532,0)),"코드 확인")</f>
        <v>13</v>
      </c>
      <c r="H89" s="6" t="s">
        <v>7508</v>
      </c>
      <c r="I89" s="6" t="str">
        <f>IFERROR(INDEX('03_상품분류2526'!$M$7:$M$2532,MATCH(E89,'03_상품분류2526'!$A$7:$A$2532,0)),"코드 확인")</f>
        <v>B</v>
      </c>
      <c r="J89" s="6">
        <v>3</v>
      </c>
      <c r="K89" s="15">
        <v>1</v>
      </c>
      <c r="L89" s="6" t="str">
        <f>IFERROR(IF(INDEX('03_상품분류2526'!$V$7:$V$2532,MATCH(E89,'03_상품분류2526'!$A$7:$A$2532,0))="","",INDEX('03_상품분류2526'!$V$7:$V$2532,MATCH(E89,'03_상품분류2526'!$A$7:$A$2532,0))),"")</f>
        <v/>
      </c>
      <c r="M89" s="6" t="str">
        <f>IFERROR(IF(INDEX('03_상품분류2526'!$W$7:$W$2532,MATCH(E89,'03_상품분류2526'!$A$7:$A$2532,0))="","",INDEX('03_상품분류2526'!$W$7:$W$2532,MATCH(E89,'03_상품분류2526'!$A$7:$A$2532,0))),"")</f>
        <v/>
      </c>
      <c r="N89" s="6" t="str">
        <f>IFERROR(IF(INDEX('03_상품분류2526'!$X$7:$X$2532,MATCH(E89,'03_상품분류2526'!$A$7:$A$2532,0))="","",INDEX('03_상품분류2526'!$X$7:$X$2532,MATCH(E89,'03_상품분류2526'!$A$7:$A$2532,0))),"")</f>
        <v/>
      </c>
      <c r="O89" s="6">
        <f>'02_선반315'!R50</f>
        <v>865</v>
      </c>
      <c r="P89" s="6">
        <f>'02_선반315'!T50</f>
        <v>220</v>
      </c>
      <c r="Q89" s="6">
        <f>'02_선반315'!U50</f>
        <v>200</v>
      </c>
      <c r="R89" s="6">
        <f>'02_선반315'!S50</f>
        <v>270</v>
      </c>
      <c r="S89" s="6" t="str">
        <f t="shared" si="2"/>
        <v/>
      </c>
      <c r="T89" s="6" t="str">
        <f t="shared" si="3"/>
        <v>입력 대기</v>
      </c>
      <c r="U89" s="6" t="s">
        <v>7509</v>
      </c>
      <c r="V89" s="6" t="s">
        <v>555</v>
      </c>
      <c r="W89" s="6" t="s">
        <v>648</v>
      </c>
    </row>
    <row r="90" spans="1:23" ht="33" customHeight="1">
      <c r="A90" s="6" t="s">
        <v>7594</v>
      </c>
      <c r="B90" s="6" t="s">
        <v>735</v>
      </c>
      <c r="C90" s="6" t="s">
        <v>107</v>
      </c>
      <c r="D90" s="6">
        <v>5</v>
      </c>
      <c r="E90" s="6" t="s">
        <v>6290</v>
      </c>
      <c r="F90" s="6" t="str">
        <f>IFERROR(INDEX('03_상품분류2526'!$C$7:$C$2532,MATCH(E90,'03_상품분류2526'!$A$7:$A$2532,0)),"코드 확인")</f>
        <v>테라브레스 프레시브레스 클린민트</v>
      </c>
      <c r="G90" s="6" t="str">
        <f>IFERROR(INDEX('03_상품분류2526'!$D$7:$D$2532,MATCH(E90,'03_상품분류2526'!$A$7:$A$2532,0)),"코드 확인")</f>
        <v>473mL</v>
      </c>
      <c r="H90" s="6" t="s">
        <v>7508</v>
      </c>
      <c r="I90" s="6" t="str">
        <f>IFERROR(INDEX('03_상품분류2526'!$M$7:$M$2532,MATCH(E90,'03_상품분류2526'!$A$7:$A$2532,0)),"코드 확인")</f>
        <v>B</v>
      </c>
      <c r="J90" s="6">
        <v>1</v>
      </c>
      <c r="K90" s="15">
        <v>1</v>
      </c>
      <c r="L90" s="6" t="str">
        <f>IFERROR(IF(INDEX('03_상품분류2526'!$V$7:$V$2532,MATCH(E90,'03_상품분류2526'!$A$7:$A$2532,0))="","",INDEX('03_상품분류2526'!$V$7:$V$2532,MATCH(E90,'03_상품분류2526'!$A$7:$A$2532,0))),"")</f>
        <v/>
      </c>
      <c r="M90" s="6" t="str">
        <f>IFERROR(IF(INDEX('03_상품분류2526'!$W$7:$W$2532,MATCH(E90,'03_상품분류2526'!$A$7:$A$2532,0))="","",INDEX('03_상품분류2526'!$W$7:$W$2532,MATCH(E90,'03_상품분류2526'!$A$7:$A$2532,0))),"")</f>
        <v/>
      </c>
      <c r="N90" s="6" t="str">
        <f>IFERROR(IF(INDEX('03_상품분류2526'!$X$7:$X$2532,MATCH(E90,'03_상품분류2526'!$A$7:$A$2532,0))="","",INDEX('03_상품분류2526'!$X$7:$X$2532,MATCH(E90,'03_상품분류2526'!$A$7:$A$2532,0))),"")</f>
        <v/>
      </c>
      <c r="O90" s="6">
        <f>'02_선반315'!R51</f>
        <v>865</v>
      </c>
      <c r="P90" s="6">
        <f>'02_선반315'!T51</f>
        <v>220</v>
      </c>
      <c r="Q90" s="6">
        <f>'02_선반315'!U51</f>
        <v>200</v>
      </c>
      <c r="R90" s="6">
        <f>'02_선반315'!S51</f>
        <v>270</v>
      </c>
      <c r="S90" s="6" t="str">
        <f t="shared" si="2"/>
        <v/>
      </c>
      <c r="T90" s="6" t="str">
        <f t="shared" si="3"/>
        <v>입력 대기</v>
      </c>
      <c r="U90" s="6" t="s">
        <v>7509</v>
      </c>
      <c r="V90" s="6" t="s">
        <v>555</v>
      </c>
      <c r="W90" s="6" t="s">
        <v>648</v>
      </c>
    </row>
    <row r="91" spans="1:23" ht="33" customHeight="1">
      <c r="A91" s="6" t="s">
        <v>7595</v>
      </c>
      <c r="B91" s="6" t="s">
        <v>735</v>
      </c>
      <c r="C91" s="6" t="s">
        <v>107</v>
      </c>
      <c r="D91" s="6">
        <v>5</v>
      </c>
      <c r="E91" s="6" t="s">
        <v>7163</v>
      </c>
      <c r="F91" s="6" t="str">
        <f>IFERROR(INDEX('03_상품분류2526'!$C$7:$C$2532,MATCH(E91,'03_상품분류2526'!$A$7:$A$2532,0)),"코드 확인")</f>
        <v>테라브레스 헬시스마일 오랄린스 스파클민트향</v>
      </c>
      <c r="G91" s="6" t="str">
        <f>IFERROR(INDEX('03_상품분류2526'!$D$7:$D$2532,MATCH(E91,'03_상품분류2526'!$A$7:$A$2532,0)),"코드 확인")</f>
        <v>473ML</v>
      </c>
      <c r="H91" s="6" t="s">
        <v>7508</v>
      </c>
      <c r="I91" s="6" t="str">
        <f>IFERROR(INDEX('03_상품분류2526'!$M$7:$M$2532,MATCH(E91,'03_상품분류2526'!$A$7:$A$2532,0)),"코드 확인")</f>
        <v>B</v>
      </c>
      <c r="J91" s="6">
        <v>2</v>
      </c>
      <c r="K91" s="15">
        <v>1</v>
      </c>
      <c r="L91" s="6" t="str">
        <f>IFERROR(IF(INDEX('03_상품분류2526'!$V$7:$V$2532,MATCH(E91,'03_상품분류2526'!$A$7:$A$2532,0))="","",INDEX('03_상품분류2526'!$V$7:$V$2532,MATCH(E91,'03_상품분류2526'!$A$7:$A$2532,0))),"")</f>
        <v/>
      </c>
      <c r="M91" s="6" t="str">
        <f>IFERROR(IF(INDEX('03_상품분류2526'!$W$7:$W$2532,MATCH(E91,'03_상품분류2526'!$A$7:$A$2532,0))="","",INDEX('03_상품분류2526'!$W$7:$W$2532,MATCH(E91,'03_상품분류2526'!$A$7:$A$2532,0))),"")</f>
        <v/>
      </c>
      <c r="N91" s="6" t="str">
        <f>IFERROR(IF(INDEX('03_상품분류2526'!$X$7:$X$2532,MATCH(E91,'03_상품분류2526'!$A$7:$A$2532,0))="","",INDEX('03_상품분류2526'!$X$7:$X$2532,MATCH(E91,'03_상품분류2526'!$A$7:$A$2532,0))),"")</f>
        <v/>
      </c>
      <c r="O91" s="6">
        <f>'02_선반315'!R51</f>
        <v>865</v>
      </c>
      <c r="P91" s="6">
        <f>'02_선반315'!T51</f>
        <v>220</v>
      </c>
      <c r="Q91" s="6">
        <f>'02_선반315'!U51</f>
        <v>200</v>
      </c>
      <c r="R91" s="6">
        <f>'02_선반315'!S51</f>
        <v>270</v>
      </c>
      <c r="S91" s="6" t="str">
        <f t="shared" si="2"/>
        <v/>
      </c>
      <c r="T91" s="6" t="str">
        <f t="shared" si="3"/>
        <v>입력 대기</v>
      </c>
      <c r="U91" s="6" t="s">
        <v>7509</v>
      </c>
      <c r="V91" s="6" t="s">
        <v>555</v>
      </c>
      <c r="W91" s="6" t="s">
        <v>648</v>
      </c>
    </row>
    <row r="92" spans="1:23" ht="33" customHeight="1">
      <c r="A92" s="6" t="s">
        <v>7596</v>
      </c>
      <c r="B92" s="6" t="s">
        <v>741</v>
      </c>
      <c r="C92" s="6" t="s">
        <v>116</v>
      </c>
      <c r="D92" s="6">
        <v>2</v>
      </c>
      <c r="E92" s="6" t="s">
        <v>5760</v>
      </c>
      <c r="F92" s="6" t="str">
        <f>IFERROR(INDEX('03_상품분류2526'!$C$7:$C$2532,MATCH(E92,'03_상품분류2526'!$A$7:$A$2532,0)),"코드 확인")</f>
        <v>애크린 겔</v>
      </c>
      <c r="G92" s="6" t="str">
        <f>IFERROR(INDEX('03_상품분류2526'!$D$7:$D$2532,MATCH(E92,'03_상품분류2526'!$A$7:$A$2532,0)),"코드 확인")</f>
        <v>20g</v>
      </c>
      <c r="H92" s="6" t="s">
        <v>7521</v>
      </c>
      <c r="I92" s="6" t="str">
        <f>IFERROR(INDEX('03_상품분류2526'!$M$7:$M$2532,MATCH(E92,'03_상품분류2526'!$A$7:$A$2532,0)),"코드 확인")</f>
        <v>A</v>
      </c>
      <c r="J92" s="6">
        <v>1</v>
      </c>
      <c r="K92" s="15">
        <v>1</v>
      </c>
      <c r="L92" s="6" t="str">
        <f>IFERROR(IF(INDEX('03_상품분류2526'!$V$7:$V$2532,MATCH(E92,'03_상품분류2526'!$A$7:$A$2532,0))="","",INDEX('03_상품분류2526'!$V$7:$V$2532,MATCH(E92,'03_상품분류2526'!$A$7:$A$2532,0))),"")</f>
        <v/>
      </c>
      <c r="M92" s="6" t="str">
        <f>IFERROR(IF(INDEX('03_상품분류2526'!$W$7:$W$2532,MATCH(E92,'03_상품분류2526'!$A$7:$A$2532,0))="","",INDEX('03_상품분류2526'!$W$7:$W$2532,MATCH(E92,'03_상품분류2526'!$A$7:$A$2532,0))),"")</f>
        <v/>
      </c>
      <c r="N92" s="6" t="str">
        <f>IFERROR(IF(INDEX('03_상품분류2526'!$X$7:$X$2532,MATCH(E92,'03_상품분류2526'!$A$7:$A$2532,0))="","",INDEX('03_상품분류2526'!$X$7:$X$2532,MATCH(E92,'03_상품분류2526'!$A$7:$A$2532,0))),"")</f>
        <v/>
      </c>
      <c r="O92" s="6">
        <f>'02_선반315'!R53</f>
        <v>865</v>
      </c>
      <c r="P92" s="6">
        <f>'02_선반315'!T53</f>
        <v>220</v>
      </c>
      <c r="Q92" s="6">
        <f>'02_선반315'!U53</f>
        <v>200</v>
      </c>
      <c r="R92" s="6">
        <f>'02_선반315'!S53</f>
        <v>270</v>
      </c>
      <c r="S92" s="6" t="str">
        <f t="shared" si="2"/>
        <v/>
      </c>
      <c r="T92" s="6" t="str">
        <f t="shared" si="3"/>
        <v>입력 대기</v>
      </c>
      <c r="U92" s="6" t="s">
        <v>7509</v>
      </c>
      <c r="V92" s="6" t="s">
        <v>555</v>
      </c>
      <c r="W92" s="6" t="s">
        <v>648</v>
      </c>
    </row>
    <row r="93" spans="1:23" ht="33" customHeight="1">
      <c r="A93" s="6" t="s">
        <v>7597</v>
      </c>
      <c r="B93" s="6" t="s">
        <v>741</v>
      </c>
      <c r="C93" s="6" t="s">
        <v>116</v>
      </c>
      <c r="D93" s="6">
        <v>2</v>
      </c>
      <c r="E93" s="6" t="s">
        <v>5798</v>
      </c>
      <c r="F93" s="6" t="str">
        <f>IFERROR(INDEX('03_상품분류2526'!$C$7:$C$2532,MATCH(E93,'03_상품분류2526'!$A$7:$A$2532,0)),"코드 확인")</f>
        <v>애크논 크림</v>
      </c>
      <c r="G93" s="6" t="str">
        <f>IFERROR(INDEX('03_상품분류2526'!$D$7:$D$2532,MATCH(E93,'03_상품분류2526'!$A$7:$A$2532,0)),"코드 확인")</f>
        <v>13g</v>
      </c>
      <c r="H93" s="6" t="s">
        <v>7521</v>
      </c>
      <c r="I93" s="6" t="str">
        <f>IFERROR(INDEX('03_상품분류2526'!$M$7:$M$2532,MATCH(E93,'03_상품분류2526'!$A$7:$A$2532,0)),"코드 확인")</f>
        <v>A</v>
      </c>
      <c r="J93" s="6">
        <v>2</v>
      </c>
      <c r="K93" s="15">
        <v>1</v>
      </c>
      <c r="L93" s="6" t="str">
        <f>IFERROR(IF(INDEX('03_상품분류2526'!$V$7:$V$2532,MATCH(E93,'03_상품분류2526'!$A$7:$A$2532,0))="","",INDEX('03_상품분류2526'!$V$7:$V$2532,MATCH(E93,'03_상품분류2526'!$A$7:$A$2532,0))),"")</f>
        <v/>
      </c>
      <c r="M93" s="6" t="str">
        <f>IFERROR(IF(INDEX('03_상품분류2526'!$W$7:$W$2532,MATCH(E93,'03_상품분류2526'!$A$7:$A$2532,0))="","",INDEX('03_상품분류2526'!$W$7:$W$2532,MATCH(E93,'03_상품분류2526'!$A$7:$A$2532,0))),"")</f>
        <v/>
      </c>
      <c r="N93" s="6" t="str">
        <f>IFERROR(IF(INDEX('03_상품분류2526'!$X$7:$X$2532,MATCH(E93,'03_상품분류2526'!$A$7:$A$2532,0))="","",INDEX('03_상품분류2526'!$X$7:$X$2532,MATCH(E93,'03_상품분류2526'!$A$7:$A$2532,0))),"")</f>
        <v/>
      </c>
      <c r="O93" s="6">
        <f>'02_선반315'!R53</f>
        <v>865</v>
      </c>
      <c r="P93" s="6">
        <f>'02_선반315'!T53</f>
        <v>220</v>
      </c>
      <c r="Q93" s="6">
        <f>'02_선반315'!U53</f>
        <v>200</v>
      </c>
      <c r="R93" s="6">
        <f>'02_선반315'!S53</f>
        <v>270</v>
      </c>
      <c r="S93" s="6" t="str">
        <f t="shared" si="2"/>
        <v/>
      </c>
      <c r="T93" s="6" t="str">
        <f t="shared" si="3"/>
        <v>입력 대기</v>
      </c>
      <c r="U93" s="6" t="s">
        <v>7509</v>
      </c>
      <c r="V93" s="6" t="s">
        <v>555</v>
      </c>
      <c r="W93" s="6" t="s">
        <v>648</v>
      </c>
    </row>
    <row r="94" spans="1:23" ht="33" customHeight="1">
      <c r="A94" s="6" t="s">
        <v>7598</v>
      </c>
      <c r="B94" s="6" t="s">
        <v>745</v>
      </c>
      <c r="C94" s="6" t="s">
        <v>116</v>
      </c>
      <c r="D94" s="6">
        <v>3</v>
      </c>
      <c r="E94" s="6" t="s">
        <v>747</v>
      </c>
      <c r="F94" s="6" t="str">
        <f>IFERROR(INDEX('03_상품분류2526'!$C$7:$C$2532,MATCH(E94,'03_상품분류2526'!$A$7:$A$2532,0)),"코드 확인")</f>
        <v>이지덤뷰티</v>
      </c>
      <c r="G94" s="6" t="str">
        <f>IFERROR(INDEX('03_상품분류2526'!$D$7:$D$2532,MATCH(E94,'03_상품분류2526'!$A$7:$A$2532,0)),"코드 확인")</f>
        <v>57매</v>
      </c>
      <c r="H94" s="6" t="s">
        <v>7521</v>
      </c>
      <c r="I94" s="6" t="str">
        <f>IFERROR(INDEX('03_상품분류2526'!$M$7:$M$2532,MATCH(E94,'03_상품분류2526'!$A$7:$A$2532,0)),"코드 확인")</f>
        <v>A</v>
      </c>
      <c r="J94" s="6">
        <v>1</v>
      </c>
      <c r="K94" s="15">
        <v>1</v>
      </c>
      <c r="L94" s="6" t="str">
        <f>IFERROR(IF(INDEX('03_상품분류2526'!$V$7:$V$2532,MATCH(E94,'03_상품분류2526'!$A$7:$A$2532,0))="","",INDEX('03_상품분류2526'!$V$7:$V$2532,MATCH(E94,'03_상품분류2526'!$A$7:$A$2532,0))),"")</f>
        <v/>
      </c>
      <c r="M94" s="6" t="str">
        <f>IFERROR(IF(INDEX('03_상품분류2526'!$W$7:$W$2532,MATCH(E94,'03_상품분류2526'!$A$7:$A$2532,0))="","",INDEX('03_상품분류2526'!$W$7:$W$2532,MATCH(E94,'03_상품분류2526'!$A$7:$A$2532,0))),"")</f>
        <v/>
      </c>
      <c r="N94" s="6" t="str">
        <f>IFERROR(IF(INDEX('03_상품분류2526'!$X$7:$X$2532,MATCH(E94,'03_상품분류2526'!$A$7:$A$2532,0))="","",INDEX('03_상품분류2526'!$X$7:$X$2532,MATCH(E94,'03_상품분류2526'!$A$7:$A$2532,0))),"")</f>
        <v/>
      </c>
      <c r="O94" s="6">
        <f>'02_선반315'!R54</f>
        <v>865</v>
      </c>
      <c r="P94" s="6">
        <f>'02_선반315'!T54</f>
        <v>220</v>
      </c>
      <c r="Q94" s="6">
        <f>'02_선반315'!U54</f>
        <v>200</v>
      </c>
      <c r="R94" s="6">
        <f>'02_선반315'!S54</f>
        <v>270</v>
      </c>
      <c r="S94" s="6" t="str">
        <f t="shared" si="2"/>
        <v/>
      </c>
      <c r="T94" s="6" t="str">
        <f t="shared" si="3"/>
        <v>입력 대기</v>
      </c>
      <c r="U94" s="6" t="s">
        <v>7509</v>
      </c>
      <c r="V94" s="6" t="s">
        <v>555</v>
      </c>
      <c r="W94" s="6" t="s">
        <v>648</v>
      </c>
    </row>
    <row r="95" spans="1:23" ht="33" customHeight="1">
      <c r="A95" s="6" t="s">
        <v>7599</v>
      </c>
      <c r="B95" s="6" t="s">
        <v>749</v>
      </c>
      <c r="C95" s="6" t="s">
        <v>116</v>
      </c>
      <c r="D95" s="6">
        <v>4</v>
      </c>
      <c r="E95" s="6" t="s">
        <v>751</v>
      </c>
      <c r="F95" s="6" t="str">
        <f>IFERROR(INDEX('03_상품분류2526'!$C$7:$C$2532,MATCH(E95,'03_상품분류2526'!$A$7:$A$2532,0)),"코드 확인")</f>
        <v>아크로패스 트러블 스팟 카밍 패치 (60패치)</v>
      </c>
      <c r="G95" s="6" t="str">
        <f>IFERROR(INDEX('03_상품분류2526'!$D$7:$D$2532,MATCH(E95,'03_상품분류2526'!$A$7:$A$2532,0)),"코드 확인")</f>
        <v>60매</v>
      </c>
      <c r="H95" s="6" t="s">
        <v>7521</v>
      </c>
      <c r="I95" s="6" t="str">
        <f>IFERROR(INDEX('03_상품분류2526'!$M$7:$M$2532,MATCH(E95,'03_상품분류2526'!$A$7:$A$2532,0)),"코드 확인")</f>
        <v>B</v>
      </c>
      <c r="J95" s="6">
        <v>1</v>
      </c>
      <c r="K95" s="15">
        <v>1</v>
      </c>
      <c r="L95" s="6" t="str">
        <f>IFERROR(IF(INDEX('03_상품분류2526'!$V$7:$V$2532,MATCH(E95,'03_상품분류2526'!$A$7:$A$2532,0))="","",INDEX('03_상품분류2526'!$V$7:$V$2532,MATCH(E95,'03_상품분류2526'!$A$7:$A$2532,0))),"")</f>
        <v/>
      </c>
      <c r="M95" s="6" t="str">
        <f>IFERROR(IF(INDEX('03_상품분류2526'!$W$7:$W$2532,MATCH(E95,'03_상품분류2526'!$A$7:$A$2532,0))="","",INDEX('03_상품분류2526'!$W$7:$W$2532,MATCH(E95,'03_상품분류2526'!$A$7:$A$2532,0))),"")</f>
        <v/>
      </c>
      <c r="N95" s="6" t="str">
        <f>IFERROR(IF(INDEX('03_상품분류2526'!$X$7:$X$2532,MATCH(E95,'03_상품분류2526'!$A$7:$A$2532,0))="","",INDEX('03_상품분류2526'!$X$7:$X$2532,MATCH(E95,'03_상품분류2526'!$A$7:$A$2532,0))),"")</f>
        <v/>
      </c>
      <c r="O95" s="6">
        <f>'02_선반315'!R55</f>
        <v>865</v>
      </c>
      <c r="P95" s="6">
        <f>'02_선반315'!T55</f>
        <v>220</v>
      </c>
      <c r="Q95" s="6">
        <f>'02_선반315'!U55</f>
        <v>200</v>
      </c>
      <c r="R95" s="6">
        <f>'02_선반315'!S55</f>
        <v>270</v>
      </c>
      <c r="S95" s="6" t="str">
        <f t="shared" si="2"/>
        <v/>
      </c>
      <c r="T95" s="6" t="str">
        <f t="shared" si="3"/>
        <v>입력 대기</v>
      </c>
      <c r="U95" s="6" t="s">
        <v>7509</v>
      </c>
      <c r="V95" s="6" t="s">
        <v>555</v>
      </c>
      <c r="W95" s="6" t="s">
        <v>648</v>
      </c>
    </row>
    <row r="96" spans="1:23" ht="33" customHeight="1">
      <c r="A96" s="6" t="s">
        <v>7600</v>
      </c>
      <c r="B96" s="6" t="s">
        <v>756</v>
      </c>
      <c r="C96" s="6" t="s">
        <v>125</v>
      </c>
      <c r="D96" s="6">
        <v>2</v>
      </c>
      <c r="E96" s="6" t="s">
        <v>758</v>
      </c>
      <c r="F96" s="6" t="str">
        <f>IFERROR(INDEX('03_상품분류2526'!$C$7:$C$2532,MATCH(E96,'03_상품분류2526'!$A$7:$A$2532,0)),"코드 확인")</f>
        <v>노스카나겔</v>
      </c>
      <c r="G96" s="6" t="str">
        <f>IFERROR(INDEX('03_상품분류2526'!$D$7:$D$2532,MATCH(E96,'03_상품분류2526'!$A$7:$A$2532,0)),"코드 확인")</f>
        <v>20g</v>
      </c>
      <c r="H96" s="6" t="s">
        <v>7521</v>
      </c>
      <c r="I96" s="6" t="str">
        <f>IFERROR(INDEX('03_상품분류2526'!$M$7:$M$2532,MATCH(E96,'03_상품분류2526'!$A$7:$A$2532,0)),"코드 확인")</f>
        <v>A</v>
      </c>
      <c r="J96" s="6">
        <v>1</v>
      </c>
      <c r="K96" s="15">
        <v>1</v>
      </c>
      <c r="L96" s="6" t="str">
        <f>IFERROR(IF(INDEX('03_상품분류2526'!$V$7:$V$2532,MATCH(E96,'03_상품분류2526'!$A$7:$A$2532,0))="","",INDEX('03_상품분류2526'!$V$7:$V$2532,MATCH(E96,'03_상품분류2526'!$A$7:$A$2532,0))),"")</f>
        <v/>
      </c>
      <c r="M96" s="6" t="str">
        <f>IFERROR(IF(INDEX('03_상품분류2526'!$W$7:$W$2532,MATCH(E96,'03_상품분류2526'!$A$7:$A$2532,0))="","",INDEX('03_상품분류2526'!$W$7:$W$2532,MATCH(E96,'03_상품분류2526'!$A$7:$A$2532,0))),"")</f>
        <v/>
      </c>
      <c r="N96" s="6" t="str">
        <f>IFERROR(IF(INDEX('03_상품분류2526'!$X$7:$X$2532,MATCH(E96,'03_상품분류2526'!$A$7:$A$2532,0))="","",INDEX('03_상품분류2526'!$X$7:$X$2532,MATCH(E96,'03_상품분류2526'!$A$7:$A$2532,0))),"")</f>
        <v/>
      </c>
      <c r="O96" s="6">
        <f>'02_선반315'!R58</f>
        <v>865</v>
      </c>
      <c r="P96" s="6">
        <f>'02_선반315'!T58</f>
        <v>220</v>
      </c>
      <c r="Q96" s="6">
        <f>'02_선반315'!U58</f>
        <v>200</v>
      </c>
      <c r="R96" s="6">
        <f>'02_선반315'!S58</f>
        <v>270</v>
      </c>
      <c r="S96" s="6" t="str">
        <f t="shared" si="2"/>
        <v/>
      </c>
      <c r="T96" s="6" t="str">
        <f t="shared" si="3"/>
        <v>입력 대기</v>
      </c>
      <c r="U96" s="6" t="s">
        <v>7509</v>
      </c>
      <c r="V96" s="6" t="s">
        <v>555</v>
      </c>
      <c r="W96" s="6" t="s">
        <v>648</v>
      </c>
    </row>
    <row r="97" spans="1:23" ht="33" customHeight="1">
      <c r="A97" s="6" t="s">
        <v>7601</v>
      </c>
      <c r="B97" s="6" t="s">
        <v>760</v>
      </c>
      <c r="C97" s="6" t="s">
        <v>125</v>
      </c>
      <c r="D97" s="6">
        <v>3</v>
      </c>
      <c r="E97" s="6" t="s">
        <v>762</v>
      </c>
      <c r="F97" s="6" t="str">
        <f>IFERROR(INDEX('03_상품분류2526'!$C$7:$C$2532,MATCH(E97,'03_상품분류2526'!$A$7:$A$2532,0)),"코드 확인")</f>
        <v>더마틱스울트라겔</v>
      </c>
      <c r="G97" s="6" t="str">
        <f>IFERROR(INDEX('03_상품분류2526'!$D$7:$D$2532,MATCH(E97,'03_상품분류2526'!$A$7:$A$2532,0)),"코드 확인")</f>
        <v>15g</v>
      </c>
      <c r="H97" s="6" t="s">
        <v>7521</v>
      </c>
      <c r="I97" s="6" t="str">
        <f>IFERROR(INDEX('03_상품분류2526'!$M$7:$M$2532,MATCH(E97,'03_상품분류2526'!$A$7:$A$2532,0)),"코드 확인")</f>
        <v>A</v>
      </c>
      <c r="J97" s="6">
        <v>1</v>
      </c>
      <c r="K97" s="15">
        <v>1</v>
      </c>
      <c r="L97" s="6" t="str">
        <f>IFERROR(IF(INDEX('03_상품분류2526'!$V$7:$V$2532,MATCH(E97,'03_상품분류2526'!$A$7:$A$2532,0))="","",INDEX('03_상품분류2526'!$V$7:$V$2532,MATCH(E97,'03_상품분류2526'!$A$7:$A$2532,0))),"")</f>
        <v/>
      </c>
      <c r="M97" s="6" t="str">
        <f>IFERROR(IF(INDEX('03_상품분류2526'!$W$7:$W$2532,MATCH(E97,'03_상품분류2526'!$A$7:$A$2532,0))="","",INDEX('03_상품분류2526'!$W$7:$W$2532,MATCH(E97,'03_상품분류2526'!$A$7:$A$2532,0))),"")</f>
        <v/>
      </c>
      <c r="N97" s="6" t="str">
        <f>IFERROR(IF(INDEX('03_상품분류2526'!$X$7:$X$2532,MATCH(E97,'03_상품분류2526'!$A$7:$A$2532,0))="","",INDEX('03_상품분류2526'!$X$7:$X$2532,MATCH(E97,'03_상품분류2526'!$A$7:$A$2532,0))),"")</f>
        <v/>
      </c>
      <c r="O97" s="6">
        <f>'02_선반315'!R59</f>
        <v>865</v>
      </c>
      <c r="P97" s="6">
        <f>'02_선반315'!T59</f>
        <v>220</v>
      </c>
      <c r="Q97" s="6">
        <f>'02_선반315'!U59</f>
        <v>200</v>
      </c>
      <c r="R97" s="6">
        <f>'02_선반315'!S59</f>
        <v>270</v>
      </c>
      <c r="S97" s="6" t="str">
        <f t="shared" si="2"/>
        <v/>
      </c>
      <c r="T97" s="6" t="str">
        <f t="shared" si="3"/>
        <v>입력 대기</v>
      </c>
      <c r="U97" s="6" t="s">
        <v>7509</v>
      </c>
      <c r="V97" s="6" t="s">
        <v>555</v>
      </c>
      <c r="W97" s="6" t="s">
        <v>648</v>
      </c>
    </row>
    <row r="98" spans="1:23" ht="33" customHeight="1">
      <c r="A98" s="6" t="s">
        <v>7602</v>
      </c>
      <c r="B98" s="6" t="s">
        <v>764</v>
      </c>
      <c r="C98" s="6" t="s">
        <v>125</v>
      </c>
      <c r="D98" s="6">
        <v>4</v>
      </c>
      <c r="E98" s="6" t="s">
        <v>766</v>
      </c>
      <c r="F98" s="6" t="str">
        <f>IFERROR(INDEX('03_상품분류2526'!$C$7:$C$2532,MATCH(E98,'03_상품분류2526'!$A$7:$A$2532,0)),"코드 확인")</f>
        <v>케어리브(혼합형)</v>
      </c>
      <c r="G98" s="6" t="str">
        <f>IFERROR(INDEX('03_상품분류2526'!$D$7:$D$2532,MATCH(E98,'03_상품분류2526'!$A$7:$A$2532,0)),"코드 확인")</f>
        <v>20매</v>
      </c>
      <c r="H98" s="6" t="s">
        <v>7521</v>
      </c>
      <c r="I98" s="6" t="str">
        <f>IFERROR(INDEX('03_상품분류2526'!$M$7:$M$2532,MATCH(E98,'03_상품분류2526'!$A$7:$A$2532,0)),"코드 확인")</f>
        <v>B</v>
      </c>
      <c r="J98" s="6">
        <v>1</v>
      </c>
      <c r="K98" s="15">
        <v>1</v>
      </c>
      <c r="L98" s="6" t="str">
        <f>IFERROR(IF(INDEX('03_상품분류2526'!$V$7:$V$2532,MATCH(E98,'03_상품분류2526'!$A$7:$A$2532,0))="","",INDEX('03_상품분류2526'!$V$7:$V$2532,MATCH(E98,'03_상품분류2526'!$A$7:$A$2532,0))),"")</f>
        <v/>
      </c>
      <c r="M98" s="6" t="str">
        <f>IFERROR(IF(INDEX('03_상품분류2526'!$W$7:$W$2532,MATCH(E98,'03_상품분류2526'!$A$7:$A$2532,0))="","",INDEX('03_상품분류2526'!$W$7:$W$2532,MATCH(E98,'03_상품분류2526'!$A$7:$A$2532,0))),"")</f>
        <v/>
      </c>
      <c r="N98" s="6" t="str">
        <f>IFERROR(IF(INDEX('03_상품분류2526'!$X$7:$X$2532,MATCH(E98,'03_상품분류2526'!$A$7:$A$2532,0))="","",INDEX('03_상품분류2526'!$X$7:$X$2532,MATCH(E98,'03_상품분류2526'!$A$7:$A$2532,0))),"")</f>
        <v/>
      </c>
      <c r="O98" s="6">
        <f>'02_선반315'!R60</f>
        <v>865</v>
      </c>
      <c r="P98" s="6">
        <f>'02_선반315'!T60</f>
        <v>220</v>
      </c>
      <c r="Q98" s="6">
        <f>'02_선반315'!U60</f>
        <v>200</v>
      </c>
      <c r="R98" s="6">
        <f>'02_선반315'!S60</f>
        <v>270</v>
      </c>
      <c r="S98" s="6" t="str">
        <f t="shared" si="2"/>
        <v/>
      </c>
      <c r="T98" s="6" t="str">
        <f t="shared" si="3"/>
        <v>입력 대기</v>
      </c>
      <c r="U98" s="6" t="s">
        <v>7509</v>
      </c>
      <c r="V98" s="6" t="s">
        <v>555</v>
      </c>
      <c r="W98" s="6" t="s">
        <v>648</v>
      </c>
    </row>
    <row r="99" spans="1:23" ht="33" customHeight="1">
      <c r="A99" s="6" t="s">
        <v>7603</v>
      </c>
      <c r="B99" s="6" t="s">
        <v>771</v>
      </c>
      <c r="C99" s="6" t="s">
        <v>131</v>
      </c>
      <c r="D99" s="6">
        <v>2</v>
      </c>
      <c r="E99" s="6" t="s">
        <v>1924</v>
      </c>
      <c r="F99" s="6" t="str">
        <f>IFERROR(INDEX('03_상품분류2526'!$C$7:$C$2532,MATCH(E99,'03_상품분류2526'!$A$7:$A$2532,0)),"코드 확인")</f>
        <v>닥터플러스 KF94 황사마스크 (대형/검정색/새부리형)</v>
      </c>
      <c r="G99" s="6" t="str">
        <f>IFERROR(INDEX('03_상품분류2526'!$D$7:$D$2532,MATCH(E99,'03_상품분류2526'!$A$7:$A$2532,0)),"코드 확인")</f>
        <v>1매</v>
      </c>
      <c r="H99" s="6" t="s">
        <v>7508</v>
      </c>
      <c r="I99" s="6" t="str">
        <f>IFERROR(INDEX('03_상품분류2526'!$M$7:$M$2532,MATCH(E99,'03_상품분류2526'!$A$7:$A$2532,0)),"코드 확인")</f>
        <v>A</v>
      </c>
      <c r="J99" s="6">
        <v>1</v>
      </c>
      <c r="K99" s="15">
        <v>1</v>
      </c>
      <c r="L99" s="6" t="str">
        <f>IFERROR(IF(INDEX('03_상품분류2526'!$V$7:$V$2532,MATCH(E99,'03_상품분류2526'!$A$7:$A$2532,0))="","",INDEX('03_상품분류2526'!$V$7:$V$2532,MATCH(E99,'03_상품분류2526'!$A$7:$A$2532,0))),"")</f>
        <v/>
      </c>
      <c r="M99" s="6" t="str">
        <f>IFERROR(IF(INDEX('03_상품분류2526'!$W$7:$W$2532,MATCH(E99,'03_상품분류2526'!$A$7:$A$2532,0))="","",INDEX('03_상품분류2526'!$W$7:$W$2532,MATCH(E99,'03_상품분류2526'!$A$7:$A$2532,0))),"")</f>
        <v/>
      </c>
      <c r="N99" s="6" t="str">
        <f>IFERROR(IF(INDEX('03_상품분류2526'!$X$7:$X$2532,MATCH(E99,'03_상품분류2526'!$A$7:$A$2532,0))="","",INDEX('03_상품분류2526'!$X$7:$X$2532,MATCH(E99,'03_상품분류2526'!$A$7:$A$2532,0))),"")</f>
        <v/>
      </c>
      <c r="O99" s="6">
        <f>'02_선반315'!R63</f>
        <v>865</v>
      </c>
      <c r="P99" s="6">
        <f>'02_선반315'!T63</f>
        <v>220</v>
      </c>
      <c r="Q99" s="6">
        <f>'02_선반315'!U63</f>
        <v>200</v>
      </c>
      <c r="R99" s="6">
        <f>'02_선반315'!S63</f>
        <v>270</v>
      </c>
      <c r="S99" s="6" t="str">
        <f t="shared" si="2"/>
        <v/>
      </c>
      <c r="T99" s="6" t="str">
        <f t="shared" si="3"/>
        <v>입력 대기</v>
      </c>
      <c r="U99" s="6" t="s">
        <v>7509</v>
      </c>
      <c r="V99" s="6" t="s">
        <v>555</v>
      </c>
      <c r="W99" s="6" t="s">
        <v>648</v>
      </c>
    </row>
    <row r="100" spans="1:23" ht="33" customHeight="1">
      <c r="A100" s="6" t="s">
        <v>7604</v>
      </c>
      <c r="B100" s="6" t="s">
        <v>771</v>
      </c>
      <c r="C100" s="6" t="s">
        <v>131</v>
      </c>
      <c r="D100" s="6">
        <v>2</v>
      </c>
      <c r="E100" s="6" t="s">
        <v>1887</v>
      </c>
      <c r="F100" s="6" t="str">
        <f>IFERROR(INDEX('03_상품분류2526'!$C$7:$C$2532,MATCH(E100,'03_상품분류2526'!$A$7:$A$2532,0)),"코드 확인")</f>
        <v>이케어 데일리마스크</v>
      </c>
      <c r="G100" s="6" t="str">
        <f>IFERROR(INDEX('03_상품분류2526'!$D$7:$D$2532,MATCH(E100,'03_상품분류2526'!$A$7:$A$2532,0)),"코드 확인")</f>
        <v>5매</v>
      </c>
      <c r="H100" s="6" t="s">
        <v>7508</v>
      </c>
      <c r="I100" s="6" t="str">
        <f>IFERROR(INDEX('03_상품분류2526'!$M$7:$M$2532,MATCH(E100,'03_상품분류2526'!$A$7:$A$2532,0)),"코드 확인")</f>
        <v>B</v>
      </c>
      <c r="J100" s="6">
        <v>2</v>
      </c>
      <c r="K100" s="15">
        <v>1</v>
      </c>
      <c r="L100" s="6" t="str">
        <f>IFERROR(IF(INDEX('03_상품분류2526'!$V$7:$V$2532,MATCH(E100,'03_상품분류2526'!$A$7:$A$2532,0))="","",INDEX('03_상품분류2526'!$V$7:$V$2532,MATCH(E100,'03_상품분류2526'!$A$7:$A$2532,0))),"")</f>
        <v/>
      </c>
      <c r="M100" s="6" t="str">
        <f>IFERROR(IF(INDEX('03_상품분류2526'!$W$7:$W$2532,MATCH(E100,'03_상품분류2526'!$A$7:$A$2532,0))="","",INDEX('03_상품분류2526'!$W$7:$W$2532,MATCH(E100,'03_상품분류2526'!$A$7:$A$2532,0))),"")</f>
        <v/>
      </c>
      <c r="N100" s="6" t="str">
        <f>IFERROR(IF(INDEX('03_상품분류2526'!$X$7:$X$2532,MATCH(E100,'03_상품분류2526'!$A$7:$A$2532,0))="","",INDEX('03_상품분류2526'!$X$7:$X$2532,MATCH(E100,'03_상품분류2526'!$A$7:$A$2532,0))),"")</f>
        <v/>
      </c>
      <c r="O100" s="6">
        <f>'02_선반315'!R63</f>
        <v>865</v>
      </c>
      <c r="P100" s="6">
        <f>'02_선반315'!T63</f>
        <v>220</v>
      </c>
      <c r="Q100" s="6">
        <f>'02_선반315'!U63</f>
        <v>200</v>
      </c>
      <c r="R100" s="6">
        <f>'02_선반315'!S63</f>
        <v>270</v>
      </c>
      <c r="S100" s="6" t="str">
        <f t="shared" si="2"/>
        <v/>
      </c>
      <c r="T100" s="6" t="str">
        <f t="shared" si="3"/>
        <v>입력 대기</v>
      </c>
      <c r="U100" s="6" t="s">
        <v>7509</v>
      </c>
      <c r="V100" s="6" t="s">
        <v>555</v>
      </c>
      <c r="W100" s="6" t="s">
        <v>648</v>
      </c>
    </row>
    <row r="101" spans="1:23" ht="33" customHeight="1">
      <c r="A101" s="6" t="s">
        <v>7605</v>
      </c>
      <c r="B101" s="6" t="s">
        <v>775</v>
      </c>
      <c r="C101" s="6" t="s">
        <v>131</v>
      </c>
      <c r="D101" s="6">
        <v>3</v>
      </c>
      <c r="E101" s="6" t="s">
        <v>6371</v>
      </c>
      <c r="F101" s="6" t="str">
        <f>IFERROR(INDEX('03_상품분류2526'!$C$7:$C$2532,MATCH(E101,'03_상품분류2526'!$A$7:$A$2532,0)),"코드 확인")</f>
        <v>살룸 3D 암막 수면 안대</v>
      </c>
      <c r="G101" s="6" t="str">
        <f>IFERROR(INDEX('03_상품분류2526'!$D$7:$D$2532,MATCH(E101,'03_상품분류2526'!$A$7:$A$2532,0)),"코드 확인")</f>
        <v>1개입</v>
      </c>
      <c r="H101" s="6" t="s">
        <v>7508</v>
      </c>
      <c r="I101" s="6" t="str">
        <f>IFERROR(INDEX('03_상품분류2526'!$M$7:$M$2532,MATCH(E101,'03_상품분류2526'!$A$7:$A$2532,0)),"코드 확인")</f>
        <v>A</v>
      </c>
      <c r="J101" s="6">
        <v>1</v>
      </c>
      <c r="K101" s="15">
        <v>1</v>
      </c>
      <c r="L101" s="6" t="str">
        <f>IFERROR(IF(INDEX('03_상품분류2526'!$V$7:$V$2532,MATCH(E101,'03_상품분류2526'!$A$7:$A$2532,0))="","",INDEX('03_상품분류2526'!$V$7:$V$2532,MATCH(E101,'03_상품분류2526'!$A$7:$A$2532,0))),"")</f>
        <v/>
      </c>
      <c r="M101" s="6" t="str">
        <f>IFERROR(IF(INDEX('03_상품분류2526'!$W$7:$W$2532,MATCH(E101,'03_상품분류2526'!$A$7:$A$2532,0))="","",INDEX('03_상품분류2526'!$W$7:$W$2532,MATCH(E101,'03_상품분류2526'!$A$7:$A$2532,0))),"")</f>
        <v/>
      </c>
      <c r="N101" s="6" t="str">
        <f>IFERROR(IF(INDEX('03_상품분류2526'!$X$7:$X$2532,MATCH(E101,'03_상품분류2526'!$A$7:$A$2532,0))="","",INDEX('03_상품분류2526'!$X$7:$X$2532,MATCH(E101,'03_상품분류2526'!$A$7:$A$2532,0))),"")</f>
        <v/>
      </c>
      <c r="O101" s="6">
        <f>'02_선반315'!R64</f>
        <v>865</v>
      </c>
      <c r="P101" s="6">
        <f>'02_선반315'!T64</f>
        <v>220</v>
      </c>
      <c r="Q101" s="6">
        <f>'02_선반315'!U64</f>
        <v>200</v>
      </c>
      <c r="R101" s="6">
        <f>'02_선반315'!S64</f>
        <v>270</v>
      </c>
      <c r="S101" s="6" t="str">
        <f t="shared" si="2"/>
        <v/>
      </c>
      <c r="T101" s="6" t="str">
        <f t="shared" si="3"/>
        <v>입력 대기</v>
      </c>
      <c r="U101" s="6" t="s">
        <v>7509</v>
      </c>
      <c r="V101" s="6" t="s">
        <v>555</v>
      </c>
      <c r="W101" s="6" t="s">
        <v>648</v>
      </c>
    </row>
    <row r="102" spans="1:23" ht="33" customHeight="1">
      <c r="A102" s="6" t="s">
        <v>7606</v>
      </c>
      <c r="B102" s="6" t="s">
        <v>775</v>
      </c>
      <c r="C102" s="6" t="s">
        <v>131</v>
      </c>
      <c r="D102" s="6">
        <v>3</v>
      </c>
      <c r="E102" s="6" t="s">
        <v>6377</v>
      </c>
      <c r="F102" s="6" t="str">
        <f>IFERROR(INDEX('03_상품분류2526'!$C$7:$C$2532,MATCH(E102,'03_상품분류2526'!$A$7:$A$2532,0)),"코드 확인")</f>
        <v>살룸 초경량 수면 안대 세트</v>
      </c>
      <c r="G102" s="6" t="str">
        <f>IFERROR(INDEX('03_상품분류2526'!$D$7:$D$2532,MATCH(E102,'03_상품분류2526'!$A$7:$A$2532,0)),"코드 확인")</f>
        <v>1개입</v>
      </c>
      <c r="H102" s="6" t="s">
        <v>7508</v>
      </c>
      <c r="I102" s="6" t="str">
        <f>IFERROR(INDEX('03_상품분류2526'!$M$7:$M$2532,MATCH(E102,'03_상품분류2526'!$A$7:$A$2532,0)),"코드 확인")</f>
        <v>B</v>
      </c>
      <c r="J102" s="6">
        <v>2</v>
      </c>
      <c r="K102" s="15">
        <v>1</v>
      </c>
      <c r="L102" s="6" t="str">
        <f>IFERROR(IF(INDEX('03_상품분류2526'!$V$7:$V$2532,MATCH(E102,'03_상품분류2526'!$A$7:$A$2532,0))="","",INDEX('03_상품분류2526'!$V$7:$V$2532,MATCH(E102,'03_상품분류2526'!$A$7:$A$2532,0))),"")</f>
        <v/>
      </c>
      <c r="M102" s="6" t="str">
        <f>IFERROR(IF(INDEX('03_상품분류2526'!$W$7:$W$2532,MATCH(E102,'03_상품분류2526'!$A$7:$A$2532,0))="","",INDEX('03_상품분류2526'!$W$7:$W$2532,MATCH(E102,'03_상품분류2526'!$A$7:$A$2532,0))),"")</f>
        <v/>
      </c>
      <c r="N102" s="6" t="str">
        <f>IFERROR(IF(INDEX('03_상품분류2526'!$X$7:$X$2532,MATCH(E102,'03_상품분류2526'!$A$7:$A$2532,0))="","",INDEX('03_상품분류2526'!$X$7:$X$2532,MATCH(E102,'03_상품분류2526'!$A$7:$A$2532,0))),"")</f>
        <v/>
      </c>
      <c r="O102" s="6">
        <f>'02_선반315'!R64</f>
        <v>865</v>
      </c>
      <c r="P102" s="6">
        <f>'02_선반315'!T64</f>
        <v>220</v>
      </c>
      <c r="Q102" s="6">
        <f>'02_선반315'!U64</f>
        <v>200</v>
      </c>
      <c r="R102" s="6">
        <f>'02_선반315'!S64</f>
        <v>270</v>
      </c>
      <c r="S102" s="6" t="str">
        <f t="shared" si="2"/>
        <v/>
      </c>
      <c r="T102" s="6" t="str">
        <f t="shared" si="3"/>
        <v>입력 대기</v>
      </c>
      <c r="U102" s="6" t="s">
        <v>7509</v>
      </c>
      <c r="V102" s="6" t="s">
        <v>555</v>
      </c>
      <c r="W102" s="6" t="s">
        <v>648</v>
      </c>
    </row>
    <row r="103" spans="1:23" ht="33" customHeight="1">
      <c r="A103" s="6" t="s">
        <v>7607</v>
      </c>
      <c r="B103" s="6" t="s">
        <v>780</v>
      </c>
      <c r="C103" s="6" t="s">
        <v>131</v>
      </c>
      <c r="D103" s="6">
        <v>4</v>
      </c>
      <c r="E103" s="6" t="s">
        <v>782</v>
      </c>
      <c r="F103" s="6" t="str">
        <f>IFERROR(INDEX('03_상품분류2526'!$C$7:$C$2532,MATCH(E103,'03_상품분류2526'!$A$7:$A$2532,0)),"코드 확인")</f>
        <v>캐리에어 여행용 접이식 실리콘컵</v>
      </c>
      <c r="G103" s="6" t="str">
        <f>IFERROR(INDEX('03_상품분류2526'!$D$7:$D$2532,MATCH(E103,'03_상품분류2526'!$A$7:$A$2532,0)),"코드 확인")</f>
        <v>2개입</v>
      </c>
      <c r="H103" s="6" t="s">
        <v>7508</v>
      </c>
      <c r="I103" s="6" t="str">
        <f>IFERROR(INDEX('03_상품분류2526'!$M$7:$M$2532,MATCH(E103,'03_상품분류2526'!$A$7:$A$2532,0)),"코드 확인")</f>
        <v>B</v>
      </c>
      <c r="J103" s="6">
        <v>1</v>
      </c>
      <c r="K103" s="15">
        <v>1</v>
      </c>
      <c r="L103" s="6" t="str">
        <f>IFERROR(IF(INDEX('03_상품분류2526'!$V$7:$V$2532,MATCH(E103,'03_상품분류2526'!$A$7:$A$2532,0))="","",INDEX('03_상품분류2526'!$V$7:$V$2532,MATCH(E103,'03_상품분류2526'!$A$7:$A$2532,0))),"")</f>
        <v/>
      </c>
      <c r="M103" s="6" t="str">
        <f>IFERROR(IF(INDEX('03_상품분류2526'!$W$7:$W$2532,MATCH(E103,'03_상품분류2526'!$A$7:$A$2532,0))="","",INDEX('03_상품분류2526'!$W$7:$W$2532,MATCH(E103,'03_상품분류2526'!$A$7:$A$2532,0))),"")</f>
        <v/>
      </c>
      <c r="N103" s="6" t="str">
        <f>IFERROR(IF(INDEX('03_상품분류2526'!$X$7:$X$2532,MATCH(E103,'03_상품분류2526'!$A$7:$A$2532,0))="","",INDEX('03_상품분류2526'!$X$7:$X$2532,MATCH(E103,'03_상품분류2526'!$A$7:$A$2532,0))),"")</f>
        <v/>
      </c>
      <c r="O103" s="6">
        <f>'02_선반315'!R65</f>
        <v>865</v>
      </c>
      <c r="P103" s="6">
        <f>'02_선반315'!T65</f>
        <v>220</v>
      </c>
      <c r="Q103" s="6">
        <f>'02_선반315'!U65</f>
        <v>200</v>
      </c>
      <c r="R103" s="6">
        <f>'02_선반315'!S65</f>
        <v>270</v>
      </c>
      <c r="S103" s="6" t="str">
        <f t="shared" si="2"/>
        <v/>
      </c>
      <c r="T103" s="6" t="str">
        <f t="shared" si="3"/>
        <v>입력 대기</v>
      </c>
      <c r="U103" s="6" t="s">
        <v>7509</v>
      </c>
      <c r="V103" s="6" t="s">
        <v>555</v>
      </c>
      <c r="W103" s="6" t="s">
        <v>648</v>
      </c>
    </row>
    <row r="104" spans="1:23" ht="33" customHeight="1">
      <c r="A104" s="6" t="s">
        <v>7608</v>
      </c>
      <c r="B104" s="6" t="s">
        <v>784</v>
      </c>
      <c r="C104" s="6" t="s">
        <v>131</v>
      </c>
      <c r="D104" s="6">
        <v>5</v>
      </c>
      <c r="E104" s="6" t="s">
        <v>786</v>
      </c>
      <c r="F104" s="6" t="str">
        <f>IFERROR(INDEX('03_상품분류2526'!$C$7:$C$2532,MATCH(E104,'03_상품분류2526'!$A$7:$A$2532,0)),"코드 확인")</f>
        <v>모스세이프가드액</v>
      </c>
      <c r="G104" s="6" t="str">
        <f>IFERROR(INDEX('03_상품분류2526'!$D$7:$D$2532,MATCH(E104,'03_상품분류2526'!$A$7:$A$2532,0)),"코드 확인")</f>
        <v>60ml</v>
      </c>
      <c r="H104" s="6" t="s">
        <v>7508</v>
      </c>
      <c r="I104" s="6" t="str">
        <f>IFERROR(INDEX('03_상품분류2526'!$M$7:$M$2532,MATCH(E104,'03_상품분류2526'!$A$7:$A$2532,0)),"코드 확인")</f>
        <v>B</v>
      </c>
      <c r="J104" s="6">
        <v>1</v>
      </c>
      <c r="K104" s="15">
        <v>1</v>
      </c>
      <c r="L104" s="6" t="str">
        <f>IFERROR(IF(INDEX('03_상품분류2526'!$V$7:$V$2532,MATCH(E104,'03_상품분류2526'!$A$7:$A$2532,0))="","",INDEX('03_상품분류2526'!$V$7:$V$2532,MATCH(E104,'03_상품분류2526'!$A$7:$A$2532,0))),"")</f>
        <v/>
      </c>
      <c r="M104" s="6" t="str">
        <f>IFERROR(IF(INDEX('03_상품분류2526'!$W$7:$W$2532,MATCH(E104,'03_상품분류2526'!$A$7:$A$2532,0))="","",INDEX('03_상품분류2526'!$W$7:$W$2532,MATCH(E104,'03_상품분류2526'!$A$7:$A$2532,0))),"")</f>
        <v/>
      </c>
      <c r="N104" s="6" t="str">
        <f>IFERROR(IF(INDEX('03_상품분류2526'!$X$7:$X$2532,MATCH(E104,'03_상품분류2526'!$A$7:$A$2532,0))="","",INDEX('03_상품분류2526'!$X$7:$X$2532,MATCH(E104,'03_상품분류2526'!$A$7:$A$2532,0))),"")</f>
        <v/>
      </c>
      <c r="O104" s="6">
        <f>'02_선반315'!R66</f>
        <v>865</v>
      </c>
      <c r="P104" s="6">
        <f>'02_선반315'!T66</f>
        <v>220</v>
      </c>
      <c r="Q104" s="6">
        <f>'02_선반315'!U66</f>
        <v>200</v>
      </c>
      <c r="R104" s="6">
        <f>'02_선반315'!S66</f>
        <v>270</v>
      </c>
      <c r="S104" s="6" t="str">
        <f t="shared" si="2"/>
        <v/>
      </c>
      <c r="T104" s="6" t="str">
        <f t="shared" si="3"/>
        <v>입력 대기</v>
      </c>
      <c r="U104" s="6" t="s">
        <v>7509</v>
      </c>
      <c r="V104" s="6" t="s">
        <v>555</v>
      </c>
      <c r="W104" s="6" t="s">
        <v>648</v>
      </c>
    </row>
    <row r="105" spans="1:23" ht="33" customHeight="1">
      <c r="A105" s="6" t="s">
        <v>7609</v>
      </c>
      <c r="B105" s="6" t="s">
        <v>799</v>
      </c>
      <c r="C105" s="6" t="s">
        <v>147</v>
      </c>
      <c r="D105" s="6">
        <v>2</v>
      </c>
      <c r="E105" s="6" t="s">
        <v>801</v>
      </c>
      <c r="F105" s="6" t="str">
        <f>IFERROR(INDEX('03_상품분류2526'!$C$7:$C$2532,MATCH(E105,'03_상품분류2526'!$A$7:$A$2532,0)),"코드 확인")</f>
        <v>고려은단 비타민C1000(120T)</v>
      </c>
      <c r="G105" s="6" t="str">
        <f>IFERROR(INDEX('03_상품분류2526'!$D$7:$D$2532,MATCH(E105,'03_상품분류2526'!$A$7:$A$2532,0)),"코드 확인")</f>
        <v>120T</v>
      </c>
      <c r="H105" s="6" t="s">
        <v>7521</v>
      </c>
      <c r="I105" s="6" t="str">
        <f>IFERROR(INDEX('03_상품분류2526'!$M$7:$M$2532,MATCH(E105,'03_상품분류2526'!$A$7:$A$2532,0)),"코드 확인")</f>
        <v>A</v>
      </c>
      <c r="J105" s="6">
        <v>1</v>
      </c>
      <c r="K105" s="15">
        <v>1</v>
      </c>
      <c r="L105" s="6" t="str">
        <f>IFERROR(IF(INDEX('03_상품분류2526'!$V$7:$V$2532,MATCH(E105,'03_상품분류2526'!$A$7:$A$2532,0))="","",INDEX('03_상품분류2526'!$V$7:$V$2532,MATCH(E105,'03_상품분류2526'!$A$7:$A$2532,0))),"")</f>
        <v/>
      </c>
      <c r="M105" s="6" t="str">
        <f>IFERROR(IF(INDEX('03_상품분류2526'!$W$7:$W$2532,MATCH(E105,'03_상품분류2526'!$A$7:$A$2532,0))="","",INDEX('03_상품분류2526'!$W$7:$W$2532,MATCH(E105,'03_상품분류2526'!$A$7:$A$2532,0))),"")</f>
        <v/>
      </c>
      <c r="N105" s="6" t="str">
        <f>IFERROR(IF(INDEX('03_상품분류2526'!$X$7:$X$2532,MATCH(E105,'03_상품분류2526'!$A$7:$A$2532,0))="","",INDEX('03_상품분류2526'!$X$7:$X$2532,MATCH(E105,'03_상품분류2526'!$A$7:$A$2532,0))),"")</f>
        <v/>
      </c>
      <c r="O105" s="6">
        <f>'02_선반315'!R73</f>
        <v>865</v>
      </c>
      <c r="P105" s="6">
        <f>'02_선반315'!T73</f>
        <v>220</v>
      </c>
      <c r="Q105" s="6">
        <f>'02_선반315'!U73</f>
        <v>200</v>
      </c>
      <c r="R105" s="6">
        <f>'02_선반315'!S73</f>
        <v>270</v>
      </c>
      <c r="S105" s="6" t="str">
        <f t="shared" si="2"/>
        <v/>
      </c>
      <c r="T105" s="6" t="str">
        <f t="shared" si="3"/>
        <v>입력 대기</v>
      </c>
      <c r="U105" s="6" t="s">
        <v>7509</v>
      </c>
      <c r="V105" s="6" t="s">
        <v>555</v>
      </c>
      <c r="W105" s="6" t="s">
        <v>648</v>
      </c>
    </row>
    <row r="106" spans="1:23" ht="33" customHeight="1">
      <c r="A106" s="6" t="s">
        <v>7610</v>
      </c>
      <c r="B106" s="6" t="s">
        <v>803</v>
      </c>
      <c r="C106" s="6" t="s">
        <v>147</v>
      </c>
      <c r="D106" s="6">
        <v>3</v>
      </c>
      <c r="E106" s="6" t="s">
        <v>805</v>
      </c>
      <c r="F106" s="6" t="str">
        <f>IFERROR(INDEX('03_상품분류2526'!$C$7:$C$2532,MATCH(E106,'03_상품분류2526'!$A$7:$A$2532,0)),"코드 확인")</f>
        <v>에버콜라겐 타임 레티놀 A</v>
      </c>
      <c r="G106" s="6" t="str">
        <f>IFERROR(INDEX('03_상품분류2526'!$D$7:$D$2532,MATCH(E106,'03_상품분류2526'!$A$7:$A$2532,0)),"코드 확인")</f>
        <v>30포</v>
      </c>
      <c r="H106" s="6" t="s">
        <v>7521</v>
      </c>
      <c r="I106" s="6" t="str">
        <f>IFERROR(INDEX('03_상품분류2526'!$M$7:$M$2532,MATCH(E106,'03_상품분류2526'!$A$7:$A$2532,0)),"코드 확인")</f>
        <v>A</v>
      </c>
      <c r="J106" s="6">
        <v>1</v>
      </c>
      <c r="K106" s="15">
        <v>1</v>
      </c>
      <c r="L106" s="6" t="str">
        <f>IFERROR(IF(INDEX('03_상품분류2526'!$V$7:$V$2532,MATCH(E106,'03_상품분류2526'!$A$7:$A$2532,0))="","",INDEX('03_상품분류2526'!$V$7:$V$2532,MATCH(E106,'03_상품분류2526'!$A$7:$A$2532,0))),"")</f>
        <v/>
      </c>
      <c r="M106" s="6" t="str">
        <f>IFERROR(IF(INDEX('03_상품분류2526'!$W$7:$W$2532,MATCH(E106,'03_상품분류2526'!$A$7:$A$2532,0))="","",INDEX('03_상품분류2526'!$W$7:$W$2532,MATCH(E106,'03_상품분류2526'!$A$7:$A$2532,0))),"")</f>
        <v/>
      </c>
      <c r="N106" s="6" t="str">
        <f>IFERROR(IF(INDEX('03_상품분류2526'!$X$7:$X$2532,MATCH(E106,'03_상품분류2526'!$A$7:$A$2532,0))="","",INDEX('03_상품분류2526'!$X$7:$X$2532,MATCH(E106,'03_상품분류2526'!$A$7:$A$2532,0))),"")</f>
        <v/>
      </c>
      <c r="O106" s="6">
        <f>'02_선반315'!R74</f>
        <v>865</v>
      </c>
      <c r="P106" s="6">
        <f>'02_선반315'!T74</f>
        <v>220</v>
      </c>
      <c r="Q106" s="6">
        <f>'02_선반315'!U74</f>
        <v>200</v>
      </c>
      <c r="R106" s="6">
        <f>'02_선반315'!S74</f>
        <v>270</v>
      </c>
      <c r="S106" s="6" t="str">
        <f t="shared" si="2"/>
        <v/>
      </c>
      <c r="T106" s="6" t="str">
        <f t="shared" si="3"/>
        <v>입력 대기</v>
      </c>
      <c r="U106" s="6" t="s">
        <v>7509</v>
      </c>
      <c r="V106" s="6" t="s">
        <v>555</v>
      </c>
      <c r="W106" s="6" t="s">
        <v>648</v>
      </c>
    </row>
    <row r="107" spans="1:23" ht="33" customHeight="1">
      <c r="A107" s="6" t="s">
        <v>7611</v>
      </c>
      <c r="B107" s="6" t="s">
        <v>807</v>
      </c>
      <c r="C107" s="6" t="s">
        <v>147</v>
      </c>
      <c r="D107" s="6">
        <v>4</v>
      </c>
      <c r="E107" s="6" t="s">
        <v>809</v>
      </c>
      <c r="F107" s="6" t="str">
        <f>IFERROR(INDEX('03_상품분류2526'!$C$7:$C$2532,MATCH(E107,'03_상품분류2526'!$A$7:$A$2532,0)),"코드 확인")</f>
        <v>정원삼 6년근 고려홍삼정365스틱</v>
      </c>
      <c r="G107" s="6" t="str">
        <f>IFERROR(INDEX('03_상품분류2526'!$D$7:$D$2532,MATCH(E107,'03_상품분류2526'!$A$7:$A$2532,0)),"코드 확인")</f>
        <v>10g*30포</v>
      </c>
      <c r="H107" s="6" t="s">
        <v>7521</v>
      </c>
      <c r="I107" s="6" t="str">
        <f>IFERROR(INDEX('03_상품분류2526'!$M$7:$M$2532,MATCH(E107,'03_상품분류2526'!$A$7:$A$2532,0)),"코드 확인")</f>
        <v>A</v>
      </c>
      <c r="J107" s="6">
        <v>1</v>
      </c>
      <c r="K107" s="15">
        <v>1</v>
      </c>
      <c r="L107" s="6" t="str">
        <f>IFERROR(IF(INDEX('03_상품분류2526'!$V$7:$V$2532,MATCH(E107,'03_상품분류2526'!$A$7:$A$2532,0))="","",INDEX('03_상품분류2526'!$V$7:$V$2532,MATCH(E107,'03_상품분류2526'!$A$7:$A$2532,0))),"")</f>
        <v/>
      </c>
      <c r="M107" s="6" t="str">
        <f>IFERROR(IF(INDEX('03_상품분류2526'!$W$7:$W$2532,MATCH(E107,'03_상품분류2526'!$A$7:$A$2532,0))="","",INDEX('03_상품분류2526'!$W$7:$W$2532,MATCH(E107,'03_상품분류2526'!$A$7:$A$2532,0))),"")</f>
        <v/>
      </c>
      <c r="N107" s="6" t="str">
        <f>IFERROR(IF(INDEX('03_상품분류2526'!$X$7:$X$2532,MATCH(E107,'03_상품분류2526'!$A$7:$A$2532,0))="","",INDEX('03_상품분류2526'!$X$7:$X$2532,MATCH(E107,'03_상품분류2526'!$A$7:$A$2532,0))),"")</f>
        <v/>
      </c>
      <c r="O107" s="6">
        <f>'02_선반315'!R75</f>
        <v>865</v>
      </c>
      <c r="P107" s="6">
        <f>'02_선반315'!T75</f>
        <v>220</v>
      </c>
      <c r="Q107" s="6">
        <f>'02_선반315'!U75</f>
        <v>200</v>
      </c>
      <c r="R107" s="6">
        <f>'02_선반315'!S75</f>
        <v>270</v>
      </c>
      <c r="S107" s="6" t="str">
        <f t="shared" si="2"/>
        <v/>
      </c>
      <c r="T107" s="6" t="str">
        <f t="shared" si="3"/>
        <v>입력 대기</v>
      </c>
      <c r="U107" s="6" t="s">
        <v>7509</v>
      </c>
      <c r="V107" s="6" t="s">
        <v>555</v>
      </c>
      <c r="W107" s="6" t="s">
        <v>648</v>
      </c>
    </row>
    <row r="108" spans="1:23" ht="33" customHeight="1">
      <c r="A108" s="6" t="s">
        <v>7612</v>
      </c>
      <c r="B108" s="6" t="s">
        <v>813</v>
      </c>
      <c r="C108" s="6" t="s">
        <v>153</v>
      </c>
      <c r="D108" s="6">
        <v>2</v>
      </c>
      <c r="E108" s="6" t="s">
        <v>815</v>
      </c>
      <c r="F108" s="6" t="str">
        <f>IFERROR(INDEX('03_상품분류2526'!$C$7:$C$2532,MATCH(E108,'03_상품분류2526'!$A$7:$A$2532,0)),"코드 확인")</f>
        <v>(리쥬올)PDRN리쥬비네이팅크림</v>
      </c>
      <c r="G108" s="6" t="str">
        <f>IFERROR(INDEX('03_상품분류2526'!$D$7:$D$2532,MATCH(E108,'03_상품분류2526'!$A$7:$A$2532,0)),"코드 확인")</f>
        <v>30mL</v>
      </c>
      <c r="H108" s="6" t="s">
        <v>7521</v>
      </c>
      <c r="I108" s="6" t="str">
        <f>IFERROR(INDEX('03_상품분류2526'!$M$7:$M$2532,MATCH(E108,'03_상품분류2526'!$A$7:$A$2532,0)),"코드 확인")</f>
        <v>A</v>
      </c>
      <c r="J108" s="6">
        <v>1</v>
      </c>
      <c r="K108" s="15">
        <v>1</v>
      </c>
      <c r="L108" s="6" t="str">
        <f>IFERROR(IF(INDEX('03_상품분류2526'!$V$7:$V$2532,MATCH(E108,'03_상품분류2526'!$A$7:$A$2532,0))="","",INDEX('03_상품분류2526'!$V$7:$V$2532,MATCH(E108,'03_상품분류2526'!$A$7:$A$2532,0))),"")</f>
        <v/>
      </c>
      <c r="M108" s="6" t="str">
        <f>IFERROR(IF(INDEX('03_상품분류2526'!$W$7:$W$2532,MATCH(E108,'03_상품분류2526'!$A$7:$A$2532,0))="","",INDEX('03_상품분류2526'!$W$7:$W$2532,MATCH(E108,'03_상품분류2526'!$A$7:$A$2532,0))),"")</f>
        <v/>
      </c>
      <c r="N108" s="6" t="str">
        <f>IFERROR(IF(INDEX('03_상품분류2526'!$X$7:$X$2532,MATCH(E108,'03_상품분류2526'!$A$7:$A$2532,0))="","",INDEX('03_상품분류2526'!$X$7:$X$2532,MATCH(E108,'03_상품분류2526'!$A$7:$A$2532,0))),"")</f>
        <v/>
      </c>
      <c r="O108" s="6">
        <f>'02_선반315'!R78</f>
        <v>865</v>
      </c>
      <c r="P108" s="6">
        <f>'02_선반315'!T78</f>
        <v>220</v>
      </c>
      <c r="Q108" s="6">
        <f>'02_선반315'!U78</f>
        <v>200</v>
      </c>
      <c r="R108" s="6">
        <f>'02_선반315'!S78</f>
        <v>270</v>
      </c>
      <c r="S108" s="6" t="str">
        <f t="shared" si="2"/>
        <v/>
      </c>
      <c r="T108" s="6" t="str">
        <f t="shared" si="3"/>
        <v>입력 대기</v>
      </c>
      <c r="U108" s="6" t="s">
        <v>7509</v>
      </c>
      <c r="V108" s="6" t="s">
        <v>555</v>
      </c>
      <c r="W108" s="6" t="s">
        <v>648</v>
      </c>
    </row>
    <row r="109" spans="1:23" ht="33" customHeight="1">
      <c r="A109" s="6" t="s">
        <v>7613</v>
      </c>
      <c r="B109" s="6" t="s">
        <v>817</v>
      </c>
      <c r="C109" s="6" t="s">
        <v>153</v>
      </c>
      <c r="D109" s="6">
        <v>3</v>
      </c>
      <c r="E109" s="6" t="s">
        <v>819</v>
      </c>
      <c r="F109" s="6" t="str">
        <f>IFERROR(INDEX('03_상품분류2526'!$C$7:$C$2532,MATCH(E109,'03_상품분류2526'!$A$7:$A$2532,0)),"코드 확인")</f>
        <v>리쥬비에스</v>
      </c>
      <c r="G109" s="6">
        <f>IFERROR(INDEX('03_상품분류2526'!$D$7:$D$2532,MATCH(E109,'03_상품분류2526'!$A$7:$A$2532,0)),"코드 확인")</f>
        <v>0</v>
      </c>
      <c r="H109" s="6" t="s">
        <v>7521</v>
      </c>
      <c r="I109" s="6" t="str">
        <f>IFERROR(INDEX('03_상품분류2526'!$M$7:$M$2532,MATCH(E109,'03_상품분류2526'!$A$7:$A$2532,0)),"코드 확인")</f>
        <v>A</v>
      </c>
      <c r="J109" s="6">
        <v>1</v>
      </c>
      <c r="K109" s="15">
        <v>1</v>
      </c>
      <c r="L109" s="6" t="str">
        <f>IFERROR(IF(INDEX('03_상품분류2526'!$V$7:$V$2532,MATCH(E109,'03_상품분류2526'!$A$7:$A$2532,0))="","",INDEX('03_상품분류2526'!$V$7:$V$2532,MATCH(E109,'03_상품분류2526'!$A$7:$A$2532,0))),"")</f>
        <v/>
      </c>
      <c r="M109" s="6" t="str">
        <f>IFERROR(IF(INDEX('03_상품분류2526'!$W$7:$W$2532,MATCH(E109,'03_상품분류2526'!$A$7:$A$2532,0))="","",INDEX('03_상품분류2526'!$W$7:$W$2532,MATCH(E109,'03_상품분류2526'!$A$7:$A$2532,0))),"")</f>
        <v/>
      </c>
      <c r="N109" s="6" t="str">
        <f>IFERROR(IF(INDEX('03_상품분류2526'!$X$7:$X$2532,MATCH(E109,'03_상품분류2526'!$A$7:$A$2532,0))="","",INDEX('03_상품분류2526'!$X$7:$X$2532,MATCH(E109,'03_상품분류2526'!$A$7:$A$2532,0))),"")</f>
        <v/>
      </c>
      <c r="O109" s="6">
        <f>'02_선반315'!R79</f>
        <v>865</v>
      </c>
      <c r="P109" s="6">
        <f>'02_선반315'!T79</f>
        <v>220</v>
      </c>
      <c r="Q109" s="6">
        <f>'02_선반315'!U79</f>
        <v>200</v>
      </c>
      <c r="R109" s="6">
        <f>'02_선반315'!S79</f>
        <v>270</v>
      </c>
      <c r="S109" s="6" t="str">
        <f t="shared" si="2"/>
        <v/>
      </c>
      <c r="T109" s="6" t="str">
        <f t="shared" si="3"/>
        <v>입력 대기</v>
      </c>
      <c r="U109" s="6" t="s">
        <v>7509</v>
      </c>
      <c r="V109" s="6" t="s">
        <v>555</v>
      </c>
      <c r="W109" s="6" t="s">
        <v>648</v>
      </c>
    </row>
    <row r="110" spans="1:23" ht="33" customHeight="1">
      <c r="A110" s="6" t="s">
        <v>7614</v>
      </c>
      <c r="B110" s="6" t="s">
        <v>821</v>
      </c>
      <c r="C110" s="6" t="s">
        <v>153</v>
      </c>
      <c r="D110" s="6">
        <v>4</v>
      </c>
      <c r="E110" s="6" t="s">
        <v>823</v>
      </c>
      <c r="F110" s="6" t="str">
        <f>IFERROR(INDEX('03_상품분류2526'!$C$7:$C$2532,MATCH(E110,'03_상품분류2526'!$A$7:$A$2532,0)),"코드 확인")</f>
        <v>리쥬란 턴오버 마스크</v>
      </c>
      <c r="G110" s="6" t="str">
        <f>IFERROR(INDEX('03_상품분류2526'!$D$7:$D$2532,MATCH(E110,'03_상품분류2526'!$A$7:$A$2532,0)),"코드 확인")</f>
        <v>40ml*5ea</v>
      </c>
      <c r="H110" s="6" t="s">
        <v>7521</v>
      </c>
      <c r="I110" s="6" t="str">
        <f>IFERROR(INDEX('03_상품분류2526'!$M$7:$M$2532,MATCH(E110,'03_상품분류2526'!$A$7:$A$2532,0)),"코드 확인")</f>
        <v>B</v>
      </c>
      <c r="J110" s="6">
        <v>1</v>
      </c>
      <c r="K110" s="15">
        <v>1</v>
      </c>
      <c r="L110" s="6" t="str">
        <f>IFERROR(IF(INDEX('03_상품분류2526'!$V$7:$V$2532,MATCH(E110,'03_상품분류2526'!$A$7:$A$2532,0))="","",INDEX('03_상품분류2526'!$V$7:$V$2532,MATCH(E110,'03_상품분류2526'!$A$7:$A$2532,0))),"")</f>
        <v/>
      </c>
      <c r="M110" s="6" t="str">
        <f>IFERROR(IF(INDEX('03_상품분류2526'!$W$7:$W$2532,MATCH(E110,'03_상품분류2526'!$A$7:$A$2532,0))="","",INDEX('03_상품분류2526'!$W$7:$W$2532,MATCH(E110,'03_상품분류2526'!$A$7:$A$2532,0))),"")</f>
        <v/>
      </c>
      <c r="N110" s="6" t="str">
        <f>IFERROR(IF(INDEX('03_상품분류2526'!$X$7:$X$2532,MATCH(E110,'03_상품분류2526'!$A$7:$A$2532,0))="","",INDEX('03_상품분류2526'!$X$7:$X$2532,MATCH(E110,'03_상품분류2526'!$A$7:$A$2532,0))),"")</f>
        <v/>
      </c>
      <c r="O110" s="6">
        <f>'02_선반315'!R80</f>
        <v>865</v>
      </c>
      <c r="P110" s="6">
        <f>'02_선반315'!T80</f>
        <v>220</v>
      </c>
      <c r="Q110" s="6">
        <f>'02_선반315'!U80</f>
        <v>200</v>
      </c>
      <c r="R110" s="6">
        <f>'02_선반315'!S80</f>
        <v>270</v>
      </c>
      <c r="S110" s="6" t="str">
        <f t="shared" si="2"/>
        <v/>
      </c>
      <c r="T110" s="6" t="str">
        <f t="shared" si="3"/>
        <v>입력 대기</v>
      </c>
      <c r="U110" s="6" t="s">
        <v>7509</v>
      </c>
      <c r="V110" s="6" t="s">
        <v>555</v>
      </c>
      <c r="W110" s="6" t="s">
        <v>648</v>
      </c>
    </row>
    <row r="111" spans="1:23" ht="33" customHeight="1">
      <c r="A111" s="6" t="s">
        <v>7615</v>
      </c>
      <c r="B111" s="6" t="s">
        <v>828</v>
      </c>
      <c r="C111" s="6" t="s">
        <v>158</v>
      </c>
      <c r="D111" s="6">
        <v>2</v>
      </c>
      <c r="E111" s="6" t="s">
        <v>830</v>
      </c>
      <c r="F111" s="6" t="str">
        <f>IFERROR(INDEX('03_상품분류2526'!$C$7:$C$2532,MATCH(E111,'03_상품분류2526'!$A$7:$A$2532,0)),"코드 확인")</f>
        <v>닥터리쥬올-세라마이드 베리어 크림</v>
      </c>
      <c r="G111" s="6" t="str">
        <f>IFERROR(INDEX('03_상품분류2526'!$D$7:$D$2532,MATCH(E111,'03_상품분류2526'!$A$7:$A$2532,0)),"코드 확인")</f>
        <v>90mL</v>
      </c>
      <c r="H111" s="6" t="s">
        <v>7521</v>
      </c>
      <c r="I111" s="6" t="str">
        <f>IFERROR(INDEX('03_상품분류2526'!$M$7:$M$2532,MATCH(E111,'03_상품분류2526'!$A$7:$A$2532,0)),"코드 확인")</f>
        <v>A</v>
      </c>
      <c r="J111" s="6">
        <v>1</v>
      </c>
      <c r="K111" s="15">
        <v>1</v>
      </c>
      <c r="L111" s="6" t="str">
        <f>IFERROR(IF(INDEX('03_상품분류2526'!$V$7:$V$2532,MATCH(E111,'03_상품분류2526'!$A$7:$A$2532,0))="","",INDEX('03_상품분류2526'!$V$7:$V$2532,MATCH(E111,'03_상품분류2526'!$A$7:$A$2532,0))),"")</f>
        <v/>
      </c>
      <c r="M111" s="6" t="str">
        <f>IFERROR(IF(INDEX('03_상품분류2526'!$W$7:$W$2532,MATCH(E111,'03_상품분류2526'!$A$7:$A$2532,0))="","",INDEX('03_상품분류2526'!$W$7:$W$2532,MATCH(E111,'03_상품분류2526'!$A$7:$A$2532,0))),"")</f>
        <v/>
      </c>
      <c r="N111" s="6" t="str">
        <f>IFERROR(IF(INDEX('03_상품분류2526'!$X$7:$X$2532,MATCH(E111,'03_상품분류2526'!$A$7:$A$2532,0))="","",INDEX('03_상품분류2526'!$X$7:$X$2532,MATCH(E111,'03_상품분류2526'!$A$7:$A$2532,0))),"")</f>
        <v/>
      </c>
      <c r="O111" s="6">
        <f>'02_선반315'!R83</f>
        <v>865</v>
      </c>
      <c r="P111" s="6">
        <f>'02_선반315'!T83</f>
        <v>220</v>
      </c>
      <c r="Q111" s="6">
        <f>'02_선반315'!U83</f>
        <v>200</v>
      </c>
      <c r="R111" s="6">
        <f>'02_선반315'!S83</f>
        <v>270</v>
      </c>
      <c r="S111" s="6" t="str">
        <f t="shared" si="2"/>
        <v/>
      </c>
      <c r="T111" s="6" t="str">
        <f t="shared" si="3"/>
        <v>입력 대기</v>
      </c>
      <c r="U111" s="6" t="s">
        <v>7509</v>
      </c>
      <c r="V111" s="6" t="s">
        <v>555</v>
      </c>
      <c r="W111" s="6" t="s">
        <v>648</v>
      </c>
    </row>
    <row r="112" spans="1:23" ht="33" customHeight="1">
      <c r="A112" s="6" t="s">
        <v>7616</v>
      </c>
      <c r="B112" s="6" t="s">
        <v>832</v>
      </c>
      <c r="C112" s="6" t="s">
        <v>158</v>
      </c>
      <c r="D112" s="6">
        <v>3</v>
      </c>
      <c r="E112" s="6" t="s">
        <v>834</v>
      </c>
      <c r="F112" s="6" t="str">
        <f>IFERROR(INDEX('03_상품분류2526'!$C$7:$C$2532,MATCH(E112,'03_상품분류2526'!$A$7:$A$2532,0)),"코드 확인")</f>
        <v>테카플러스포뮬러 페이셜 리페어 크림</v>
      </c>
      <c r="G112" s="6" t="str">
        <f>IFERROR(INDEX('03_상품분류2526'!$D$7:$D$2532,MATCH(E112,'03_상품분류2526'!$A$7:$A$2532,0)),"코드 확인")</f>
        <v>50ml</v>
      </c>
      <c r="H112" s="6" t="s">
        <v>7521</v>
      </c>
      <c r="I112" s="6" t="str">
        <f>IFERROR(INDEX('03_상품분류2526'!$M$7:$M$2532,MATCH(E112,'03_상품분류2526'!$A$7:$A$2532,0)),"코드 확인")</f>
        <v>A</v>
      </c>
      <c r="J112" s="6">
        <v>1</v>
      </c>
      <c r="K112" s="15">
        <v>1</v>
      </c>
      <c r="L112" s="6" t="str">
        <f>IFERROR(IF(INDEX('03_상품분류2526'!$V$7:$V$2532,MATCH(E112,'03_상품분류2526'!$A$7:$A$2532,0))="","",INDEX('03_상품분류2526'!$V$7:$V$2532,MATCH(E112,'03_상품분류2526'!$A$7:$A$2532,0))),"")</f>
        <v/>
      </c>
      <c r="M112" s="6" t="str">
        <f>IFERROR(IF(INDEX('03_상품분류2526'!$W$7:$W$2532,MATCH(E112,'03_상품분류2526'!$A$7:$A$2532,0))="","",INDEX('03_상품분류2526'!$W$7:$W$2532,MATCH(E112,'03_상품분류2526'!$A$7:$A$2532,0))),"")</f>
        <v/>
      </c>
      <c r="N112" s="6" t="str">
        <f>IFERROR(IF(INDEX('03_상품분류2526'!$X$7:$X$2532,MATCH(E112,'03_상품분류2526'!$A$7:$A$2532,0))="","",INDEX('03_상품분류2526'!$X$7:$X$2532,MATCH(E112,'03_상품분류2526'!$A$7:$A$2532,0))),"")</f>
        <v/>
      </c>
      <c r="O112" s="6">
        <f>'02_선반315'!R84</f>
        <v>865</v>
      </c>
      <c r="P112" s="6">
        <f>'02_선반315'!T84</f>
        <v>220</v>
      </c>
      <c r="Q112" s="6">
        <f>'02_선반315'!U84</f>
        <v>200</v>
      </c>
      <c r="R112" s="6">
        <f>'02_선반315'!S84</f>
        <v>270</v>
      </c>
      <c r="S112" s="6" t="str">
        <f t="shared" si="2"/>
        <v/>
      </c>
      <c r="T112" s="6" t="str">
        <f t="shared" si="3"/>
        <v>입력 대기</v>
      </c>
      <c r="U112" s="6" t="s">
        <v>7509</v>
      </c>
      <c r="V112" s="6" t="s">
        <v>555</v>
      </c>
      <c r="W112" s="6" t="s">
        <v>648</v>
      </c>
    </row>
    <row r="113" spans="1:23" ht="33" customHeight="1">
      <c r="A113" s="6" t="s">
        <v>7617</v>
      </c>
      <c r="B113" s="6" t="s">
        <v>836</v>
      </c>
      <c r="C113" s="6" t="s">
        <v>158</v>
      </c>
      <c r="D113" s="6">
        <v>4</v>
      </c>
      <c r="E113" s="6" t="s">
        <v>838</v>
      </c>
      <c r="F113" s="6" t="str">
        <f>IFERROR(INDEX('03_상품분류2526'!$C$7:$C$2532,MATCH(E113,'03_상품분류2526'!$A$7:$A$2532,0)),"코드 확인")</f>
        <v>비플레인 아쿠아 퓨어 히알루로닉 크림</v>
      </c>
      <c r="G113" s="6" t="str">
        <f>IFERROR(INDEX('03_상품분류2526'!$D$7:$D$2532,MATCH(E113,'03_상품분류2526'!$A$7:$A$2532,0)),"코드 확인")</f>
        <v>70ml</v>
      </c>
      <c r="H113" s="6" t="s">
        <v>7521</v>
      </c>
      <c r="I113" s="6" t="str">
        <f>IFERROR(INDEX('03_상품분류2526'!$M$7:$M$2532,MATCH(E113,'03_상품분류2526'!$A$7:$A$2532,0)),"코드 확인")</f>
        <v>B</v>
      </c>
      <c r="J113" s="6">
        <v>1</v>
      </c>
      <c r="K113" s="15">
        <v>1</v>
      </c>
      <c r="L113" s="6" t="str">
        <f>IFERROR(IF(INDEX('03_상품분류2526'!$V$7:$V$2532,MATCH(E113,'03_상품분류2526'!$A$7:$A$2532,0))="","",INDEX('03_상품분류2526'!$V$7:$V$2532,MATCH(E113,'03_상품분류2526'!$A$7:$A$2532,0))),"")</f>
        <v/>
      </c>
      <c r="M113" s="6" t="str">
        <f>IFERROR(IF(INDEX('03_상품분류2526'!$W$7:$W$2532,MATCH(E113,'03_상품분류2526'!$A$7:$A$2532,0))="","",INDEX('03_상품분류2526'!$W$7:$W$2532,MATCH(E113,'03_상품분류2526'!$A$7:$A$2532,0))),"")</f>
        <v/>
      </c>
      <c r="N113" s="6" t="str">
        <f>IFERROR(IF(INDEX('03_상품분류2526'!$X$7:$X$2532,MATCH(E113,'03_상품분류2526'!$A$7:$A$2532,0))="","",INDEX('03_상품분류2526'!$X$7:$X$2532,MATCH(E113,'03_상품분류2526'!$A$7:$A$2532,0))),"")</f>
        <v/>
      </c>
      <c r="O113" s="6">
        <f>'02_선반315'!R85</f>
        <v>865</v>
      </c>
      <c r="P113" s="6">
        <f>'02_선반315'!T85</f>
        <v>220</v>
      </c>
      <c r="Q113" s="6">
        <f>'02_선반315'!U85</f>
        <v>200</v>
      </c>
      <c r="R113" s="6">
        <f>'02_선반315'!S85</f>
        <v>270</v>
      </c>
      <c r="S113" s="6" t="str">
        <f t="shared" si="2"/>
        <v/>
      </c>
      <c r="T113" s="6" t="str">
        <f t="shared" si="3"/>
        <v>입력 대기</v>
      </c>
      <c r="U113" s="6" t="s">
        <v>7509</v>
      </c>
      <c r="V113" s="6" t="s">
        <v>555</v>
      </c>
      <c r="W113" s="6" t="s">
        <v>648</v>
      </c>
    </row>
    <row r="114" spans="1:23" ht="33" customHeight="1">
      <c r="A114" s="6" t="s">
        <v>7618</v>
      </c>
      <c r="B114" s="6" t="s">
        <v>843</v>
      </c>
      <c r="C114" s="6" t="s">
        <v>164</v>
      </c>
      <c r="D114" s="6">
        <v>2</v>
      </c>
      <c r="E114" s="6" t="s">
        <v>845</v>
      </c>
      <c r="F114" s="6" t="str">
        <f>IFERROR(INDEX('03_상품분류2526'!$C$7:$C$2532,MATCH(E114,'03_상품분류2526'!$A$7:$A$2532,0)),"코드 확인")</f>
        <v>톰 CPR 트리플 시너지 링클케어 세럼 (30ml)</v>
      </c>
      <c r="G114" s="6" t="str">
        <f>IFERROR(INDEX('03_상품분류2526'!$D$7:$D$2532,MATCH(E114,'03_상품분류2526'!$A$7:$A$2532,0)),"코드 확인")</f>
        <v>30ml</v>
      </c>
      <c r="H114" s="6" t="s">
        <v>7508</v>
      </c>
      <c r="I114" s="6" t="str">
        <f>IFERROR(INDEX('03_상품분류2526'!$M$7:$M$2532,MATCH(E114,'03_상품분류2526'!$A$7:$A$2532,0)),"코드 확인")</f>
        <v>T</v>
      </c>
      <c r="J114" s="6">
        <v>1</v>
      </c>
      <c r="K114" s="15">
        <v>1</v>
      </c>
      <c r="L114" s="6" t="str">
        <f>IFERROR(IF(INDEX('03_상품분류2526'!$V$7:$V$2532,MATCH(E114,'03_상품분류2526'!$A$7:$A$2532,0))="","",INDEX('03_상품분류2526'!$V$7:$V$2532,MATCH(E114,'03_상품분류2526'!$A$7:$A$2532,0))),"")</f>
        <v/>
      </c>
      <c r="M114" s="6" t="str">
        <f>IFERROR(IF(INDEX('03_상품분류2526'!$W$7:$W$2532,MATCH(E114,'03_상품분류2526'!$A$7:$A$2532,0))="","",INDEX('03_상품분류2526'!$W$7:$W$2532,MATCH(E114,'03_상품분류2526'!$A$7:$A$2532,0))),"")</f>
        <v/>
      </c>
      <c r="N114" s="6" t="str">
        <f>IFERROR(IF(INDEX('03_상품분류2526'!$X$7:$X$2532,MATCH(E114,'03_상품분류2526'!$A$7:$A$2532,0))="","",INDEX('03_상품분류2526'!$X$7:$X$2532,MATCH(E114,'03_상품분류2526'!$A$7:$A$2532,0))),"")</f>
        <v/>
      </c>
      <c r="O114" s="6">
        <f>'02_선반315'!R88</f>
        <v>865</v>
      </c>
      <c r="P114" s="6">
        <f>'02_선반315'!T88</f>
        <v>220</v>
      </c>
      <c r="Q114" s="6">
        <f>'02_선반315'!U88</f>
        <v>200</v>
      </c>
      <c r="R114" s="6">
        <f>'02_선반315'!S88</f>
        <v>270</v>
      </c>
      <c r="S114" s="6" t="str">
        <f t="shared" si="2"/>
        <v/>
      </c>
      <c r="T114" s="6" t="str">
        <f t="shared" si="3"/>
        <v>입력 대기</v>
      </c>
      <c r="U114" s="6" t="s">
        <v>7509</v>
      </c>
      <c r="V114" s="6" t="s">
        <v>555</v>
      </c>
      <c r="W114" s="6" t="s">
        <v>648</v>
      </c>
    </row>
    <row r="115" spans="1:23" ht="33" customHeight="1">
      <c r="A115" s="6" t="s">
        <v>7619</v>
      </c>
      <c r="B115" s="6" t="s">
        <v>848</v>
      </c>
      <c r="C115" s="6" t="s">
        <v>164</v>
      </c>
      <c r="D115" s="6">
        <v>3</v>
      </c>
      <c r="E115" s="6" t="s">
        <v>850</v>
      </c>
      <c r="F115" s="6" t="str">
        <f>IFERROR(INDEX('03_상품분류2526'!$C$7:$C$2532,MATCH(E115,'03_상품분류2526'!$A$7:$A$2532,0)),"코드 확인")</f>
        <v>톰 NMN 10X 포텐좀 모공 리프팅 세럼 (30ml)</v>
      </c>
      <c r="G115" s="6" t="str">
        <f>IFERROR(INDEX('03_상품분류2526'!$D$7:$D$2532,MATCH(E115,'03_상품분류2526'!$A$7:$A$2532,0)),"코드 확인")</f>
        <v>30ml</v>
      </c>
      <c r="H115" s="6" t="s">
        <v>7508</v>
      </c>
      <c r="I115" s="6" t="str">
        <f>IFERROR(INDEX('03_상품분류2526'!$M$7:$M$2532,MATCH(E115,'03_상품분류2526'!$A$7:$A$2532,0)),"코드 확인")</f>
        <v>T</v>
      </c>
      <c r="J115" s="6">
        <v>1</v>
      </c>
      <c r="K115" s="15">
        <v>1</v>
      </c>
      <c r="L115" s="6" t="str">
        <f>IFERROR(IF(INDEX('03_상품분류2526'!$V$7:$V$2532,MATCH(E115,'03_상품분류2526'!$A$7:$A$2532,0))="","",INDEX('03_상품분류2526'!$V$7:$V$2532,MATCH(E115,'03_상품분류2526'!$A$7:$A$2532,0))),"")</f>
        <v/>
      </c>
      <c r="M115" s="6" t="str">
        <f>IFERROR(IF(INDEX('03_상품분류2526'!$W$7:$W$2532,MATCH(E115,'03_상품분류2526'!$A$7:$A$2532,0))="","",INDEX('03_상품분류2526'!$W$7:$W$2532,MATCH(E115,'03_상품분류2526'!$A$7:$A$2532,0))),"")</f>
        <v/>
      </c>
      <c r="N115" s="6" t="str">
        <f>IFERROR(IF(INDEX('03_상품분류2526'!$X$7:$X$2532,MATCH(E115,'03_상품분류2526'!$A$7:$A$2532,0))="","",INDEX('03_상품분류2526'!$X$7:$X$2532,MATCH(E115,'03_상품분류2526'!$A$7:$A$2532,0))),"")</f>
        <v/>
      </c>
      <c r="O115" s="6">
        <f>'02_선반315'!R89</f>
        <v>865</v>
      </c>
      <c r="P115" s="6">
        <f>'02_선반315'!T89</f>
        <v>220</v>
      </c>
      <c r="Q115" s="6">
        <f>'02_선반315'!U89</f>
        <v>200</v>
      </c>
      <c r="R115" s="6">
        <f>'02_선반315'!S89</f>
        <v>270</v>
      </c>
      <c r="S115" s="6" t="str">
        <f t="shared" si="2"/>
        <v/>
      </c>
      <c r="T115" s="6" t="str">
        <f t="shared" si="3"/>
        <v>입력 대기</v>
      </c>
      <c r="U115" s="6" t="s">
        <v>7509</v>
      </c>
      <c r="V115" s="6" t="s">
        <v>555</v>
      </c>
      <c r="W115" s="6" t="s">
        <v>648</v>
      </c>
    </row>
    <row r="116" spans="1:23" ht="33" customHeight="1">
      <c r="A116" s="6" t="s">
        <v>7620</v>
      </c>
      <c r="B116" s="6" t="s">
        <v>852</v>
      </c>
      <c r="C116" s="6" t="s">
        <v>164</v>
      </c>
      <c r="D116" s="6">
        <v>4</v>
      </c>
      <c r="E116" s="6" t="s">
        <v>854</v>
      </c>
      <c r="F116" s="6" t="str">
        <f>IFERROR(INDEX('03_상품분류2526'!$C$7:$C$2532,MATCH(E116,'03_상품분류2526'!$A$7:$A$2532,0)),"코드 확인")</f>
        <v>톰 NMN 10X 포텐좀 모공 리프팅 크림 (60ml)</v>
      </c>
      <c r="G116" s="6" t="str">
        <f>IFERROR(INDEX('03_상품분류2526'!$D$7:$D$2532,MATCH(E116,'03_상품분류2526'!$A$7:$A$2532,0)),"코드 확인")</f>
        <v>60ml</v>
      </c>
      <c r="H116" s="6" t="s">
        <v>7508</v>
      </c>
      <c r="I116" s="6" t="str">
        <f>IFERROR(INDEX('03_상품분류2526'!$M$7:$M$2532,MATCH(E116,'03_상품분류2526'!$A$7:$A$2532,0)),"코드 확인")</f>
        <v>T</v>
      </c>
      <c r="J116" s="6">
        <v>1</v>
      </c>
      <c r="K116" s="15">
        <v>1</v>
      </c>
      <c r="L116" s="6" t="str">
        <f>IFERROR(IF(INDEX('03_상품분류2526'!$V$7:$V$2532,MATCH(E116,'03_상품분류2526'!$A$7:$A$2532,0))="","",INDEX('03_상품분류2526'!$V$7:$V$2532,MATCH(E116,'03_상품분류2526'!$A$7:$A$2532,0))),"")</f>
        <v/>
      </c>
      <c r="M116" s="6" t="str">
        <f>IFERROR(IF(INDEX('03_상품분류2526'!$W$7:$W$2532,MATCH(E116,'03_상품분류2526'!$A$7:$A$2532,0))="","",INDEX('03_상품분류2526'!$W$7:$W$2532,MATCH(E116,'03_상품분류2526'!$A$7:$A$2532,0))),"")</f>
        <v/>
      </c>
      <c r="N116" s="6" t="str">
        <f>IFERROR(IF(INDEX('03_상품분류2526'!$X$7:$X$2532,MATCH(E116,'03_상품분류2526'!$A$7:$A$2532,0))="","",INDEX('03_상품분류2526'!$X$7:$X$2532,MATCH(E116,'03_상품분류2526'!$A$7:$A$2532,0))),"")</f>
        <v/>
      </c>
      <c r="O116" s="6">
        <f>'02_선반315'!R90</f>
        <v>865</v>
      </c>
      <c r="P116" s="6">
        <f>'02_선반315'!T90</f>
        <v>220</v>
      </c>
      <c r="Q116" s="6">
        <f>'02_선반315'!U90</f>
        <v>200</v>
      </c>
      <c r="R116" s="6">
        <f>'02_선반315'!S90</f>
        <v>270</v>
      </c>
      <c r="S116" s="6" t="str">
        <f t="shared" si="2"/>
        <v/>
      </c>
      <c r="T116" s="6" t="str">
        <f t="shared" si="3"/>
        <v>입력 대기</v>
      </c>
      <c r="U116" s="6" t="s">
        <v>7509</v>
      </c>
      <c r="V116" s="6" t="s">
        <v>555</v>
      </c>
      <c r="W116" s="6" t="s">
        <v>648</v>
      </c>
    </row>
    <row r="117" spans="1:23" ht="33" customHeight="1">
      <c r="A117" s="6" t="s">
        <v>7621</v>
      </c>
      <c r="B117" s="6" t="s">
        <v>860</v>
      </c>
      <c r="C117" s="6" t="s">
        <v>173</v>
      </c>
      <c r="D117" s="6">
        <v>2</v>
      </c>
      <c r="E117" s="6" t="s">
        <v>5760</v>
      </c>
      <c r="F117" s="6" t="str">
        <f>IFERROR(INDEX('03_상품분류2526'!$C$7:$C$2532,MATCH(E117,'03_상품분류2526'!$A$7:$A$2532,0)),"코드 확인")</f>
        <v>애크린 겔</v>
      </c>
      <c r="G117" s="6" t="str">
        <f>IFERROR(INDEX('03_상품분류2526'!$D$7:$D$2532,MATCH(E117,'03_상품분류2526'!$A$7:$A$2532,0)),"코드 확인")</f>
        <v>20g</v>
      </c>
      <c r="H117" s="6" t="s">
        <v>7508</v>
      </c>
      <c r="I117" s="6" t="str">
        <f>IFERROR(INDEX('03_상품분류2526'!$M$7:$M$2532,MATCH(E117,'03_상품분류2526'!$A$7:$A$2532,0)),"코드 확인")</f>
        <v>A</v>
      </c>
      <c r="J117" s="6">
        <v>1</v>
      </c>
      <c r="K117" s="15">
        <v>2</v>
      </c>
      <c r="L117" s="6" t="str">
        <f>IFERROR(IF(INDEX('03_상품분류2526'!$V$7:$V$2532,MATCH(E117,'03_상품분류2526'!$A$7:$A$2532,0))="","",INDEX('03_상품분류2526'!$V$7:$V$2532,MATCH(E117,'03_상품분류2526'!$A$7:$A$2532,0))),"")</f>
        <v/>
      </c>
      <c r="M117" s="6" t="str">
        <f>IFERROR(IF(INDEX('03_상품분류2526'!$W$7:$W$2532,MATCH(E117,'03_상품분류2526'!$A$7:$A$2532,0))="","",INDEX('03_상품분류2526'!$W$7:$W$2532,MATCH(E117,'03_상품분류2526'!$A$7:$A$2532,0))),"")</f>
        <v/>
      </c>
      <c r="N117" s="6" t="str">
        <f>IFERROR(IF(INDEX('03_상품분류2526'!$X$7:$X$2532,MATCH(E117,'03_상품분류2526'!$A$7:$A$2532,0))="","",INDEX('03_상품분류2526'!$X$7:$X$2532,MATCH(E117,'03_상품분류2526'!$A$7:$A$2532,0))),"")</f>
        <v/>
      </c>
      <c r="O117" s="6">
        <f>'02_선반315'!R93</f>
        <v>865</v>
      </c>
      <c r="P117" s="6">
        <f>'02_선반315'!T93</f>
        <v>220</v>
      </c>
      <c r="Q117" s="6">
        <f>'02_선반315'!U93</f>
        <v>200</v>
      </c>
      <c r="R117" s="6">
        <f>'02_선반315'!S93</f>
        <v>270</v>
      </c>
      <c r="S117" s="6" t="str">
        <f t="shared" si="2"/>
        <v/>
      </c>
      <c r="T117" s="6" t="str">
        <f t="shared" si="3"/>
        <v>입력 대기</v>
      </c>
      <c r="U117" s="6" t="s">
        <v>7509</v>
      </c>
      <c r="V117" s="6" t="s">
        <v>555</v>
      </c>
      <c r="W117" s="6" t="s">
        <v>859</v>
      </c>
    </row>
    <row r="118" spans="1:23" ht="33" customHeight="1">
      <c r="A118" s="6" t="s">
        <v>7622</v>
      </c>
      <c r="B118" s="6" t="s">
        <v>860</v>
      </c>
      <c r="C118" s="6" t="s">
        <v>173</v>
      </c>
      <c r="D118" s="6">
        <v>2</v>
      </c>
      <c r="E118" s="6" t="s">
        <v>5791</v>
      </c>
      <c r="F118" s="6" t="str">
        <f>IFERROR(INDEX('03_상품분류2526'!$C$7:$C$2532,MATCH(E118,'03_상품분류2526'!$A$7:$A$2532,0)),"코드 확인")</f>
        <v>클리어틴외용액2%</v>
      </c>
      <c r="G118" s="6" t="str">
        <f>IFERROR(INDEX('03_상품분류2526'!$D$7:$D$2532,MATCH(E118,'03_상품분류2526'!$A$7:$A$2532,0)),"코드 확인")</f>
        <v>30mL</v>
      </c>
      <c r="H118" s="6" t="s">
        <v>7508</v>
      </c>
      <c r="I118" s="6" t="str">
        <f>IFERROR(INDEX('03_상품분류2526'!$M$7:$M$2532,MATCH(E118,'03_상품분류2526'!$A$7:$A$2532,0)),"코드 확인")</f>
        <v>A</v>
      </c>
      <c r="J118" s="6">
        <v>2</v>
      </c>
      <c r="K118" s="15">
        <v>1</v>
      </c>
      <c r="L118" s="6" t="str">
        <f>IFERROR(IF(INDEX('03_상품분류2526'!$V$7:$V$2532,MATCH(E118,'03_상품분류2526'!$A$7:$A$2532,0))="","",INDEX('03_상품분류2526'!$V$7:$V$2532,MATCH(E118,'03_상품분류2526'!$A$7:$A$2532,0))),"")</f>
        <v/>
      </c>
      <c r="M118" s="6" t="str">
        <f>IFERROR(IF(INDEX('03_상품분류2526'!$W$7:$W$2532,MATCH(E118,'03_상품분류2526'!$A$7:$A$2532,0))="","",INDEX('03_상품분류2526'!$W$7:$W$2532,MATCH(E118,'03_상품분류2526'!$A$7:$A$2532,0))),"")</f>
        <v/>
      </c>
      <c r="N118" s="6" t="str">
        <f>IFERROR(IF(INDEX('03_상품분류2526'!$X$7:$X$2532,MATCH(E118,'03_상품분류2526'!$A$7:$A$2532,0))="","",INDEX('03_상품분류2526'!$X$7:$X$2532,MATCH(E118,'03_상품분류2526'!$A$7:$A$2532,0))),"")</f>
        <v/>
      </c>
      <c r="O118" s="6">
        <f>'02_선반315'!R93</f>
        <v>865</v>
      </c>
      <c r="P118" s="6">
        <f>'02_선반315'!T93</f>
        <v>220</v>
      </c>
      <c r="Q118" s="6">
        <f>'02_선반315'!U93</f>
        <v>200</v>
      </c>
      <c r="R118" s="6">
        <f>'02_선반315'!S93</f>
        <v>270</v>
      </c>
      <c r="S118" s="6" t="str">
        <f t="shared" si="2"/>
        <v/>
      </c>
      <c r="T118" s="6" t="str">
        <f t="shared" si="3"/>
        <v>입력 대기</v>
      </c>
      <c r="U118" s="6" t="s">
        <v>7509</v>
      </c>
      <c r="V118" s="6" t="s">
        <v>555</v>
      </c>
      <c r="W118" s="6" t="s">
        <v>859</v>
      </c>
    </row>
    <row r="119" spans="1:23" ht="33" customHeight="1">
      <c r="A119" s="6" t="s">
        <v>7623</v>
      </c>
      <c r="B119" s="6" t="s">
        <v>864</v>
      </c>
      <c r="C119" s="6" t="s">
        <v>173</v>
      </c>
      <c r="D119" s="6">
        <v>3</v>
      </c>
      <c r="E119" s="6" t="s">
        <v>5798</v>
      </c>
      <c r="F119" s="6" t="str">
        <f>IFERROR(INDEX('03_상품분류2526'!$C$7:$C$2532,MATCH(E119,'03_상품분류2526'!$A$7:$A$2532,0)),"코드 확인")</f>
        <v>애크논 크림</v>
      </c>
      <c r="G119" s="6" t="str">
        <f>IFERROR(INDEX('03_상품분류2526'!$D$7:$D$2532,MATCH(E119,'03_상품분류2526'!$A$7:$A$2532,0)),"코드 확인")</f>
        <v>13g</v>
      </c>
      <c r="H119" s="6" t="s">
        <v>7508</v>
      </c>
      <c r="I119" s="6" t="str">
        <f>IFERROR(INDEX('03_상품분류2526'!$M$7:$M$2532,MATCH(E119,'03_상품분류2526'!$A$7:$A$2532,0)),"코드 확인")</f>
        <v>A</v>
      </c>
      <c r="J119" s="6">
        <v>1</v>
      </c>
      <c r="K119" s="15">
        <v>2</v>
      </c>
      <c r="L119" s="6" t="str">
        <f>IFERROR(IF(INDEX('03_상품분류2526'!$V$7:$V$2532,MATCH(E119,'03_상품분류2526'!$A$7:$A$2532,0))="","",INDEX('03_상품분류2526'!$V$7:$V$2532,MATCH(E119,'03_상품분류2526'!$A$7:$A$2532,0))),"")</f>
        <v/>
      </c>
      <c r="M119" s="6" t="str">
        <f>IFERROR(IF(INDEX('03_상품분류2526'!$W$7:$W$2532,MATCH(E119,'03_상품분류2526'!$A$7:$A$2532,0))="","",INDEX('03_상품분류2526'!$W$7:$W$2532,MATCH(E119,'03_상품분류2526'!$A$7:$A$2532,0))),"")</f>
        <v/>
      </c>
      <c r="N119" s="6" t="str">
        <f>IFERROR(IF(INDEX('03_상품분류2526'!$X$7:$X$2532,MATCH(E119,'03_상품분류2526'!$A$7:$A$2532,0))="","",INDEX('03_상품분류2526'!$X$7:$X$2532,MATCH(E119,'03_상품분류2526'!$A$7:$A$2532,0))),"")</f>
        <v/>
      </c>
      <c r="O119" s="6">
        <f>'02_선반315'!R94</f>
        <v>865</v>
      </c>
      <c r="P119" s="6">
        <f>'02_선반315'!T94</f>
        <v>220</v>
      </c>
      <c r="Q119" s="6">
        <f>'02_선반315'!U94</f>
        <v>200</v>
      </c>
      <c r="R119" s="6">
        <f>'02_선반315'!S94</f>
        <v>270</v>
      </c>
      <c r="S119" s="6" t="str">
        <f t="shared" si="2"/>
        <v/>
      </c>
      <c r="T119" s="6" t="str">
        <f t="shared" si="3"/>
        <v>입력 대기</v>
      </c>
      <c r="U119" s="6" t="s">
        <v>7509</v>
      </c>
      <c r="V119" s="6" t="s">
        <v>555</v>
      </c>
      <c r="W119" s="6" t="s">
        <v>859</v>
      </c>
    </row>
    <row r="120" spans="1:23" ht="33" customHeight="1">
      <c r="A120" s="6" t="s">
        <v>7624</v>
      </c>
      <c r="B120" s="6" t="s">
        <v>864</v>
      </c>
      <c r="C120" s="6" t="s">
        <v>173</v>
      </c>
      <c r="D120" s="6">
        <v>3</v>
      </c>
      <c r="E120" s="6" t="s">
        <v>5732</v>
      </c>
      <c r="F120" s="6" t="str">
        <f>IFERROR(INDEX('03_상품분류2526'!$C$7:$C$2532,MATCH(E120,'03_상품분류2526'!$A$7:$A$2532,0)),"코드 확인")</f>
        <v>큐아크네플러스크림</v>
      </c>
      <c r="G120" s="6" t="str">
        <f>IFERROR(INDEX('03_상품분류2526'!$D$7:$D$2532,MATCH(E120,'03_상품분류2526'!$A$7:$A$2532,0)),"코드 확인")</f>
        <v>15g</v>
      </c>
      <c r="H120" s="6" t="s">
        <v>7508</v>
      </c>
      <c r="I120" s="6" t="str">
        <f>IFERROR(INDEX('03_상품분류2526'!$M$7:$M$2532,MATCH(E120,'03_상품분류2526'!$A$7:$A$2532,0)),"코드 확인")</f>
        <v>B</v>
      </c>
      <c r="J120" s="6">
        <v>2</v>
      </c>
      <c r="K120" s="15">
        <v>1</v>
      </c>
      <c r="L120" s="6" t="str">
        <f>IFERROR(IF(INDEX('03_상품분류2526'!$V$7:$V$2532,MATCH(E120,'03_상품분류2526'!$A$7:$A$2532,0))="","",INDEX('03_상품분류2526'!$V$7:$V$2532,MATCH(E120,'03_상품분류2526'!$A$7:$A$2532,0))),"")</f>
        <v/>
      </c>
      <c r="M120" s="6" t="str">
        <f>IFERROR(IF(INDEX('03_상품분류2526'!$W$7:$W$2532,MATCH(E120,'03_상품분류2526'!$A$7:$A$2532,0))="","",INDEX('03_상품분류2526'!$W$7:$W$2532,MATCH(E120,'03_상품분류2526'!$A$7:$A$2532,0))),"")</f>
        <v/>
      </c>
      <c r="N120" s="6" t="str">
        <f>IFERROR(IF(INDEX('03_상품분류2526'!$X$7:$X$2532,MATCH(E120,'03_상품분류2526'!$A$7:$A$2532,0))="","",INDEX('03_상품분류2526'!$X$7:$X$2532,MATCH(E120,'03_상품분류2526'!$A$7:$A$2532,0))),"")</f>
        <v/>
      </c>
      <c r="O120" s="6">
        <f>'02_선반315'!R94</f>
        <v>865</v>
      </c>
      <c r="P120" s="6">
        <f>'02_선반315'!T94</f>
        <v>220</v>
      </c>
      <c r="Q120" s="6">
        <f>'02_선반315'!U94</f>
        <v>200</v>
      </c>
      <c r="R120" s="6">
        <f>'02_선반315'!S94</f>
        <v>270</v>
      </c>
      <c r="S120" s="6" t="str">
        <f t="shared" si="2"/>
        <v/>
      </c>
      <c r="T120" s="6" t="str">
        <f t="shared" si="3"/>
        <v>입력 대기</v>
      </c>
      <c r="U120" s="6" t="s">
        <v>7509</v>
      </c>
      <c r="V120" s="6" t="s">
        <v>555</v>
      </c>
      <c r="W120" s="6" t="s">
        <v>859</v>
      </c>
    </row>
    <row r="121" spans="1:23" ht="33" customHeight="1">
      <c r="A121" s="6" t="s">
        <v>7625</v>
      </c>
      <c r="B121" s="6" t="s">
        <v>869</v>
      </c>
      <c r="C121" s="6" t="s">
        <v>173</v>
      </c>
      <c r="D121" s="6">
        <v>4</v>
      </c>
      <c r="E121" s="6" t="s">
        <v>5793</v>
      </c>
      <c r="F121" s="6" t="str">
        <f>IFERROR(INDEX('03_상품분류2526'!$C$7:$C$2532,MATCH(E121,'03_상품분류2526'!$A$7:$A$2532,0)),"코드 확인")</f>
        <v>파티마겔2.5%</v>
      </c>
      <c r="G121" s="6" t="str">
        <f>IFERROR(INDEX('03_상품분류2526'!$D$7:$D$2532,MATCH(E121,'03_상품분류2526'!$A$7:$A$2532,0)),"코드 확인")</f>
        <v>30g</v>
      </c>
      <c r="H121" s="6" t="s">
        <v>7508</v>
      </c>
      <c r="I121" s="6" t="str">
        <f>IFERROR(INDEX('03_상품분류2526'!$M$7:$M$2532,MATCH(E121,'03_상품분류2526'!$A$7:$A$2532,0)),"코드 확인")</f>
        <v>B</v>
      </c>
      <c r="J121" s="6">
        <v>1</v>
      </c>
      <c r="K121" s="15">
        <v>1</v>
      </c>
      <c r="L121" s="6" t="str">
        <f>IFERROR(IF(INDEX('03_상품분류2526'!$V$7:$V$2532,MATCH(E121,'03_상품분류2526'!$A$7:$A$2532,0))="","",INDEX('03_상품분류2526'!$V$7:$V$2532,MATCH(E121,'03_상품분류2526'!$A$7:$A$2532,0))),"")</f>
        <v/>
      </c>
      <c r="M121" s="6" t="str">
        <f>IFERROR(IF(INDEX('03_상품분류2526'!$W$7:$W$2532,MATCH(E121,'03_상품분류2526'!$A$7:$A$2532,0))="","",INDEX('03_상품분류2526'!$W$7:$W$2532,MATCH(E121,'03_상품분류2526'!$A$7:$A$2532,0))),"")</f>
        <v/>
      </c>
      <c r="N121" s="6" t="str">
        <f>IFERROR(IF(INDEX('03_상품분류2526'!$X$7:$X$2532,MATCH(E121,'03_상품분류2526'!$A$7:$A$2532,0))="","",INDEX('03_상품분류2526'!$X$7:$X$2532,MATCH(E121,'03_상품분류2526'!$A$7:$A$2532,0))),"")</f>
        <v/>
      </c>
      <c r="O121" s="6">
        <f>'02_선반315'!R95</f>
        <v>865</v>
      </c>
      <c r="P121" s="6">
        <f>'02_선반315'!T95</f>
        <v>220</v>
      </c>
      <c r="Q121" s="6">
        <f>'02_선반315'!U95</f>
        <v>200</v>
      </c>
      <c r="R121" s="6">
        <f>'02_선반315'!S95</f>
        <v>270</v>
      </c>
      <c r="S121" s="6" t="str">
        <f t="shared" si="2"/>
        <v/>
      </c>
      <c r="T121" s="6" t="str">
        <f t="shared" si="3"/>
        <v>입력 대기</v>
      </c>
      <c r="U121" s="6" t="s">
        <v>7509</v>
      </c>
      <c r="V121" s="6" t="s">
        <v>555</v>
      </c>
      <c r="W121" s="6" t="s">
        <v>859</v>
      </c>
    </row>
    <row r="122" spans="1:23" ht="33" customHeight="1">
      <c r="A122" s="6" t="s">
        <v>7626</v>
      </c>
      <c r="B122" s="6" t="s">
        <v>869</v>
      </c>
      <c r="C122" s="6" t="s">
        <v>173</v>
      </c>
      <c r="D122" s="6">
        <v>4</v>
      </c>
      <c r="E122" s="6" t="s">
        <v>6879</v>
      </c>
      <c r="F122" s="6" t="str">
        <f>IFERROR(INDEX('03_상품분류2526'!$C$7:$C$2532,MATCH(E122,'03_상품분류2526'!$A$7:$A$2532,0)),"코드 확인")</f>
        <v>아젤리아크림</v>
      </c>
      <c r="G122" s="6" t="str">
        <f>IFERROR(INDEX('03_상품분류2526'!$D$7:$D$2532,MATCH(E122,'03_상품분류2526'!$A$7:$A$2532,0)),"코드 확인")</f>
        <v>30G</v>
      </c>
      <c r="H122" s="6" t="s">
        <v>7508</v>
      </c>
      <c r="I122" s="6" t="str">
        <f>IFERROR(INDEX('03_상품분류2526'!$M$7:$M$2532,MATCH(E122,'03_상품분류2526'!$A$7:$A$2532,0)),"코드 확인")</f>
        <v>B</v>
      </c>
      <c r="J122" s="6">
        <v>2</v>
      </c>
      <c r="K122" s="15">
        <v>1</v>
      </c>
      <c r="L122" s="6" t="str">
        <f>IFERROR(IF(INDEX('03_상품분류2526'!$V$7:$V$2532,MATCH(E122,'03_상품분류2526'!$A$7:$A$2532,0))="","",INDEX('03_상품분류2526'!$V$7:$V$2532,MATCH(E122,'03_상품분류2526'!$A$7:$A$2532,0))),"")</f>
        <v/>
      </c>
      <c r="M122" s="6" t="str">
        <f>IFERROR(IF(INDEX('03_상품분류2526'!$W$7:$W$2532,MATCH(E122,'03_상품분류2526'!$A$7:$A$2532,0))="","",INDEX('03_상품분류2526'!$W$7:$W$2532,MATCH(E122,'03_상품분류2526'!$A$7:$A$2532,0))),"")</f>
        <v/>
      </c>
      <c r="N122" s="6" t="str">
        <f>IFERROR(IF(INDEX('03_상품분류2526'!$X$7:$X$2532,MATCH(E122,'03_상품분류2526'!$A$7:$A$2532,0))="","",INDEX('03_상품분류2526'!$X$7:$X$2532,MATCH(E122,'03_상품분류2526'!$A$7:$A$2532,0))),"")</f>
        <v/>
      </c>
      <c r="O122" s="6">
        <f>'02_선반315'!R95</f>
        <v>865</v>
      </c>
      <c r="P122" s="6">
        <f>'02_선반315'!T95</f>
        <v>220</v>
      </c>
      <c r="Q122" s="6">
        <f>'02_선반315'!U95</f>
        <v>200</v>
      </c>
      <c r="R122" s="6">
        <f>'02_선반315'!S95</f>
        <v>270</v>
      </c>
      <c r="S122" s="6" t="str">
        <f t="shared" si="2"/>
        <v/>
      </c>
      <c r="T122" s="6" t="str">
        <f t="shared" si="3"/>
        <v>입력 대기</v>
      </c>
      <c r="U122" s="6" t="s">
        <v>7509</v>
      </c>
      <c r="V122" s="6" t="s">
        <v>555</v>
      </c>
      <c r="W122" s="6" t="s">
        <v>859</v>
      </c>
    </row>
    <row r="123" spans="1:23" ht="33" customHeight="1">
      <c r="A123" s="6" t="s">
        <v>7627</v>
      </c>
      <c r="B123" s="6" t="s">
        <v>874</v>
      </c>
      <c r="C123" s="6" t="s">
        <v>173</v>
      </c>
      <c r="D123" s="6">
        <v>5</v>
      </c>
      <c r="E123" s="6" t="s">
        <v>5801</v>
      </c>
      <c r="F123" s="6" t="str">
        <f>IFERROR(INDEX('03_상품분류2526'!$C$7:$C$2532,MATCH(E123,'03_상품분류2526'!$A$7:$A$2532,0)),"코드 확인")</f>
        <v>세비타비겔</v>
      </c>
      <c r="G123" s="6" t="str">
        <f>IFERROR(INDEX('03_상품분류2526'!$D$7:$D$2532,MATCH(E123,'03_상품분류2526'!$A$7:$A$2532,0)),"코드 확인")</f>
        <v>18g</v>
      </c>
      <c r="H123" s="6" t="s">
        <v>7508</v>
      </c>
      <c r="I123" s="6" t="str">
        <f>IFERROR(INDEX('03_상품분류2526'!$M$7:$M$2532,MATCH(E123,'03_상품분류2526'!$A$7:$A$2532,0)),"코드 확인")</f>
        <v>B</v>
      </c>
      <c r="J123" s="6">
        <v>1</v>
      </c>
      <c r="K123" s="15">
        <v>1</v>
      </c>
      <c r="L123" s="6" t="str">
        <f>IFERROR(IF(INDEX('03_상품분류2526'!$V$7:$V$2532,MATCH(E123,'03_상품분류2526'!$A$7:$A$2532,0))="","",INDEX('03_상품분류2526'!$V$7:$V$2532,MATCH(E123,'03_상품분류2526'!$A$7:$A$2532,0))),"")</f>
        <v/>
      </c>
      <c r="M123" s="6" t="str">
        <f>IFERROR(IF(INDEX('03_상품분류2526'!$W$7:$W$2532,MATCH(E123,'03_상품분류2526'!$A$7:$A$2532,0))="","",INDEX('03_상품분류2526'!$W$7:$W$2532,MATCH(E123,'03_상품분류2526'!$A$7:$A$2532,0))),"")</f>
        <v/>
      </c>
      <c r="N123" s="6" t="str">
        <f>IFERROR(IF(INDEX('03_상품분류2526'!$X$7:$X$2532,MATCH(E123,'03_상품분류2526'!$A$7:$A$2532,0))="","",INDEX('03_상품분류2526'!$X$7:$X$2532,MATCH(E123,'03_상품분류2526'!$A$7:$A$2532,0))),"")</f>
        <v/>
      </c>
      <c r="O123" s="6">
        <f>'02_선반315'!R96</f>
        <v>865</v>
      </c>
      <c r="P123" s="6">
        <f>'02_선반315'!T96</f>
        <v>220</v>
      </c>
      <c r="Q123" s="6">
        <f>'02_선반315'!U96</f>
        <v>200</v>
      </c>
      <c r="R123" s="6">
        <f>'02_선반315'!S96</f>
        <v>270</v>
      </c>
      <c r="S123" s="6" t="str">
        <f t="shared" si="2"/>
        <v/>
      </c>
      <c r="T123" s="6" t="str">
        <f t="shared" si="3"/>
        <v>입력 대기</v>
      </c>
      <c r="U123" s="6" t="s">
        <v>7509</v>
      </c>
      <c r="V123" s="6" t="s">
        <v>555</v>
      </c>
      <c r="W123" s="6" t="s">
        <v>859</v>
      </c>
    </row>
    <row r="124" spans="1:23" ht="33" customHeight="1">
      <c r="A124" s="6" t="s">
        <v>7628</v>
      </c>
      <c r="B124" s="6" t="s">
        <v>874</v>
      </c>
      <c r="C124" s="6" t="s">
        <v>173</v>
      </c>
      <c r="D124" s="6">
        <v>5</v>
      </c>
      <c r="E124" s="6" t="s">
        <v>7251</v>
      </c>
      <c r="F124" s="6" t="str">
        <f>IFERROR(INDEX('03_상품분류2526'!$C$7:$C$2532,MATCH(E124,'03_상품분류2526'!$A$7:$A$2532,0)),"코드 확인")</f>
        <v>센스힐겔</v>
      </c>
      <c r="G124" s="6" t="str">
        <f>IFERROR(INDEX('03_상품분류2526'!$D$7:$D$2532,MATCH(E124,'03_상품분류2526'!$A$7:$A$2532,0)),"코드 확인")</f>
        <v>20g</v>
      </c>
      <c r="H124" s="6" t="s">
        <v>7508</v>
      </c>
      <c r="I124" s="6" t="str">
        <f>IFERROR(INDEX('03_상품분류2526'!$M$7:$M$2532,MATCH(E124,'03_상품분류2526'!$A$7:$A$2532,0)),"코드 확인")</f>
        <v>B</v>
      </c>
      <c r="J124" s="6">
        <v>2</v>
      </c>
      <c r="K124" s="15">
        <v>1</v>
      </c>
      <c r="L124" s="6" t="str">
        <f>IFERROR(IF(INDEX('03_상품분류2526'!$V$7:$V$2532,MATCH(E124,'03_상품분류2526'!$A$7:$A$2532,0))="","",INDEX('03_상품분류2526'!$V$7:$V$2532,MATCH(E124,'03_상품분류2526'!$A$7:$A$2532,0))),"")</f>
        <v/>
      </c>
      <c r="M124" s="6" t="str">
        <f>IFERROR(IF(INDEX('03_상품분류2526'!$W$7:$W$2532,MATCH(E124,'03_상품분류2526'!$A$7:$A$2532,0))="","",INDEX('03_상품분류2526'!$W$7:$W$2532,MATCH(E124,'03_상품분류2526'!$A$7:$A$2532,0))),"")</f>
        <v/>
      </c>
      <c r="N124" s="6" t="str">
        <f>IFERROR(IF(INDEX('03_상품분류2526'!$X$7:$X$2532,MATCH(E124,'03_상품분류2526'!$A$7:$A$2532,0))="","",INDEX('03_상품분류2526'!$X$7:$X$2532,MATCH(E124,'03_상품분류2526'!$A$7:$A$2532,0))),"")</f>
        <v/>
      </c>
      <c r="O124" s="6">
        <f>'02_선반315'!R96</f>
        <v>865</v>
      </c>
      <c r="P124" s="6">
        <f>'02_선반315'!T96</f>
        <v>220</v>
      </c>
      <c r="Q124" s="6">
        <f>'02_선반315'!U96</f>
        <v>200</v>
      </c>
      <c r="R124" s="6">
        <f>'02_선반315'!S96</f>
        <v>270</v>
      </c>
      <c r="S124" s="6" t="str">
        <f t="shared" si="2"/>
        <v/>
      </c>
      <c r="T124" s="6" t="str">
        <f t="shared" si="3"/>
        <v>입력 대기</v>
      </c>
      <c r="U124" s="6" t="s">
        <v>7509</v>
      </c>
      <c r="V124" s="6" t="s">
        <v>555</v>
      </c>
      <c r="W124" s="6" t="s">
        <v>859</v>
      </c>
    </row>
    <row r="125" spans="1:23" ht="33" customHeight="1">
      <c r="A125" s="6" t="s">
        <v>7629</v>
      </c>
      <c r="B125" s="6" t="s">
        <v>879</v>
      </c>
      <c r="C125" s="6" t="s">
        <v>185</v>
      </c>
      <c r="D125" s="6">
        <v>2</v>
      </c>
      <c r="E125" s="6" t="s">
        <v>747</v>
      </c>
      <c r="F125" s="6" t="str">
        <f>IFERROR(INDEX('03_상품분류2526'!$C$7:$C$2532,MATCH(E125,'03_상품분류2526'!$A$7:$A$2532,0)),"코드 확인")</f>
        <v>이지덤뷰티</v>
      </c>
      <c r="G125" s="6" t="str">
        <f>IFERROR(INDEX('03_상품분류2526'!$D$7:$D$2532,MATCH(E125,'03_상품분류2526'!$A$7:$A$2532,0)),"코드 확인")</f>
        <v>57매</v>
      </c>
      <c r="H125" s="6" t="s">
        <v>7508</v>
      </c>
      <c r="I125" s="6" t="str">
        <f>IFERROR(INDEX('03_상품분류2526'!$M$7:$M$2532,MATCH(E125,'03_상품분류2526'!$A$7:$A$2532,0)),"코드 확인")</f>
        <v>A</v>
      </c>
      <c r="J125" s="6">
        <v>1</v>
      </c>
      <c r="K125" s="15">
        <v>2</v>
      </c>
      <c r="L125" s="6" t="str">
        <f>IFERROR(IF(INDEX('03_상품분류2526'!$V$7:$V$2532,MATCH(E125,'03_상품분류2526'!$A$7:$A$2532,0))="","",INDEX('03_상품분류2526'!$V$7:$V$2532,MATCH(E125,'03_상품분류2526'!$A$7:$A$2532,0))),"")</f>
        <v/>
      </c>
      <c r="M125" s="6" t="str">
        <f>IFERROR(IF(INDEX('03_상품분류2526'!$W$7:$W$2532,MATCH(E125,'03_상품분류2526'!$A$7:$A$2532,0))="","",INDEX('03_상품분류2526'!$W$7:$W$2532,MATCH(E125,'03_상품분류2526'!$A$7:$A$2532,0))),"")</f>
        <v/>
      </c>
      <c r="N125" s="6" t="str">
        <f>IFERROR(IF(INDEX('03_상품분류2526'!$X$7:$X$2532,MATCH(E125,'03_상품분류2526'!$A$7:$A$2532,0))="","",INDEX('03_상품분류2526'!$X$7:$X$2532,MATCH(E125,'03_상품분류2526'!$A$7:$A$2532,0))),"")</f>
        <v/>
      </c>
      <c r="O125" s="6">
        <f>'02_선반315'!R98</f>
        <v>865</v>
      </c>
      <c r="P125" s="6">
        <f>'02_선반315'!T98</f>
        <v>220</v>
      </c>
      <c r="Q125" s="6">
        <f>'02_선반315'!U98</f>
        <v>200</v>
      </c>
      <c r="R125" s="6">
        <f>'02_선반315'!S98</f>
        <v>270</v>
      </c>
      <c r="S125" s="6" t="str">
        <f t="shared" si="2"/>
        <v/>
      </c>
      <c r="T125" s="6" t="str">
        <f t="shared" si="3"/>
        <v>입력 대기</v>
      </c>
      <c r="U125" s="6" t="s">
        <v>7509</v>
      </c>
      <c r="V125" s="6" t="s">
        <v>555</v>
      </c>
      <c r="W125" s="6" t="s">
        <v>859</v>
      </c>
    </row>
    <row r="126" spans="1:23" ht="33" customHeight="1">
      <c r="A126" s="6" t="s">
        <v>7630</v>
      </c>
      <c r="B126" s="6" t="s">
        <v>879</v>
      </c>
      <c r="C126" s="6" t="s">
        <v>185</v>
      </c>
      <c r="D126" s="6">
        <v>2</v>
      </c>
      <c r="E126" s="6" t="s">
        <v>6786</v>
      </c>
      <c r="F126" s="6" t="str">
        <f>IFERROR(INDEX('03_상품분류2526'!$C$7:$C$2532,MATCH(E126,'03_상품분류2526'!$A$7:$A$2532,0)),"코드 확인")</f>
        <v>이지덤밴드뷰티릴리프</v>
      </c>
      <c r="G126" s="6" t="str">
        <f>IFERROR(INDEX('03_상품분류2526'!$D$7:$D$2532,MATCH(E126,'03_상품분류2526'!$A$7:$A$2532,0)),"코드 확인")</f>
        <v>57매</v>
      </c>
      <c r="H126" s="6" t="s">
        <v>7508</v>
      </c>
      <c r="I126" s="6" t="str">
        <f>IFERROR(INDEX('03_상품분류2526'!$M$7:$M$2532,MATCH(E126,'03_상품분류2526'!$A$7:$A$2532,0)),"코드 확인")</f>
        <v>A</v>
      </c>
      <c r="J126" s="6">
        <v>2</v>
      </c>
      <c r="K126" s="15">
        <v>1</v>
      </c>
      <c r="L126" s="6" t="str">
        <f>IFERROR(IF(INDEX('03_상품분류2526'!$V$7:$V$2532,MATCH(E126,'03_상품분류2526'!$A$7:$A$2532,0))="","",INDEX('03_상품분류2526'!$V$7:$V$2532,MATCH(E126,'03_상품분류2526'!$A$7:$A$2532,0))),"")</f>
        <v/>
      </c>
      <c r="M126" s="6" t="str">
        <f>IFERROR(IF(INDEX('03_상품분류2526'!$W$7:$W$2532,MATCH(E126,'03_상품분류2526'!$A$7:$A$2532,0))="","",INDEX('03_상품분류2526'!$W$7:$W$2532,MATCH(E126,'03_상품분류2526'!$A$7:$A$2532,0))),"")</f>
        <v/>
      </c>
      <c r="N126" s="6" t="str">
        <f>IFERROR(IF(INDEX('03_상품분류2526'!$X$7:$X$2532,MATCH(E126,'03_상품분류2526'!$A$7:$A$2532,0))="","",INDEX('03_상품분류2526'!$X$7:$X$2532,MATCH(E126,'03_상품분류2526'!$A$7:$A$2532,0))),"")</f>
        <v/>
      </c>
      <c r="O126" s="6">
        <f>'02_선반315'!R98</f>
        <v>865</v>
      </c>
      <c r="P126" s="6">
        <f>'02_선반315'!T98</f>
        <v>220</v>
      </c>
      <c r="Q126" s="6">
        <f>'02_선반315'!U98</f>
        <v>200</v>
      </c>
      <c r="R126" s="6">
        <f>'02_선반315'!S98</f>
        <v>270</v>
      </c>
      <c r="S126" s="6" t="str">
        <f t="shared" si="2"/>
        <v/>
      </c>
      <c r="T126" s="6" t="str">
        <f t="shared" si="3"/>
        <v>입력 대기</v>
      </c>
      <c r="U126" s="6" t="s">
        <v>7509</v>
      </c>
      <c r="V126" s="6" t="s">
        <v>555</v>
      </c>
      <c r="W126" s="6" t="s">
        <v>859</v>
      </c>
    </row>
    <row r="127" spans="1:23" ht="33" customHeight="1">
      <c r="A127" s="6" t="s">
        <v>7631</v>
      </c>
      <c r="B127" s="6" t="s">
        <v>879</v>
      </c>
      <c r="C127" s="6" t="s">
        <v>185</v>
      </c>
      <c r="D127" s="6">
        <v>2</v>
      </c>
      <c r="E127" s="6" t="s">
        <v>6329</v>
      </c>
      <c r="F127" s="6" t="str">
        <f>IFERROR(INDEX('03_상품분류2526'!$C$7:$C$2532,MATCH(E127,'03_상품분류2526'!$A$7:$A$2532,0)),"코드 확인")</f>
        <v>닥터원더 트러블스팟 원더패치 60매</v>
      </c>
      <c r="G127" s="6" t="str">
        <f>IFERROR(INDEX('03_상품분류2526'!$D$7:$D$2532,MATCH(E127,'03_상품분류2526'!$A$7:$A$2532,0)),"코드 확인")</f>
        <v>60ea</v>
      </c>
      <c r="H127" s="6" t="s">
        <v>7508</v>
      </c>
      <c r="I127" s="6" t="str">
        <f>IFERROR(INDEX('03_상품분류2526'!$M$7:$M$2532,MATCH(E127,'03_상품분류2526'!$A$7:$A$2532,0)),"코드 확인")</f>
        <v>B</v>
      </c>
      <c r="J127" s="6">
        <v>3</v>
      </c>
      <c r="K127" s="15">
        <v>1</v>
      </c>
      <c r="L127" s="6" t="str">
        <f>IFERROR(IF(INDEX('03_상품분류2526'!$V$7:$V$2532,MATCH(E127,'03_상품분류2526'!$A$7:$A$2532,0))="","",INDEX('03_상품분류2526'!$V$7:$V$2532,MATCH(E127,'03_상품분류2526'!$A$7:$A$2532,0))),"")</f>
        <v/>
      </c>
      <c r="M127" s="6" t="str">
        <f>IFERROR(IF(INDEX('03_상품분류2526'!$W$7:$W$2532,MATCH(E127,'03_상품분류2526'!$A$7:$A$2532,0))="","",INDEX('03_상품분류2526'!$W$7:$W$2532,MATCH(E127,'03_상품분류2526'!$A$7:$A$2532,0))),"")</f>
        <v/>
      </c>
      <c r="N127" s="6" t="str">
        <f>IFERROR(IF(INDEX('03_상품분류2526'!$X$7:$X$2532,MATCH(E127,'03_상품분류2526'!$A$7:$A$2532,0))="","",INDEX('03_상품분류2526'!$X$7:$X$2532,MATCH(E127,'03_상품분류2526'!$A$7:$A$2532,0))),"")</f>
        <v/>
      </c>
      <c r="O127" s="6">
        <f>'02_선반315'!R98</f>
        <v>865</v>
      </c>
      <c r="P127" s="6">
        <f>'02_선반315'!T98</f>
        <v>220</v>
      </c>
      <c r="Q127" s="6">
        <f>'02_선반315'!U98</f>
        <v>200</v>
      </c>
      <c r="R127" s="6">
        <f>'02_선반315'!S98</f>
        <v>270</v>
      </c>
      <c r="S127" s="6" t="str">
        <f t="shared" si="2"/>
        <v/>
      </c>
      <c r="T127" s="6" t="str">
        <f t="shared" si="3"/>
        <v>입력 대기</v>
      </c>
      <c r="U127" s="6" t="s">
        <v>7509</v>
      </c>
      <c r="V127" s="6" t="s">
        <v>555</v>
      </c>
      <c r="W127" s="6" t="s">
        <v>859</v>
      </c>
    </row>
    <row r="128" spans="1:23" ht="33" customHeight="1">
      <c r="A128" s="6" t="s">
        <v>7632</v>
      </c>
      <c r="B128" s="6" t="s">
        <v>883</v>
      </c>
      <c r="C128" s="6" t="s">
        <v>185</v>
      </c>
      <c r="D128" s="6">
        <v>3</v>
      </c>
      <c r="E128" s="6" t="s">
        <v>6807</v>
      </c>
      <c r="F128" s="6" t="str">
        <f>IFERROR(INDEX('03_상품분류2526'!$C$7:$C$2532,MATCH(E128,'03_상품분류2526'!$A$7:$A$2532,0)),"코드 확인")</f>
        <v>이지덤뷰티 퀵카밍 6매</v>
      </c>
      <c r="G128" s="6" t="str">
        <f>IFERROR(INDEX('03_상품분류2526'!$D$7:$D$2532,MATCH(E128,'03_상품분류2526'!$A$7:$A$2532,0)),"코드 확인")</f>
        <v>6매</v>
      </c>
      <c r="H128" s="6" t="s">
        <v>7508</v>
      </c>
      <c r="I128" s="6" t="str">
        <f>IFERROR(INDEX('03_상품분류2526'!$M$7:$M$2532,MATCH(E128,'03_상품분류2526'!$A$7:$A$2532,0)),"코드 확인")</f>
        <v>B</v>
      </c>
      <c r="J128" s="6">
        <v>1</v>
      </c>
      <c r="K128" s="15">
        <v>1</v>
      </c>
      <c r="L128" s="6" t="str">
        <f>IFERROR(IF(INDEX('03_상품분류2526'!$V$7:$V$2532,MATCH(E128,'03_상품분류2526'!$A$7:$A$2532,0))="","",INDEX('03_상품분류2526'!$V$7:$V$2532,MATCH(E128,'03_상품분류2526'!$A$7:$A$2532,0))),"")</f>
        <v/>
      </c>
      <c r="M128" s="6" t="str">
        <f>IFERROR(IF(INDEX('03_상품분류2526'!$W$7:$W$2532,MATCH(E128,'03_상품분류2526'!$A$7:$A$2532,0))="","",INDEX('03_상품분류2526'!$W$7:$W$2532,MATCH(E128,'03_상품분류2526'!$A$7:$A$2532,0))),"")</f>
        <v/>
      </c>
      <c r="N128" s="6" t="str">
        <f>IFERROR(IF(INDEX('03_상품분류2526'!$X$7:$X$2532,MATCH(E128,'03_상품분류2526'!$A$7:$A$2532,0))="","",INDEX('03_상품분류2526'!$X$7:$X$2532,MATCH(E128,'03_상품분류2526'!$A$7:$A$2532,0))),"")</f>
        <v/>
      </c>
      <c r="O128" s="6">
        <f>'02_선반315'!R99</f>
        <v>865</v>
      </c>
      <c r="P128" s="6">
        <f>'02_선반315'!T99</f>
        <v>220</v>
      </c>
      <c r="Q128" s="6">
        <f>'02_선반315'!U99</f>
        <v>200</v>
      </c>
      <c r="R128" s="6">
        <f>'02_선반315'!S99</f>
        <v>270</v>
      </c>
      <c r="S128" s="6" t="str">
        <f t="shared" si="2"/>
        <v/>
      </c>
      <c r="T128" s="6" t="str">
        <f t="shared" si="3"/>
        <v>입력 대기</v>
      </c>
      <c r="U128" s="6" t="s">
        <v>7509</v>
      </c>
      <c r="V128" s="6" t="s">
        <v>555</v>
      </c>
      <c r="W128" s="6" t="s">
        <v>859</v>
      </c>
    </row>
    <row r="129" spans="1:23" ht="33" customHeight="1">
      <c r="A129" s="6" t="s">
        <v>7633</v>
      </c>
      <c r="B129" s="6" t="s">
        <v>883</v>
      </c>
      <c r="C129" s="6" t="s">
        <v>185</v>
      </c>
      <c r="D129" s="6">
        <v>3</v>
      </c>
      <c r="E129" s="6" t="s">
        <v>3779</v>
      </c>
      <c r="F129" s="6" t="str">
        <f>IFERROR(INDEX('03_상품분류2526'!$C$7:$C$2532,MATCH(E129,'03_상품분류2526'!$A$7:$A$2532,0)),"코드 확인")</f>
        <v>아크로패스 트러블큐어 마이크로콘 패치(스몰, 9패치)</v>
      </c>
      <c r="G129" s="6" t="str">
        <f>IFERROR(INDEX('03_상품분류2526'!$D$7:$D$2532,MATCH(E129,'03_상품분류2526'!$A$7:$A$2532,0)),"코드 확인")</f>
        <v>9패치</v>
      </c>
      <c r="H129" s="6" t="s">
        <v>7508</v>
      </c>
      <c r="I129" s="6" t="str">
        <f>IFERROR(INDEX('03_상품분류2526'!$M$7:$M$2532,MATCH(E129,'03_상품분류2526'!$A$7:$A$2532,0)),"코드 확인")</f>
        <v>B</v>
      </c>
      <c r="J129" s="6">
        <v>2</v>
      </c>
      <c r="K129" s="15">
        <v>1</v>
      </c>
      <c r="L129" s="6" t="str">
        <f>IFERROR(IF(INDEX('03_상품분류2526'!$V$7:$V$2532,MATCH(E129,'03_상품분류2526'!$A$7:$A$2532,0))="","",INDEX('03_상품분류2526'!$V$7:$V$2532,MATCH(E129,'03_상품분류2526'!$A$7:$A$2532,0))),"")</f>
        <v/>
      </c>
      <c r="M129" s="6" t="str">
        <f>IFERROR(IF(INDEX('03_상품분류2526'!$W$7:$W$2532,MATCH(E129,'03_상품분류2526'!$A$7:$A$2532,0))="","",INDEX('03_상품분류2526'!$W$7:$W$2532,MATCH(E129,'03_상품분류2526'!$A$7:$A$2532,0))),"")</f>
        <v/>
      </c>
      <c r="N129" s="6" t="str">
        <f>IFERROR(IF(INDEX('03_상품분류2526'!$X$7:$X$2532,MATCH(E129,'03_상품분류2526'!$A$7:$A$2532,0))="","",INDEX('03_상품분류2526'!$X$7:$X$2532,MATCH(E129,'03_상품분류2526'!$A$7:$A$2532,0))),"")</f>
        <v/>
      </c>
      <c r="O129" s="6">
        <f>'02_선반315'!R99</f>
        <v>865</v>
      </c>
      <c r="P129" s="6">
        <f>'02_선반315'!T99</f>
        <v>220</v>
      </c>
      <c r="Q129" s="6">
        <f>'02_선반315'!U99</f>
        <v>200</v>
      </c>
      <c r="R129" s="6">
        <f>'02_선반315'!S99</f>
        <v>270</v>
      </c>
      <c r="S129" s="6" t="str">
        <f t="shared" si="2"/>
        <v/>
      </c>
      <c r="T129" s="6" t="str">
        <f t="shared" si="3"/>
        <v>입력 대기</v>
      </c>
      <c r="U129" s="6" t="s">
        <v>7509</v>
      </c>
      <c r="V129" s="6" t="s">
        <v>555</v>
      </c>
      <c r="W129" s="6" t="s">
        <v>859</v>
      </c>
    </row>
    <row r="130" spans="1:23" ht="33" customHeight="1">
      <c r="A130" s="6" t="s">
        <v>7634</v>
      </c>
      <c r="B130" s="6" t="s">
        <v>887</v>
      </c>
      <c r="C130" s="6" t="s">
        <v>185</v>
      </c>
      <c r="D130" s="6">
        <v>4</v>
      </c>
      <c r="E130" s="6" t="s">
        <v>751</v>
      </c>
      <c r="F130" s="6" t="str">
        <f>IFERROR(INDEX('03_상품분류2526'!$C$7:$C$2532,MATCH(E130,'03_상품분류2526'!$A$7:$A$2532,0)),"코드 확인")</f>
        <v>아크로패스 트러블 스팟 카밍 패치 (60패치)</v>
      </c>
      <c r="G130" s="6" t="str">
        <f>IFERROR(INDEX('03_상품분류2526'!$D$7:$D$2532,MATCH(E130,'03_상품분류2526'!$A$7:$A$2532,0)),"코드 확인")</f>
        <v>60매</v>
      </c>
      <c r="H130" s="6" t="s">
        <v>7508</v>
      </c>
      <c r="I130" s="6" t="str">
        <f>IFERROR(INDEX('03_상품분류2526'!$M$7:$M$2532,MATCH(E130,'03_상품분류2526'!$A$7:$A$2532,0)),"코드 확인")</f>
        <v>B</v>
      </c>
      <c r="J130" s="6">
        <v>1</v>
      </c>
      <c r="K130" s="15">
        <v>1</v>
      </c>
      <c r="L130" s="6" t="str">
        <f>IFERROR(IF(INDEX('03_상품분류2526'!$V$7:$V$2532,MATCH(E130,'03_상품분류2526'!$A$7:$A$2532,0))="","",INDEX('03_상품분류2526'!$V$7:$V$2532,MATCH(E130,'03_상품분류2526'!$A$7:$A$2532,0))),"")</f>
        <v/>
      </c>
      <c r="M130" s="6" t="str">
        <f>IFERROR(IF(INDEX('03_상품분류2526'!$W$7:$W$2532,MATCH(E130,'03_상품분류2526'!$A$7:$A$2532,0))="","",INDEX('03_상품분류2526'!$W$7:$W$2532,MATCH(E130,'03_상품분류2526'!$A$7:$A$2532,0))),"")</f>
        <v/>
      </c>
      <c r="N130" s="6" t="str">
        <f>IFERROR(IF(INDEX('03_상품분류2526'!$X$7:$X$2532,MATCH(E130,'03_상품분류2526'!$A$7:$A$2532,0))="","",INDEX('03_상품분류2526'!$X$7:$X$2532,MATCH(E130,'03_상품분류2526'!$A$7:$A$2532,0))),"")</f>
        <v/>
      </c>
      <c r="O130" s="6">
        <f>'02_선반315'!R100</f>
        <v>865</v>
      </c>
      <c r="P130" s="6">
        <f>'02_선반315'!T100</f>
        <v>220</v>
      </c>
      <c r="Q130" s="6">
        <f>'02_선반315'!U100</f>
        <v>200</v>
      </c>
      <c r="R130" s="6">
        <f>'02_선반315'!S100</f>
        <v>270</v>
      </c>
      <c r="S130" s="6" t="str">
        <f t="shared" si="2"/>
        <v/>
      </c>
      <c r="T130" s="6" t="str">
        <f t="shared" si="3"/>
        <v>입력 대기</v>
      </c>
      <c r="U130" s="6" t="s">
        <v>7509</v>
      </c>
      <c r="V130" s="6" t="s">
        <v>555</v>
      </c>
      <c r="W130" s="6" t="s">
        <v>859</v>
      </c>
    </row>
    <row r="131" spans="1:23" ht="33" customHeight="1">
      <c r="A131" s="6" t="s">
        <v>7635</v>
      </c>
      <c r="B131" s="6" t="s">
        <v>887</v>
      </c>
      <c r="C131" s="6" t="s">
        <v>185</v>
      </c>
      <c r="D131" s="6">
        <v>4</v>
      </c>
      <c r="E131" s="6" t="s">
        <v>3776</v>
      </c>
      <c r="F131" s="6" t="str">
        <f>IFERROR(INDEX('03_상품분류2526'!$C$7:$C$2532,MATCH(E131,'03_상품분류2526'!$A$7:$A$2532,0)),"코드 확인")</f>
        <v>아크로패스 트러블 스팟 케어 패치 (72패치)</v>
      </c>
      <c r="G131" s="6" t="str">
        <f>IFERROR(INDEX('03_상품분류2526'!$D$7:$D$2532,MATCH(E131,'03_상품분류2526'!$A$7:$A$2532,0)),"코드 확인")</f>
        <v>72매</v>
      </c>
      <c r="H131" s="6" t="s">
        <v>7508</v>
      </c>
      <c r="I131" s="6" t="str">
        <f>IFERROR(INDEX('03_상품분류2526'!$M$7:$M$2532,MATCH(E131,'03_상품분류2526'!$A$7:$A$2532,0)),"코드 확인")</f>
        <v>B</v>
      </c>
      <c r="J131" s="6">
        <v>2</v>
      </c>
      <c r="K131" s="15">
        <v>1</v>
      </c>
      <c r="L131" s="6" t="str">
        <f>IFERROR(IF(INDEX('03_상품분류2526'!$V$7:$V$2532,MATCH(E131,'03_상품분류2526'!$A$7:$A$2532,0))="","",INDEX('03_상품분류2526'!$V$7:$V$2532,MATCH(E131,'03_상품분류2526'!$A$7:$A$2532,0))),"")</f>
        <v/>
      </c>
      <c r="M131" s="6" t="str">
        <f>IFERROR(IF(INDEX('03_상품분류2526'!$W$7:$W$2532,MATCH(E131,'03_상품분류2526'!$A$7:$A$2532,0))="","",INDEX('03_상품분류2526'!$W$7:$W$2532,MATCH(E131,'03_상품분류2526'!$A$7:$A$2532,0))),"")</f>
        <v/>
      </c>
      <c r="N131" s="6" t="str">
        <f>IFERROR(IF(INDEX('03_상품분류2526'!$X$7:$X$2532,MATCH(E131,'03_상품분류2526'!$A$7:$A$2532,0))="","",INDEX('03_상품분류2526'!$X$7:$X$2532,MATCH(E131,'03_상품분류2526'!$A$7:$A$2532,0))),"")</f>
        <v/>
      </c>
      <c r="O131" s="6">
        <f>'02_선반315'!R100</f>
        <v>865</v>
      </c>
      <c r="P131" s="6">
        <f>'02_선반315'!T100</f>
        <v>220</v>
      </c>
      <c r="Q131" s="6">
        <f>'02_선반315'!U100</f>
        <v>200</v>
      </c>
      <c r="R131" s="6">
        <f>'02_선반315'!S100</f>
        <v>270</v>
      </c>
      <c r="S131" s="6" t="str">
        <f t="shared" si="2"/>
        <v/>
      </c>
      <c r="T131" s="6" t="str">
        <f t="shared" si="3"/>
        <v>입력 대기</v>
      </c>
      <c r="U131" s="6" t="s">
        <v>7509</v>
      </c>
      <c r="V131" s="6" t="s">
        <v>555</v>
      </c>
      <c r="W131" s="6" t="s">
        <v>859</v>
      </c>
    </row>
    <row r="132" spans="1:23" ht="33" customHeight="1">
      <c r="A132" s="6" t="s">
        <v>7636</v>
      </c>
      <c r="B132" s="6" t="s">
        <v>891</v>
      </c>
      <c r="C132" s="6" t="s">
        <v>185</v>
      </c>
      <c r="D132" s="6">
        <v>5</v>
      </c>
      <c r="E132" s="6" t="s">
        <v>6326</v>
      </c>
      <c r="F132" s="6" t="str">
        <f>IFERROR(INDEX('03_상품분류2526'!$C$7:$C$2532,MATCH(E132,'03_상품분류2526'!$A$7:$A$2532,0)),"코드 확인")</f>
        <v>닥터원더 트러블스팟 원더패치 135매</v>
      </c>
      <c r="G132" s="6" t="str">
        <f>IFERROR(INDEX('03_상품분류2526'!$D$7:$D$2532,MATCH(E132,'03_상품분류2526'!$A$7:$A$2532,0)),"코드 확인")</f>
        <v>135ea</v>
      </c>
      <c r="H132" s="6" t="s">
        <v>7508</v>
      </c>
      <c r="I132" s="6" t="str">
        <f>IFERROR(INDEX('03_상품분류2526'!$M$7:$M$2532,MATCH(E132,'03_상품분류2526'!$A$7:$A$2532,0)),"코드 확인")</f>
        <v>B</v>
      </c>
      <c r="J132" s="6">
        <v>1</v>
      </c>
      <c r="K132" s="15">
        <v>1</v>
      </c>
      <c r="L132" s="6" t="str">
        <f>IFERROR(IF(INDEX('03_상품분류2526'!$V$7:$V$2532,MATCH(E132,'03_상품분류2526'!$A$7:$A$2532,0))="","",INDEX('03_상품분류2526'!$V$7:$V$2532,MATCH(E132,'03_상품분류2526'!$A$7:$A$2532,0))),"")</f>
        <v/>
      </c>
      <c r="M132" s="6" t="str">
        <f>IFERROR(IF(INDEX('03_상품분류2526'!$W$7:$W$2532,MATCH(E132,'03_상품분류2526'!$A$7:$A$2532,0))="","",INDEX('03_상품분류2526'!$W$7:$W$2532,MATCH(E132,'03_상품분류2526'!$A$7:$A$2532,0))),"")</f>
        <v/>
      </c>
      <c r="N132" s="6" t="str">
        <f>IFERROR(IF(INDEX('03_상품분류2526'!$X$7:$X$2532,MATCH(E132,'03_상품분류2526'!$A$7:$A$2532,0))="","",INDEX('03_상품분류2526'!$X$7:$X$2532,MATCH(E132,'03_상품분류2526'!$A$7:$A$2532,0))),"")</f>
        <v/>
      </c>
      <c r="O132" s="6">
        <f>'02_선반315'!R101</f>
        <v>865</v>
      </c>
      <c r="P132" s="6">
        <f>'02_선반315'!T101</f>
        <v>220</v>
      </c>
      <c r="Q132" s="6">
        <f>'02_선반315'!U101</f>
        <v>200</v>
      </c>
      <c r="R132" s="6">
        <f>'02_선반315'!S101</f>
        <v>270</v>
      </c>
      <c r="S132" s="6" t="str">
        <f t="shared" si="2"/>
        <v/>
      </c>
      <c r="T132" s="6" t="str">
        <f t="shared" si="3"/>
        <v>입력 대기</v>
      </c>
      <c r="U132" s="6" t="s">
        <v>7509</v>
      </c>
      <c r="V132" s="6" t="s">
        <v>555</v>
      </c>
      <c r="W132" s="6" t="s">
        <v>859</v>
      </c>
    </row>
    <row r="133" spans="1:23" ht="33" customHeight="1">
      <c r="A133" s="6" t="s">
        <v>7637</v>
      </c>
      <c r="B133" s="6" t="s">
        <v>891</v>
      </c>
      <c r="C133" s="6" t="s">
        <v>185</v>
      </c>
      <c r="D133" s="6">
        <v>5</v>
      </c>
      <c r="E133" s="6" t="s">
        <v>7253</v>
      </c>
      <c r="F133" s="6" t="str">
        <f>IFERROR(INDEX('03_상품분류2526'!$C$7:$C$2532,MATCH(E133,'03_상품분류2526'!$A$7:$A$2532,0)),"코드 확인")</f>
        <v>마데카밴드트러블케어매직패치</v>
      </c>
      <c r="G133" s="6" t="str">
        <f>IFERROR(INDEX('03_상품분류2526'!$D$7:$D$2532,MATCH(E133,'03_상품분류2526'!$A$7:$A$2532,0)),"코드 확인")</f>
        <v>60매</v>
      </c>
      <c r="H133" s="6" t="s">
        <v>7508</v>
      </c>
      <c r="I133" s="6" t="str">
        <f>IFERROR(INDEX('03_상품분류2526'!$M$7:$M$2532,MATCH(E133,'03_상품분류2526'!$A$7:$A$2532,0)),"코드 확인")</f>
        <v>B</v>
      </c>
      <c r="J133" s="6">
        <v>2</v>
      </c>
      <c r="K133" s="15">
        <v>1</v>
      </c>
      <c r="L133" s="6" t="str">
        <f>IFERROR(IF(INDEX('03_상품분류2526'!$V$7:$V$2532,MATCH(E133,'03_상품분류2526'!$A$7:$A$2532,0))="","",INDEX('03_상품분류2526'!$V$7:$V$2532,MATCH(E133,'03_상품분류2526'!$A$7:$A$2532,0))),"")</f>
        <v/>
      </c>
      <c r="M133" s="6" t="str">
        <f>IFERROR(IF(INDEX('03_상품분류2526'!$W$7:$W$2532,MATCH(E133,'03_상품분류2526'!$A$7:$A$2532,0))="","",INDEX('03_상품분류2526'!$W$7:$W$2532,MATCH(E133,'03_상품분류2526'!$A$7:$A$2532,0))),"")</f>
        <v/>
      </c>
      <c r="N133" s="6" t="str">
        <f>IFERROR(IF(INDEX('03_상품분류2526'!$X$7:$X$2532,MATCH(E133,'03_상품분류2526'!$A$7:$A$2532,0))="","",INDEX('03_상품분류2526'!$X$7:$X$2532,MATCH(E133,'03_상품분류2526'!$A$7:$A$2532,0))),"")</f>
        <v/>
      </c>
      <c r="O133" s="6">
        <f>'02_선반315'!R101</f>
        <v>865</v>
      </c>
      <c r="P133" s="6">
        <f>'02_선반315'!T101</f>
        <v>220</v>
      </c>
      <c r="Q133" s="6">
        <f>'02_선반315'!U101</f>
        <v>200</v>
      </c>
      <c r="R133" s="6">
        <f>'02_선반315'!S101</f>
        <v>270</v>
      </c>
      <c r="S133" s="6" t="str">
        <f t="shared" si="2"/>
        <v/>
      </c>
      <c r="T133" s="6" t="str">
        <f t="shared" si="3"/>
        <v>입력 대기</v>
      </c>
      <c r="U133" s="6" t="s">
        <v>7509</v>
      </c>
      <c r="V133" s="6" t="s">
        <v>555</v>
      </c>
      <c r="W133" s="6" t="s">
        <v>859</v>
      </c>
    </row>
    <row r="134" spans="1:23" ht="33" customHeight="1">
      <c r="A134" s="6" t="s">
        <v>7638</v>
      </c>
      <c r="B134" s="6" t="s">
        <v>896</v>
      </c>
      <c r="C134" s="6" t="s">
        <v>193</v>
      </c>
      <c r="D134" s="6">
        <v>2</v>
      </c>
      <c r="E134" s="6" t="s">
        <v>4111</v>
      </c>
      <c r="F134" s="6" t="str">
        <f>IFERROR(INDEX('03_상품분류2526'!$C$7:$C$2532,MATCH(E134,'03_상품분류2526'!$A$7:$A$2532,0)),"코드 확인")</f>
        <v>엠디스픽 테카테카 징크 PCA 클리어 크림 Rx</v>
      </c>
      <c r="G134" s="6" t="str">
        <f>IFERROR(INDEX('03_상품분류2526'!$D$7:$D$2532,MATCH(E134,'03_상품분류2526'!$A$7:$A$2532,0)),"코드 확인")</f>
        <v>30ml</v>
      </c>
      <c r="H134" s="6" t="s">
        <v>7508</v>
      </c>
      <c r="I134" s="6" t="str">
        <f>IFERROR(INDEX('03_상품분류2526'!$M$7:$M$2532,MATCH(E134,'03_상품분류2526'!$A$7:$A$2532,0)),"코드 확인")</f>
        <v>A</v>
      </c>
      <c r="J134" s="6">
        <v>1</v>
      </c>
      <c r="K134" s="15">
        <v>1</v>
      </c>
      <c r="L134" s="6" t="str">
        <f>IFERROR(IF(INDEX('03_상품분류2526'!$V$7:$V$2532,MATCH(E134,'03_상품분류2526'!$A$7:$A$2532,0))="","",INDEX('03_상품분류2526'!$V$7:$V$2532,MATCH(E134,'03_상품분류2526'!$A$7:$A$2532,0))),"")</f>
        <v/>
      </c>
      <c r="M134" s="6" t="str">
        <f>IFERROR(IF(INDEX('03_상품분류2526'!$W$7:$W$2532,MATCH(E134,'03_상품분류2526'!$A$7:$A$2532,0))="","",INDEX('03_상품분류2526'!$W$7:$W$2532,MATCH(E134,'03_상품분류2526'!$A$7:$A$2532,0))),"")</f>
        <v/>
      </c>
      <c r="N134" s="6" t="str">
        <f>IFERROR(IF(INDEX('03_상품분류2526'!$X$7:$X$2532,MATCH(E134,'03_상품분류2526'!$A$7:$A$2532,0))="","",INDEX('03_상품분류2526'!$X$7:$X$2532,MATCH(E134,'03_상품분류2526'!$A$7:$A$2532,0))),"")</f>
        <v/>
      </c>
      <c r="O134" s="6">
        <f>'02_선반315'!R103</f>
        <v>865</v>
      </c>
      <c r="P134" s="6">
        <f>'02_선반315'!T103</f>
        <v>220</v>
      </c>
      <c r="Q134" s="6">
        <f>'02_선반315'!U103</f>
        <v>200</v>
      </c>
      <c r="R134" s="6">
        <f>'02_선반315'!S103</f>
        <v>270</v>
      </c>
      <c r="S134" s="6" t="str">
        <f t="shared" si="2"/>
        <v/>
      </c>
      <c r="T134" s="6" t="str">
        <f t="shared" si="3"/>
        <v>입력 대기</v>
      </c>
      <c r="U134" s="6" t="s">
        <v>7509</v>
      </c>
      <c r="V134" s="6" t="s">
        <v>555</v>
      </c>
      <c r="W134" s="6" t="s">
        <v>859</v>
      </c>
    </row>
    <row r="135" spans="1:23" ht="33" customHeight="1">
      <c r="A135" s="6" t="s">
        <v>7639</v>
      </c>
      <c r="B135" s="6" t="s">
        <v>896</v>
      </c>
      <c r="C135" s="6" t="s">
        <v>193</v>
      </c>
      <c r="D135" s="6">
        <v>2</v>
      </c>
      <c r="E135" s="6" t="s">
        <v>7091</v>
      </c>
      <c r="F135" s="6" t="str">
        <f>IFERROR(INDEX('03_상품분류2526'!$C$7:$C$2532,MATCH(E135,'03_상품분류2526'!$A$7:$A$2532,0)),"코드 확인")</f>
        <v>아크페어 클리어 겔</v>
      </c>
      <c r="G135" s="6" t="str">
        <f>IFERROR(INDEX('03_상품분류2526'!$D$7:$D$2532,MATCH(E135,'03_상품분류2526'!$A$7:$A$2532,0)),"코드 확인")</f>
        <v>100ml</v>
      </c>
      <c r="H135" s="6" t="s">
        <v>7508</v>
      </c>
      <c r="I135" s="6" t="str">
        <f>IFERROR(INDEX('03_상품분류2526'!$M$7:$M$2532,MATCH(E135,'03_상품분류2526'!$A$7:$A$2532,0)),"코드 확인")</f>
        <v>A</v>
      </c>
      <c r="J135" s="6">
        <v>2</v>
      </c>
      <c r="K135" s="15">
        <v>1</v>
      </c>
      <c r="L135" s="6" t="str">
        <f>IFERROR(IF(INDEX('03_상품분류2526'!$V$7:$V$2532,MATCH(E135,'03_상품분류2526'!$A$7:$A$2532,0))="","",INDEX('03_상품분류2526'!$V$7:$V$2532,MATCH(E135,'03_상품분류2526'!$A$7:$A$2532,0))),"")</f>
        <v/>
      </c>
      <c r="M135" s="6" t="str">
        <f>IFERROR(IF(INDEX('03_상품분류2526'!$W$7:$W$2532,MATCH(E135,'03_상품분류2526'!$A$7:$A$2532,0))="","",INDEX('03_상품분류2526'!$W$7:$W$2532,MATCH(E135,'03_상품분류2526'!$A$7:$A$2532,0))),"")</f>
        <v/>
      </c>
      <c r="N135" s="6" t="str">
        <f>IFERROR(IF(INDEX('03_상품분류2526'!$X$7:$X$2532,MATCH(E135,'03_상품분류2526'!$A$7:$A$2532,0))="","",INDEX('03_상품분류2526'!$X$7:$X$2532,MATCH(E135,'03_상품분류2526'!$A$7:$A$2532,0))),"")</f>
        <v/>
      </c>
      <c r="O135" s="6">
        <f>'02_선반315'!R103</f>
        <v>865</v>
      </c>
      <c r="P135" s="6">
        <f>'02_선반315'!T103</f>
        <v>220</v>
      </c>
      <c r="Q135" s="6">
        <f>'02_선반315'!U103</f>
        <v>200</v>
      </c>
      <c r="R135" s="6">
        <f>'02_선반315'!S103</f>
        <v>270</v>
      </c>
      <c r="S135" s="6" t="str">
        <f t="shared" ref="S135:S198" si="4">IF(K135=0,0,IF(L135="","",K135*L135))</f>
        <v/>
      </c>
      <c r="T135" s="6" t="str">
        <f t="shared" ref="T135:T198" si="5">IF(K135=0,"미진열",IF(OR(L135="",M135="",N135=""),"입력 대기",IF(AND(L135&gt;0,M135&gt;0,N135&gt;0,S135&lt;=O135,M135&lt;=Q135,N135&lt;=R135),"개별 범위 내","치수 초과")))</f>
        <v>입력 대기</v>
      </c>
      <c r="U135" s="6" t="s">
        <v>7509</v>
      </c>
      <c r="V135" s="6" t="s">
        <v>555</v>
      </c>
      <c r="W135" s="6" t="s">
        <v>859</v>
      </c>
    </row>
    <row r="136" spans="1:23" ht="33" customHeight="1">
      <c r="A136" s="6" t="s">
        <v>7640</v>
      </c>
      <c r="B136" s="6" t="s">
        <v>900</v>
      </c>
      <c r="C136" s="6" t="s">
        <v>193</v>
      </c>
      <c r="D136" s="6">
        <v>3</v>
      </c>
      <c r="E136" s="6" t="s">
        <v>1478</v>
      </c>
      <c r="F136" s="6" t="str">
        <f>IFERROR(INDEX('03_상품분류2526'!$C$7:$C$2532,MATCH(E136,'03_상품분류2526'!$A$7:$A$2532,0)),"코드 확인")</f>
        <v>프랭클리 나이아신아마이드15% 징크 비즈 트러블케어세럼 30ml</v>
      </c>
      <c r="G136" s="6" t="str">
        <f>IFERROR(INDEX('03_상품분류2526'!$D$7:$D$2532,MATCH(E136,'03_상품분류2526'!$A$7:$A$2532,0)),"코드 확인")</f>
        <v>30ml</v>
      </c>
      <c r="H136" s="6" t="s">
        <v>7508</v>
      </c>
      <c r="I136" s="6" t="str">
        <f>IFERROR(INDEX('03_상품분류2526'!$M$7:$M$2532,MATCH(E136,'03_상품분류2526'!$A$7:$A$2532,0)),"코드 확인")</f>
        <v>B</v>
      </c>
      <c r="J136" s="6">
        <v>1</v>
      </c>
      <c r="K136" s="15">
        <v>1</v>
      </c>
      <c r="L136" s="6" t="str">
        <f>IFERROR(IF(INDEX('03_상품분류2526'!$V$7:$V$2532,MATCH(E136,'03_상품분류2526'!$A$7:$A$2532,0))="","",INDEX('03_상품분류2526'!$V$7:$V$2532,MATCH(E136,'03_상품분류2526'!$A$7:$A$2532,0))),"")</f>
        <v/>
      </c>
      <c r="M136" s="6" t="str">
        <f>IFERROR(IF(INDEX('03_상품분류2526'!$W$7:$W$2532,MATCH(E136,'03_상품분류2526'!$A$7:$A$2532,0))="","",INDEX('03_상품분류2526'!$W$7:$W$2532,MATCH(E136,'03_상품분류2526'!$A$7:$A$2532,0))),"")</f>
        <v/>
      </c>
      <c r="N136" s="6" t="str">
        <f>IFERROR(IF(INDEX('03_상품분류2526'!$X$7:$X$2532,MATCH(E136,'03_상품분류2526'!$A$7:$A$2532,0))="","",INDEX('03_상품분류2526'!$X$7:$X$2532,MATCH(E136,'03_상품분류2526'!$A$7:$A$2532,0))),"")</f>
        <v/>
      </c>
      <c r="O136" s="6">
        <f>'02_선반315'!R104</f>
        <v>865</v>
      </c>
      <c r="P136" s="6">
        <f>'02_선반315'!T104</f>
        <v>220</v>
      </c>
      <c r="Q136" s="6">
        <f>'02_선반315'!U104</f>
        <v>200</v>
      </c>
      <c r="R136" s="6">
        <f>'02_선반315'!S104</f>
        <v>270</v>
      </c>
      <c r="S136" s="6" t="str">
        <f t="shared" si="4"/>
        <v/>
      </c>
      <c r="T136" s="6" t="str">
        <f t="shared" si="5"/>
        <v>입력 대기</v>
      </c>
      <c r="U136" s="6" t="s">
        <v>7509</v>
      </c>
      <c r="V136" s="6" t="s">
        <v>555</v>
      </c>
      <c r="W136" s="6" t="s">
        <v>859</v>
      </c>
    </row>
    <row r="137" spans="1:23" ht="33" customHeight="1">
      <c r="A137" s="6" t="s">
        <v>7641</v>
      </c>
      <c r="B137" s="6" t="s">
        <v>900</v>
      </c>
      <c r="C137" s="6" t="s">
        <v>193</v>
      </c>
      <c r="D137" s="6">
        <v>3</v>
      </c>
      <c r="E137" s="6" t="s">
        <v>6992</v>
      </c>
      <c r="F137" s="6" t="str">
        <f>IFERROR(INDEX('03_상품분류2526'!$C$7:$C$2532,MATCH(E137,'03_상품분류2526'!$A$7:$A$2532,0)),"코드 확인")</f>
        <v>톰 ABC 트리플 시너지 트러블 세럼</v>
      </c>
      <c r="G137" s="6" t="str">
        <f>IFERROR(INDEX('03_상품분류2526'!$D$7:$D$2532,MATCH(E137,'03_상품분류2526'!$A$7:$A$2532,0)),"코드 확인")</f>
        <v>30ml</v>
      </c>
      <c r="H137" s="6" t="s">
        <v>7508</v>
      </c>
      <c r="I137" s="6" t="str">
        <f>IFERROR(INDEX('03_상품분류2526'!$M$7:$M$2532,MATCH(E137,'03_상품분류2526'!$A$7:$A$2532,0)),"코드 확인")</f>
        <v>T</v>
      </c>
      <c r="J137" s="6">
        <v>2</v>
      </c>
      <c r="K137" s="15">
        <v>1</v>
      </c>
      <c r="L137" s="6" t="str">
        <f>IFERROR(IF(INDEX('03_상품분류2526'!$V$7:$V$2532,MATCH(E137,'03_상품분류2526'!$A$7:$A$2532,0))="","",INDEX('03_상품분류2526'!$V$7:$V$2532,MATCH(E137,'03_상품분류2526'!$A$7:$A$2532,0))),"")</f>
        <v/>
      </c>
      <c r="M137" s="6" t="str">
        <f>IFERROR(IF(INDEX('03_상품분류2526'!$W$7:$W$2532,MATCH(E137,'03_상품분류2526'!$A$7:$A$2532,0))="","",INDEX('03_상품분류2526'!$W$7:$W$2532,MATCH(E137,'03_상품분류2526'!$A$7:$A$2532,0))),"")</f>
        <v/>
      </c>
      <c r="N137" s="6" t="str">
        <f>IFERROR(IF(INDEX('03_상품분류2526'!$X$7:$X$2532,MATCH(E137,'03_상품분류2526'!$A$7:$A$2532,0))="","",INDEX('03_상품분류2526'!$X$7:$X$2532,MATCH(E137,'03_상품분류2526'!$A$7:$A$2532,0))),"")</f>
        <v/>
      </c>
      <c r="O137" s="6">
        <f>'02_선반315'!R104</f>
        <v>865</v>
      </c>
      <c r="P137" s="6">
        <f>'02_선반315'!T104</f>
        <v>220</v>
      </c>
      <c r="Q137" s="6">
        <f>'02_선반315'!U104</f>
        <v>200</v>
      </c>
      <c r="R137" s="6">
        <f>'02_선반315'!S104</f>
        <v>270</v>
      </c>
      <c r="S137" s="6" t="str">
        <f t="shared" si="4"/>
        <v/>
      </c>
      <c r="T137" s="6" t="str">
        <f t="shared" si="5"/>
        <v>입력 대기</v>
      </c>
      <c r="U137" s="6" t="s">
        <v>7509</v>
      </c>
      <c r="V137" s="6" t="s">
        <v>555</v>
      </c>
      <c r="W137" s="6" t="s">
        <v>859</v>
      </c>
    </row>
    <row r="138" spans="1:23" ht="33" customHeight="1">
      <c r="A138" s="6" t="s">
        <v>7642</v>
      </c>
      <c r="B138" s="6" t="s">
        <v>904</v>
      </c>
      <c r="C138" s="6" t="s">
        <v>193</v>
      </c>
      <c r="D138" s="6">
        <v>4</v>
      </c>
      <c r="E138" s="6" t="s">
        <v>6659</v>
      </c>
      <c r="F138" s="6" t="str">
        <f>IFERROR(INDEX('03_상품분류2526'!$C$7:$C$2532,MATCH(E138,'03_상품분류2526'!$A$7:$A$2532,0)),"코드 확인")</f>
        <v>프랭클리 패스트 핌플 이레이저 15ml</v>
      </c>
      <c r="G138" s="6" t="str">
        <f>IFERROR(INDEX('03_상품분류2526'!$D$7:$D$2532,MATCH(E138,'03_상품분류2526'!$A$7:$A$2532,0)),"코드 확인")</f>
        <v>15ml</v>
      </c>
      <c r="H138" s="6" t="s">
        <v>7508</v>
      </c>
      <c r="I138" s="6" t="str">
        <f>IFERROR(INDEX('03_상품분류2526'!$M$7:$M$2532,MATCH(E138,'03_상품분류2526'!$A$7:$A$2532,0)),"코드 확인")</f>
        <v>B</v>
      </c>
      <c r="J138" s="6">
        <v>1</v>
      </c>
      <c r="K138" s="15">
        <v>1</v>
      </c>
      <c r="L138" s="6" t="str">
        <f>IFERROR(IF(INDEX('03_상품분류2526'!$V$7:$V$2532,MATCH(E138,'03_상품분류2526'!$A$7:$A$2532,0))="","",INDEX('03_상품분류2526'!$V$7:$V$2532,MATCH(E138,'03_상품분류2526'!$A$7:$A$2532,0))),"")</f>
        <v/>
      </c>
      <c r="M138" s="6" t="str">
        <f>IFERROR(IF(INDEX('03_상품분류2526'!$W$7:$W$2532,MATCH(E138,'03_상품분류2526'!$A$7:$A$2532,0))="","",INDEX('03_상품분류2526'!$W$7:$W$2532,MATCH(E138,'03_상품분류2526'!$A$7:$A$2532,0))),"")</f>
        <v/>
      </c>
      <c r="N138" s="6" t="str">
        <f>IFERROR(IF(INDEX('03_상품분류2526'!$X$7:$X$2532,MATCH(E138,'03_상품분류2526'!$A$7:$A$2532,0))="","",INDEX('03_상품분류2526'!$X$7:$X$2532,MATCH(E138,'03_상품분류2526'!$A$7:$A$2532,0))),"")</f>
        <v/>
      </c>
      <c r="O138" s="6">
        <f>'02_선반315'!R105</f>
        <v>865</v>
      </c>
      <c r="P138" s="6">
        <f>'02_선반315'!T105</f>
        <v>220</v>
      </c>
      <c r="Q138" s="6">
        <f>'02_선반315'!U105</f>
        <v>200</v>
      </c>
      <c r="R138" s="6">
        <f>'02_선반315'!S105</f>
        <v>270</v>
      </c>
      <c r="S138" s="6" t="str">
        <f t="shared" si="4"/>
        <v/>
      </c>
      <c r="T138" s="6" t="str">
        <f t="shared" si="5"/>
        <v>입력 대기</v>
      </c>
      <c r="U138" s="6" t="s">
        <v>7509</v>
      </c>
      <c r="V138" s="6" t="s">
        <v>555</v>
      </c>
      <c r="W138" s="6" t="s">
        <v>859</v>
      </c>
    </row>
    <row r="139" spans="1:23" ht="33" customHeight="1">
      <c r="A139" s="6" t="s">
        <v>7643</v>
      </c>
      <c r="B139" s="6" t="s">
        <v>904</v>
      </c>
      <c r="C139" s="6" t="s">
        <v>193</v>
      </c>
      <c r="D139" s="6">
        <v>4</v>
      </c>
      <c r="E139" s="6" t="s">
        <v>6896</v>
      </c>
      <c r="F139" s="6" t="str">
        <f>IFERROR(INDEX('03_상품분류2526'!$C$7:$C$2532,MATCH(E139,'03_상품분류2526'!$A$7:$A$2532,0)),"코드 확인")</f>
        <v>비플레인 시카테롤 스팟 트리트먼트</v>
      </c>
      <c r="G139" s="6" t="str">
        <f>IFERROR(INDEX('03_상품분류2526'!$D$7:$D$2532,MATCH(E139,'03_상품분류2526'!$A$7:$A$2532,0)),"코드 확인")</f>
        <v>15ml</v>
      </c>
      <c r="H139" s="6" t="s">
        <v>7508</v>
      </c>
      <c r="I139" s="6" t="str">
        <f>IFERROR(INDEX('03_상품분류2526'!$M$7:$M$2532,MATCH(E139,'03_상품분류2526'!$A$7:$A$2532,0)),"코드 확인")</f>
        <v>B</v>
      </c>
      <c r="J139" s="6">
        <v>2</v>
      </c>
      <c r="K139" s="15">
        <v>1</v>
      </c>
      <c r="L139" s="6" t="str">
        <f>IFERROR(IF(INDEX('03_상품분류2526'!$V$7:$V$2532,MATCH(E139,'03_상품분류2526'!$A$7:$A$2532,0))="","",INDEX('03_상품분류2526'!$V$7:$V$2532,MATCH(E139,'03_상품분류2526'!$A$7:$A$2532,0))),"")</f>
        <v/>
      </c>
      <c r="M139" s="6" t="str">
        <f>IFERROR(IF(INDEX('03_상품분류2526'!$W$7:$W$2532,MATCH(E139,'03_상품분류2526'!$A$7:$A$2532,0))="","",INDEX('03_상품분류2526'!$W$7:$W$2532,MATCH(E139,'03_상품분류2526'!$A$7:$A$2532,0))),"")</f>
        <v/>
      </c>
      <c r="N139" s="6" t="str">
        <f>IFERROR(IF(INDEX('03_상품분류2526'!$X$7:$X$2532,MATCH(E139,'03_상품분류2526'!$A$7:$A$2532,0))="","",INDEX('03_상품분류2526'!$X$7:$X$2532,MATCH(E139,'03_상품분류2526'!$A$7:$A$2532,0))),"")</f>
        <v/>
      </c>
      <c r="O139" s="6">
        <f>'02_선반315'!R105</f>
        <v>865</v>
      </c>
      <c r="P139" s="6">
        <f>'02_선반315'!T105</f>
        <v>220</v>
      </c>
      <c r="Q139" s="6">
        <f>'02_선반315'!U105</f>
        <v>200</v>
      </c>
      <c r="R139" s="6">
        <f>'02_선반315'!S105</f>
        <v>270</v>
      </c>
      <c r="S139" s="6" t="str">
        <f t="shared" si="4"/>
        <v/>
      </c>
      <c r="T139" s="6" t="str">
        <f t="shared" si="5"/>
        <v>입력 대기</v>
      </c>
      <c r="U139" s="6" t="s">
        <v>7509</v>
      </c>
      <c r="V139" s="6" t="s">
        <v>555</v>
      </c>
      <c r="W139" s="6" t="s">
        <v>859</v>
      </c>
    </row>
    <row r="140" spans="1:23" ht="33" customHeight="1">
      <c r="A140" s="6" t="s">
        <v>7644</v>
      </c>
      <c r="B140" s="6" t="s">
        <v>908</v>
      </c>
      <c r="C140" s="6" t="s">
        <v>193</v>
      </c>
      <c r="D140" s="6">
        <v>5</v>
      </c>
      <c r="E140" s="6" t="s">
        <v>910</v>
      </c>
      <c r="F140" s="6" t="str">
        <f>IFERROR(INDEX('03_상품분류2526'!$C$7:$C$2532,MATCH(E140,'03_상품분류2526'!$A$7:$A$2532,0)),"코드 확인")</f>
        <v>네오젠 포어레이져클리어BHA패드</v>
      </c>
      <c r="G140" s="6" t="str">
        <f>IFERROR(INDEX('03_상품분류2526'!$D$7:$D$2532,MATCH(E140,'03_상품분류2526'!$A$7:$A$2532,0)),"코드 확인")</f>
        <v>90매</v>
      </c>
      <c r="H140" s="6" t="s">
        <v>7508</v>
      </c>
      <c r="I140" s="6" t="str">
        <f>IFERROR(INDEX('03_상품분류2526'!$M$7:$M$2532,MATCH(E140,'03_상품분류2526'!$A$7:$A$2532,0)),"코드 확인")</f>
        <v>B</v>
      </c>
      <c r="J140" s="6">
        <v>1</v>
      </c>
      <c r="K140" s="15">
        <v>1</v>
      </c>
      <c r="L140" s="6" t="str">
        <f>IFERROR(IF(INDEX('03_상품분류2526'!$V$7:$V$2532,MATCH(E140,'03_상품분류2526'!$A$7:$A$2532,0))="","",INDEX('03_상품분류2526'!$V$7:$V$2532,MATCH(E140,'03_상품분류2526'!$A$7:$A$2532,0))),"")</f>
        <v/>
      </c>
      <c r="M140" s="6" t="str">
        <f>IFERROR(IF(INDEX('03_상품분류2526'!$W$7:$W$2532,MATCH(E140,'03_상품분류2526'!$A$7:$A$2532,0))="","",INDEX('03_상품분류2526'!$W$7:$W$2532,MATCH(E140,'03_상품분류2526'!$A$7:$A$2532,0))),"")</f>
        <v/>
      </c>
      <c r="N140" s="6" t="str">
        <f>IFERROR(IF(INDEX('03_상품분류2526'!$X$7:$X$2532,MATCH(E140,'03_상품분류2526'!$A$7:$A$2532,0))="","",INDEX('03_상품분류2526'!$X$7:$X$2532,MATCH(E140,'03_상품분류2526'!$A$7:$A$2532,0))),"")</f>
        <v/>
      </c>
      <c r="O140" s="6">
        <f>'02_선반315'!R106</f>
        <v>865</v>
      </c>
      <c r="P140" s="6">
        <f>'02_선반315'!T106</f>
        <v>220</v>
      </c>
      <c r="Q140" s="6">
        <f>'02_선반315'!U106</f>
        <v>200</v>
      </c>
      <c r="R140" s="6">
        <f>'02_선반315'!S106</f>
        <v>270</v>
      </c>
      <c r="S140" s="6" t="str">
        <f t="shared" si="4"/>
        <v/>
      </c>
      <c r="T140" s="6" t="str">
        <f t="shared" si="5"/>
        <v>입력 대기</v>
      </c>
      <c r="U140" s="6" t="s">
        <v>7509</v>
      </c>
      <c r="V140" s="6" t="s">
        <v>555</v>
      </c>
      <c r="W140" s="6" t="s">
        <v>859</v>
      </c>
    </row>
    <row r="141" spans="1:23" ht="33" customHeight="1">
      <c r="A141" s="6" t="s">
        <v>7645</v>
      </c>
      <c r="B141" s="6" t="s">
        <v>914</v>
      </c>
      <c r="C141" s="6" t="s">
        <v>201</v>
      </c>
      <c r="D141" s="6">
        <v>2</v>
      </c>
      <c r="E141" s="6" t="s">
        <v>4084</v>
      </c>
      <c r="F141" s="6" t="str">
        <f>IFERROR(INDEX('03_상품분류2526'!$C$7:$C$2532,MATCH(E141,'03_상품분류2526'!$A$7:$A$2532,0)),"코드 확인")</f>
        <v>엠디스픽 테카테카 카밍 젤리폼 클렌저</v>
      </c>
      <c r="G141" s="6" t="str">
        <f>IFERROR(INDEX('03_상품분류2526'!$D$7:$D$2532,MATCH(E141,'03_상품분류2526'!$A$7:$A$2532,0)),"코드 확인")</f>
        <v>150ml</v>
      </c>
      <c r="H141" s="6" t="s">
        <v>7508</v>
      </c>
      <c r="I141" s="6" t="str">
        <f>IFERROR(INDEX('03_상품분류2526'!$M$7:$M$2532,MATCH(E141,'03_상품분류2526'!$A$7:$A$2532,0)),"코드 확인")</f>
        <v>A</v>
      </c>
      <c r="J141" s="6">
        <v>1</v>
      </c>
      <c r="K141" s="15">
        <v>1</v>
      </c>
      <c r="L141" s="6" t="str">
        <f>IFERROR(IF(INDEX('03_상품분류2526'!$V$7:$V$2532,MATCH(E141,'03_상품분류2526'!$A$7:$A$2532,0))="","",INDEX('03_상품분류2526'!$V$7:$V$2532,MATCH(E141,'03_상품분류2526'!$A$7:$A$2532,0))),"")</f>
        <v/>
      </c>
      <c r="M141" s="6" t="str">
        <f>IFERROR(IF(INDEX('03_상품분류2526'!$W$7:$W$2532,MATCH(E141,'03_상품분류2526'!$A$7:$A$2532,0))="","",INDEX('03_상품분류2526'!$W$7:$W$2532,MATCH(E141,'03_상품분류2526'!$A$7:$A$2532,0))),"")</f>
        <v/>
      </c>
      <c r="N141" s="6" t="str">
        <f>IFERROR(IF(INDEX('03_상품분류2526'!$X$7:$X$2532,MATCH(E141,'03_상품분류2526'!$A$7:$A$2532,0))="","",INDEX('03_상품분류2526'!$X$7:$X$2532,MATCH(E141,'03_상품분류2526'!$A$7:$A$2532,0))),"")</f>
        <v/>
      </c>
      <c r="O141" s="6">
        <f>'02_선반315'!R108</f>
        <v>865</v>
      </c>
      <c r="P141" s="6">
        <f>'02_선반315'!T108</f>
        <v>220</v>
      </c>
      <c r="Q141" s="6">
        <f>'02_선반315'!U108</f>
        <v>200</v>
      </c>
      <c r="R141" s="6">
        <f>'02_선반315'!S108</f>
        <v>270</v>
      </c>
      <c r="S141" s="6" t="str">
        <f t="shared" si="4"/>
        <v/>
      </c>
      <c r="T141" s="6" t="str">
        <f t="shared" si="5"/>
        <v>입력 대기</v>
      </c>
      <c r="U141" s="6" t="s">
        <v>7509</v>
      </c>
      <c r="V141" s="6" t="s">
        <v>555</v>
      </c>
      <c r="W141" s="6" t="s">
        <v>859</v>
      </c>
    </row>
    <row r="142" spans="1:23" ht="33" customHeight="1">
      <c r="A142" s="6" t="s">
        <v>7646</v>
      </c>
      <c r="B142" s="6" t="s">
        <v>914</v>
      </c>
      <c r="C142" s="6" t="s">
        <v>201</v>
      </c>
      <c r="D142" s="6">
        <v>2</v>
      </c>
      <c r="E142" s="6" t="s">
        <v>3001</v>
      </c>
      <c r="F142" s="6" t="str">
        <f>IFERROR(INDEX('03_상품분류2526'!$C$7:$C$2532,MATCH(E142,'03_상품분류2526'!$A$7:$A$2532,0)),"코드 확인")</f>
        <v>네오젠 에이클리어아크네폼클렌져</v>
      </c>
      <c r="G142" s="6" t="str">
        <f>IFERROR(INDEX('03_상품분류2526'!$D$7:$D$2532,MATCH(E142,'03_상품분류2526'!$A$7:$A$2532,0)),"코드 확인")</f>
        <v>150ml</v>
      </c>
      <c r="H142" s="6" t="s">
        <v>7508</v>
      </c>
      <c r="I142" s="6" t="str">
        <f>IFERROR(INDEX('03_상품분류2526'!$M$7:$M$2532,MATCH(E142,'03_상품분류2526'!$A$7:$A$2532,0)),"코드 확인")</f>
        <v>B</v>
      </c>
      <c r="J142" s="6">
        <v>2</v>
      </c>
      <c r="K142" s="15">
        <v>1</v>
      </c>
      <c r="L142" s="6" t="str">
        <f>IFERROR(IF(INDEX('03_상품분류2526'!$V$7:$V$2532,MATCH(E142,'03_상품분류2526'!$A$7:$A$2532,0))="","",INDEX('03_상품분류2526'!$V$7:$V$2532,MATCH(E142,'03_상품분류2526'!$A$7:$A$2532,0))),"")</f>
        <v/>
      </c>
      <c r="M142" s="6" t="str">
        <f>IFERROR(IF(INDEX('03_상품분류2526'!$W$7:$W$2532,MATCH(E142,'03_상품분류2526'!$A$7:$A$2532,0))="","",INDEX('03_상품분류2526'!$W$7:$W$2532,MATCH(E142,'03_상품분류2526'!$A$7:$A$2532,0))),"")</f>
        <v/>
      </c>
      <c r="N142" s="6" t="str">
        <f>IFERROR(IF(INDEX('03_상품분류2526'!$X$7:$X$2532,MATCH(E142,'03_상품분류2526'!$A$7:$A$2532,0))="","",INDEX('03_상품분류2526'!$X$7:$X$2532,MATCH(E142,'03_상품분류2526'!$A$7:$A$2532,0))),"")</f>
        <v/>
      </c>
      <c r="O142" s="6">
        <f>'02_선반315'!R108</f>
        <v>865</v>
      </c>
      <c r="P142" s="6">
        <f>'02_선반315'!T108</f>
        <v>220</v>
      </c>
      <c r="Q142" s="6">
        <f>'02_선반315'!U108</f>
        <v>200</v>
      </c>
      <c r="R142" s="6">
        <f>'02_선반315'!S108</f>
        <v>270</v>
      </c>
      <c r="S142" s="6" t="str">
        <f t="shared" si="4"/>
        <v/>
      </c>
      <c r="T142" s="6" t="str">
        <f t="shared" si="5"/>
        <v>입력 대기</v>
      </c>
      <c r="U142" s="6" t="s">
        <v>7509</v>
      </c>
      <c r="V142" s="6" t="s">
        <v>555</v>
      </c>
      <c r="W142" s="6" t="s">
        <v>859</v>
      </c>
    </row>
    <row r="143" spans="1:23" ht="33" customHeight="1">
      <c r="A143" s="6" t="s">
        <v>7647</v>
      </c>
      <c r="B143" s="6" t="s">
        <v>918</v>
      </c>
      <c r="C143" s="6" t="s">
        <v>201</v>
      </c>
      <c r="D143" s="6">
        <v>3</v>
      </c>
      <c r="E143" s="6" t="s">
        <v>6749</v>
      </c>
      <c r="F143" s="6" t="str">
        <f>IFERROR(INDEX('03_상품분류2526'!$C$7:$C$2532,MATCH(E143,'03_상품분류2526'!$A$7:$A$2532,0)),"코드 확인")</f>
        <v>믹순 콩 클렌징 오일</v>
      </c>
      <c r="G143" s="6" t="str">
        <f>IFERROR(INDEX('03_상품분류2526'!$D$7:$D$2532,MATCH(E143,'03_상품분류2526'!$A$7:$A$2532,0)),"코드 확인")</f>
        <v>100ml</v>
      </c>
      <c r="H143" s="6" t="s">
        <v>7508</v>
      </c>
      <c r="I143" s="6" t="str">
        <f>IFERROR(INDEX('03_상품분류2526'!$M$7:$M$2532,MATCH(E143,'03_상품분류2526'!$A$7:$A$2532,0)),"코드 확인")</f>
        <v>B</v>
      </c>
      <c r="J143" s="6">
        <v>1</v>
      </c>
      <c r="K143" s="15">
        <v>1</v>
      </c>
      <c r="L143" s="6" t="str">
        <f>IFERROR(IF(INDEX('03_상품분류2526'!$V$7:$V$2532,MATCH(E143,'03_상품분류2526'!$A$7:$A$2532,0))="","",INDEX('03_상품분류2526'!$V$7:$V$2532,MATCH(E143,'03_상품분류2526'!$A$7:$A$2532,0))),"")</f>
        <v/>
      </c>
      <c r="M143" s="6" t="str">
        <f>IFERROR(IF(INDEX('03_상품분류2526'!$W$7:$W$2532,MATCH(E143,'03_상품분류2526'!$A$7:$A$2532,0))="","",INDEX('03_상품분류2526'!$W$7:$W$2532,MATCH(E143,'03_상품분류2526'!$A$7:$A$2532,0))),"")</f>
        <v/>
      </c>
      <c r="N143" s="6" t="str">
        <f>IFERROR(IF(INDEX('03_상품분류2526'!$X$7:$X$2532,MATCH(E143,'03_상품분류2526'!$A$7:$A$2532,0))="","",INDEX('03_상품분류2526'!$X$7:$X$2532,MATCH(E143,'03_상품분류2526'!$A$7:$A$2532,0))),"")</f>
        <v/>
      </c>
      <c r="O143" s="6">
        <f>'02_선반315'!R109</f>
        <v>865</v>
      </c>
      <c r="P143" s="6">
        <f>'02_선반315'!T109</f>
        <v>220</v>
      </c>
      <c r="Q143" s="6">
        <f>'02_선반315'!U109</f>
        <v>200</v>
      </c>
      <c r="R143" s="6">
        <f>'02_선반315'!S109</f>
        <v>270</v>
      </c>
      <c r="S143" s="6" t="str">
        <f t="shared" si="4"/>
        <v/>
      </c>
      <c r="T143" s="6" t="str">
        <f t="shared" si="5"/>
        <v>입력 대기</v>
      </c>
      <c r="U143" s="6" t="s">
        <v>7509</v>
      </c>
      <c r="V143" s="6" t="s">
        <v>555</v>
      </c>
      <c r="W143" s="6" t="s">
        <v>859</v>
      </c>
    </row>
    <row r="144" spans="1:23" ht="33" customHeight="1">
      <c r="A144" s="6" t="s">
        <v>7648</v>
      </c>
      <c r="B144" s="6" t="s">
        <v>918</v>
      </c>
      <c r="C144" s="6" t="s">
        <v>201</v>
      </c>
      <c r="D144" s="6">
        <v>3</v>
      </c>
      <c r="E144" s="6" t="s">
        <v>6645</v>
      </c>
      <c r="F144" s="6" t="str">
        <f>IFERROR(INDEX('03_상품분류2526'!$C$7:$C$2532,MATCH(E144,'03_상품분류2526'!$A$7:$A$2532,0)),"코드 확인")</f>
        <v>프랭클리 딥 클렌징 오일 200ml</v>
      </c>
      <c r="G144" s="6" t="str">
        <f>IFERROR(INDEX('03_상품분류2526'!$D$7:$D$2532,MATCH(E144,'03_상품분류2526'!$A$7:$A$2532,0)),"코드 확인")</f>
        <v>200ml</v>
      </c>
      <c r="H144" s="6" t="s">
        <v>7508</v>
      </c>
      <c r="I144" s="6" t="str">
        <f>IFERROR(INDEX('03_상품분류2526'!$M$7:$M$2532,MATCH(E144,'03_상품분류2526'!$A$7:$A$2532,0)),"코드 확인")</f>
        <v>B</v>
      </c>
      <c r="J144" s="6">
        <v>2</v>
      </c>
      <c r="K144" s="15">
        <v>1</v>
      </c>
      <c r="L144" s="6" t="str">
        <f>IFERROR(IF(INDEX('03_상품분류2526'!$V$7:$V$2532,MATCH(E144,'03_상품분류2526'!$A$7:$A$2532,0))="","",INDEX('03_상품분류2526'!$V$7:$V$2532,MATCH(E144,'03_상품분류2526'!$A$7:$A$2532,0))),"")</f>
        <v/>
      </c>
      <c r="M144" s="6" t="str">
        <f>IFERROR(IF(INDEX('03_상품분류2526'!$W$7:$W$2532,MATCH(E144,'03_상품분류2526'!$A$7:$A$2532,0))="","",INDEX('03_상품분류2526'!$W$7:$W$2532,MATCH(E144,'03_상품분류2526'!$A$7:$A$2532,0))),"")</f>
        <v/>
      </c>
      <c r="N144" s="6" t="str">
        <f>IFERROR(IF(INDEX('03_상품분류2526'!$X$7:$X$2532,MATCH(E144,'03_상품분류2526'!$A$7:$A$2532,0))="","",INDEX('03_상품분류2526'!$X$7:$X$2532,MATCH(E144,'03_상품분류2526'!$A$7:$A$2532,0))),"")</f>
        <v/>
      </c>
      <c r="O144" s="6">
        <f>'02_선반315'!R109</f>
        <v>865</v>
      </c>
      <c r="P144" s="6">
        <f>'02_선반315'!T109</f>
        <v>220</v>
      </c>
      <c r="Q144" s="6">
        <f>'02_선반315'!U109</f>
        <v>200</v>
      </c>
      <c r="R144" s="6">
        <f>'02_선반315'!S109</f>
        <v>270</v>
      </c>
      <c r="S144" s="6" t="str">
        <f t="shared" si="4"/>
        <v/>
      </c>
      <c r="T144" s="6" t="str">
        <f t="shared" si="5"/>
        <v>입력 대기</v>
      </c>
      <c r="U144" s="6" t="s">
        <v>7509</v>
      </c>
      <c r="V144" s="6" t="s">
        <v>555</v>
      </c>
      <c r="W144" s="6" t="s">
        <v>859</v>
      </c>
    </row>
    <row r="145" spans="1:23" ht="33" customHeight="1">
      <c r="A145" s="6" t="s">
        <v>7649</v>
      </c>
      <c r="B145" s="6" t="s">
        <v>918</v>
      </c>
      <c r="C145" s="6" t="s">
        <v>201</v>
      </c>
      <c r="D145" s="6">
        <v>3</v>
      </c>
      <c r="E145" s="6" t="s">
        <v>4087</v>
      </c>
      <c r="F145" s="6" t="str">
        <f>IFERROR(INDEX('03_상품분류2526'!$C$7:$C$2532,MATCH(E145,'03_상품분류2526'!$A$7:$A$2532,0)),"코드 확인")</f>
        <v>엠디스픽 테카테카 카밍 포어 클렌징 오일</v>
      </c>
      <c r="G145" s="6" t="str">
        <f>IFERROR(INDEX('03_상품분류2526'!$D$7:$D$2532,MATCH(E145,'03_상품분류2526'!$A$7:$A$2532,0)),"코드 확인")</f>
        <v>200ml</v>
      </c>
      <c r="H145" s="6" t="s">
        <v>7508</v>
      </c>
      <c r="I145" s="6" t="str">
        <f>IFERROR(INDEX('03_상품분류2526'!$M$7:$M$2532,MATCH(E145,'03_상품분류2526'!$A$7:$A$2532,0)),"코드 확인")</f>
        <v>B</v>
      </c>
      <c r="J145" s="6">
        <v>3</v>
      </c>
      <c r="K145" s="15">
        <v>1</v>
      </c>
      <c r="L145" s="6" t="str">
        <f>IFERROR(IF(INDEX('03_상품분류2526'!$V$7:$V$2532,MATCH(E145,'03_상품분류2526'!$A$7:$A$2532,0))="","",INDEX('03_상품분류2526'!$V$7:$V$2532,MATCH(E145,'03_상품분류2526'!$A$7:$A$2532,0))),"")</f>
        <v/>
      </c>
      <c r="M145" s="6" t="str">
        <f>IFERROR(IF(INDEX('03_상품분류2526'!$W$7:$W$2532,MATCH(E145,'03_상품분류2526'!$A$7:$A$2532,0))="","",INDEX('03_상품분류2526'!$W$7:$W$2532,MATCH(E145,'03_상품분류2526'!$A$7:$A$2532,0))),"")</f>
        <v/>
      </c>
      <c r="N145" s="6" t="str">
        <f>IFERROR(IF(INDEX('03_상품분류2526'!$X$7:$X$2532,MATCH(E145,'03_상품분류2526'!$A$7:$A$2532,0))="","",INDEX('03_상품분류2526'!$X$7:$X$2532,MATCH(E145,'03_상품분류2526'!$A$7:$A$2532,0))),"")</f>
        <v/>
      </c>
      <c r="O145" s="6">
        <f>'02_선반315'!R109</f>
        <v>865</v>
      </c>
      <c r="P145" s="6">
        <f>'02_선반315'!T109</f>
        <v>220</v>
      </c>
      <c r="Q145" s="6">
        <f>'02_선반315'!U109</f>
        <v>200</v>
      </c>
      <c r="R145" s="6">
        <f>'02_선반315'!S109</f>
        <v>270</v>
      </c>
      <c r="S145" s="6" t="str">
        <f t="shared" si="4"/>
        <v/>
      </c>
      <c r="T145" s="6" t="str">
        <f t="shared" si="5"/>
        <v>입력 대기</v>
      </c>
      <c r="U145" s="6" t="s">
        <v>7509</v>
      </c>
      <c r="V145" s="6" t="s">
        <v>555</v>
      </c>
      <c r="W145" s="6" t="s">
        <v>859</v>
      </c>
    </row>
    <row r="146" spans="1:23" ht="33" customHeight="1">
      <c r="A146" s="6" t="s">
        <v>7650</v>
      </c>
      <c r="B146" s="6" t="s">
        <v>922</v>
      </c>
      <c r="C146" s="6" t="s">
        <v>201</v>
      </c>
      <c r="D146" s="6">
        <v>4</v>
      </c>
      <c r="E146" s="6" t="s">
        <v>924</v>
      </c>
      <c r="F146" s="6" t="str">
        <f>IFERROR(INDEX('03_상품분류2526'!$C$7:$C$2532,MATCH(E146,'03_상품분류2526'!$A$7:$A$2532,0)),"코드 확인")</f>
        <v>필플로 롤링 밀크 페이셜 클렌져</v>
      </c>
      <c r="G146" s="6" t="str">
        <f>IFERROR(INDEX('03_상품분류2526'!$D$7:$D$2532,MATCH(E146,'03_상품분류2526'!$A$7:$A$2532,0)),"코드 확인")</f>
        <v>240ml</v>
      </c>
      <c r="H146" s="6" t="s">
        <v>7508</v>
      </c>
      <c r="I146" s="6" t="str">
        <f>IFERROR(INDEX('03_상품분류2526'!$M$7:$M$2532,MATCH(E146,'03_상품분류2526'!$A$7:$A$2532,0)),"코드 확인")</f>
        <v>B</v>
      </c>
      <c r="J146" s="6">
        <v>1</v>
      </c>
      <c r="K146" s="15">
        <v>1</v>
      </c>
      <c r="L146" s="6" t="str">
        <f>IFERROR(IF(INDEX('03_상품분류2526'!$V$7:$V$2532,MATCH(E146,'03_상품분류2526'!$A$7:$A$2532,0))="","",INDEX('03_상품분류2526'!$V$7:$V$2532,MATCH(E146,'03_상품분류2526'!$A$7:$A$2532,0))),"")</f>
        <v/>
      </c>
      <c r="M146" s="6" t="str">
        <f>IFERROR(IF(INDEX('03_상품분류2526'!$W$7:$W$2532,MATCH(E146,'03_상품분류2526'!$A$7:$A$2532,0))="","",INDEX('03_상품분류2526'!$W$7:$W$2532,MATCH(E146,'03_상품분류2526'!$A$7:$A$2532,0))),"")</f>
        <v/>
      </c>
      <c r="N146" s="6" t="str">
        <f>IFERROR(IF(INDEX('03_상품분류2526'!$X$7:$X$2532,MATCH(E146,'03_상품분류2526'!$A$7:$A$2532,0))="","",INDEX('03_상품분류2526'!$X$7:$X$2532,MATCH(E146,'03_상품분류2526'!$A$7:$A$2532,0))),"")</f>
        <v/>
      </c>
      <c r="O146" s="6">
        <f>'02_선반315'!R110</f>
        <v>865</v>
      </c>
      <c r="P146" s="6">
        <f>'02_선반315'!T110</f>
        <v>220</v>
      </c>
      <c r="Q146" s="6">
        <f>'02_선반315'!U110</f>
        <v>200</v>
      </c>
      <c r="R146" s="6">
        <f>'02_선반315'!S110</f>
        <v>270</v>
      </c>
      <c r="S146" s="6" t="str">
        <f t="shared" si="4"/>
        <v/>
      </c>
      <c r="T146" s="6" t="str">
        <f t="shared" si="5"/>
        <v>입력 대기</v>
      </c>
      <c r="U146" s="6" t="s">
        <v>7509</v>
      </c>
      <c r="V146" s="6" t="s">
        <v>555</v>
      </c>
      <c r="W146" s="6" t="s">
        <v>859</v>
      </c>
    </row>
    <row r="147" spans="1:23" ht="33" customHeight="1">
      <c r="A147" s="6" t="s">
        <v>7651</v>
      </c>
      <c r="B147" s="6" t="s">
        <v>926</v>
      </c>
      <c r="C147" s="6" t="s">
        <v>201</v>
      </c>
      <c r="D147" s="6">
        <v>5</v>
      </c>
      <c r="E147" s="6" t="s">
        <v>928</v>
      </c>
      <c r="F147" s="6" t="str">
        <f>IFERROR(INDEX('03_상품분류2526'!$C$7:$C$2532,MATCH(E147,'03_상품분류2526'!$A$7:$A$2532,0)),"코드 확인")</f>
        <v>닥터바이오 에코 올인원 클렌저 500g</v>
      </c>
      <c r="G147" s="6" t="str">
        <f>IFERROR(INDEX('03_상품분류2526'!$D$7:$D$2532,MATCH(E147,'03_상품분류2526'!$A$7:$A$2532,0)),"코드 확인")</f>
        <v>500g</v>
      </c>
      <c r="H147" s="6" t="s">
        <v>7508</v>
      </c>
      <c r="I147" s="6" t="str">
        <f>IFERROR(INDEX('03_상품분류2526'!$M$7:$M$2532,MATCH(E147,'03_상품분류2526'!$A$7:$A$2532,0)),"코드 확인")</f>
        <v>B</v>
      </c>
      <c r="J147" s="6">
        <v>1</v>
      </c>
      <c r="K147" s="15">
        <v>1</v>
      </c>
      <c r="L147" s="6" t="str">
        <f>IFERROR(IF(INDEX('03_상품분류2526'!$V$7:$V$2532,MATCH(E147,'03_상품분류2526'!$A$7:$A$2532,0))="","",INDEX('03_상품분류2526'!$V$7:$V$2532,MATCH(E147,'03_상품분류2526'!$A$7:$A$2532,0))),"")</f>
        <v/>
      </c>
      <c r="M147" s="6" t="str">
        <f>IFERROR(IF(INDEX('03_상품분류2526'!$W$7:$W$2532,MATCH(E147,'03_상품분류2526'!$A$7:$A$2532,0))="","",INDEX('03_상품분류2526'!$W$7:$W$2532,MATCH(E147,'03_상품분류2526'!$A$7:$A$2532,0))),"")</f>
        <v/>
      </c>
      <c r="N147" s="6" t="str">
        <f>IFERROR(IF(INDEX('03_상품분류2526'!$X$7:$X$2532,MATCH(E147,'03_상품분류2526'!$A$7:$A$2532,0))="","",INDEX('03_상품분류2526'!$X$7:$X$2532,MATCH(E147,'03_상품분류2526'!$A$7:$A$2532,0))),"")</f>
        <v/>
      </c>
      <c r="O147" s="6">
        <f>'02_선반315'!R111</f>
        <v>865</v>
      </c>
      <c r="P147" s="6">
        <f>'02_선반315'!T111</f>
        <v>220</v>
      </c>
      <c r="Q147" s="6">
        <f>'02_선반315'!U111</f>
        <v>200</v>
      </c>
      <c r="R147" s="6">
        <f>'02_선반315'!S111</f>
        <v>270</v>
      </c>
      <c r="S147" s="6" t="str">
        <f t="shared" si="4"/>
        <v/>
      </c>
      <c r="T147" s="6" t="str">
        <f t="shared" si="5"/>
        <v>입력 대기</v>
      </c>
      <c r="U147" s="6" t="s">
        <v>7509</v>
      </c>
      <c r="V147" s="6" t="s">
        <v>555</v>
      </c>
      <c r="W147" s="6" t="s">
        <v>859</v>
      </c>
    </row>
    <row r="148" spans="1:23" ht="33" customHeight="1">
      <c r="A148" s="6" t="s">
        <v>7652</v>
      </c>
      <c r="B148" s="6" t="s">
        <v>932</v>
      </c>
      <c r="C148" s="6" t="s">
        <v>211</v>
      </c>
      <c r="D148" s="6">
        <v>2</v>
      </c>
      <c r="E148" s="6" t="s">
        <v>934</v>
      </c>
      <c r="F148" s="6" t="str">
        <f>IFERROR(INDEX('03_상품분류2526'!$C$7:$C$2532,MATCH(E148,'03_상품분류2526'!$A$7:$A$2532,0)),"코드 확인")</f>
        <v>닥터오라클 21STAY 에이테라 필링스틱</v>
      </c>
      <c r="G148" s="6" t="str">
        <f>IFERROR(INDEX('03_상품분류2526'!$D$7:$D$2532,MATCH(E148,'03_상품분류2526'!$A$7:$A$2532,0)),"코드 확인")</f>
        <v>10EA</v>
      </c>
      <c r="H148" s="6" t="s">
        <v>7508</v>
      </c>
      <c r="I148" s="6" t="str">
        <f>IFERROR(INDEX('03_상품분류2526'!$M$7:$M$2532,MATCH(E148,'03_상품분류2526'!$A$7:$A$2532,0)),"코드 확인")</f>
        <v>A</v>
      </c>
      <c r="J148" s="6">
        <v>1</v>
      </c>
      <c r="K148" s="15">
        <v>1</v>
      </c>
      <c r="L148" s="6" t="str">
        <f>IFERROR(IF(INDEX('03_상품분류2526'!$V$7:$V$2532,MATCH(E148,'03_상품분류2526'!$A$7:$A$2532,0))="","",INDEX('03_상품분류2526'!$V$7:$V$2532,MATCH(E148,'03_상품분류2526'!$A$7:$A$2532,0))),"")</f>
        <v/>
      </c>
      <c r="M148" s="6" t="str">
        <f>IFERROR(IF(INDEX('03_상품분류2526'!$W$7:$W$2532,MATCH(E148,'03_상품분류2526'!$A$7:$A$2532,0))="","",INDEX('03_상품분류2526'!$W$7:$W$2532,MATCH(E148,'03_상품분류2526'!$A$7:$A$2532,0))),"")</f>
        <v/>
      </c>
      <c r="N148" s="6" t="str">
        <f>IFERROR(IF(INDEX('03_상품분류2526'!$X$7:$X$2532,MATCH(E148,'03_상품분류2526'!$A$7:$A$2532,0))="","",INDEX('03_상품분류2526'!$X$7:$X$2532,MATCH(E148,'03_상품분류2526'!$A$7:$A$2532,0))),"")</f>
        <v/>
      </c>
      <c r="O148" s="6">
        <f>'02_선반315'!R113</f>
        <v>865</v>
      </c>
      <c r="P148" s="6">
        <f>'02_선반315'!T113</f>
        <v>220</v>
      </c>
      <c r="Q148" s="6">
        <f>'02_선반315'!U113</f>
        <v>200</v>
      </c>
      <c r="R148" s="6">
        <f>'02_선반315'!S113</f>
        <v>270</v>
      </c>
      <c r="S148" s="6" t="str">
        <f t="shared" si="4"/>
        <v/>
      </c>
      <c r="T148" s="6" t="str">
        <f t="shared" si="5"/>
        <v>입력 대기</v>
      </c>
      <c r="U148" s="6" t="s">
        <v>7509</v>
      </c>
      <c r="V148" s="6" t="s">
        <v>555</v>
      </c>
      <c r="W148" s="6" t="s">
        <v>859</v>
      </c>
    </row>
    <row r="149" spans="1:23" ht="33" customHeight="1">
      <c r="A149" s="6" t="s">
        <v>7653</v>
      </c>
      <c r="B149" s="6" t="s">
        <v>936</v>
      </c>
      <c r="C149" s="6" t="s">
        <v>211</v>
      </c>
      <c r="D149" s="6">
        <v>3</v>
      </c>
      <c r="E149" s="6" t="s">
        <v>938</v>
      </c>
      <c r="F149" s="6" t="str">
        <f>IFERROR(INDEX('03_상품분류2526'!$C$7:$C$2532,MATCH(E149,'03_상품분류2526'!$A$7:$A$2532,0)),"코드 확인")</f>
        <v>닥터 멜락신 티엑스 필링 토너 150ml</v>
      </c>
      <c r="G149" s="6" t="str">
        <f>IFERROR(INDEX('03_상품분류2526'!$D$7:$D$2532,MATCH(E149,'03_상품분류2526'!$A$7:$A$2532,0)),"코드 확인")</f>
        <v>150ml</v>
      </c>
      <c r="H149" s="6" t="s">
        <v>7508</v>
      </c>
      <c r="I149" s="6" t="str">
        <f>IFERROR(INDEX('03_상품분류2526'!$M$7:$M$2532,MATCH(E149,'03_상품분류2526'!$A$7:$A$2532,0)),"코드 확인")</f>
        <v>T</v>
      </c>
      <c r="J149" s="6">
        <v>1</v>
      </c>
      <c r="K149" s="15">
        <v>1</v>
      </c>
      <c r="L149" s="6" t="str">
        <f>IFERROR(IF(INDEX('03_상품분류2526'!$V$7:$V$2532,MATCH(E149,'03_상품분류2526'!$A$7:$A$2532,0))="","",INDEX('03_상품분류2526'!$V$7:$V$2532,MATCH(E149,'03_상품분류2526'!$A$7:$A$2532,0))),"")</f>
        <v/>
      </c>
      <c r="M149" s="6" t="str">
        <f>IFERROR(IF(INDEX('03_상품분류2526'!$W$7:$W$2532,MATCH(E149,'03_상품분류2526'!$A$7:$A$2532,0))="","",INDEX('03_상품분류2526'!$W$7:$W$2532,MATCH(E149,'03_상품분류2526'!$A$7:$A$2532,0))),"")</f>
        <v/>
      </c>
      <c r="N149" s="6" t="str">
        <f>IFERROR(IF(INDEX('03_상품분류2526'!$X$7:$X$2532,MATCH(E149,'03_상품분류2526'!$A$7:$A$2532,0))="","",INDEX('03_상품분류2526'!$X$7:$X$2532,MATCH(E149,'03_상품분류2526'!$A$7:$A$2532,0))),"")</f>
        <v/>
      </c>
      <c r="O149" s="6">
        <f>'02_선반315'!R114</f>
        <v>865</v>
      </c>
      <c r="P149" s="6">
        <f>'02_선반315'!T114</f>
        <v>220</v>
      </c>
      <c r="Q149" s="6">
        <f>'02_선반315'!U114</f>
        <v>200</v>
      </c>
      <c r="R149" s="6">
        <f>'02_선반315'!S114</f>
        <v>270</v>
      </c>
      <c r="S149" s="6" t="str">
        <f t="shared" si="4"/>
        <v/>
      </c>
      <c r="T149" s="6" t="str">
        <f t="shared" si="5"/>
        <v>입력 대기</v>
      </c>
      <c r="U149" s="6" t="s">
        <v>7509</v>
      </c>
      <c r="V149" s="6" t="s">
        <v>555</v>
      </c>
      <c r="W149" s="6" t="s">
        <v>859</v>
      </c>
    </row>
    <row r="150" spans="1:23" ht="33" customHeight="1">
      <c r="A150" s="6" t="s">
        <v>7654</v>
      </c>
      <c r="B150" s="6" t="s">
        <v>940</v>
      </c>
      <c r="C150" s="6" t="s">
        <v>211</v>
      </c>
      <c r="D150" s="6">
        <v>4</v>
      </c>
      <c r="E150" s="6" t="s">
        <v>942</v>
      </c>
      <c r="F150" s="6" t="str">
        <f>IFERROR(INDEX('03_상품분류2526'!$C$7:$C$2532,MATCH(E150,'03_상품분류2526'!$A$7:$A$2532,0)),"코드 확인")</f>
        <v>닥터딥 미네랄 엑소좀 필링 글로우 세럼</v>
      </c>
      <c r="G150" s="6" t="str">
        <f>IFERROR(INDEX('03_상품분류2526'!$D$7:$D$2532,MATCH(E150,'03_상품분류2526'!$A$7:$A$2532,0)),"코드 확인")</f>
        <v>30ml</v>
      </c>
      <c r="H150" s="6" t="s">
        <v>7508</v>
      </c>
      <c r="I150" s="6" t="str">
        <f>IFERROR(INDEX('03_상품분류2526'!$M$7:$M$2532,MATCH(E150,'03_상품분류2526'!$A$7:$A$2532,0)),"코드 확인")</f>
        <v>T</v>
      </c>
      <c r="J150" s="6">
        <v>1</v>
      </c>
      <c r="K150" s="15">
        <v>1</v>
      </c>
      <c r="L150" s="6" t="str">
        <f>IFERROR(IF(INDEX('03_상품분류2526'!$V$7:$V$2532,MATCH(E150,'03_상품분류2526'!$A$7:$A$2532,0))="","",INDEX('03_상품분류2526'!$V$7:$V$2532,MATCH(E150,'03_상품분류2526'!$A$7:$A$2532,0))),"")</f>
        <v/>
      </c>
      <c r="M150" s="6" t="str">
        <f>IFERROR(IF(INDEX('03_상품분류2526'!$W$7:$W$2532,MATCH(E150,'03_상품분류2526'!$A$7:$A$2532,0))="","",INDEX('03_상품분류2526'!$W$7:$W$2532,MATCH(E150,'03_상품분류2526'!$A$7:$A$2532,0))),"")</f>
        <v/>
      </c>
      <c r="N150" s="6" t="str">
        <f>IFERROR(IF(INDEX('03_상품분류2526'!$X$7:$X$2532,MATCH(E150,'03_상품분류2526'!$A$7:$A$2532,0))="","",INDEX('03_상품분류2526'!$X$7:$X$2532,MATCH(E150,'03_상품분류2526'!$A$7:$A$2532,0))),"")</f>
        <v/>
      </c>
      <c r="O150" s="6">
        <f>'02_선반315'!R115</f>
        <v>865</v>
      </c>
      <c r="P150" s="6">
        <f>'02_선반315'!T115</f>
        <v>220</v>
      </c>
      <c r="Q150" s="6">
        <f>'02_선반315'!U115</f>
        <v>200</v>
      </c>
      <c r="R150" s="6">
        <f>'02_선반315'!S115</f>
        <v>270</v>
      </c>
      <c r="S150" s="6" t="str">
        <f t="shared" si="4"/>
        <v/>
      </c>
      <c r="T150" s="6" t="str">
        <f t="shared" si="5"/>
        <v>입력 대기</v>
      </c>
      <c r="U150" s="6" t="s">
        <v>7509</v>
      </c>
      <c r="V150" s="6" t="s">
        <v>555</v>
      </c>
      <c r="W150" s="6" t="s">
        <v>859</v>
      </c>
    </row>
    <row r="151" spans="1:23" ht="33" customHeight="1">
      <c r="A151" s="6" t="s">
        <v>7655</v>
      </c>
      <c r="B151" s="6" t="s">
        <v>944</v>
      </c>
      <c r="C151" s="6" t="s">
        <v>211</v>
      </c>
      <c r="D151" s="6">
        <v>5</v>
      </c>
      <c r="E151" s="6" t="s">
        <v>946</v>
      </c>
      <c r="F151" s="6" t="str">
        <f>IFERROR(INDEX('03_상품분류2526'!$C$7:$C$2532,MATCH(E151,'03_상품분류2526'!$A$7:$A$2532,0)),"코드 확인")</f>
        <v>웰더마 차이슬 티트리 허브 톡스 필링 팩 150ml</v>
      </c>
      <c r="G151" s="6" t="str">
        <f>IFERROR(INDEX('03_상품분류2526'!$D$7:$D$2532,MATCH(E151,'03_상품분류2526'!$A$7:$A$2532,0)),"코드 확인")</f>
        <v>150ml</v>
      </c>
      <c r="H151" s="6" t="s">
        <v>7508</v>
      </c>
      <c r="I151" s="6" t="str">
        <f>IFERROR(INDEX('03_상품분류2526'!$M$7:$M$2532,MATCH(E151,'03_상품분류2526'!$A$7:$A$2532,0)),"코드 확인")</f>
        <v>T</v>
      </c>
      <c r="J151" s="6">
        <v>1</v>
      </c>
      <c r="K151" s="15">
        <v>1</v>
      </c>
      <c r="L151" s="6" t="str">
        <f>IFERROR(IF(INDEX('03_상품분류2526'!$V$7:$V$2532,MATCH(E151,'03_상품분류2526'!$A$7:$A$2532,0))="","",INDEX('03_상품분류2526'!$V$7:$V$2532,MATCH(E151,'03_상품분류2526'!$A$7:$A$2532,0))),"")</f>
        <v/>
      </c>
      <c r="M151" s="6" t="str">
        <f>IFERROR(IF(INDEX('03_상품분류2526'!$W$7:$W$2532,MATCH(E151,'03_상품분류2526'!$A$7:$A$2532,0))="","",INDEX('03_상품분류2526'!$W$7:$W$2532,MATCH(E151,'03_상품분류2526'!$A$7:$A$2532,0))),"")</f>
        <v/>
      </c>
      <c r="N151" s="6" t="str">
        <f>IFERROR(IF(INDEX('03_상품분류2526'!$X$7:$X$2532,MATCH(E151,'03_상품분류2526'!$A$7:$A$2532,0))="","",INDEX('03_상품분류2526'!$X$7:$X$2532,MATCH(E151,'03_상품분류2526'!$A$7:$A$2532,0))),"")</f>
        <v/>
      </c>
      <c r="O151" s="6">
        <f>'02_선반315'!R116</f>
        <v>865</v>
      </c>
      <c r="P151" s="6">
        <f>'02_선반315'!T116</f>
        <v>220</v>
      </c>
      <c r="Q151" s="6">
        <f>'02_선반315'!U116</f>
        <v>200</v>
      </c>
      <c r="R151" s="6">
        <f>'02_선반315'!S116</f>
        <v>270</v>
      </c>
      <c r="S151" s="6" t="str">
        <f t="shared" si="4"/>
        <v/>
      </c>
      <c r="T151" s="6" t="str">
        <f t="shared" si="5"/>
        <v>입력 대기</v>
      </c>
      <c r="U151" s="6" t="s">
        <v>7509</v>
      </c>
      <c r="V151" s="6" t="s">
        <v>555</v>
      </c>
      <c r="W151" s="6" t="s">
        <v>859</v>
      </c>
    </row>
    <row r="152" spans="1:23" ht="33" customHeight="1">
      <c r="A152" s="6" t="s">
        <v>7656</v>
      </c>
      <c r="B152" s="6" t="s">
        <v>949</v>
      </c>
      <c r="C152" s="6" t="s">
        <v>219</v>
      </c>
      <c r="D152" s="6">
        <v>2</v>
      </c>
      <c r="E152" s="6" t="s">
        <v>1482</v>
      </c>
      <c r="F152" s="6" t="str">
        <f>IFERROR(INDEX('03_상품분류2526'!$C$7:$C$2532,MATCH(E152,'03_상품분류2526'!$A$7:$A$2532,0)),"코드 확인")</f>
        <v>낫포유 클리어 바디 미스트 120ml</v>
      </c>
      <c r="G152" s="6" t="str">
        <f>IFERROR(INDEX('03_상품분류2526'!$D$7:$D$2532,MATCH(E152,'03_상품분류2526'!$A$7:$A$2532,0)),"코드 확인")</f>
        <v>120ml</v>
      </c>
      <c r="H152" s="6" t="s">
        <v>7508</v>
      </c>
      <c r="I152" s="6" t="str">
        <f>IFERROR(INDEX('03_상품분류2526'!$M$7:$M$2532,MATCH(E152,'03_상품분류2526'!$A$7:$A$2532,0)),"코드 확인")</f>
        <v>A</v>
      </c>
      <c r="J152" s="6">
        <v>1</v>
      </c>
      <c r="K152" s="15">
        <v>1</v>
      </c>
      <c r="L152" s="6" t="str">
        <f>IFERROR(IF(INDEX('03_상품분류2526'!$V$7:$V$2532,MATCH(E152,'03_상품분류2526'!$A$7:$A$2532,0))="","",INDEX('03_상품분류2526'!$V$7:$V$2532,MATCH(E152,'03_상품분류2526'!$A$7:$A$2532,0))),"")</f>
        <v/>
      </c>
      <c r="M152" s="6" t="str">
        <f>IFERROR(IF(INDEX('03_상품분류2526'!$W$7:$W$2532,MATCH(E152,'03_상품분류2526'!$A$7:$A$2532,0))="","",INDEX('03_상품분류2526'!$W$7:$W$2532,MATCH(E152,'03_상품분류2526'!$A$7:$A$2532,0))),"")</f>
        <v/>
      </c>
      <c r="N152" s="6" t="str">
        <f>IFERROR(IF(INDEX('03_상품분류2526'!$X$7:$X$2532,MATCH(E152,'03_상품분류2526'!$A$7:$A$2532,0))="","",INDEX('03_상품분류2526'!$X$7:$X$2532,MATCH(E152,'03_상품분류2526'!$A$7:$A$2532,0))),"")</f>
        <v/>
      </c>
      <c r="O152" s="6">
        <f>'02_선반315'!R118</f>
        <v>865</v>
      </c>
      <c r="P152" s="6">
        <f>'02_선반315'!T118</f>
        <v>220</v>
      </c>
      <c r="Q152" s="6">
        <f>'02_선반315'!U118</f>
        <v>200</v>
      </c>
      <c r="R152" s="6">
        <f>'02_선반315'!S118</f>
        <v>270</v>
      </c>
      <c r="S152" s="6" t="str">
        <f t="shared" si="4"/>
        <v/>
      </c>
      <c r="T152" s="6" t="str">
        <f t="shared" si="5"/>
        <v>입력 대기</v>
      </c>
      <c r="U152" s="6" t="s">
        <v>7509</v>
      </c>
      <c r="V152" s="6" t="s">
        <v>555</v>
      </c>
      <c r="W152" s="6" t="s">
        <v>859</v>
      </c>
    </row>
    <row r="153" spans="1:23" ht="33" customHeight="1">
      <c r="A153" s="6" t="s">
        <v>7657</v>
      </c>
      <c r="B153" s="6" t="s">
        <v>949</v>
      </c>
      <c r="C153" s="6" t="s">
        <v>219</v>
      </c>
      <c r="D153" s="6">
        <v>2</v>
      </c>
      <c r="E153" s="6" t="s">
        <v>4107</v>
      </c>
      <c r="F153" s="6" t="str">
        <f>IFERROR(INDEX('03_상품분류2526'!$C$7:$C$2532,MATCH(E153,'03_상품분류2526'!$A$7:$A$2532,0)),"코드 확인")</f>
        <v>엠디스픽 테카테카 카밍 순 바디미스트</v>
      </c>
      <c r="G153" s="6" t="str">
        <f>IFERROR(INDEX('03_상품분류2526'!$D$7:$D$2532,MATCH(E153,'03_상품분류2526'!$A$7:$A$2532,0)),"코드 확인")</f>
        <v>150ml</v>
      </c>
      <c r="H153" s="6" t="s">
        <v>7508</v>
      </c>
      <c r="I153" s="6" t="str">
        <f>IFERROR(INDEX('03_상품분류2526'!$M$7:$M$2532,MATCH(E153,'03_상품분류2526'!$A$7:$A$2532,0)),"코드 확인")</f>
        <v>B</v>
      </c>
      <c r="J153" s="6">
        <v>2</v>
      </c>
      <c r="K153" s="15">
        <v>1</v>
      </c>
      <c r="L153" s="6" t="str">
        <f>IFERROR(IF(INDEX('03_상품분류2526'!$V$7:$V$2532,MATCH(E153,'03_상품분류2526'!$A$7:$A$2532,0))="","",INDEX('03_상품분류2526'!$V$7:$V$2532,MATCH(E153,'03_상품분류2526'!$A$7:$A$2532,0))),"")</f>
        <v/>
      </c>
      <c r="M153" s="6" t="str">
        <f>IFERROR(IF(INDEX('03_상품분류2526'!$W$7:$W$2532,MATCH(E153,'03_상품분류2526'!$A$7:$A$2532,0))="","",INDEX('03_상품분류2526'!$W$7:$W$2532,MATCH(E153,'03_상품분류2526'!$A$7:$A$2532,0))),"")</f>
        <v/>
      </c>
      <c r="N153" s="6" t="str">
        <f>IFERROR(IF(INDEX('03_상품분류2526'!$X$7:$X$2532,MATCH(E153,'03_상품분류2526'!$A$7:$A$2532,0))="","",INDEX('03_상품분류2526'!$X$7:$X$2532,MATCH(E153,'03_상품분류2526'!$A$7:$A$2532,0))),"")</f>
        <v/>
      </c>
      <c r="O153" s="6">
        <f>'02_선반315'!R118</f>
        <v>865</v>
      </c>
      <c r="P153" s="6">
        <f>'02_선반315'!T118</f>
        <v>220</v>
      </c>
      <c r="Q153" s="6">
        <f>'02_선반315'!U118</f>
        <v>200</v>
      </c>
      <c r="R153" s="6">
        <f>'02_선반315'!S118</f>
        <v>270</v>
      </c>
      <c r="S153" s="6" t="str">
        <f t="shared" si="4"/>
        <v/>
      </c>
      <c r="T153" s="6" t="str">
        <f t="shared" si="5"/>
        <v>입력 대기</v>
      </c>
      <c r="U153" s="6" t="s">
        <v>7509</v>
      </c>
      <c r="V153" s="6" t="s">
        <v>555</v>
      </c>
      <c r="W153" s="6" t="s">
        <v>859</v>
      </c>
    </row>
    <row r="154" spans="1:23" ht="33" customHeight="1">
      <c r="A154" s="6" t="s">
        <v>7658</v>
      </c>
      <c r="B154" s="6" t="s">
        <v>953</v>
      </c>
      <c r="C154" s="6" t="s">
        <v>219</v>
      </c>
      <c r="D154" s="6">
        <v>3</v>
      </c>
      <c r="E154" s="6" t="s">
        <v>956</v>
      </c>
      <c r="F154" s="6" t="str">
        <f>IFERROR(INDEX('03_상품분류2526'!$C$7:$C$2532,MATCH(E154,'03_상품분류2526'!$A$7:$A$2532,0)),"코드 확인")</f>
        <v>라이프프로젝트 리틀포레스트 바디워시 500ml</v>
      </c>
      <c r="G154" s="6" t="str">
        <f>IFERROR(INDEX('03_상품분류2526'!$D$7:$D$2532,MATCH(E154,'03_상품분류2526'!$A$7:$A$2532,0)),"코드 확인")</f>
        <v>500ml</v>
      </c>
      <c r="H154" s="6" t="s">
        <v>7508</v>
      </c>
      <c r="I154" s="6" t="str">
        <f>IFERROR(INDEX('03_상품분류2526'!$M$7:$M$2532,MATCH(E154,'03_상품분류2526'!$A$7:$A$2532,0)),"코드 확인")</f>
        <v>B</v>
      </c>
      <c r="J154" s="6">
        <v>1</v>
      </c>
      <c r="K154" s="15">
        <v>1</v>
      </c>
      <c r="L154" s="6" t="str">
        <f>IFERROR(IF(INDEX('03_상품분류2526'!$V$7:$V$2532,MATCH(E154,'03_상품분류2526'!$A$7:$A$2532,0))="","",INDEX('03_상품분류2526'!$V$7:$V$2532,MATCH(E154,'03_상품분류2526'!$A$7:$A$2532,0))),"")</f>
        <v/>
      </c>
      <c r="M154" s="6" t="str">
        <f>IFERROR(IF(INDEX('03_상품분류2526'!$W$7:$W$2532,MATCH(E154,'03_상품분류2526'!$A$7:$A$2532,0))="","",INDEX('03_상품분류2526'!$W$7:$W$2532,MATCH(E154,'03_상품분류2526'!$A$7:$A$2532,0))),"")</f>
        <v/>
      </c>
      <c r="N154" s="6" t="str">
        <f>IFERROR(IF(INDEX('03_상품분류2526'!$X$7:$X$2532,MATCH(E154,'03_상품분류2526'!$A$7:$A$2532,0))="","",INDEX('03_상품분류2526'!$X$7:$X$2532,MATCH(E154,'03_상품분류2526'!$A$7:$A$2532,0))),"")</f>
        <v/>
      </c>
      <c r="O154" s="6">
        <f>'02_선반315'!R119</f>
        <v>865</v>
      </c>
      <c r="P154" s="6">
        <f>'02_선반315'!T119</f>
        <v>220</v>
      </c>
      <c r="Q154" s="6">
        <f>'02_선반315'!U119</f>
        <v>200</v>
      </c>
      <c r="R154" s="6">
        <f>'02_선반315'!S119</f>
        <v>270</v>
      </c>
      <c r="S154" s="6" t="str">
        <f t="shared" si="4"/>
        <v/>
      </c>
      <c r="T154" s="6" t="str">
        <f t="shared" si="5"/>
        <v>입력 대기</v>
      </c>
      <c r="U154" s="6" t="s">
        <v>7509</v>
      </c>
      <c r="V154" s="6" t="s">
        <v>555</v>
      </c>
      <c r="W154" s="6" t="s">
        <v>859</v>
      </c>
    </row>
    <row r="155" spans="1:23" ht="33" customHeight="1">
      <c r="A155" s="6" t="s">
        <v>7659</v>
      </c>
      <c r="B155" s="6" t="s">
        <v>958</v>
      </c>
      <c r="C155" s="6" t="s">
        <v>219</v>
      </c>
      <c r="D155" s="6">
        <v>4</v>
      </c>
      <c r="E155" s="6" t="s">
        <v>960</v>
      </c>
      <c r="F155" s="6" t="str">
        <f>IFERROR(INDEX('03_상품분류2526'!$C$7:$C$2532,MATCH(E155,'03_상품분류2526'!$A$7:$A$2532,0)),"코드 확인")</f>
        <v>플루 바디 스크럽 핑크 플로럴 250g</v>
      </c>
      <c r="G155" s="6" t="str">
        <f>IFERROR(INDEX('03_상품분류2526'!$D$7:$D$2532,MATCH(E155,'03_상품분류2526'!$A$7:$A$2532,0)),"코드 확인")</f>
        <v>250g</v>
      </c>
      <c r="H155" s="6" t="s">
        <v>7508</v>
      </c>
      <c r="I155" s="6" t="str">
        <f>IFERROR(INDEX('03_상품분류2526'!$M$7:$M$2532,MATCH(E155,'03_상품분류2526'!$A$7:$A$2532,0)),"코드 확인")</f>
        <v>B</v>
      </c>
      <c r="J155" s="6">
        <v>1</v>
      </c>
      <c r="K155" s="15">
        <v>1</v>
      </c>
      <c r="L155" s="6" t="str">
        <f>IFERROR(IF(INDEX('03_상품분류2526'!$V$7:$V$2532,MATCH(E155,'03_상품분류2526'!$A$7:$A$2532,0))="","",INDEX('03_상품분류2526'!$V$7:$V$2532,MATCH(E155,'03_상품분류2526'!$A$7:$A$2532,0))),"")</f>
        <v/>
      </c>
      <c r="M155" s="6" t="str">
        <f>IFERROR(IF(INDEX('03_상품분류2526'!$W$7:$W$2532,MATCH(E155,'03_상품분류2526'!$A$7:$A$2532,0))="","",INDEX('03_상품분류2526'!$W$7:$W$2532,MATCH(E155,'03_상품분류2526'!$A$7:$A$2532,0))),"")</f>
        <v/>
      </c>
      <c r="N155" s="6" t="str">
        <f>IFERROR(IF(INDEX('03_상품분류2526'!$X$7:$X$2532,MATCH(E155,'03_상품분류2526'!$A$7:$A$2532,0))="","",INDEX('03_상품분류2526'!$X$7:$X$2532,MATCH(E155,'03_상품분류2526'!$A$7:$A$2532,0))),"")</f>
        <v/>
      </c>
      <c r="O155" s="6">
        <f>'02_선반315'!R120</f>
        <v>865</v>
      </c>
      <c r="P155" s="6">
        <f>'02_선반315'!T120</f>
        <v>220</v>
      </c>
      <c r="Q155" s="6">
        <f>'02_선반315'!U120</f>
        <v>200</v>
      </c>
      <c r="R155" s="6">
        <f>'02_선반315'!S120</f>
        <v>270</v>
      </c>
      <c r="S155" s="6" t="str">
        <f t="shared" si="4"/>
        <v/>
      </c>
      <c r="T155" s="6" t="str">
        <f t="shared" si="5"/>
        <v>입력 대기</v>
      </c>
      <c r="U155" s="6" t="s">
        <v>7509</v>
      </c>
      <c r="V155" s="6" t="s">
        <v>555</v>
      </c>
      <c r="W155" s="6" t="s">
        <v>859</v>
      </c>
    </row>
    <row r="156" spans="1:23" ht="33" customHeight="1">
      <c r="A156" s="6" t="s">
        <v>7660</v>
      </c>
      <c r="B156" s="6" t="s">
        <v>962</v>
      </c>
      <c r="C156" s="6" t="s">
        <v>219</v>
      </c>
      <c r="D156" s="6">
        <v>5</v>
      </c>
      <c r="E156" s="6" t="s">
        <v>965</v>
      </c>
      <c r="F156" s="6" t="str">
        <f>IFERROR(INDEX('03_상품분류2526'!$C$7:$C$2532,MATCH(E156,'03_상품분류2526'!$A$7:$A$2532,0)),"코드 확인")</f>
        <v>애크린외용액</v>
      </c>
      <c r="G156" s="6" t="str">
        <f>IFERROR(INDEX('03_상품분류2526'!$D$7:$D$2532,MATCH(E156,'03_상품분류2526'!$A$7:$A$2532,0)),"코드 확인")</f>
        <v>100mL</v>
      </c>
      <c r="H156" s="6" t="s">
        <v>7508</v>
      </c>
      <c r="I156" s="6" t="str">
        <f>IFERROR(INDEX('03_상품분류2526'!$M$7:$M$2532,MATCH(E156,'03_상품분류2526'!$A$7:$A$2532,0)),"코드 확인")</f>
        <v>A</v>
      </c>
      <c r="J156" s="6">
        <v>1</v>
      </c>
      <c r="K156" s="15">
        <v>1</v>
      </c>
      <c r="L156" s="6" t="str">
        <f>IFERROR(IF(INDEX('03_상품분류2526'!$V$7:$V$2532,MATCH(E156,'03_상품분류2526'!$A$7:$A$2532,0))="","",INDEX('03_상품분류2526'!$V$7:$V$2532,MATCH(E156,'03_상품분류2526'!$A$7:$A$2532,0))),"")</f>
        <v/>
      </c>
      <c r="M156" s="6" t="str">
        <f>IFERROR(IF(INDEX('03_상품분류2526'!$W$7:$W$2532,MATCH(E156,'03_상품분류2526'!$A$7:$A$2532,0))="","",INDEX('03_상품분류2526'!$W$7:$W$2532,MATCH(E156,'03_상품분류2526'!$A$7:$A$2532,0))),"")</f>
        <v/>
      </c>
      <c r="N156" s="6" t="str">
        <f>IFERROR(IF(INDEX('03_상품분류2526'!$X$7:$X$2532,MATCH(E156,'03_상품분류2526'!$A$7:$A$2532,0))="","",INDEX('03_상품분류2526'!$X$7:$X$2532,MATCH(E156,'03_상품분류2526'!$A$7:$A$2532,0))),"")</f>
        <v/>
      </c>
      <c r="O156" s="6">
        <f>'02_선반315'!R121</f>
        <v>865</v>
      </c>
      <c r="P156" s="6">
        <f>'02_선반315'!T121</f>
        <v>220</v>
      </c>
      <c r="Q156" s="6">
        <f>'02_선반315'!U121</f>
        <v>200</v>
      </c>
      <c r="R156" s="6">
        <f>'02_선반315'!S121</f>
        <v>270</v>
      </c>
      <c r="S156" s="6" t="str">
        <f t="shared" si="4"/>
        <v/>
      </c>
      <c r="T156" s="6" t="str">
        <f t="shared" si="5"/>
        <v>입력 대기</v>
      </c>
      <c r="U156" s="6" t="s">
        <v>7509</v>
      </c>
      <c r="V156" s="6" t="s">
        <v>555</v>
      </c>
      <c r="W156" s="6" t="s">
        <v>859</v>
      </c>
    </row>
    <row r="157" spans="1:23" ht="33" customHeight="1">
      <c r="A157" s="6" t="s">
        <v>7661</v>
      </c>
      <c r="B157" s="6" t="s">
        <v>969</v>
      </c>
      <c r="C157" s="6" t="s">
        <v>228</v>
      </c>
      <c r="D157" s="6">
        <v>2</v>
      </c>
      <c r="E157" s="6" t="s">
        <v>758</v>
      </c>
      <c r="F157" s="6" t="str">
        <f>IFERROR(INDEX('03_상품분류2526'!$C$7:$C$2532,MATCH(E157,'03_상품분류2526'!$A$7:$A$2532,0)),"코드 확인")</f>
        <v>노스카나겔</v>
      </c>
      <c r="G157" s="6" t="str">
        <f>IFERROR(INDEX('03_상품분류2526'!$D$7:$D$2532,MATCH(E157,'03_상품분류2526'!$A$7:$A$2532,0)),"코드 확인")</f>
        <v>20g</v>
      </c>
      <c r="H157" s="6" t="s">
        <v>7508</v>
      </c>
      <c r="I157" s="6" t="str">
        <f>IFERROR(INDEX('03_상품분류2526'!$M$7:$M$2532,MATCH(E157,'03_상품분류2526'!$A$7:$A$2532,0)),"코드 확인")</f>
        <v>A</v>
      </c>
      <c r="J157" s="6">
        <v>1</v>
      </c>
      <c r="K157" s="15">
        <v>2</v>
      </c>
      <c r="L157" s="6" t="str">
        <f>IFERROR(IF(INDEX('03_상품분류2526'!$V$7:$V$2532,MATCH(E157,'03_상품분류2526'!$A$7:$A$2532,0))="","",INDEX('03_상품분류2526'!$V$7:$V$2532,MATCH(E157,'03_상품분류2526'!$A$7:$A$2532,0))),"")</f>
        <v/>
      </c>
      <c r="M157" s="6" t="str">
        <f>IFERROR(IF(INDEX('03_상품분류2526'!$W$7:$W$2532,MATCH(E157,'03_상품분류2526'!$A$7:$A$2532,0))="","",INDEX('03_상품분류2526'!$W$7:$W$2532,MATCH(E157,'03_상품분류2526'!$A$7:$A$2532,0))),"")</f>
        <v/>
      </c>
      <c r="N157" s="6" t="str">
        <f>IFERROR(IF(INDEX('03_상품분류2526'!$X$7:$X$2532,MATCH(E157,'03_상품분류2526'!$A$7:$A$2532,0))="","",INDEX('03_상품분류2526'!$X$7:$X$2532,MATCH(E157,'03_상품분류2526'!$A$7:$A$2532,0))),"")</f>
        <v/>
      </c>
      <c r="O157" s="6">
        <f>'02_선반315'!R123</f>
        <v>865</v>
      </c>
      <c r="P157" s="6">
        <f>'02_선반315'!T123</f>
        <v>220</v>
      </c>
      <c r="Q157" s="6">
        <f>'02_선반315'!U123</f>
        <v>200</v>
      </c>
      <c r="R157" s="6">
        <f>'02_선반315'!S123</f>
        <v>270</v>
      </c>
      <c r="S157" s="6" t="str">
        <f t="shared" si="4"/>
        <v/>
      </c>
      <c r="T157" s="6" t="str">
        <f t="shared" si="5"/>
        <v>입력 대기</v>
      </c>
      <c r="U157" s="6" t="s">
        <v>7509</v>
      </c>
      <c r="V157" s="6" t="s">
        <v>555</v>
      </c>
      <c r="W157" s="6" t="s">
        <v>859</v>
      </c>
    </row>
    <row r="158" spans="1:23" ht="33" customHeight="1">
      <c r="A158" s="6" t="s">
        <v>7662</v>
      </c>
      <c r="B158" s="6" t="s">
        <v>969</v>
      </c>
      <c r="C158" s="6" t="s">
        <v>228</v>
      </c>
      <c r="D158" s="6">
        <v>2</v>
      </c>
      <c r="E158" s="6" t="s">
        <v>5758</v>
      </c>
      <c r="F158" s="6" t="str">
        <f>IFERROR(INDEX('03_상품분류2526'!$C$7:$C$2532,MATCH(E158,'03_상품분류2526'!$A$7:$A$2532,0)),"코드 확인")</f>
        <v>스카덤겔</v>
      </c>
      <c r="G158" s="6" t="str">
        <f>IFERROR(INDEX('03_상품분류2526'!$D$7:$D$2532,MATCH(E158,'03_상품분류2526'!$A$7:$A$2532,0)),"코드 확인")</f>
        <v>20g</v>
      </c>
      <c r="H158" s="6" t="s">
        <v>7508</v>
      </c>
      <c r="I158" s="6" t="str">
        <f>IFERROR(INDEX('03_상품분류2526'!$M$7:$M$2532,MATCH(E158,'03_상품분류2526'!$A$7:$A$2532,0)),"코드 확인")</f>
        <v>B</v>
      </c>
      <c r="J158" s="6">
        <v>2</v>
      </c>
      <c r="K158" s="15">
        <v>1</v>
      </c>
      <c r="L158" s="6" t="str">
        <f>IFERROR(IF(INDEX('03_상품분류2526'!$V$7:$V$2532,MATCH(E158,'03_상품분류2526'!$A$7:$A$2532,0))="","",INDEX('03_상품분류2526'!$V$7:$V$2532,MATCH(E158,'03_상품분류2526'!$A$7:$A$2532,0))),"")</f>
        <v/>
      </c>
      <c r="M158" s="6" t="str">
        <f>IFERROR(IF(INDEX('03_상품분류2526'!$W$7:$W$2532,MATCH(E158,'03_상품분류2526'!$A$7:$A$2532,0))="","",INDEX('03_상품분류2526'!$W$7:$W$2532,MATCH(E158,'03_상품분류2526'!$A$7:$A$2532,0))),"")</f>
        <v/>
      </c>
      <c r="N158" s="6" t="str">
        <f>IFERROR(IF(INDEX('03_상품분류2526'!$X$7:$X$2532,MATCH(E158,'03_상품분류2526'!$A$7:$A$2532,0))="","",INDEX('03_상품분류2526'!$X$7:$X$2532,MATCH(E158,'03_상품분류2526'!$A$7:$A$2532,0))),"")</f>
        <v/>
      </c>
      <c r="O158" s="6">
        <f>'02_선반315'!R123</f>
        <v>865</v>
      </c>
      <c r="P158" s="6">
        <f>'02_선반315'!T123</f>
        <v>220</v>
      </c>
      <c r="Q158" s="6">
        <f>'02_선반315'!U123</f>
        <v>200</v>
      </c>
      <c r="R158" s="6">
        <f>'02_선반315'!S123</f>
        <v>270</v>
      </c>
      <c r="S158" s="6" t="str">
        <f t="shared" si="4"/>
        <v/>
      </c>
      <c r="T158" s="6" t="str">
        <f t="shared" si="5"/>
        <v>입력 대기</v>
      </c>
      <c r="U158" s="6" t="s">
        <v>7509</v>
      </c>
      <c r="V158" s="6" t="s">
        <v>555</v>
      </c>
      <c r="W158" s="6" t="s">
        <v>859</v>
      </c>
    </row>
    <row r="159" spans="1:23" ht="33" customHeight="1">
      <c r="A159" s="6" t="s">
        <v>7663</v>
      </c>
      <c r="B159" s="6" t="s">
        <v>973</v>
      </c>
      <c r="C159" s="6" t="s">
        <v>228</v>
      </c>
      <c r="D159" s="6">
        <v>3</v>
      </c>
      <c r="E159" s="6" t="s">
        <v>762</v>
      </c>
      <c r="F159" s="6" t="str">
        <f>IFERROR(INDEX('03_상품분류2526'!$C$7:$C$2532,MATCH(E159,'03_상품분류2526'!$A$7:$A$2532,0)),"코드 확인")</f>
        <v>더마틱스울트라겔</v>
      </c>
      <c r="G159" s="6" t="str">
        <f>IFERROR(INDEX('03_상품분류2526'!$D$7:$D$2532,MATCH(E159,'03_상품분류2526'!$A$7:$A$2532,0)),"코드 확인")</f>
        <v>15g</v>
      </c>
      <c r="H159" s="6" t="s">
        <v>7508</v>
      </c>
      <c r="I159" s="6" t="str">
        <f>IFERROR(INDEX('03_상품분류2526'!$M$7:$M$2532,MATCH(E159,'03_상품분류2526'!$A$7:$A$2532,0)),"코드 확인")</f>
        <v>A</v>
      </c>
      <c r="J159" s="6">
        <v>1</v>
      </c>
      <c r="K159" s="15">
        <v>1</v>
      </c>
      <c r="L159" s="6" t="str">
        <f>IFERROR(IF(INDEX('03_상품분류2526'!$V$7:$V$2532,MATCH(E159,'03_상품분류2526'!$A$7:$A$2532,0))="","",INDEX('03_상품분류2526'!$V$7:$V$2532,MATCH(E159,'03_상품분류2526'!$A$7:$A$2532,0))),"")</f>
        <v/>
      </c>
      <c r="M159" s="6" t="str">
        <f>IFERROR(IF(INDEX('03_상품분류2526'!$W$7:$W$2532,MATCH(E159,'03_상품분류2526'!$A$7:$A$2532,0))="","",INDEX('03_상품분류2526'!$W$7:$W$2532,MATCH(E159,'03_상품분류2526'!$A$7:$A$2532,0))),"")</f>
        <v/>
      </c>
      <c r="N159" s="6" t="str">
        <f>IFERROR(IF(INDEX('03_상품분류2526'!$X$7:$X$2532,MATCH(E159,'03_상품분류2526'!$A$7:$A$2532,0))="","",INDEX('03_상품분류2526'!$X$7:$X$2532,MATCH(E159,'03_상품분류2526'!$A$7:$A$2532,0))),"")</f>
        <v/>
      </c>
      <c r="O159" s="6">
        <f>'02_선반315'!R124</f>
        <v>865</v>
      </c>
      <c r="P159" s="6">
        <f>'02_선반315'!T124</f>
        <v>220</v>
      </c>
      <c r="Q159" s="6">
        <f>'02_선반315'!U124</f>
        <v>200</v>
      </c>
      <c r="R159" s="6">
        <f>'02_선반315'!S124</f>
        <v>270</v>
      </c>
      <c r="S159" s="6" t="str">
        <f t="shared" si="4"/>
        <v/>
      </c>
      <c r="T159" s="6" t="str">
        <f t="shared" si="5"/>
        <v>입력 대기</v>
      </c>
      <c r="U159" s="6" t="s">
        <v>7509</v>
      </c>
      <c r="V159" s="6" t="s">
        <v>555</v>
      </c>
      <c r="W159" s="6" t="s">
        <v>859</v>
      </c>
    </row>
    <row r="160" spans="1:23" ht="33" customHeight="1">
      <c r="A160" s="6" t="s">
        <v>7664</v>
      </c>
      <c r="B160" s="6" t="s">
        <v>973</v>
      </c>
      <c r="C160" s="6" t="s">
        <v>228</v>
      </c>
      <c r="D160" s="6">
        <v>3</v>
      </c>
      <c r="E160" s="6" t="s">
        <v>1490</v>
      </c>
      <c r="F160" s="6" t="str">
        <f>IFERROR(INDEX('03_상품분류2526'!$C$7:$C$2532,MATCH(E160,'03_상품분류2526'!$A$7:$A$2532,0)),"코드 확인")</f>
        <v>스카덤울트라</v>
      </c>
      <c r="G160" s="6" t="str">
        <f>IFERROR(INDEX('03_상품분류2526'!$D$7:$D$2532,MATCH(E160,'03_상품분류2526'!$A$7:$A$2532,0)),"코드 확인")</f>
        <v>10g</v>
      </c>
      <c r="H160" s="6" t="s">
        <v>7508</v>
      </c>
      <c r="I160" s="6" t="str">
        <f>IFERROR(INDEX('03_상품분류2526'!$M$7:$M$2532,MATCH(E160,'03_상품분류2526'!$A$7:$A$2532,0)),"코드 확인")</f>
        <v>B</v>
      </c>
      <c r="J160" s="6">
        <v>2</v>
      </c>
      <c r="K160" s="15">
        <v>1</v>
      </c>
      <c r="L160" s="6" t="str">
        <f>IFERROR(IF(INDEX('03_상품분류2526'!$V$7:$V$2532,MATCH(E160,'03_상품분류2526'!$A$7:$A$2532,0))="","",INDEX('03_상품분류2526'!$V$7:$V$2532,MATCH(E160,'03_상품분류2526'!$A$7:$A$2532,0))),"")</f>
        <v/>
      </c>
      <c r="M160" s="6" t="str">
        <f>IFERROR(IF(INDEX('03_상품분류2526'!$W$7:$W$2532,MATCH(E160,'03_상품분류2526'!$A$7:$A$2532,0))="","",INDEX('03_상품분류2526'!$W$7:$W$2532,MATCH(E160,'03_상품분류2526'!$A$7:$A$2532,0))),"")</f>
        <v/>
      </c>
      <c r="N160" s="6" t="str">
        <f>IFERROR(IF(INDEX('03_상품분류2526'!$X$7:$X$2532,MATCH(E160,'03_상품분류2526'!$A$7:$A$2532,0))="","",INDEX('03_상품분류2526'!$X$7:$X$2532,MATCH(E160,'03_상품분류2526'!$A$7:$A$2532,0))),"")</f>
        <v/>
      </c>
      <c r="O160" s="6">
        <f>'02_선반315'!R124</f>
        <v>865</v>
      </c>
      <c r="P160" s="6">
        <f>'02_선반315'!T124</f>
        <v>220</v>
      </c>
      <c r="Q160" s="6">
        <f>'02_선반315'!U124</f>
        <v>200</v>
      </c>
      <c r="R160" s="6">
        <f>'02_선반315'!S124</f>
        <v>270</v>
      </c>
      <c r="S160" s="6" t="str">
        <f t="shared" si="4"/>
        <v/>
      </c>
      <c r="T160" s="6" t="str">
        <f t="shared" si="5"/>
        <v>입력 대기</v>
      </c>
      <c r="U160" s="6" t="s">
        <v>7509</v>
      </c>
      <c r="V160" s="6" t="s">
        <v>555</v>
      </c>
      <c r="W160" s="6" t="s">
        <v>859</v>
      </c>
    </row>
    <row r="161" spans="1:23" ht="33" customHeight="1">
      <c r="A161" s="6" t="s">
        <v>7665</v>
      </c>
      <c r="B161" s="6" t="s">
        <v>977</v>
      </c>
      <c r="C161" s="6" t="s">
        <v>228</v>
      </c>
      <c r="D161" s="6">
        <v>4</v>
      </c>
      <c r="E161" s="6" t="s">
        <v>979</v>
      </c>
      <c r="F161" s="6" t="str">
        <f>IFERROR(INDEX('03_상품분류2526'!$C$7:$C$2532,MATCH(E161,'03_상품분류2526'!$A$7:$A$2532,0)),"코드 확인")</f>
        <v>노스카딘겔</v>
      </c>
      <c r="G161" s="6" t="str">
        <f>IFERROR(INDEX('03_상품분류2526'!$D$7:$D$2532,MATCH(E161,'03_상품분류2526'!$A$7:$A$2532,0)),"코드 확인")</f>
        <v>18g</v>
      </c>
      <c r="H161" s="6" t="s">
        <v>7508</v>
      </c>
      <c r="I161" s="6" t="str">
        <f>IFERROR(INDEX('03_상품분류2526'!$M$7:$M$2532,MATCH(E161,'03_상품분류2526'!$A$7:$A$2532,0)),"코드 확인")</f>
        <v>B</v>
      </c>
      <c r="J161" s="6">
        <v>1</v>
      </c>
      <c r="K161" s="15">
        <v>1</v>
      </c>
      <c r="L161" s="6" t="str">
        <f>IFERROR(IF(INDEX('03_상품분류2526'!$V$7:$V$2532,MATCH(E161,'03_상품분류2526'!$A$7:$A$2532,0))="","",INDEX('03_상품분류2526'!$V$7:$V$2532,MATCH(E161,'03_상품분류2526'!$A$7:$A$2532,0))),"")</f>
        <v/>
      </c>
      <c r="M161" s="6" t="str">
        <f>IFERROR(IF(INDEX('03_상품분류2526'!$W$7:$W$2532,MATCH(E161,'03_상품분류2526'!$A$7:$A$2532,0))="","",INDEX('03_상품분류2526'!$W$7:$W$2532,MATCH(E161,'03_상품분류2526'!$A$7:$A$2532,0))),"")</f>
        <v/>
      </c>
      <c r="N161" s="6" t="str">
        <f>IFERROR(IF(INDEX('03_상품분류2526'!$X$7:$X$2532,MATCH(E161,'03_상품분류2526'!$A$7:$A$2532,0))="","",INDEX('03_상품분류2526'!$X$7:$X$2532,MATCH(E161,'03_상품분류2526'!$A$7:$A$2532,0))),"")</f>
        <v/>
      </c>
      <c r="O161" s="6">
        <f>'02_선반315'!R125</f>
        <v>865</v>
      </c>
      <c r="P161" s="6">
        <f>'02_선반315'!T125</f>
        <v>220</v>
      </c>
      <c r="Q161" s="6">
        <f>'02_선반315'!U125</f>
        <v>200</v>
      </c>
      <c r="R161" s="6">
        <f>'02_선반315'!S125</f>
        <v>270</v>
      </c>
      <c r="S161" s="6" t="str">
        <f t="shared" si="4"/>
        <v/>
      </c>
      <c r="T161" s="6" t="str">
        <f t="shared" si="5"/>
        <v>입력 대기</v>
      </c>
      <c r="U161" s="6" t="s">
        <v>7509</v>
      </c>
      <c r="V161" s="6" t="s">
        <v>555</v>
      </c>
      <c r="W161" s="6" t="s">
        <v>859</v>
      </c>
    </row>
    <row r="162" spans="1:23" ht="33" customHeight="1">
      <c r="A162" s="6" t="s">
        <v>7666</v>
      </c>
      <c r="B162" s="6" t="s">
        <v>983</v>
      </c>
      <c r="C162" s="6" t="s">
        <v>236</v>
      </c>
      <c r="D162" s="6">
        <v>2</v>
      </c>
      <c r="E162" s="6" t="s">
        <v>6176</v>
      </c>
      <c r="F162" s="6" t="str">
        <f>IFERROR(INDEX('03_상품분류2526'!$C$7:$C$2532,MATCH(E162,'03_상품분류2526'!$A$7:$A$2532,0)),"코드 확인")</f>
        <v>케어리브(소형)</v>
      </c>
      <c r="G162" s="6" t="str">
        <f>IFERROR(INDEX('03_상품분류2526'!$D$7:$D$2532,MATCH(E162,'03_상품분류2526'!$A$7:$A$2532,0)),"코드 확인")</f>
        <v>30매</v>
      </c>
      <c r="H162" s="6" t="s">
        <v>7508</v>
      </c>
      <c r="I162" s="6" t="str">
        <f>IFERROR(INDEX('03_상품분류2526'!$M$7:$M$2532,MATCH(E162,'03_상품분류2526'!$A$7:$A$2532,0)),"코드 확인")</f>
        <v>B</v>
      </c>
      <c r="J162" s="6">
        <v>1</v>
      </c>
      <c r="K162" s="15">
        <v>1</v>
      </c>
      <c r="L162" s="6" t="str">
        <f>IFERROR(IF(INDEX('03_상품분류2526'!$V$7:$V$2532,MATCH(E162,'03_상품분류2526'!$A$7:$A$2532,0))="","",INDEX('03_상품분류2526'!$V$7:$V$2532,MATCH(E162,'03_상품분류2526'!$A$7:$A$2532,0))),"")</f>
        <v/>
      </c>
      <c r="M162" s="6" t="str">
        <f>IFERROR(IF(INDEX('03_상품분류2526'!$W$7:$W$2532,MATCH(E162,'03_상품분류2526'!$A$7:$A$2532,0))="","",INDEX('03_상품분류2526'!$W$7:$W$2532,MATCH(E162,'03_상품분류2526'!$A$7:$A$2532,0))),"")</f>
        <v/>
      </c>
      <c r="N162" s="6" t="str">
        <f>IFERROR(IF(INDEX('03_상품분류2526'!$X$7:$X$2532,MATCH(E162,'03_상품분류2526'!$A$7:$A$2532,0))="","",INDEX('03_상품분류2526'!$X$7:$X$2532,MATCH(E162,'03_상품분류2526'!$A$7:$A$2532,0))),"")</f>
        <v/>
      </c>
      <c r="O162" s="6">
        <f>'02_선반315'!R128</f>
        <v>865</v>
      </c>
      <c r="P162" s="6">
        <f>'02_선반315'!T128</f>
        <v>220</v>
      </c>
      <c r="Q162" s="6">
        <f>'02_선반315'!U128</f>
        <v>200</v>
      </c>
      <c r="R162" s="6">
        <f>'02_선반315'!S128</f>
        <v>270</v>
      </c>
      <c r="S162" s="6" t="str">
        <f t="shared" si="4"/>
        <v/>
      </c>
      <c r="T162" s="6" t="str">
        <f t="shared" si="5"/>
        <v>입력 대기</v>
      </c>
      <c r="U162" s="6" t="s">
        <v>7509</v>
      </c>
      <c r="V162" s="6" t="s">
        <v>555</v>
      </c>
      <c r="W162" s="6" t="s">
        <v>859</v>
      </c>
    </row>
    <row r="163" spans="1:23" ht="33" customHeight="1">
      <c r="A163" s="6" t="s">
        <v>7667</v>
      </c>
      <c r="B163" s="6" t="s">
        <v>983</v>
      </c>
      <c r="C163" s="6" t="s">
        <v>236</v>
      </c>
      <c r="D163" s="6">
        <v>2</v>
      </c>
      <c r="E163" s="6" t="s">
        <v>6178</v>
      </c>
      <c r="F163" s="6" t="str">
        <f>IFERROR(INDEX('03_상품분류2526'!$C$7:$C$2532,MATCH(E163,'03_상품분류2526'!$A$7:$A$2532,0)),"코드 확인")</f>
        <v>케어리브(중형)</v>
      </c>
      <c r="G163" s="6" t="str">
        <f>IFERROR(INDEX('03_상품분류2526'!$D$7:$D$2532,MATCH(E163,'03_상품분류2526'!$A$7:$A$2532,0)),"코드 확인")</f>
        <v>20매</v>
      </c>
      <c r="H163" s="6" t="s">
        <v>7508</v>
      </c>
      <c r="I163" s="6" t="str">
        <f>IFERROR(INDEX('03_상품분류2526'!$M$7:$M$2532,MATCH(E163,'03_상품분류2526'!$A$7:$A$2532,0)),"코드 확인")</f>
        <v>A</v>
      </c>
      <c r="J163" s="6">
        <v>2</v>
      </c>
      <c r="K163" s="15">
        <v>1</v>
      </c>
      <c r="L163" s="6" t="str">
        <f>IFERROR(IF(INDEX('03_상품분류2526'!$V$7:$V$2532,MATCH(E163,'03_상품분류2526'!$A$7:$A$2532,0))="","",INDEX('03_상품분류2526'!$V$7:$V$2532,MATCH(E163,'03_상품분류2526'!$A$7:$A$2532,0))),"")</f>
        <v/>
      </c>
      <c r="M163" s="6" t="str">
        <f>IFERROR(IF(INDEX('03_상품분류2526'!$W$7:$W$2532,MATCH(E163,'03_상품분류2526'!$A$7:$A$2532,0))="","",INDEX('03_상품분류2526'!$W$7:$W$2532,MATCH(E163,'03_상품분류2526'!$A$7:$A$2532,0))),"")</f>
        <v/>
      </c>
      <c r="N163" s="6" t="str">
        <f>IFERROR(IF(INDEX('03_상품분류2526'!$X$7:$X$2532,MATCH(E163,'03_상품분류2526'!$A$7:$A$2532,0))="","",INDEX('03_상품분류2526'!$X$7:$X$2532,MATCH(E163,'03_상품분류2526'!$A$7:$A$2532,0))),"")</f>
        <v/>
      </c>
      <c r="O163" s="6">
        <f>'02_선반315'!R128</f>
        <v>865</v>
      </c>
      <c r="P163" s="6">
        <f>'02_선반315'!T128</f>
        <v>220</v>
      </c>
      <c r="Q163" s="6">
        <f>'02_선반315'!U128</f>
        <v>200</v>
      </c>
      <c r="R163" s="6">
        <f>'02_선반315'!S128</f>
        <v>270</v>
      </c>
      <c r="S163" s="6" t="str">
        <f t="shared" si="4"/>
        <v/>
      </c>
      <c r="T163" s="6" t="str">
        <f t="shared" si="5"/>
        <v>입력 대기</v>
      </c>
      <c r="U163" s="6" t="s">
        <v>7509</v>
      </c>
      <c r="V163" s="6" t="s">
        <v>555</v>
      </c>
      <c r="W163" s="6" t="s">
        <v>859</v>
      </c>
    </row>
    <row r="164" spans="1:23" ht="33" customHeight="1">
      <c r="A164" s="6" t="s">
        <v>7668</v>
      </c>
      <c r="B164" s="6" t="s">
        <v>983</v>
      </c>
      <c r="C164" s="6" t="s">
        <v>236</v>
      </c>
      <c r="D164" s="6">
        <v>2</v>
      </c>
      <c r="E164" s="6" t="s">
        <v>766</v>
      </c>
      <c r="F164" s="6" t="str">
        <f>IFERROR(INDEX('03_상품분류2526'!$C$7:$C$2532,MATCH(E164,'03_상품분류2526'!$A$7:$A$2532,0)),"코드 확인")</f>
        <v>케어리브(혼합형)</v>
      </c>
      <c r="G164" s="6" t="str">
        <f>IFERROR(INDEX('03_상품분류2526'!$D$7:$D$2532,MATCH(E164,'03_상품분류2526'!$A$7:$A$2532,0)),"코드 확인")</f>
        <v>20매</v>
      </c>
      <c r="H164" s="6" t="s">
        <v>7508</v>
      </c>
      <c r="I164" s="6" t="str">
        <f>IFERROR(INDEX('03_상품분류2526'!$M$7:$M$2532,MATCH(E164,'03_상품분류2526'!$A$7:$A$2532,0)),"코드 확인")</f>
        <v>B</v>
      </c>
      <c r="J164" s="6">
        <v>3</v>
      </c>
      <c r="K164" s="15">
        <v>1</v>
      </c>
      <c r="L164" s="6" t="str">
        <f>IFERROR(IF(INDEX('03_상품분류2526'!$V$7:$V$2532,MATCH(E164,'03_상품분류2526'!$A$7:$A$2532,0))="","",INDEX('03_상품분류2526'!$V$7:$V$2532,MATCH(E164,'03_상품분류2526'!$A$7:$A$2532,0))),"")</f>
        <v/>
      </c>
      <c r="M164" s="6" t="str">
        <f>IFERROR(IF(INDEX('03_상품분류2526'!$W$7:$W$2532,MATCH(E164,'03_상품분류2526'!$A$7:$A$2532,0))="","",INDEX('03_상품분류2526'!$W$7:$W$2532,MATCH(E164,'03_상품분류2526'!$A$7:$A$2532,0))),"")</f>
        <v/>
      </c>
      <c r="N164" s="6" t="str">
        <f>IFERROR(IF(INDEX('03_상품분류2526'!$X$7:$X$2532,MATCH(E164,'03_상품분류2526'!$A$7:$A$2532,0))="","",INDEX('03_상품분류2526'!$X$7:$X$2532,MATCH(E164,'03_상품분류2526'!$A$7:$A$2532,0))),"")</f>
        <v/>
      </c>
      <c r="O164" s="6">
        <f>'02_선반315'!R128</f>
        <v>865</v>
      </c>
      <c r="P164" s="6">
        <f>'02_선반315'!T128</f>
        <v>220</v>
      </c>
      <c r="Q164" s="6">
        <f>'02_선반315'!U128</f>
        <v>200</v>
      </c>
      <c r="R164" s="6">
        <f>'02_선반315'!S128</f>
        <v>270</v>
      </c>
      <c r="S164" s="6" t="str">
        <f t="shared" si="4"/>
        <v/>
      </c>
      <c r="T164" s="6" t="str">
        <f t="shared" si="5"/>
        <v>입력 대기</v>
      </c>
      <c r="U164" s="6" t="s">
        <v>7509</v>
      </c>
      <c r="V164" s="6" t="s">
        <v>555</v>
      </c>
      <c r="W164" s="6" t="s">
        <v>859</v>
      </c>
    </row>
    <row r="165" spans="1:23" ht="33" customHeight="1">
      <c r="A165" s="6" t="s">
        <v>7669</v>
      </c>
      <c r="B165" s="6" t="s">
        <v>987</v>
      </c>
      <c r="C165" s="6" t="s">
        <v>236</v>
      </c>
      <c r="D165" s="6">
        <v>3</v>
      </c>
      <c r="E165" s="6" t="s">
        <v>1498</v>
      </c>
      <c r="F165" s="6" t="str">
        <f>IFERROR(INDEX('03_상품분류2526'!$C$7:$C$2532,MATCH(E165,'03_상품분류2526'!$A$7:$A$2532,0)),"코드 확인")</f>
        <v>케어리브방수형M</v>
      </c>
      <c r="G165" s="6" t="str">
        <f>IFERROR(INDEX('03_상품분류2526'!$D$7:$D$2532,MATCH(E165,'03_상품분류2526'!$A$7:$A$2532,0)),"코드 확인")</f>
        <v>20개입</v>
      </c>
      <c r="H165" s="6" t="s">
        <v>7508</v>
      </c>
      <c r="I165" s="6" t="str">
        <f>IFERROR(INDEX('03_상품분류2526'!$M$7:$M$2532,MATCH(E165,'03_상품분류2526'!$A$7:$A$2532,0)),"코드 확인")</f>
        <v>A</v>
      </c>
      <c r="J165" s="6">
        <v>1</v>
      </c>
      <c r="K165" s="15">
        <v>1</v>
      </c>
      <c r="L165" s="6" t="str">
        <f>IFERROR(IF(INDEX('03_상품분류2526'!$V$7:$V$2532,MATCH(E165,'03_상품분류2526'!$A$7:$A$2532,0))="","",INDEX('03_상품분류2526'!$V$7:$V$2532,MATCH(E165,'03_상품분류2526'!$A$7:$A$2532,0))),"")</f>
        <v/>
      </c>
      <c r="M165" s="6" t="str">
        <f>IFERROR(IF(INDEX('03_상품분류2526'!$W$7:$W$2532,MATCH(E165,'03_상품분류2526'!$A$7:$A$2532,0))="","",INDEX('03_상품분류2526'!$W$7:$W$2532,MATCH(E165,'03_상품분류2526'!$A$7:$A$2532,0))),"")</f>
        <v/>
      </c>
      <c r="N165" s="6" t="str">
        <f>IFERROR(IF(INDEX('03_상품분류2526'!$X$7:$X$2532,MATCH(E165,'03_상품분류2526'!$A$7:$A$2532,0))="","",INDEX('03_상품분류2526'!$X$7:$X$2532,MATCH(E165,'03_상품분류2526'!$A$7:$A$2532,0))),"")</f>
        <v/>
      </c>
      <c r="O165" s="6">
        <f>'02_선반315'!R129</f>
        <v>865</v>
      </c>
      <c r="P165" s="6">
        <f>'02_선반315'!T129</f>
        <v>220</v>
      </c>
      <c r="Q165" s="6">
        <f>'02_선반315'!U129</f>
        <v>200</v>
      </c>
      <c r="R165" s="6">
        <f>'02_선반315'!S129</f>
        <v>270</v>
      </c>
      <c r="S165" s="6" t="str">
        <f t="shared" si="4"/>
        <v/>
      </c>
      <c r="T165" s="6" t="str">
        <f t="shared" si="5"/>
        <v>입력 대기</v>
      </c>
      <c r="U165" s="6" t="s">
        <v>7509</v>
      </c>
      <c r="V165" s="6" t="s">
        <v>555</v>
      </c>
      <c r="W165" s="6" t="s">
        <v>859</v>
      </c>
    </row>
    <row r="166" spans="1:23" ht="33" customHeight="1">
      <c r="A166" s="6" t="s">
        <v>7670</v>
      </c>
      <c r="B166" s="6" t="s">
        <v>987</v>
      </c>
      <c r="C166" s="6" t="s">
        <v>236</v>
      </c>
      <c r="D166" s="6">
        <v>3</v>
      </c>
      <c r="E166" s="6" t="s">
        <v>5813</v>
      </c>
      <c r="F166" s="6" t="str">
        <f>IFERROR(INDEX('03_상품분류2526'!$C$7:$C$2532,MATCH(E166,'03_상품분류2526'!$A$7:$A$2532,0)),"코드 확인")</f>
        <v>케어리브방수(소형)</v>
      </c>
      <c r="G166" s="6" t="str">
        <f>IFERROR(INDEX('03_상품분류2526'!$D$7:$D$2532,MATCH(E166,'03_상품분류2526'!$A$7:$A$2532,0)),"코드 확인")</f>
        <v>24매</v>
      </c>
      <c r="H166" s="6" t="s">
        <v>7508</v>
      </c>
      <c r="I166" s="6" t="str">
        <f>IFERROR(INDEX('03_상품분류2526'!$M$7:$M$2532,MATCH(E166,'03_상품분류2526'!$A$7:$A$2532,0)),"코드 확인")</f>
        <v>B</v>
      </c>
      <c r="J166" s="6">
        <v>2</v>
      </c>
      <c r="K166" s="15">
        <v>1</v>
      </c>
      <c r="L166" s="6" t="str">
        <f>IFERROR(IF(INDEX('03_상품분류2526'!$V$7:$V$2532,MATCH(E166,'03_상품분류2526'!$A$7:$A$2532,0))="","",INDEX('03_상품분류2526'!$V$7:$V$2532,MATCH(E166,'03_상품분류2526'!$A$7:$A$2532,0))),"")</f>
        <v/>
      </c>
      <c r="M166" s="6" t="str">
        <f>IFERROR(IF(INDEX('03_상품분류2526'!$W$7:$W$2532,MATCH(E166,'03_상품분류2526'!$A$7:$A$2532,0))="","",INDEX('03_상품분류2526'!$W$7:$W$2532,MATCH(E166,'03_상품분류2526'!$A$7:$A$2532,0))),"")</f>
        <v/>
      </c>
      <c r="N166" s="6" t="str">
        <f>IFERROR(IF(INDEX('03_상품분류2526'!$X$7:$X$2532,MATCH(E166,'03_상품분류2526'!$A$7:$A$2532,0))="","",INDEX('03_상품분류2526'!$X$7:$X$2532,MATCH(E166,'03_상품분류2526'!$A$7:$A$2532,0))),"")</f>
        <v/>
      </c>
      <c r="O166" s="6">
        <f>'02_선반315'!R129</f>
        <v>865</v>
      </c>
      <c r="P166" s="6">
        <f>'02_선반315'!T129</f>
        <v>220</v>
      </c>
      <c r="Q166" s="6">
        <f>'02_선반315'!U129</f>
        <v>200</v>
      </c>
      <c r="R166" s="6">
        <f>'02_선반315'!S129</f>
        <v>270</v>
      </c>
      <c r="S166" s="6" t="str">
        <f t="shared" si="4"/>
        <v/>
      </c>
      <c r="T166" s="6" t="str">
        <f t="shared" si="5"/>
        <v>입력 대기</v>
      </c>
      <c r="U166" s="6" t="s">
        <v>7509</v>
      </c>
      <c r="V166" s="6" t="s">
        <v>555</v>
      </c>
      <c r="W166" s="6" t="s">
        <v>859</v>
      </c>
    </row>
    <row r="167" spans="1:23" ht="33" customHeight="1">
      <c r="A167" s="6" t="s">
        <v>7671</v>
      </c>
      <c r="B167" s="6" t="s">
        <v>987</v>
      </c>
      <c r="C167" s="6" t="s">
        <v>236</v>
      </c>
      <c r="D167" s="6">
        <v>3</v>
      </c>
      <c r="E167" s="6" t="s">
        <v>5811</v>
      </c>
      <c r="F167" s="6" t="str">
        <f>IFERROR(INDEX('03_상품분류2526'!$C$7:$C$2532,MATCH(E167,'03_상품분류2526'!$A$7:$A$2532,0)),"코드 확인")</f>
        <v>케어리브 방수 대형</v>
      </c>
      <c r="G167" s="6" t="str">
        <f>IFERROR(INDEX('03_상품분류2526'!$D$7:$D$2532,MATCH(E167,'03_상품분류2526'!$A$7:$A$2532,0)),"코드 확인")</f>
        <v>14매</v>
      </c>
      <c r="H167" s="6" t="s">
        <v>7508</v>
      </c>
      <c r="I167" s="6" t="str">
        <f>IFERROR(INDEX('03_상품분류2526'!$M$7:$M$2532,MATCH(E167,'03_상품분류2526'!$A$7:$A$2532,0)),"코드 확인")</f>
        <v>B</v>
      </c>
      <c r="J167" s="6">
        <v>3</v>
      </c>
      <c r="K167" s="15">
        <v>1</v>
      </c>
      <c r="L167" s="6" t="str">
        <f>IFERROR(IF(INDEX('03_상품분류2526'!$V$7:$V$2532,MATCH(E167,'03_상품분류2526'!$A$7:$A$2532,0))="","",INDEX('03_상품분류2526'!$V$7:$V$2532,MATCH(E167,'03_상품분류2526'!$A$7:$A$2532,0))),"")</f>
        <v/>
      </c>
      <c r="M167" s="6" t="str">
        <f>IFERROR(IF(INDEX('03_상품분류2526'!$W$7:$W$2532,MATCH(E167,'03_상품분류2526'!$A$7:$A$2532,0))="","",INDEX('03_상품분류2526'!$W$7:$W$2532,MATCH(E167,'03_상품분류2526'!$A$7:$A$2532,0))),"")</f>
        <v/>
      </c>
      <c r="N167" s="6" t="str">
        <f>IFERROR(IF(INDEX('03_상품분류2526'!$X$7:$X$2532,MATCH(E167,'03_상품분류2526'!$A$7:$A$2532,0))="","",INDEX('03_상품분류2526'!$X$7:$X$2532,MATCH(E167,'03_상품분류2526'!$A$7:$A$2532,0))),"")</f>
        <v/>
      </c>
      <c r="O167" s="6">
        <f>'02_선반315'!R129</f>
        <v>865</v>
      </c>
      <c r="P167" s="6">
        <f>'02_선반315'!T129</f>
        <v>220</v>
      </c>
      <c r="Q167" s="6">
        <f>'02_선반315'!U129</f>
        <v>200</v>
      </c>
      <c r="R167" s="6">
        <f>'02_선반315'!S129</f>
        <v>270</v>
      </c>
      <c r="S167" s="6" t="str">
        <f t="shared" si="4"/>
        <v/>
      </c>
      <c r="T167" s="6" t="str">
        <f t="shared" si="5"/>
        <v>입력 대기</v>
      </c>
      <c r="U167" s="6" t="s">
        <v>7509</v>
      </c>
      <c r="V167" s="6" t="s">
        <v>555</v>
      </c>
      <c r="W167" s="6" t="s">
        <v>859</v>
      </c>
    </row>
    <row r="168" spans="1:23" ht="33" customHeight="1">
      <c r="A168" s="6" t="s">
        <v>7672</v>
      </c>
      <c r="B168" s="6" t="s">
        <v>991</v>
      </c>
      <c r="C168" s="6" t="s">
        <v>236</v>
      </c>
      <c r="D168" s="6">
        <v>4</v>
      </c>
      <c r="E168" s="6" t="s">
        <v>6182</v>
      </c>
      <c r="F168" s="6" t="str">
        <f>IFERROR(INDEX('03_상품분류2526'!$C$7:$C$2532,MATCH(E168,'03_상품분류2526'!$A$7:$A$2532,0)),"코드 확인")</f>
        <v>케어리브(손끝)</v>
      </c>
      <c r="G168" s="6" t="str">
        <f>IFERROR(INDEX('03_상품분류2526'!$D$7:$D$2532,MATCH(E168,'03_상품분류2526'!$A$7:$A$2532,0)),"코드 확인")</f>
        <v>10매</v>
      </c>
      <c r="H168" s="6" t="s">
        <v>7508</v>
      </c>
      <c r="I168" s="6" t="str">
        <f>IFERROR(INDEX('03_상품분류2526'!$M$7:$M$2532,MATCH(E168,'03_상품분류2526'!$A$7:$A$2532,0)),"코드 확인")</f>
        <v>B</v>
      </c>
      <c r="J168" s="6">
        <v>1</v>
      </c>
      <c r="K168" s="15">
        <v>1</v>
      </c>
      <c r="L168" s="6" t="str">
        <f>IFERROR(IF(INDEX('03_상품분류2526'!$V$7:$V$2532,MATCH(E168,'03_상품분류2526'!$A$7:$A$2532,0))="","",INDEX('03_상품분류2526'!$V$7:$V$2532,MATCH(E168,'03_상품분류2526'!$A$7:$A$2532,0))),"")</f>
        <v/>
      </c>
      <c r="M168" s="6" t="str">
        <f>IFERROR(IF(INDEX('03_상품분류2526'!$W$7:$W$2532,MATCH(E168,'03_상품분류2526'!$A$7:$A$2532,0))="","",INDEX('03_상품분류2526'!$W$7:$W$2532,MATCH(E168,'03_상품분류2526'!$A$7:$A$2532,0))),"")</f>
        <v/>
      </c>
      <c r="N168" s="6" t="str">
        <f>IFERROR(IF(INDEX('03_상품분류2526'!$X$7:$X$2532,MATCH(E168,'03_상품분류2526'!$A$7:$A$2532,0))="","",INDEX('03_상품분류2526'!$X$7:$X$2532,MATCH(E168,'03_상품분류2526'!$A$7:$A$2532,0))),"")</f>
        <v/>
      </c>
      <c r="O168" s="6">
        <f>'02_선반315'!R130</f>
        <v>865</v>
      </c>
      <c r="P168" s="6">
        <f>'02_선반315'!T130</f>
        <v>220</v>
      </c>
      <c r="Q168" s="6">
        <f>'02_선반315'!U130</f>
        <v>200</v>
      </c>
      <c r="R168" s="6">
        <f>'02_선반315'!S130</f>
        <v>270</v>
      </c>
      <c r="S168" s="6" t="str">
        <f t="shared" si="4"/>
        <v/>
      </c>
      <c r="T168" s="6" t="str">
        <f t="shared" si="5"/>
        <v>입력 대기</v>
      </c>
      <c r="U168" s="6" t="s">
        <v>7509</v>
      </c>
      <c r="V168" s="6" t="s">
        <v>555</v>
      </c>
      <c r="W168" s="6" t="s">
        <v>859</v>
      </c>
    </row>
    <row r="169" spans="1:23" ht="33" customHeight="1">
      <c r="A169" s="6" t="s">
        <v>7673</v>
      </c>
      <c r="B169" s="6" t="s">
        <v>991</v>
      </c>
      <c r="C169" s="6" t="s">
        <v>236</v>
      </c>
      <c r="D169" s="6">
        <v>4</v>
      </c>
      <c r="E169" s="6" t="s">
        <v>5808</v>
      </c>
      <c r="F169" s="6" t="str">
        <f>IFERROR(INDEX('03_상품분류2526'!$C$7:$C$2532,MATCH(E169,'03_상품분류2526'!$A$7:$A$2532,0)),"코드 확인")</f>
        <v>케어리브 방수 손끝형</v>
      </c>
      <c r="G169" s="6" t="str">
        <f>IFERROR(INDEX('03_상품분류2526'!$D$7:$D$2532,MATCH(E169,'03_상품분류2526'!$A$7:$A$2532,0)),"코드 확인")</f>
        <v>1</v>
      </c>
      <c r="H169" s="6" t="s">
        <v>7508</v>
      </c>
      <c r="I169" s="6" t="str">
        <f>IFERROR(INDEX('03_상품분류2526'!$M$7:$M$2532,MATCH(E169,'03_상품분류2526'!$A$7:$A$2532,0)),"코드 확인")</f>
        <v>B</v>
      </c>
      <c r="J169" s="6">
        <v>2</v>
      </c>
      <c r="K169" s="15">
        <v>1</v>
      </c>
      <c r="L169" s="6" t="str">
        <f>IFERROR(IF(INDEX('03_상품분류2526'!$V$7:$V$2532,MATCH(E169,'03_상품분류2526'!$A$7:$A$2532,0))="","",INDEX('03_상품분류2526'!$V$7:$V$2532,MATCH(E169,'03_상품분류2526'!$A$7:$A$2532,0))),"")</f>
        <v/>
      </c>
      <c r="M169" s="6" t="str">
        <f>IFERROR(IF(INDEX('03_상품분류2526'!$W$7:$W$2532,MATCH(E169,'03_상품분류2526'!$A$7:$A$2532,0))="","",INDEX('03_상품분류2526'!$W$7:$W$2532,MATCH(E169,'03_상품분류2526'!$A$7:$A$2532,0))),"")</f>
        <v/>
      </c>
      <c r="N169" s="6" t="str">
        <f>IFERROR(IF(INDEX('03_상품분류2526'!$X$7:$X$2532,MATCH(E169,'03_상품분류2526'!$A$7:$A$2532,0))="","",INDEX('03_상품분류2526'!$X$7:$X$2532,MATCH(E169,'03_상품분류2526'!$A$7:$A$2532,0))),"")</f>
        <v/>
      </c>
      <c r="O169" s="6">
        <f>'02_선반315'!R130</f>
        <v>865</v>
      </c>
      <c r="P169" s="6">
        <f>'02_선반315'!T130</f>
        <v>220</v>
      </c>
      <c r="Q169" s="6">
        <f>'02_선반315'!U130</f>
        <v>200</v>
      </c>
      <c r="R169" s="6">
        <f>'02_선반315'!S130</f>
        <v>270</v>
      </c>
      <c r="S169" s="6" t="str">
        <f t="shared" si="4"/>
        <v/>
      </c>
      <c r="T169" s="6" t="str">
        <f t="shared" si="5"/>
        <v>입력 대기</v>
      </c>
      <c r="U169" s="6" t="s">
        <v>7509</v>
      </c>
      <c r="V169" s="6" t="s">
        <v>555</v>
      </c>
      <c r="W169" s="6" t="s">
        <v>859</v>
      </c>
    </row>
    <row r="170" spans="1:23" ht="33" customHeight="1">
      <c r="A170" s="6" t="s">
        <v>7674</v>
      </c>
      <c r="B170" s="6" t="s">
        <v>995</v>
      </c>
      <c r="C170" s="6" t="s">
        <v>236</v>
      </c>
      <c r="D170" s="6">
        <v>5</v>
      </c>
      <c r="E170" s="6" t="s">
        <v>6184</v>
      </c>
      <c r="F170" s="6" t="str">
        <f>IFERROR(INDEX('03_상품분류2526'!$C$7:$C$2532,MATCH(E170,'03_상품분류2526'!$A$7:$A$2532,0)),"코드 확인")</f>
        <v>케어리브(발뒤꿈치)</v>
      </c>
      <c r="G170" s="6" t="str">
        <f>IFERROR(INDEX('03_상품분류2526'!$D$7:$D$2532,MATCH(E170,'03_상품분류2526'!$A$7:$A$2532,0)),"코드 확인")</f>
        <v>12매</v>
      </c>
      <c r="H170" s="6" t="s">
        <v>7508</v>
      </c>
      <c r="I170" s="6" t="str">
        <f>IFERROR(INDEX('03_상품분류2526'!$M$7:$M$2532,MATCH(E170,'03_상품분류2526'!$A$7:$A$2532,0)),"코드 확인")</f>
        <v>B</v>
      </c>
      <c r="J170" s="6">
        <v>1</v>
      </c>
      <c r="K170" s="15">
        <v>1</v>
      </c>
      <c r="L170" s="6" t="str">
        <f>IFERROR(IF(INDEX('03_상품분류2526'!$V$7:$V$2532,MATCH(E170,'03_상품분류2526'!$A$7:$A$2532,0))="","",INDEX('03_상품분류2526'!$V$7:$V$2532,MATCH(E170,'03_상품분류2526'!$A$7:$A$2532,0))),"")</f>
        <v/>
      </c>
      <c r="M170" s="6" t="str">
        <f>IFERROR(IF(INDEX('03_상품분류2526'!$W$7:$W$2532,MATCH(E170,'03_상품분류2526'!$A$7:$A$2532,0))="","",INDEX('03_상품분류2526'!$W$7:$W$2532,MATCH(E170,'03_상품분류2526'!$A$7:$A$2532,0))),"")</f>
        <v/>
      </c>
      <c r="N170" s="6" t="str">
        <f>IFERROR(IF(INDEX('03_상품분류2526'!$X$7:$X$2532,MATCH(E170,'03_상품분류2526'!$A$7:$A$2532,0))="","",INDEX('03_상품분류2526'!$X$7:$X$2532,MATCH(E170,'03_상품분류2526'!$A$7:$A$2532,0))),"")</f>
        <v/>
      </c>
      <c r="O170" s="6">
        <f>'02_선반315'!R131</f>
        <v>865</v>
      </c>
      <c r="P170" s="6">
        <f>'02_선반315'!T131</f>
        <v>220</v>
      </c>
      <c r="Q170" s="6">
        <f>'02_선반315'!U131</f>
        <v>200</v>
      </c>
      <c r="R170" s="6">
        <f>'02_선반315'!S131</f>
        <v>270</v>
      </c>
      <c r="S170" s="6" t="str">
        <f t="shared" si="4"/>
        <v/>
      </c>
      <c r="T170" s="6" t="str">
        <f t="shared" si="5"/>
        <v>입력 대기</v>
      </c>
      <c r="U170" s="6" t="s">
        <v>7509</v>
      </c>
      <c r="V170" s="6" t="s">
        <v>555</v>
      </c>
      <c r="W170" s="6" t="s">
        <v>859</v>
      </c>
    </row>
    <row r="171" spans="1:23" ht="33" customHeight="1">
      <c r="A171" s="6" t="s">
        <v>7675</v>
      </c>
      <c r="B171" s="6" t="s">
        <v>995</v>
      </c>
      <c r="C171" s="6" t="s">
        <v>236</v>
      </c>
      <c r="D171" s="6">
        <v>5</v>
      </c>
      <c r="E171" s="6" t="s">
        <v>6186</v>
      </c>
      <c r="F171" s="6" t="str">
        <f>IFERROR(INDEX('03_상품분류2526'!$C$7:$C$2532,MATCH(E171,'03_상품분류2526'!$A$7:$A$2532,0)),"코드 확인")</f>
        <v>케어리브(도트)</v>
      </c>
      <c r="G171" s="6" t="str">
        <f>IFERROR(INDEX('03_상품분류2526'!$D$7:$D$2532,MATCH(E171,'03_상품분류2526'!$A$7:$A$2532,0)),"코드 확인")</f>
        <v>16매</v>
      </c>
      <c r="H171" s="6" t="s">
        <v>7508</v>
      </c>
      <c r="I171" s="6" t="str">
        <f>IFERROR(INDEX('03_상품분류2526'!$M$7:$M$2532,MATCH(E171,'03_상품분류2526'!$A$7:$A$2532,0)),"코드 확인")</f>
        <v>B</v>
      </c>
      <c r="J171" s="6">
        <v>2</v>
      </c>
      <c r="K171" s="15">
        <v>1</v>
      </c>
      <c r="L171" s="6" t="str">
        <f>IFERROR(IF(INDEX('03_상품분류2526'!$V$7:$V$2532,MATCH(E171,'03_상품분류2526'!$A$7:$A$2532,0))="","",INDEX('03_상품분류2526'!$V$7:$V$2532,MATCH(E171,'03_상품분류2526'!$A$7:$A$2532,0))),"")</f>
        <v/>
      </c>
      <c r="M171" s="6" t="str">
        <f>IFERROR(IF(INDEX('03_상품분류2526'!$W$7:$W$2532,MATCH(E171,'03_상품분류2526'!$A$7:$A$2532,0))="","",INDEX('03_상품분류2526'!$W$7:$W$2532,MATCH(E171,'03_상품분류2526'!$A$7:$A$2532,0))),"")</f>
        <v/>
      </c>
      <c r="N171" s="6" t="str">
        <f>IFERROR(IF(INDEX('03_상품분류2526'!$X$7:$X$2532,MATCH(E171,'03_상품분류2526'!$A$7:$A$2532,0))="","",INDEX('03_상품분류2526'!$X$7:$X$2532,MATCH(E171,'03_상품분류2526'!$A$7:$A$2532,0))),"")</f>
        <v/>
      </c>
      <c r="O171" s="6">
        <f>'02_선반315'!R131</f>
        <v>865</v>
      </c>
      <c r="P171" s="6">
        <f>'02_선반315'!T131</f>
        <v>220</v>
      </c>
      <c r="Q171" s="6">
        <f>'02_선반315'!U131</f>
        <v>200</v>
      </c>
      <c r="R171" s="6">
        <f>'02_선반315'!S131</f>
        <v>270</v>
      </c>
      <c r="S171" s="6" t="str">
        <f t="shared" si="4"/>
        <v/>
      </c>
      <c r="T171" s="6" t="str">
        <f t="shared" si="5"/>
        <v>입력 대기</v>
      </c>
      <c r="U171" s="6" t="s">
        <v>7509</v>
      </c>
      <c r="V171" s="6" t="s">
        <v>555</v>
      </c>
      <c r="W171" s="6" t="s">
        <v>859</v>
      </c>
    </row>
    <row r="172" spans="1:23" ht="33" customHeight="1">
      <c r="A172" s="6" t="s">
        <v>7676</v>
      </c>
      <c r="B172" s="6" t="s">
        <v>1000</v>
      </c>
      <c r="C172" s="6" t="s">
        <v>244</v>
      </c>
      <c r="D172" s="6">
        <v>2</v>
      </c>
      <c r="E172" s="6" t="s">
        <v>6216</v>
      </c>
      <c r="F172" s="6" t="str">
        <f>IFERROR(INDEX('03_상품분류2526'!$C$7:$C$2532,MATCH(E172,'03_상품분류2526'!$A$7:$A$2532,0)),"코드 확인")</f>
        <v>케어리브습윤방수(작은상처)</v>
      </c>
      <c r="G172" s="6" t="str">
        <f>IFERROR(INDEX('03_상품분류2526'!$D$7:$D$2532,MATCH(E172,'03_상품분류2526'!$A$7:$A$2532,0)),"코드 확인")</f>
        <v>16매</v>
      </c>
      <c r="H172" s="6" t="s">
        <v>7508</v>
      </c>
      <c r="I172" s="6" t="str">
        <f>IFERROR(INDEX('03_상품분류2526'!$M$7:$M$2532,MATCH(E172,'03_상품분류2526'!$A$7:$A$2532,0)),"코드 확인")</f>
        <v>B</v>
      </c>
      <c r="J172" s="6">
        <v>1</v>
      </c>
      <c r="K172" s="15">
        <v>1</v>
      </c>
      <c r="L172" s="6" t="str">
        <f>IFERROR(IF(INDEX('03_상품분류2526'!$V$7:$V$2532,MATCH(E172,'03_상품분류2526'!$A$7:$A$2532,0))="","",INDEX('03_상품분류2526'!$V$7:$V$2532,MATCH(E172,'03_상품분류2526'!$A$7:$A$2532,0))),"")</f>
        <v/>
      </c>
      <c r="M172" s="6" t="str">
        <f>IFERROR(IF(INDEX('03_상품분류2526'!$W$7:$W$2532,MATCH(E172,'03_상품분류2526'!$A$7:$A$2532,0))="","",INDEX('03_상품분류2526'!$W$7:$W$2532,MATCH(E172,'03_상품분류2526'!$A$7:$A$2532,0))),"")</f>
        <v/>
      </c>
      <c r="N172" s="6" t="str">
        <f>IFERROR(IF(INDEX('03_상품분류2526'!$X$7:$X$2532,MATCH(E172,'03_상품분류2526'!$A$7:$A$2532,0))="","",INDEX('03_상품분류2526'!$X$7:$X$2532,MATCH(E172,'03_상품분류2526'!$A$7:$A$2532,0))),"")</f>
        <v/>
      </c>
      <c r="O172" s="6">
        <f>'02_선반315'!R133</f>
        <v>865</v>
      </c>
      <c r="P172" s="6">
        <f>'02_선반315'!T133</f>
        <v>220</v>
      </c>
      <c r="Q172" s="6">
        <f>'02_선반315'!U133</f>
        <v>200</v>
      </c>
      <c r="R172" s="6">
        <f>'02_선반315'!S133</f>
        <v>270</v>
      </c>
      <c r="S172" s="6" t="str">
        <f t="shared" si="4"/>
        <v/>
      </c>
      <c r="T172" s="6" t="str">
        <f t="shared" si="5"/>
        <v>입력 대기</v>
      </c>
      <c r="U172" s="6" t="s">
        <v>7509</v>
      </c>
      <c r="V172" s="6" t="s">
        <v>555</v>
      </c>
      <c r="W172" s="6" t="s">
        <v>859</v>
      </c>
    </row>
    <row r="173" spans="1:23" ht="33" customHeight="1">
      <c r="A173" s="6" t="s">
        <v>7677</v>
      </c>
      <c r="B173" s="6" t="s">
        <v>1000</v>
      </c>
      <c r="C173" s="6" t="s">
        <v>244</v>
      </c>
      <c r="D173" s="6">
        <v>2</v>
      </c>
      <c r="E173" s="6" t="s">
        <v>1502</v>
      </c>
      <c r="F173" s="6" t="str">
        <f>IFERROR(INDEX('03_상품분류2526'!$C$7:$C$2532,MATCH(E173,'03_상품분류2526'!$A$7:$A$2532,0)),"코드 확인")</f>
        <v>케어리브습윤방수(중형)</v>
      </c>
      <c r="G173" s="6" t="str">
        <f>IFERROR(INDEX('03_상품분류2526'!$D$7:$D$2532,MATCH(E173,'03_상품분류2526'!$A$7:$A$2532,0)),"코드 확인")</f>
        <v>12매</v>
      </c>
      <c r="H173" s="6" t="s">
        <v>7508</v>
      </c>
      <c r="I173" s="6" t="str">
        <f>IFERROR(INDEX('03_상품분류2526'!$M$7:$M$2532,MATCH(E173,'03_상품분류2526'!$A$7:$A$2532,0)),"코드 확인")</f>
        <v>A</v>
      </c>
      <c r="J173" s="6">
        <v>2</v>
      </c>
      <c r="K173" s="15">
        <v>1</v>
      </c>
      <c r="L173" s="6" t="str">
        <f>IFERROR(IF(INDEX('03_상품분류2526'!$V$7:$V$2532,MATCH(E173,'03_상품분류2526'!$A$7:$A$2532,0))="","",INDEX('03_상품분류2526'!$V$7:$V$2532,MATCH(E173,'03_상품분류2526'!$A$7:$A$2532,0))),"")</f>
        <v/>
      </c>
      <c r="M173" s="6" t="str">
        <f>IFERROR(IF(INDEX('03_상품분류2526'!$W$7:$W$2532,MATCH(E173,'03_상품분류2526'!$A$7:$A$2532,0))="","",INDEX('03_상품분류2526'!$W$7:$W$2532,MATCH(E173,'03_상품분류2526'!$A$7:$A$2532,0))),"")</f>
        <v/>
      </c>
      <c r="N173" s="6" t="str">
        <f>IFERROR(IF(INDEX('03_상품분류2526'!$X$7:$X$2532,MATCH(E173,'03_상품분류2526'!$A$7:$A$2532,0))="","",INDEX('03_상품분류2526'!$X$7:$X$2532,MATCH(E173,'03_상품분류2526'!$A$7:$A$2532,0))),"")</f>
        <v/>
      </c>
      <c r="O173" s="6">
        <f>'02_선반315'!R133</f>
        <v>865</v>
      </c>
      <c r="P173" s="6">
        <f>'02_선반315'!T133</f>
        <v>220</v>
      </c>
      <c r="Q173" s="6">
        <f>'02_선반315'!U133</f>
        <v>200</v>
      </c>
      <c r="R173" s="6">
        <f>'02_선반315'!S133</f>
        <v>270</v>
      </c>
      <c r="S173" s="6" t="str">
        <f t="shared" si="4"/>
        <v/>
      </c>
      <c r="T173" s="6" t="str">
        <f t="shared" si="5"/>
        <v>입력 대기</v>
      </c>
      <c r="U173" s="6" t="s">
        <v>7509</v>
      </c>
      <c r="V173" s="6" t="s">
        <v>555</v>
      </c>
      <c r="W173" s="6" t="s">
        <v>859</v>
      </c>
    </row>
    <row r="174" spans="1:23" ht="33" customHeight="1">
      <c r="A174" s="6" t="s">
        <v>7678</v>
      </c>
      <c r="B174" s="6" t="s">
        <v>1004</v>
      </c>
      <c r="C174" s="6" t="s">
        <v>244</v>
      </c>
      <c r="D174" s="6">
        <v>3</v>
      </c>
      <c r="E174" s="6" t="s">
        <v>6157</v>
      </c>
      <c r="F174" s="6" t="str">
        <f>IFERROR(INDEX('03_상품분류2526'!$C$7:$C$2532,MATCH(E174,'03_상품분류2526'!$A$7:$A$2532,0)),"코드 확인")</f>
        <v>케어리브 습윤밴드 방수형 L 9매</v>
      </c>
      <c r="G174" s="6" t="str">
        <f>IFERROR(INDEX('03_상품분류2526'!$D$7:$D$2532,MATCH(E174,'03_상품분류2526'!$A$7:$A$2532,0)),"코드 확인")</f>
        <v>9매</v>
      </c>
      <c r="H174" s="6" t="s">
        <v>7508</v>
      </c>
      <c r="I174" s="6" t="str">
        <f>IFERROR(INDEX('03_상품분류2526'!$M$7:$M$2532,MATCH(E174,'03_상품분류2526'!$A$7:$A$2532,0)),"코드 확인")</f>
        <v>B</v>
      </c>
      <c r="J174" s="6">
        <v>1</v>
      </c>
      <c r="K174" s="15">
        <v>1</v>
      </c>
      <c r="L174" s="6" t="str">
        <f>IFERROR(IF(INDEX('03_상품분류2526'!$V$7:$V$2532,MATCH(E174,'03_상품분류2526'!$A$7:$A$2532,0))="","",INDEX('03_상품분류2526'!$V$7:$V$2532,MATCH(E174,'03_상품분류2526'!$A$7:$A$2532,0))),"")</f>
        <v/>
      </c>
      <c r="M174" s="6" t="str">
        <f>IFERROR(IF(INDEX('03_상품분류2526'!$W$7:$W$2532,MATCH(E174,'03_상품분류2526'!$A$7:$A$2532,0))="","",INDEX('03_상품분류2526'!$W$7:$W$2532,MATCH(E174,'03_상품분류2526'!$A$7:$A$2532,0))),"")</f>
        <v/>
      </c>
      <c r="N174" s="6" t="str">
        <f>IFERROR(IF(INDEX('03_상품분류2526'!$X$7:$X$2532,MATCH(E174,'03_상품분류2526'!$A$7:$A$2532,0))="","",INDEX('03_상품분류2526'!$X$7:$X$2532,MATCH(E174,'03_상품분류2526'!$A$7:$A$2532,0))),"")</f>
        <v/>
      </c>
      <c r="O174" s="6">
        <f>'02_선반315'!R134</f>
        <v>865</v>
      </c>
      <c r="P174" s="6">
        <f>'02_선반315'!T134</f>
        <v>220</v>
      </c>
      <c r="Q174" s="6">
        <f>'02_선반315'!U134</f>
        <v>200</v>
      </c>
      <c r="R174" s="6">
        <f>'02_선반315'!S134</f>
        <v>270</v>
      </c>
      <c r="S174" s="6" t="str">
        <f t="shared" si="4"/>
        <v/>
      </c>
      <c r="T174" s="6" t="str">
        <f t="shared" si="5"/>
        <v>입력 대기</v>
      </c>
      <c r="U174" s="6" t="s">
        <v>7509</v>
      </c>
      <c r="V174" s="6" t="s">
        <v>555</v>
      </c>
      <c r="W174" s="6" t="s">
        <v>859</v>
      </c>
    </row>
    <row r="175" spans="1:23" ht="33" customHeight="1">
      <c r="A175" s="6" t="s">
        <v>7679</v>
      </c>
      <c r="B175" s="6" t="s">
        <v>1004</v>
      </c>
      <c r="C175" s="6" t="s">
        <v>244</v>
      </c>
      <c r="D175" s="6">
        <v>3</v>
      </c>
      <c r="E175" s="6" t="s">
        <v>6222</v>
      </c>
      <c r="F175" s="6" t="str">
        <f>IFERROR(INDEX('03_상품분류2526'!$C$7:$C$2532,MATCH(E175,'03_상품분류2526'!$A$7:$A$2532,0)),"코드 확인")</f>
        <v>케어리브 습윤밴드 방수형 빅사이즈 5매</v>
      </c>
      <c r="G175" s="6" t="str">
        <f>IFERROR(INDEX('03_상품분류2526'!$D$7:$D$2532,MATCH(E175,'03_상품분류2526'!$A$7:$A$2532,0)),"코드 확인")</f>
        <v>5매</v>
      </c>
      <c r="H175" s="6" t="s">
        <v>7508</v>
      </c>
      <c r="I175" s="6" t="str">
        <f>IFERROR(INDEX('03_상품분류2526'!$M$7:$M$2532,MATCH(E175,'03_상품분류2526'!$A$7:$A$2532,0)),"코드 확인")</f>
        <v>B</v>
      </c>
      <c r="J175" s="6">
        <v>2</v>
      </c>
      <c r="K175" s="15">
        <v>1</v>
      </c>
      <c r="L175" s="6" t="str">
        <f>IFERROR(IF(INDEX('03_상품분류2526'!$V$7:$V$2532,MATCH(E175,'03_상품분류2526'!$A$7:$A$2532,0))="","",INDEX('03_상품분류2526'!$V$7:$V$2532,MATCH(E175,'03_상품분류2526'!$A$7:$A$2532,0))),"")</f>
        <v/>
      </c>
      <c r="M175" s="6" t="str">
        <f>IFERROR(IF(INDEX('03_상품분류2526'!$W$7:$W$2532,MATCH(E175,'03_상품분류2526'!$A$7:$A$2532,0))="","",INDEX('03_상품분류2526'!$W$7:$W$2532,MATCH(E175,'03_상품분류2526'!$A$7:$A$2532,0))),"")</f>
        <v/>
      </c>
      <c r="N175" s="6" t="str">
        <f>IFERROR(IF(INDEX('03_상품분류2526'!$X$7:$X$2532,MATCH(E175,'03_상품분류2526'!$A$7:$A$2532,0))="","",INDEX('03_상품분류2526'!$X$7:$X$2532,MATCH(E175,'03_상품분류2526'!$A$7:$A$2532,0))),"")</f>
        <v/>
      </c>
      <c r="O175" s="6">
        <f>'02_선반315'!R134</f>
        <v>865</v>
      </c>
      <c r="P175" s="6">
        <f>'02_선반315'!T134</f>
        <v>220</v>
      </c>
      <c r="Q175" s="6">
        <f>'02_선반315'!U134</f>
        <v>200</v>
      </c>
      <c r="R175" s="6">
        <f>'02_선반315'!S134</f>
        <v>270</v>
      </c>
      <c r="S175" s="6" t="str">
        <f t="shared" si="4"/>
        <v/>
      </c>
      <c r="T175" s="6" t="str">
        <f t="shared" si="5"/>
        <v>입력 대기</v>
      </c>
      <c r="U175" s="6" t="s">
        <v>7509</v>
      </c>
      <c r="V175" s="6" t="s">
        <v>555</v>
      </c>
      <c r="W175" s="6" t="s">
        <v>859</v>
      </c>
    </row>
    <row r="176" spans="1:23" ht="33" customHeight="1">
      <c r="A176" s="6" t="s">
        <v>7680</v>
      </c>
      <c r="B176" s="6" t="s">
        <v>1008</v>
      </c>
      <c r="C176" s="6" t="s">
        <v>244</v>
      </c>
      <c r="D176" s="6">
        <v>4</v>
      </c>
      <c r="E176" s="6" t="s">
        <v>1010</v>
      </c>
      <c r="F176" s="6" t="str">
        <f>IFERROR(INDEX('03_상품분류2526'!$C$7:$C$2532,MATCH(E176,'03_상품분류2526'!$A$7:$A$2532,0)),"코드 확인")</f>
        <v>케어리브 습윤밴드 방수형 뒤꿈치용 8매</v>
      </c>
      <c r="G176" s="6" t="str">
        <f>IFERROR(INDEX('03_상품분류2526'!$D$7:$D$2532,MATCH(E176,'03_상품분류2526'!$A$7:$A$2532,0)),"코드 확인")</f>
        <v>8매</v>
      </c>
      <c r="H176" s="6" t="s">
        <v>7508</v>
      </c>
      <c r="I176" s="6" t="str">
        <f>IFERROR(INDEX('03_상품분류2526'!$M$7:$M$2532,MATCH(E176,'03_상품분류2526'!$A$7:$A$2532,0)),"코드 확인")</f>
        <v>B</v>
      </c>
      <c r="J176" s="6">
        <v>1</v>
      </c>
      <c r="K176" s="15">
        <v>1</v>
      </c>
      <c r="L176" s="6" t="str">
        <f>IFERROR(IF(INDEX('03_상품분류2526'!$V$7:$V$2532,MATCH(E176,'03_상품분류2526'!$A$7:$A$2532,0))="","",INDEX('03_상품분류2526'!$V$7:$V$2532,MATCH(E176,'03_상품분류2526'!$A$7:$A$2532,0))),"")</f>
        <v/>
      </c>
      <c r="M176" s="6" t="str">
        <f>IFERROR(IF(INDEX('03_상품분류2526'!$W$7:$W$2532,MATCH(E176,'03_상품분류2526'!$A$7:$A$2532,0))="","",INDEX('03_상품분류2526'!$W$7:$W$2532,MATCH(E176,'03_상품분류2526'!$A$7:$A$2532,0))),"")</f>
        <v/>
      </c>
      <c r="N176" s="6" t="str">
        <f>IFERROR(IF(INDEX('03_상품분류2526'!$X$7:$X$2532,MATCH(E176,'03_상품분류2526'!$A$7:$A$2532,0))="","",INDEX('03_상품분류2526'!$X$7:$X$2532,MATCH(E176,'03_상품분류2526'!$A$7:$A$2532,0))),"")</f>
        <v/>
      </c>
      <c r="O176" s="6">
        <f>'02_선반315'!R135</f>
        <v>865</v>
      </c>
      <c r="P176" s="6">
        <f>'02_선반315'!T135</f>
        <v>220</v>
      </c>
      <c r="Q176" s="6">
        <f>'02_선반315'!U135</f>
        <v>200</v>
      </c>
      <c r="R176" s="6">
        <f>'02_선반315'!S135</f>
        <v>270</v>
      </c>
      <c r="S176" s="6" t="str">
        <f t="shared" si="4"/>
        <v/>
      </c>
      <c r="T176" s="6" t="str">
        <f t="shared" si="5"/>
        <v>입력 대기</v>
      </c>
      <c r="U176" s="6" t="s">
        <v>7509</v>
      </c>
      <c r="V176" s="6" t="s">
        <v>555</v>
      </c>
      <c r="W176" s="6" t="s">
        <v>859</v>
      </c>
    </row>
    <row r="177" spans="1:23" ht="33" customHeight="1">
      <c r="A177" s="6" t="s">
        <v>7681</v>
      </c>
      <c r="B177" s="6" t="s">
        <v>1015</v>
      </c>
      <c r="C177" s="6" t="s">
        <v>254</v>
      </c>
      <c r="D177" s="6">
        <v>2</v>
      </c>
      <c r="E177" s="6" t="s">
        <v>5734</v>
      </c>
      <c r="F177" s="6" t="str">
        <f>IFERROR(INDEX('03_상품분류2526'!$C$7:$C$2532,MATCH(E177,'03_상품분류2526'!$A$7:$A$2532,0)),"코드 확인")</f>
        <v>후시딘연고</v>
      </c>
      <c r="G177" s="6" t="str">
        <f>IFERROR(INDEX('03_상품분류2526'!$D$7:$D$2532,MATCH(E177,'03_상품분류2526'!$A$7:$A$2532,0)),"코드 확인")</f>
        <v>5g</v>
      </c>
      <c r="H177" s="6" t="s">
        <v>7508</v>
      </c>
      <c r="I177" s="6" t="str">
        <f>IFERROR(INDEX('03_상품분류2526'!$M$7:$M$2532,MATCH(E177,'03_상품분류2526'!$A$7:$A$2532,0)),"코드 확인")</f>
        <v>A</v>
      </c>
      <c r="J177" s="6">
        <v>1</v>
      </c>
      <c r="K177" s="15">
        <v>1</v>
      </c>
      <c r="L177" s="6" t="str">
        <f>IFERROR(IF(INDEX('03_상품분류2526'!$V$7:$V$2532,MATCH(E177,'03_상품분류2526'!$A$7:$A$2532,0))="","",INDEX('03_상품분류2526'!$V$7:$V$2532,MATCH(E177,'03_상품분류2526'!$A$7:$A$2532,0))),"")</f>
        <v/>
      </c>
      <c r="M177" s="6" t="str">
        <f>IFERROR(IF(INDEX('03_상품분류2526'!$W$7:$W$2532,MATCH(E177,'03_상품분류2526'!$A$7:$A$2532,0))="","",INDEX('03_상품분류2526'!$W$7:$W$2532,MATCH(E177,'03_상품분류2526'!$A$7:$A$2532,0))),"")</f>
        <v/>
      </c>
      <c r="N177" s="6" t="str">
        <f>IFERROR(IF(INDEX('03_상품분류2526'!$X$7:$X$2532,MATCH(E177,'03_상품분류2526'!$A$7:$A$2532,0))="","",INDEX('03_상품분류2526'!$X$7:$X$2532,MATCH(E177,'03_상품분류2526'!$A$7:$A$2532,0))),"")</f>
        <v/>
      </c>
      <c r="O177" s="6">
        <f>'02_선반315'!R138</f>
        <v>865</v>
      </c>
      <c r="P177" s="6">
        <f>'02_선반315'!T138</f>
        <v>220</v>
      </c>
      <c r="Q177" s="6">
        <f>'02_선반315'!U138</f>
        <v>200</v>
      </c>
      <c r="R177" s="6">
        <f>'02_선반315'!S138</f>
        <v>270</v>
      </c>
      <c r="S177" s="6" t="str">
        <f t="shared" si="4"/>
        <v/>
      </c>
      <c r="T177" s="6" t="str">
        <f t="shared" si="5"/>
        <v>입력 대기</v>
      </c>
      <c r="U177" s="6" t="s">
        <v>7509</v>
      </c>
      <c r="V177" s="6" t="s">
        <v>555</v>
      </c>
      <c r="W177" s="6" t="s">
        <v>859</v>
      </c>
    </row>
    <row r="178" spans="1:23" ht="33" customHeight="1">
      <c r="A178" s="6" t="s">
        <v>7682</v>
      </c>
      <c r="B178" s="6" t="s">
        <v>1015</v>
      </c>
      <c r="C178" s="6" t="s">
        <v>254</v>
      </c>
      <c r="D178" s="6">
        <v>2</v>
      </c>
      <c r="E178" s="6" t="s">
        <v>5876</v>
      </c>
      <c r="F178" s="6" t="str">
        <f>IFERROR(INDEX('03_상품분류2526'!$C$7:$C$2532,MATCH(E178,'03_상품분류2526'!$A$7:$A$2532,0)),"코드 확인")</f>
        <v>에스로반연고</v>
      </c>
      <c r="G178" s="6" t="str">
        <f>IFERROR(INDEX('03_상품분류2526'!$D$7:$D$2532,MATCH(E178,'03_상품분류2526'!$A$7:$A$2532,0)),"코드 확인")</f>
        <v>10g</v>
      </c>
      <c r="H178" s="6" t="s">
        <v>7508</v>
      </c>
      <c r="I178" s="6" t="str">
        <f>IFERROR(INDEX('03_상품분류2526'!$M$7:$M$2532,MATCH(E178,'03_상품분류2526'!$A$7:$A$2532,0)),"코드 확인")</f>
        <v>A</v>
      </c>
      <c r="J178" s="6">
        <v>2</v>
      </c>
      <c r="K178" s="15">
        <v>1</v>
      </c>
      <c r="L178" s="6" t="str">
        <f>IFERROR(IF(INDEX('03_상품분류2526'!$V$7:$V$2532,MATCH(E178,'03_상품분류2526'!$A$7:$A$2532,0))="","",INDEX('03_상품분류2526'!$V$7:$V$2532,MATCH(E178,'03_상품분류2526'!$A$7:$A$2532,0))),"")</f>
        <v/>
      </c>
      <c r="M178" s="6" t="str">
        <f>IFERROR(IF(INDEX('03_상품분류2526'!$W$7:$W$2532,MATCH(E178,'03_상품분류2526'!$A$7:$A$2532,0))="","",INDEX('03_상품분류2526'!$W$7:$W$2532,MATCH(E178,'03_상품분류2526'!$A$7:$A$2532,0))),"")</f>
        <v/>
      </c>
      <c r="N178" s="6" t="str">
        <f>IFERROR(IF(INDEX('03_상품분류2526'!$X$7:$X$2532,MATCH(E178,'03_상품분류2526'!$A$7:$A$2532,0))="","",INDEX('03_상품분류2526'!$X$7:$X$2532,MATCH(E178,'03_상품분류2526'!$A$7:$A$2532,0))),"")</f>
        <v/>
      </c>
      <c r="O178" s="6">
        <f>'02_선반315'!R138</f>
        <v>865</v>
      </c>
      <c r="P178" s="6">
        <f>'02_선반315'!T138</f>
        <v>220</v>
      </c>
      <c r="Q178" s="6">
        <f>'02_선반315'!U138</f>
        <v>200</v>
      </c>
      <c r="R178" s="6">
        <f>'02_선반315'!S138</f>
        <v>270</v>
      </c>
      <c r="S178" s="6" t="str">
        <f t="shared" si="4"/>
        <v/>
      </c>
      <c r="T178" s="6" t="str">
        <f t="shared" si="5"/>
        <v>입력 대기</v>
      </c>
      <c r="U178" s="6" t="s">
        <v>7509</v>
      </c>
      <c r="V178" s="6" t="s">
        <v>555</v>
      </c>
      <c r="W178" s="6" t="s">
        <v>859</v>
      </c>
    </row>
    <row r="179" spans="1:23" ht="33" customHeight="1">
      <c r="A179" s="6" t="s">
        <v>7683</v>
      </c>
      <c r="B179" s="6" t="s">
        <v>1019</v>
      </c>
      <c r="C179" s="6" t="s">
        <v>254</v>
      </c>
      <c r="D179" s="6">
        <v>3</v>
      </c>
      <c r="E179" s="6" t="s">
        <v>5865</v>
      </c>
      <c r="F179" s="6" t="str">
        <f>IFERROR(INDEX('03_상품분류2526'!$C$7:$C$2532,MATCH(E179,'03_상품분류2526'!$A$7:$A$2532,0)),"코드 확인")</f>
        <v>미보연고</v>
      </c>
      <c r="G179" s="6" t="str">
        <f>IFERROR(INDEX('03_상품분류2526'!$D$7:$D$2532,MATCH(E179,'03_상품분류2526'!$A$7:$A$2532,0)),"코드 확인")</f>
        <v>10g</v>
      </c>
      <c r="H179" s="6" t="s">
        <v>7508</v>
      </c>
      <c r="I179" s="6" t="str">
        <f>IFERROR(INDEX('03_상품분류2526'!$M$7:$M$2532,MATCH(E179,'03_상품분류2526'!$A$7:$A$2532,0)),"코드 확인")</f>
        <v>A</v>
      </c>
      <c r="J179" s="6">
        <v>1</v>
      </c>
      <c r="K179" s="15">
        <v>1</v>
      </c>
      <c r="L179" s="6" t="str">
        <f>IFERROR(IF(INDEX('03_상품분류2526'!$V$7:$V$2532,MATCH(E179,'03_상품분류2526'!$A$7:$A$2532,0))="","",INDEX('03_상품분류2526'!$V$7:$V$2532,MATCH(E179,'03_상품분류2526'!$A$7:$A$2532,0))),"")</f>
        <v/>
      </c>
      <c r="M179" s="6" t="str">
        <f>IFERROR(IF(INDEX('03_상품분류2526'!$W$7:$W$2532,MATCH(E179,'03_상품분류2526'!$A$7:$A$2532,0))="","",INDEX('03_상품분류2526'!$W$7:$W$2532,MATCH(E179,'03_상품분류2526'!$A$7:$A$2532,0))),"")</f>
        <v/>
      </c>
      <c r="N179" s="6" t="str">
        <f>IFERROR(IF(INDEX('03_상품분류2526'!$X$7:$X$2532,MATCH(E179,'03_상품분류2526'!$A$7:$A$2532,0))="","",INDEX('03_상품분류2526'!$X$7:$X$2532,MATCH(E179,'03_상품분류2526'!$A$7:$A$2532,0))),"")</f>
        <v/>
      </c>
      <c r="O179" s="6">
        <f>'02_선반315'!R139</f>
        <v>865</v>
      </c>
      <c r="P179" s="6">
        <f>'02_선반315'!T139</f>
        <v>220</v>
      </c>
      <c r="Q179" s="6">
        <f>'02_선반315'!U139</f>
        <v>200</v>
      </c>
      <c r="R179" s="6">
        <f>'02_선반315'!S139</f>
        <v>270</v>
      </c>
      <c r="S179" s="6" t="str">
        <f t="shared" si="4"/>
        <v/>
      </c>
      <c r="T179" s="6" t="str">
        <f t="shared" si="5"/>
        <v>입력 대기</v>
      </c>
      <c r="U179" s="6" t="s">
        <v>7509</v>
      </c>
      <c r="V179" s="6" t="s">
        <v>555</v>
      </c>
      <c r="W179" s="6" t="s">
        <v>859</v>
      </c>
    </row>
    <row r="180" spans="1:23" ht="33" customHeight="1">
      <c r="A180" s="6" t="s">
        <v>7684</v>
      </c>
      <c r="B180" s="6" t="s">
        <v>1019</v>
      </c>
      <c r="C180" s="6" t="s">
        <v>254</v>
      </c>
      <c r="D180" s="6">
        <v>3</v>
      </c>
      <c r="E180" s="6" t="s">
        <v>6938</v>
      </c>
      <c r="F180" s="6" t="str">
        <f>IFERROR(INDEX('03_상품분류2526'!$C$7:$C$2532,MATCH(E180,'03_상품분류2526'!$A$7:$A$2532,0)),"코드 확인")</f>
        <v>스티모린에스크림</v>
      </c>
      <c r="G180" s="6" t="str">
        <f>IFERROR(INDEX('03_상품분류2526'!$D$7:$D$2532,MATCH(E180,'03_상품분류2526'!$A$7:$A$2532,0)),"코드 확인")</f>
        <v>10g</v>
      </c>
      <c r="H180" s="6" t="s">
        <v>7508</v>
      </c>
      <c r="I180" s="6" t="str">
        <f>IFERROR(INDEX('03_상품분류2526'!$M$7:$M$2532,MATCH(E180,'03_상품분류2526'!$A$7:$A$2532,0)),"코드 확인")</f>
        <v>B</v>
      </c>
      <c r="J180" s="6">
        <v>2</v>
      </c>
      <c r="K180" s="15">
        <v>1</v>
      </c>
      <c r="L180" s="6" t="str">
        <f>IFERROR(IF(INDEX('03_상품분류2526'!$V$7:$V$2532,MATCH(E180,'03_상품분류2526'!$A$7:$A$2532,0))="","",INDEX('03_상품분류2526'!$V$7:$V$2532,MATCH(E180,'03_상품분류2526'!$A$7:$A$2532,0))),"")</f>
        <v/>
      </c>
      <c r="M180" s="6" t="str">
        <f>IFERROR(IF(INDEX('03_상품분류2526'!$W$7:$W$2532,MATCH(E180,'03_상품분류2526'!$A$7:$A$2532,0))="","",INDEX('03_상품분류2526'!$W$7:$W$2532,MATCH(E180,'03_상품분류2526'!$A$7:$A$2532,0))),"")</f>
        <v/>
      </c>
      <c r="N180" s="6" t="str">
        <f>IFERROR(IF(INDEX('03_상품분류2526'!$X$7:$X$2532,MATCH(E180,'03_상품분류2526'!$A$7:$A$2532,0))="","",INDEX('03_상품분류2526'!$X$7:$X$2532,MATCH(E180,'03_상품분류2526'!$A$7:$A$2532,0))),"")</f>
        <v/>
      </c>
      <c r="O180" s="6">
        <f>'02_선반315'!R139</f>
        <v>865</v>
      </c>
      <c r="P180" s="6">
        <f>'02_선반315'!T139</f>
        <v>220</v>
      </c>
      <c r="Q180" s="6">
        <f>'02_선반315'!U139</f>
        <v>200</v>
      </c>
      <c r="R180" s="6">
        <f>'02_선반315'!S139</f>
        <v>270</v>
      </c>
      <c r="S180" s="6" t="str">
        <f t="shared" si="4"/>
        <v/>
      </c>
      <c r="T180" s="6" t="str">
        <f t="shared" si="5"/>
        <v>입력 대기</v>
      </c>
      <c r="U180" s="6" t="s">
        <v>7509</v>
      </c>
      <c r="V180" s="6" t="s">
        <v>555</v>
      </c>
      <c r="W180" s="6" t="s">
        <v>859</v>
      </c>
    </row>
    <row r="181" spans="1:23" ht="33" customHeight="1">
      <c r="A181" s="6" t="s">
        <v>7685</v>
      </c>
      <c r="B181" s="6" t="s">
        <v>1019</v>
      </c>
      <c r="C181" s="6" t="s">
        <v>254</v>
      </c>
      <c r="D181" s="6">
        <v>3</v>
      </c>
      <c r="E181" s="6" t="s">
        <v>5884</v>
      </c>
      <c r="F181" s="6" t="str">
        <f>IFERROR(INDEX('03_상품분류2526'!$C$7:$C$2532,MATCH(E181,'03_상품분류2526'!$A$7:$A$2532,0)),"코드 확인")</f>
        <v>아즈렌에스연고</v>
      </c>
      <c r="G181" s="6" t="str">
        <f>IFERROR(INDEX('03_상품분류2526'!$D$7:$D$2532,MATCH(E181,'03_상품분류2526'!$A$7:$A$2532,0)),"코드 확인")</f>
        <v>20g</v>
      </c>
      <c r="H181" s="6" t="s">
        <v>7508</v>
      </c>
      <c r="I181" s="6" t="str">
        <f>IFERROR(INDEX('03_상품분류2526'!$M$7:$M$2532,MATCH(E181,'03_상품분류2526'!$A$7:$A$2532,0)),"코드 확인")</f>
        <v>B</v>
      </c>
      <c r="J181" s="6">
        <v>3</v>
      </c>
      <c r="K181" s="15">
        <v>1</v>
      </c>
      <c r="L181" s="6" t="str">
        <f>IFERROR(IF(INDEX('03_상품분류2526'!$V$7:$V$2532,MATCH(E181,'03_상품분류2526'!$A$7:$A$2532,0))="","",INDEX('03_상품분류2526'!$V$7:$V$2532,MATCH(E181,'03_상품분류2526'!$A$7:$A$2532,0))),"")</f>
        <v/>
      </c>
      <c r="M181" s="6" t="str">
        <f>IFERROR(IF(INDEX('03_상품분류2526'!$W$7:$W$2532,MATCH(E181,'03_상품분류2526'!$A$7:$A$2532,0))="","",INDEX('03_상품분류2526'!$W$7:$W$2532,MATCH(E181,'03_상품분류2526'!$A$7:$A$2532,0))),"")</f>
        <v/>
      </c>
      <c r="N181" s="6" t="str">
        <f>IFERROR(IF(INDEX('03_상품분류2526'!$X$7:$X$2532,MATCH(E181,'03_상품분류2526'!$A$7:$A$2532,0))="","",INDEX('03_상품분류2526'!$X$7:$X$2532,MATCH(E181,'03_상품분류2526'!$A$7:$A$2532,0))),"")</f>
        <v/>
      </c>
      <c r="O181" s="6">
        <f>'02_선반315'!R139</f>
        <v>865</v>
      </c>
      <c r="P181" s="6">
        <f>'02_선반315'!T139</f>
        <v>220</v>
      </c>
      <c r="Q181" s="6">
        <f>'02_선반315'!U139</f>
        <v>200</v>
      </c>
      <c r="R181" s="6">
        <f>'02_선반315'!S139</f>
        <v>270</v>
      </c>
      <c r="S181" s="6" t="str">
        <f t="shared" si="4"/>
        <v/>
      </c>
      <c r="T181" s="6" t="str">
        <f t="shared" si="5"/>
        <v>입력 대기</v>
      </c>
      <c r="U181" s="6" t="s">
        <v>7509</v>
      </c>
      <c r="V181" s="6" t="s">
        <v>555</v>
      </c>
      <c r="W181" s="6" t="s">
        <v>859</v>
      </c>
    </row>
    <row r="182" spans="1:23" ht="33" customHeight="1">
      <c r="A182" s="6" t="s">
        <v>7686</v>
      </c>
      <c r="B182" s="6" t="s">
        <v>1024</v>
      </c>
      <c r="C182" s="6" t="s">
        <v>254</v>
      </c>
      <c r="D182" s="6">
        <v>4</v>
      </c>
      <c r="E182" s="6" t="s">
        <v>6942</v>
      </c>
      <c r="F182" s="6" t="str">
        <f>IFERROR(INDEX('03_상품분류2526'!$C$7:$C$2532,MATCH(E182,'03_상품분류2526'!$A$7:$A$2532,0)),"코드 확인")</f>
        <v>애니클렌액</v>
      </c>
      <c r="G182" s="6" t="str">
        <f>IFERROR(INDEX('03_상품분류2526'!$D$7:$D$2532,MATCH(E182,'03_상품분류2526'!$A$7:$A$2532,0)),"코드 확인")</f>
        <v>50mL</v>
      </c>
      <c r="H182" s="6" t="s">
        <v>7508</v>
      </c>
      <c r="I182" s="6" t="str">
        <f>IFERROR(INDEX('03_상품분류2526'!$M$7:$M$2532,MATCH(E182,'03_상품분류2526'!$A$7:$A$2532,0)),"코드 확인")</f>
        <v>A</v>
      </c>
      <c r="J182" s="6">
        <v>1</v>
      </c>
      <c r="K182" s="15">
        <v>1</v>
      </c>
      <c r="L182" s="6" t="str">
        <f>IFERROR(IF(INDEX('03_상품분류2526'!$V$7:$V$2532,MATCH(E182,'03_상품분류2526'!$A$7:$A$2532,0))="","",INDEX('03_상품분류2526'!$V$7:$V$2532,MATCH(E182,'03_상품분류2526'!$A$7:$A$2532,0))),"")</f>
        <v/>
      </c>
      <c r="M182" s="6" t="str">
        <f>IFERROR(IF(INDEX('03_상품분류2526'!$W$7:$W$2532,MATCH(E182,'03_상품분류2526'!$A$7:$A$2532,0))="","",INDEX('03_상품분류2526'!$W$7:$W$2532,MATCH(E182,'03_상품분류2526'!$A$7:$A$2532,0))),"")</f>
        <v/>
      </c>
      <c r="N182" s="6" t="str">
        <f>IFERROR(IF(INDEX('03_상품분류2526'!$X$7:$X$2532,MATCH(E182,'03_상품분류2526'!$A$7:$A$2532,0))="","",INDEX('03_상품분류2526'!$X$7:$X$2532,MATCH(E182,'03_상품분류2526'!$A$7:$A$2532,0))),"")</f>
        <v/>
      </c>
      <c r="O182" s="6">
        <f>'02_선반315'!R140</f>
        <v>865</v>
      </c>
      <c r="P182" s="6">
        <f>'02_선반315'!T140</f>
        <v>220</v>
      </c>
      <c r="Q182" s="6">
        <f>'02_선반315'!U140</f>
        <v>200</v>
      </c>
      <c r="R182" s="6">
        <f>'02_선반315'!S140</f>
        <v>270</v>
      </c>
      <c r="S182" s="6" t="str">
        <f t="shared" si="4"/>
        <v/>
      </c>
      <c r="T182" s="6" t="str">
        <f t="shared" si="5"/>
        <v>입력 대기</v>
      </c>
      <c r="U182" s="6" t="s">
        <v>7509</v>
      </c>
      <c r="V182" s="6" t="s">
        <v>555</v>
      </c>
      <c r="W182" s="6" t="s">
        <v>859</v>
      </c>
    </row>
    <row r="183" spans="1:23" ht="33" customHeight="1">
      <c r="A183" s="6" t="s">
        <v>7687</v>
      </c>
      <c r="B183" s="6" t="s">
        <v>1024</v>
      </c>
      <c r="C183" s="6" t="s">
        <v>254</v>
      </c>
      <c r="D183" s="6">
        <v>4</v>
      </c>
      <c r="E183" s="6" t="s">
        <v>6947</v>
      </c>
      <c r="F183" s="6" t="str">
        <f>IFERROR(INDEX('03_상품분류2526'!$C$7:$C$2532,MATCH(E183,'03_상품분류2526'!$A$7:$A$2532,0)),"코드 확인")</f>
        <v>세네풀에스액</v>
      </c>
      <c r="G183" s="6" t="str">
        <f>IFERROR(INDEX('03_상품분류2526'!$D$7:$D$2532,MATCH(E183,'03_상품분류2526'!$A$7:$A$2532,0)),"코드 확인")</f>
        <v>30ml</v>
      </c>
      <c r="H183" s="6" t="s">
        <v>7508</v>
      </c>
      <c r="I183" s="6" t="str">
        <f>IFERROR(INDEX('03_상품분류2526'!$M$7:$M$2532,MATCH(E183,'03_상품분류2526'!$A$7:$A$2532,0)),"코드 확인")</f>
        <v>B</v>
      </c>
      <c r="J183" s="6">
        <v>2</v>
      </c>
      <c r="K183" s="15">
        <v>1</v>
      </c>
      <c r="L183" s="6" t="str">
        <f>IFERROR(IF(INDEX('03_상품분류2526'!$V$7:$V$2532,MATCH(E183,'03_상품분류2526'!$A$7:$A$2532,0))="","",INDEX('03_상품분류2526'!$V$7:$V$2532,MATCH(E183,'03_상품분류2526'!$A$7:$A$2532,0))),"")</f>
        <v/>
      </c>
      <c r="M183" s="6" t="str">
        <f>IFERROR(IF(INDEX('03_상품분류2526'!$W$7:$W$2532,MATCH(E183,'03_상품분류2526'!$A$7:$A$2532,0))="","",INDEX('03_상품분류2526'!$W$7:$W$2532,MATCH(E183,'03_상품분류2526'!$A$7:$A$2532,0))),"")</f>
        <v/>
      </c>
      <c r="N183" s="6" t="str">
        <f>IFERROR(IF(INDEX('03_상품분류2526'!$X$7:$X$2532,MATCH(E183,'03_상품분류2526'!$A$7:$A$2532,0))="","",INDEX('03_상품분류2526'!$X$7:$X$2532,MATCH(E183,'03_상품분류2526'!$A$7:$A$2532,0))),"")</f>
        <v/>
      </c>
      <c r="O183" s="6">
        <f>'02_선반315'!R140</f>
        <v>865</v>
      </c>
      <c r="P183" s="6">
        <f>'02_선반315'!T140</f>
        <v>220</v>
      </c>
      <c r="Q183" s="6">
        <f>'02_선반315'!U140</f>
        <v>200</v>
      </c>
      <c r="R183" s="6">
        <f>'02_선반315'!S140</f>
        <v>270</v>
      </c>
      <c r="S183" s="6" t="str">
        <f t="shared" si="4"/>
        <v/>
      </c>
      <c r="T183" s="6" t="str">
        <f t="shared" si="5"/>
        <v>입력 대기</v>
      </c>
      <c r="U183" s="6" t="s">
        <v>7509</v>
      </c>
      <c r="V183" s="6" t="s">
        <v>555</v>
      </c>
      <c r="W183" s="6" t="s">
        <v>859</v>
      </c>
    </row>
    <row r="184" spans="1:23" ht="33" customHeight="1">
      <c r="A184" s="6" t="s">
        <v>7688</v>
      </c>
      <c r="B184" s="6" t="s">
        <v>1029</v>
      </c>
      <c r="C184" s="6" t="s">
        <v>254</v>
      </c>
      <c r="D184" s="6">
        <v>5</v>
      </c>
      <c r="E184" s="6" t="s">
        <v>1031</v>
      </c>
      <c r="F184" s="6" t="str">
        <f>IFERROR(INDEX('03_상품분류2526'!$C$7:$C$2532,MATCH(E184,'03_상품분류2526'!$A$7:$A$2532,0)),"코드 확인")</f>
        <v>그린포비돈스틱스왑</v>
      </c>
      <c r="G184" s="6" t="str">
        <f>IFERROR(INDEX('03_상품분류2526'!$D$7:$D$2532,MATCH(E184,'03_상품분류2526'!$A$7:$A$2532,0)),"코드 확인")</f>
        <v>1.5ml</v>
      </c>
      <c r="H184" s="6" t="s">
        <v>7508</v>
      </c>
      <c r="I184" s="6" t="str">
        <f>IFERROR(INDEX('03_상품분류2526'!$M$7:$M$2532,MATCH(E184,'03_상품분류2526'!$A$7:$A$2532,0)),"코드 확인")</f>
        <v>B</v>
      </c>
      <c r="J184" s="6">
        <v>1</v>
      </c>
      <c r="K184" s="15">
        <v>1</v>
      </c>
      <c r="L184" s="6" t="str">
        <f>IFERROR(IF(INDEX('03_상품분류2526'!$V$7:$V$2532,MATCH(E184,'03_상품분류2526'!$A$7:$A$2532,0))="","",INDEX('03_상품분류2526'!$V$7:$V$2532,MATCH(E184,'03_상품분류2526'!$A$7:$A$2532,0))),"")</f>
        <v/>
      </c>
      <c r="M184" s="6" t="str">
        <f>IFERROR(IF(INDEX('03_상품분류2526'!$W$7:$W$2532,MATCH(E184,'03_상품분류2526'!$A$7:$A$2532,0))="","",INDEX('03_상품분류2526'!$W$7:$W$2532,MATCH(E184,'03_상품분류2526'!$A$7:$A$2532,0))),"")</f>
        <v/>
      </c>
      <c r="N184" s="6" t="str">
        <f>IFERROR(IF(INDEX('03_상품분류2526'!$X$7:$X$2532,MATCH(E184,'03_상품분류2526'!$A$7:$A$2532,0))="","",INDEX('03_상품분류2526'!$X$7:$X$2532,MATCH(E184,'03_상품분류2526'!$A$7:$A$2532,0))),"")</f>
        <v/>
      </c>
      <c r="O184" s="6">
        <f>'02_선반315'!R141</f>
        <v>865</v>
      </c>
      <c r="P184" s="6">
        <f>'02_선반315'!T141</f>
        <v>220</v>
      </c>
      <c r="Q184" s="6">
        <f>'02_선반315'!U141</f>
        <v>200</v>
      </c>
      <c r="R184" s="6">
        <f>'02_선반315'!S141</f>
        <v>270</v>
      </c>
      <c r="S184" s="6" t="str">
        <f t="shared" si="4"/>
        <v/>
      </c>
      <c r="T184" s="6" t="str">
        <f t="shared" si="5"/>
        <v>입력 대기</v>
      </c>
      <c r="U184" s="6" t="s">
        <v>7509</v>
      </c>
      <c r="V184" s="6" t="s">
        <v>555</v>
      </c>
      <c r="W184" s="6" t="s">
        <v>859</v>
      </c>
    </row>
    <row r="185" spans="1:23" ht="33" customHeight="1">
      <c r="A185" s="6" t="s">
        <v>7689</v>
      </c>
      <c r="B185" s="6" t="s">
        <v>1035</v>
      </c>
      <c r="C185" s="6" t="s">
        <v>263</v>
      </c>
      <c r="D185" s="6">
        <v>2</v>
      </c>
      <c r="E185" s="6" t="s">
        <v>5934</v>
      </c>
      <c r="F185" s="6" t="str">
        <f>IFERROR(INDEX('03_상품분류2526'!$C$7:$C$2532,MATCH(E185,'03_상품분류2526'!$A$7:$A$2532,0)),"코드 확인")</f>
        <v>D-판테놀연고</v>
      </c>
      <c r="G185" s="6" t="str">
        <f>IFERROR(INDEX('03_상품분류2526'!$D$7:$D$2532,MATCH(E185,'03_상품분류2526'!$A$7:$A$2532,0)),"코드 확인")</f>
        <v>50g</v>
      </c>
      <c r="H185" s="6" t="s">
        <v>7508</v>
      </c>
      <c r="I185" s="6" t="str">
        <f>IFERROR(INDEX('03_상품분류2526'!$M$7:$M$2532,MATCH(E185,'03_상품분류2526'!$A$7:$A$2532,0)),"코드 확인")</f>
        <v>A</v>
      </c>
      <c r="J185" s="6">
        <v>1</v>
      </c>
      <c r="K185" s="15">
        <v>2</v>
      </c>
      <c r="L185" s="6" t="str">
        <f>IFERROR(IF(INDEX('03_상품분류2526'!$V$7:$V$2532,MATCH(E185,'03_상품분류2526'!$A$7:$A$2532,0))="","",INDEX('03_상품분류2526'!$V$7:$V$2532,MATCH(E185,'03_상품분류2526'!$A$7:$A$2532,0))),"")</f>
        <v/>
      </c>
      <c r="M185" s="6" t="str">
        <f>IFERROR(IF(INDEX('03_상품분류2526'!$W$7:$W$2532,MATCH(E185,'03_상품분류2526'!$A$7:$A$2532,0))="","",INDEX('03_상품분류2526'!$W$7:$W$2532,MATCH(E185,'03_상품분류2526'!$A$7:$A$2532,0))),"")</f>
        <v/>
      </c>
      <c r="N185" s="6" t="str">
        <f>IFERROR(IF(INDEX('03_상품분류2526'!$X$7:$X$2532,MATCH(E185,'03_상품분류2526'!$A$7:$A$2532,0))="","",INDEX('03_상품분류2526'!$X$7:$X$2532,MATCH(E185,'03_상품분류2526'!$A$7:$A$2532,0))),"")</f>
        <v/>
      </c>
      <c r="O185" s="6">
        <f>'02_선반315'!R143</f>
        <v>865</v>
      </c>
      <c r="P185" s="6">
        <f>'02_선반315'!T143</f>
        <v>220</v>
      </c>
      <c r="Q185" s="6">
        <f>'02_선반315'!U143</f>
        <v>200</v>
      </c>
      <c r="R185" s="6">
        <f>'02_선반315'!S143</f>
        <v>270</v>
      </c>
      <c r="S185" s="6" t="str">
        <f t="shared" si="4"/>
        <v/>
      </c>
      <c r="T185" s="6" t="str">
        <f t="shared" si="5"/>
        <v>입력 대기</v>
      </c>
      <c r="U185" s="6" t="s">
        <v>7509</v>
      </c>
      <c r="V185" s="6" t="s">
        <v>555</v>
      </c>
      <c r="W185" s="6" t="s">
        <v>859</v>
      </c>
    </row>
    <row r="186" spans="1:23" ht="33" customHeight="1">
      <c r="A186" s="6" t="s">
        <v>7690</v>
      </c>
      <c r="B186" s="6" t="s">
        <v>1035</v>
      </c>
      <c r="C186" s="6" t="s">
        <v>263</v>
      </c>
      <c r="D186" s="6">
        <v>2</v>
      </c>
      <c r="E186" s="6" t="s">
        <v>5773</v>
      </c>
      <c r="F186" s="6" t="str">
        <f>IFERROR(INDEX('03_상품분류2526'!$C$7:$C$2532,MATCH(E186,'03_상품분류2526'!$A$7:$A$2532,0)),"코드 확인")</f>
        <v>비판텐연고</v>
      </c>
      <c r="G186" s="6" t="str">
        <f>IFERROR(INDEX('03_상품분류2526'!$D$7:$D$2532,MATCH(E186,'03_상품분류2526'!$A$7:$A$2532,0)),"코드 확인")</f>
        <v>30g</v>
      </c>
      <c r="H186" s="6" t="s">
        <v>7508</v>
      </c>
      <c r="I186" s="6" t="str">
        <f>IFERROR(INDEX('03_상품분류2526'!$M$7:$M$2532,MATCH(E186,'03_상품분류2526'!$A$7:$A$2532,0)),"코드 확인")</f>
        <v>A</v>
      </c>
      <c r="J186" s="6">
        <v>2</v>
      </c>
      <c r="K186" s="15">
        <v>1</v>
      </c>
      <c r="L186" s="6" t="str">
        <f>IFERROR(IF(INDEX('03_상품분류2526'!$V$7:$V$2532,MATCH(E186,'03_상품분류2526'!$A$7:$A$2532,0))="","",INDEX('03_상품분류2526'!$V$7:$V$2532,MATCH(E186,'03_상품분류2526'!$A$7:$A$2532,0))),"")</f>
        <v/>
      </c>
      <c r="M186" s="6" t="str">
        <f>IFERROR(IF(INDEX('03_상품분류2526'!$W$7:$W$2532,MATCH(E186,'03_상품분류2526'!$A$7:$A$2532,0))="","",INDEX('03_상품분류2526'!$W$7:$W$2532,MATCH(E186,'03_상품분류2526'!$A$7:$A$2532,0))),"")</f>
        <v/>
      </c>
      <c r="N186" s="6" t="str">
        <f>IFERROR(IF(INDEX('03_상품분류2526'!$X$7:$X$2532,MATCH(E186,'03_상품분류2526'!$A$7:$A$2532,0))="","",INDEX('03_상품분류2526'!$X$7:$X$2532,MATCH(E186,'03_상품분류2526'!$A$7:$A$2532,0))),"")</f>
        <v/>
      </c>
      <c r="O186" s="6">
        <f>'02_선반315'!R143</f>
        <v>865</v>
      </c>
      <c r="P186" s="6">
        <f>'02_선반315'!T143</f>
        <v>220</v>
      </c>
      <c r="Q186" s="6">
        <f>'02_선반315'!U143</f>
        <v>200</v>
      </c>
      <c r="R186" s="6">
        <f>'02_선반315'!S143</f>
        <v>270</v>
      </c>
      <c r="S186" s="6" t="str">
        <f t="shared" si="4"/>
        <v/>
      </c>
      <c r="T186" s="6" t="str">
        <f t="shared" si="5"/>
        <v>입력 대기</v>
      </c>
      <c r="U186" s="6" t="s">
        <v>7509</v>
      </c>
      <c r="V186" s="6" t="s">
        <v>555</v>
      </c>
      <c r="W186" s="6" t="s">
        <v>859</v>
      </c>
    </row>
    <row r="187" spans="1:23" ht="33" customHeight="1">
      <c r="A187" s="6" t="s">
        <v>7691</v>
      </c>
      <c r="B187" s="6" t="s">
        <v>1039</v>
      </c>
      <c r="C187" s="6" t="s">
        <v>263</v>
      </c>
      <c r="D187" s="6">
        <v>3</v>
      </c>
      <c r="E187" s="6" t="s">
        <v>5871</v>
      </c>
      <c r="F187" s="6" t="str">
        <f>IFERROR(INDEX('03_상품분류2526'!$C$7:$C$2532,MATCH(E187,'03_상품분류2526'!$A$7:$A$2532,0)),"코드 확인")</f>
        <v>유리아크림</v>
      </c>
      <c r="G187" s="6" t="str">
        <f>IFERROR(INDEX('03_상품분류2526'!$D$7:$D$2532,MATCH(E187,'03_상품분류2526'!$A$7:$A$2532,0)),"코드 확인")</f>
        <v>50g</v>
      </c>
      <c r="H187" s="6" t="s">
        <v>7508</v>
      </c>
      <c r="I187" s="6" t="str">
        <f>IFERROR(INDEX('03_상품분류2526'!$M$7:$M$2532,MATCH(E187,'03_상품분류2526'!$A$7:$A$2532,0)),"코드 확인")</f>
        <v>A</v>
      </c>
      <c r="J187" s="6">
        <v>1</v>
      </c>
      <c r="K187" s="15">
        <v>1</v>
      </c>
      <c r="L187" s="6" t="str">
        <f>IFERROR(IF(INDEX('03_상품분류2526'!$V$7:$V$2532,MATCH(E187,'03_상품분류2526'!$A$7:$A$2532,0))="","",INDEX('03_상품분류2526'!$V$7:$V$2532,MATCH(E187,'03_상품분류2526'!$A$7:$A$2532,0))),"")</f>
        <v/>
      </c>
      <c r="M187" s="6" t="str">
        <f>IFERROR(IF(INDEX('03_상품분류2526'!$W$7:$W$2532,MATCH(E187,'03_상품분류2526'!$A$7:$A$2532,0))="","",INDEX('03_상품분류2526'!$W$7:$W$2532,MATCH(E187,'03_상품분류2526'!$A$7:$A$2532,0))),"")</f>
        <v/>
      </c>
      <c r="N187" s="6" t="str">
        <f>IFERROR(IF(INDEX('03_상품분류2526'!$X$7:$X$2532,MATCH(E187,'03_상품분류2526'!$A$7:$A$2532,0))="","",INDEX('03_상품분류2526'!$X$7:$X$2532,MATCH(E187,'03_상품분류2526'!$A$7:$A$2532,0))),"")</f>
        <v/>
      </c>
      <c r="O187" s="6">
        <f>'02_선반315'!R144</f>
        <v>865</v>
      </c>
      <c r="P187" s="6">
        <f>'02_선반315'!T144</f>
        <v>220</v>
      </c>
      <c r="Q187" s="6">
        <f>'02_선반315'!U144</f>
        <v>200</v>
      </c>
      <c r="R187" s="6">
        <f>'02_선반315'!S144</f>
        <v>270</v>
      </c>
      <c r="S187" s="6" t="str">
        <f t="shared" si="4"/>
        <v/>
      </c>
      <c r="T187" s="6" t="str">
        <f t="shared" si="5"/>
        <v>입력 대기</v>
      </c>
      <c r="U187" s="6" t="s">
        <v>7509</v>
      </c>
      <c r="V187" s="6" t="s">
        <v>555</v>
      </c>
      <c r="W187" s="6" t="s">
        <v>859</v>
      </c>
    </row>
    <row r="188" spans="1:23" ht="33" customHeight="1">
      <c r="A188" s="6" t="s">
        <v>7692</v>
      </c>
      <c r="B188" s="6" t="s">
        <v>1039</v>
      </c>
      <c r="C188" s="6" t="s">
        <v>263</v>
      </c>
      <c r="D188" s="6">
        <v>3</v>
      </c>
      <c r="E188" s="6" t="s">
        <v>5880</v>
      </c>
      <c r="F188" s="6" t="str">
        <f>IFERROR(INDEX('03_상품분류2526'!$C$7:$C$2532,MATCH(E188,'03_상품분류2526'!$A$7:$A$2532,0)),"코드 확인")</f>
        <v>케라논연고</v>
      </c>
      <c r="G188" s="6" t="str">
        <f>IFERROR(INDEX('03_상품분류2526'!$D$7:$D$2532,MATCH(E188,'03_상품분류2526'!$A$7:$A$2532,0)),"코드 확인")</f>
        <v>60g</v>
      </c>
      <c r="H188" s="6" t="s">
        <v>7508</v>
      </c>
      <c r="I188" s="6" t="str">
        <f>IFERROR(INDEX('03_상품분류2526'!$M$7:$M$2532,MATCH(E188,'03_상품분류2526'!$A$7:$A$2532,0)),"코드 확인")</f>
        <v>B</v>
      </c>
      <c r="J188" s="6">
        <v>2</v>
      </c>
      <c r="K188" s="15">
        <v>1</v>
      </c>
      <c r="L188" s="6" t="str">
        <f>IFERROR(IF(INDEX('03_상품분류2526'!$V$7:$V$2532,MATCH(E188,'03_상품분류2526'!$A$7:$A$2532,0))="","",INDEX('03_상품분류2526'!$V$7:$V$2532,MATCH(E188,'03_상품분류2526'!$A$7:$A$2532,0))),"")</f>
        <v/>
      </c>
      <c r="M188" s="6" t="str">
        <f>IFERROR(IF(INDEX('03_상품분류2526'!$W$7:$W$2532,MATCH(E188,'03_상품분류2526'!$A$7:$A$2532,0))="","",INDEX('03_상품분류2526'!$W$7:$W$2532,MATCH(E188,'03_상품분류2526'!$A$7:$A$2532,0))),"")</f>
        <v/>
      </c>
      <c r="N188" s="6" t="str">
        <f>IFERROR(IF(INDEX('03_상품분류2526'!$X$7:$X$2532,MATCH(E188,'03_상품분류2526'!$A$7:$A$2532,0))="","",INDEX('03_상품분류2526'!$X$7:$X$2532,MATCH(E188,'03_상품분류2526'!$A$7:$A$2532,0))),"")</f>
        <v/>
      </c>
      <c r="O188" s="6">
        <f>'02_선반315'!R144</f>
        <v>865</v>
      </c>
      <c r="P188" s="6">
        <f>'02_선반315'!T144</f>
        <v>220</v>
      </c>
      <c r="Q188" s="6">
        <f>'02_선반315'!U144</f>
        <v>200</v>
      </c>
      <c r="R188" s="6">
        <f>'02_선반315'!S144</f>
        <v>270</v>
      </c>
      <c r="S188" s="6" t="str">
        <f t="shared" si="4"/>
        <v/>
      </c>
      <c r="T188" s="6" t="str">
        <f t="shared" si="5"/>
        <v>입력 대기</v>
      </c>
      <c r="U188" s="6" t="s">
        <v>7509</v>
      </c>
      <c r="V188" s="6" t="s">
        <v>555</v>
      </c>
      <c r="W188" s="6" t="s">
        <v>859</v>
      </c>
    </row>
    <row r="189" spans="1:23" ht="33" customHeight="1">
      <c r="A189" s="6" t="s">
        <v>7693</v>
      </c>
      <c r="B189" s="6" t="s">
        <v>1043</v>
      </c>
      <c r="C189" s="6" t="s">
        <v>263</v>
      </c>
      <c r="D189" s="6">
        <v>4</v>
      </c>
      <c r="E189" s="6" t="s">
        <v>1045</v>
      </c>
      <c r="F189" s="6" t="str">
        <f>IFERROR(INDEX('03_상품분류2526'!$C$7:$C$2532,MATCH(E189,'03_상품분류2526'!$A$7:$A$2532,0)),"코드 확인")</f>
        <v>비판텐연고</v>
      </c>
      <c r="G189" s="6" t="str">
        <f>IFERROR(INDEX('03_상품분류2526'!$D$7:$D$2532,MATCH(E189,'03_상품분류2526'!$A$7:$A$2532,0)),"코드 확인")</f>
        <v>100g</v>
      </c>
      <c r="H189" s="6" t="s">
        <v>7508</v>
      </c>
      <c r="I189" s="6" t="str">
        <f>IFERROR(INDEX('03_상품분류2526'!$M$7:$M$2532,MATCH(E189,'03_상품분류2526'!$A$7:$A$2532,0)),"코드 확인")</f>
        <v>B</v>
      </c>
      <c r="J189" s="6">
        <v>1</v>
      </c>
      <c r="K189" s="15">
        <v>1</v>
      </c>
      <c r="L189" s="6" t="str">
        <f>IFERROR(IF(INDEX('03_상품분류2526'!$V$7:$V$2532,MATCH(E189,'03_상품분류2526'!$A$7:$A$2532,0))="","",INDEX('03_상품분류2526'!$V$7:$V$2532,MATCH(E189,'03_상품분류2526'!$A$7:$A$2532,0))),"")</f>
        <v/>
      </c>
      <c r="M189" s="6" t="str">
        <f>IFERROR(IF(INDEX('03_상품분류2526'!$W$7:$W$2532,MATCH(E189,'03_상품분류2526'!$A$7:$A$2532,0))="","",INDEX('03_상품분류2526'!$W$7:$W$2532,MATCH(E189,'03_상품분류2526'!$A$7:$A$2532,0))),"")</f>
        <v/>
      </c>
      <c r="N189" s="6" t="str">
        <f>IFERROR(IF(INDEX('03_상품분류2526'!$X$7:$X$2532,MATCH(E189,'03_상품분류2526'!$A$7:$A$2532,0))="","",INDEX('03_상품분류2526'!$X$7:$X$2532,MATCH(E189,'03_상품분류2526'!$A$7:$A$2532,0))),"")</f>
        <v/>
      </c>
      <c r="O189" s="6">
        <f>'02_선반315'!R145</f>
        <v>865</v>
      </c>
      <c r="P189" s="6">
        <f>'02_선반315'!T145</f>
        <v>220</v>
      </c>
      <c r="Q189" s="6">
        <f>'02_선반315'!U145</f>
        <v>200</v>
      </c>
      <c r="R189" s="6">
        <f>'02_선반315'!S145</f>
        <v>270</v>
      </c>
      <c r="S189" s="6" t="str">
        <f t="shared" si="4"/>
        <v/>
      </c>
      <c r="T189" s="6" t="str">
        <f t="shared" si="5"/>
        <v>입력 대기</v>
      </c>
      <c r="U189" s="6" t="s">
        <v>7509</v>
      </c>
      <c r="V189" s="6" t="s">
        <v>555</v>
      </c>
      <c r="W189" s="6" t="s">
        <v>859</v>
      </c>
    </row>
    <row r="190" spans="1:23" ht="33" customHeight="1">
      <c r="A190" s="6" t="s">
        <v>7694</v>
      </c>
      <c r="B190" s="6" t="s">
        <v>1050</v>
      </c>
      <c r="C190" s="6" t="s">
        <v>272</v>
      </c>
      <c r="D190" s="6">
        <v>2</v>
      </c>
      <c r="E190" s="6" t="s">
        <v>7240</v>
      </c>
      <c r="F190" s="6" t="str">
        <f>IFERROR(INDEX('03_상품분류2526'!$C$7:$C$2532,MATCH(E190,'03_상품분류2526'!$A$7:$A$2532,0)),"코드 확인")</f>
        <v>테카 핸드 우레아 크림</v>
      </c>
      <c r="G190" s="6">
        <f>IFERROR(INDEX('03_상품분류2526'!$D$7:$D$2532,MATCH(E190,'03_상품분류2526'!$A$7:$A$2532,0)),"코드 확인")</f>
        <v>0</v>
      </c>
      <c r="H190" s="6" t="s">
        <v>7508</v>
      </c>
      <c r="I190" s="6" t="str">
        <f>IFERROR(INDEX('03_상품분류2526'!$M$7:$M$2532,MATCH(E190,'03_상품분류2526'!$A$7:$A$2532,0)),"코드 확인")</f>
        <v>A</v>
      </c>
      <c r="J190" s="6">
        <v>1</v>
      </c>
      <c r="K190" s="15">
        <v>1</v>
      </c>
      <c r="L190" s="6" t="str">
        <f>IFERROR(IF(INDEX('03_상품분류2526'!$V$7:$V$2532,MATCH(E190,'03_상품분류2526'!$A$7:$A$2532,0))="","",INDEX('03_상품분류2526'!$V$7:$V$2532,MATCH(E190,'03_상품분류2526'!$A$7:$A$2532,0))),"")</f>
        <v/>
      </c>
      <c r="M190" s="6" t="str">
        <f>IFERROR(IF(INDEX('03_상품분류2526'!$W$7:$W$2532,MATCH(E190,'03_상품분류2526'!$A$7:$A$2532,0))="","",INDEX('03_상품분류2526'!$W$7:$W$2532,MATCH(E190,'03_상품분류2526'!$A$7:$A$2532,0))),"")</f>
        <v/>
      </c>
      <c r="N190" s="6" t="str">
        <f>IFERROR(IF(INDEX('03_상품분류2526'!$X$7:$X$2532,MATCH(E190,'03_상품분류2526'!$A$7:$A$2532,0))="","",INDEX('03_상품분류2526'!$X$7:$X$2532,MATCH(E190,'03_상품분류2526'!$A$7:$A$2532,0))),"")</f>
        <v/>
      </c>
      <c r="O190" s="6">
        <f>'02_선반315'!R148</f>
        <v>865</v>
      </c>
      <c r="P190" s="6">
        <f>'02_선반315'!T148</f>
        <v>220</v>
      </c>
      <c r="Q190" s="6">
        <f>'02_선반315'!U148</f>
        <v>200</v>
      </c>
      <c r="R190" s="6">
        <f>'02_선반315'!S148</f>
        <v>270</v>
      </c>
      <c r="S190" s="6" t="str">
        <f t="shared" si="4"/>
        <v/>
      </c>
      <c r="T190" s="6" t="str">
        <f t="shared" si="5"/>
        <v>입력 대기</v>
      </c>
      <c r="U190" s="6" t="s">
        <v>7509</v>
      </c>
      <c r="V190" s="6" t="s">
        <v>555</v>
      </c>
      <c r="W190" s="6" t="s">
        <v>859</v>
      </c>
    </row>
    <row r="191" spans="1:23" ht="33" customHeight="1">
      <c r="A191" s="6" t="s">
        <v>7695</v>
      </c>
      <c r="B191" s="6" t="s">
        <v>1050</v>
      </c>
      <c r="C191" s="6" t="s">
        <v>272</v>
      </c>
      <c r="D191" s="6">
        <v>2</v>
      </c>
      <c r="E191" s="6" t="s">
        <v>7052</v>
      </c>
      <c r="F191" s="6" t="str">
        <f>IFERROR(INDEX('03_상품분류2526'!$C$7:$C$2532,MATCH(E191,'03_상품분류2526'!$A$7:$A$2532,0)),"코드 확인")</f>
        <v>3WB 고운손 핸드크림</v>
      </c>
      <c r="G191" s="6" t="str">
        <f>IFERROR(INDEX('03_상품분류2526'!$D$7:$D$2532,MATCH(E191,'03_상품분류2526'!$A$7:$A$2532,0)),"코드 확인")</f>
        <v>25g</v>
      </c>
      <c r="H191" s="6" t="s">
        <v>7508</v>
      </c>
      <c r="I191" s="6" t="str">
        <f>IFERROR(INDEX('03_상품분류2526'!$M$7:$M$2532,MATCH(E191,'03_상품분류2526'!$A$7:$A$2532,0)),"코드 확인")</f>
        <v>B</v>
      </c>
      <c r="J191" s="6">
        <v>2</v>
      </c>
      <c r="K191" s="15">
        <v>1</v>
      </c>
      <c r="L191" s="6" t="str">
        <f>IFERROR(IF(INDEX('03_상품분류2526'!$V$7:$V$2532,MATCH(E191,'03_상품분류2526'!$A$7:$A$2532,0))="","",INDEX('03_상품분류2526'!$V$7:$V$2532,MATCH(E191,'03_상품분류2526'!$A$7:$A$2532,0))),"")</f>
        <v/>
      </c>
      <c r="M191" s="6" t="str">
        <f>IFERROR(IF(INDEX('03_상품분류2526'!$W$7:$W$2532,MATCH(E191,'03_상품분류2526'!$A$7:$A$2532,0))="","",INDEX('03_상품분류2526'!$W$7:$W$2532,MATCH(E191,'03_상품분류2526'!$A$7:$A$2532,0))),"")</f>
        <v/>
      </c>
      <c r="N191" s="6" t="str">
        <f>IFERROR(IF(INDEX('03_상품분류2526'!$X$7:$X$2532,MATCH(E191,'03_상품분류2526'!$A$7:$A$2532,0))="","",INDEX('03_상품분류2526'!$X$7:$X$2532,MATCH(E191,'03_상품분류2526'!$A$7:$A$2532,0))),"")</f>
        <v/>
      </c>
      <c r="O191" s="6">
        <f>'02_선반315'!R148</f>
        <v>865</v>
      </c>
      <c r="P191" s="6">
        <f>'02_선반315'!T148</f>
        <v>220</v>
      </c>
      <c r="Q191" s="6">
        <f>'02_선반315'!U148</f>
        <v>200</v>
      </c>
      <c r="R191" s="6">
        <f>'02_선반315'!S148</f>
        <v>270</v>
      </c>
      <c r="S191" s="6" t="str">
        <f t="shared" si="4"/>
        <v/>
      </c>
      <c r="T191" s="6" t="str">
        <f t="shared" si="5"/>
        <v>입력 대기</v>
      </c>
      <c r="U191" s="6" t="s">
        <v>7509</v>
      </c>
      <c r="V191" s="6" t="s">
        <v>555</v>
      </c>
      <c r="W191" s="6" t="s">
        <v>859</v>
      </c>
    </row>
    <row r="192" spans="1:23" ht="33" customHeight="1">
      <c r="A192" s="6" t="s">
        <v>7696</v>
      </c>
      <c r="B192" s="6" t="s">
        <v>1054</v>
      </c>
      <c r="C192" s="6" t="s">
        <v>272</v>
      </c>
      <c r="D192" s="6">
        <v>3</v>
      </c>
      <c r="E192" s="6" t="s">
        <v>6892</v>
      </c>
      <c r="F192" s="6" t="str">
        <f>IFERROR(INDEX('03_상품분류2526'!$C$7:$C$2532,MATCH(E192,'03_상품분류2526'!$A$7:$A$2532,0)),"코드 확인")</f>
        <v>바세린 오리지날 프로텍팅 젤리(이너캡형)</v>
      </c>
      <c r="G192" s="6" t="str">
        <f>IFERROR(INDEX('03_상품분류2526'!$D$7:$D$2532,MATCH(E192,'03_상품분류2526'!$A$7:$A$2532,0)),"코드 확인")</f>
        <v>50ml</v>
      </c>
      <c r="H192" s="6" t="s">
        <v>7508</v>
      </c>
      <c r="I192" s="6" t="str">
        <f>IFERROR(INDEX('03_상품분류2526'!$M$7:$M$2532,MATCH(E192,'03_상품분류2526'!$A$7:$A$2532,0)),"코드 확인")</f>
        <v>B</v>
      </c>
      <c r="J192" s="6">
        <v>1</v>
      </c>
      <c r="K192" s="15">
        <v>1</v>
      </c>
      <c r="L192" s="6" t="str">
        <f>IFERROR(IF(INDEX('03_상품분류2526'!$V$7:$V$2532,MATCH(E192,'03_상품분류2526'!$A$7:$A$2532,0))="","",INDEX('03_상품분류2526'!$V$7:$V$2532,MATCH(E192,'03_상품분류2526'!$A$7:$A$2532,0))),"")</f>
        <v/>
      </c>
      <c r="M192" s="6" t="str">
        <f>IFERROR(IF(INDEX('03_상품분류2526'!$W$7:$W$2532,MATCH(E192,'03_상품분류2526'!$A$7:$A$2532,0))="","",INDEX('03_상품분류2526'!$W$7:$W$2532,MATCH(E192,'03_상품분류2526'!$A$7:$A$2532,0))),"")</f>
        <v/>
      </c>
      <c r="N192" s="6" t="str">
        <f>IFERROR(IF(INDEX('03_상품분류2526'!$X$7:$X$2532,MATCH(E192,'03_상품분류2526'!$A$7:$A$2532,0))="","",INDEX('03_상품분류2526'!$X$7:$X$2532,MATCH(E192,'03_상품분류2526'!$A$7:$A$2532,0))),"")</f>
        <v/>
      </c>
      <c r="O192" s="6">
        <f>'02_선반315'!R149</f>
        <v>865</v>
      </c>
      <c r="P192" s="6">
        <f>'02_선반315'!T149</f>
        <v>220</v>
      </c>
      <c r="Q192" s="6">
        <f>'02_선반315'!U149</f>
        <v>200</v>
      </c>
      <c r="R192" s="6">
        <f>'02_선반315'!S149</f>
        <v>270</v>
      </c>
      <c r="S192" s="6" t="str">
        <f t="shared" si="4"/>
        <v/>
      </c>
      <c r="T192" s="6" t="str">
        <f t="shared" si="5"/>
        <v>입력 대기</v>
      </c>
      <c r="U192" s="6" t="s">
        <v>7509</v>
      </c>
      <c r="V192" s="6" t="s">
        <v>555</v>
      </c>
      <c r="W192" s="6" t="s">
        <v>859</v>
      </c>
    </row>
    <row r="193" spans="1:23" ht="33" customHeight="1">
      <c r="A193" s="6" t="s">
        <v>7697</v>
      </c>
      <c r="B193" s="6" t="s">
        <v>1054</v>
      </c>
      <c r="C193" s="6" t="s">
        <v>272</v>
      </c>
      <c r="D193" s="6">
        <v>3</v>
      </c>
      <c r="E193" s="6" t="s">
        <v>6819</v>
      </c>
      <c r="F193" s="6" t="str">
        <f>IFERROR(INDEX('03_상품분류2526'!$C$7:$C$2532,MATCH(E193,'03_상품분류2526'!$A$7:$A$2532,0)),"코드 확인")</f>
        <v>낫포유 아토리스 이치 멀티밤 기획세트</v>
      </c>
      <c r="G193" s="6" t="str">
        <f>IFERROR(INDEX('03_상품분류2526'!$D$7:$D$2532,MATCH(E193,'03_상품분류2526'!$A$7:$A$2532,0)),"코드 확인")</f>
        <v>1EA</v>
      </c>
      <c r="H193" s="6" t="s">
        <v>7508</v>
      </c>
      <c r="I193" s="6" t="str">
        <f>IFERROR(INDEX('03_상품분류2526'!$M$7:$M$2532,MATCH(E193,'03_상품분류2526'!$A$7:$A$2532,0)),"코드 확인")</f>
        <v>B</v>
      </c>
      <c r="J193" s="6">
        <v>2</v>
      </c>
      <c r="K193" s="15">
        <v>1</v>
      </c>
      <c r="L193" s="6" t="str">
        <f>IFERROR(IF(INDEX('03_상품분류2526'!$V$7:$V$2532,MATCH(E193,'03_상품분류2526'!$A$7:$A$2532,0))="","",INDEX('03_상품분류2526'!$V$7:$V$2532,MATCH(E193,'03_상품분류2526'!$A$7:$A$2532,0))),"")</f>
        <v/>
      </c>
      <c r="M193" s="6" t="str">
        <f>IFERROR(IF(INDEX('03_상품분류2526'!$W$7:$W$2532,MATCH(E193,'03_상품분류2526'!$A$7:$A$2532,0))="","",INDEX('03_상품분류2526'!$W$7:$W$2532,MATCH(E193,'03_상품분류2526'!$A$7:$A$2532,0))),"")</f>
        <v/>
      </c>
      <c r="N193" s="6" t="str">
        <f>IFERROR(IF(INDEX('03_상품분류2526'!$X$7:$X$2532,MATCH(E193,'03_상품분류2526'!$A$7:$A$2532,0))="","",INDEX('03_상품분류2526'!$X$7:$X$2532,MATCH(E193,'03_상품분류2526'!$A$7:$A$2532,0))),"")</f>
        <v/>
      </c>
      <c r="O193" s="6">
        <f>'02_선반315'!R149</f>
        <v>865</v>
      </c>
      <c r="P193" s="6">
        <f>'02_선반315'!T149</f>
        <v>220</v>
      </c>
      <c r="Q193" s="6">
        <f>'02_선반315'!U149</f>
        <v>200</v>
      </c>
      <c r="R193" s="6">
        <f>'02_선반315'!S149</f>
        <v>270</v>
      </c>
      <c r="S193" s="6" t="str">
        <f t="shared" si="4"/>
        <v/>
      </c>
      <c r="T193" s="6" t="str">
        <f t="shared" si="5"/>
        <v>입력 대기</v>
      </c>
      <c r="U193" s="6" t="s">
        <v>7509</v>
      </c>
      <c r="V193" s="6" t="s">
        <v>555</v>
      </c>
      <c r="W193" s="6" t="s">
        <v>859</v>
      </c>
    </row>
    <row r="194" spans="1:23" ht="33" customHeight="1">
      <c r="A194" s="6" t="s">
        <v>7698</v>
      </c>
      <c r="B194" s="6" t="s">
        <v>1058</v>
      </c>
      <c r="C194" s="6" t="s">
        <v>272</v>
      </c>
      <c r="D194" s="6">
        <v>4</v>
      </c>
      <c r="E194" s="6" t="s">
        <v>1060</v>
      </c>
      <c r="F194" s="6" t="str">
        <f>IFERROR(INDEX('03_상품분류2526'!$C$7:$C$2532,MATCH(E194,'03_상품분류2526'!$A$7:$A$2532,0)),"코드 확인")</f>
        <v>프로캄 울트라 모이스처 업 바디로션</v>
      </c>
      <c r="G194" s="6" t="str">
        <f>IFERROR(INDEX('03_상품분류2526'!$D$7:$D$2532,MATCH(E194,'03_상품분류2526'!$A$7:$A$2532,0)),"코드 확인")</f>
        <v>500ml</v>
      </c>
      <c r="H194" s="6" t="s">
        <v>7508</v>
      </c>
      <c r="I194" s="6" t="str">
        <f>IFERROR(INDEX('03_상품분류2526'!$M$7:$M$2532,MATCH(E194,'03_상품분류2526'!$A$7:$A$2532,0)),"코드 확인")</f>
        <v>B</v>
      </c>
      <c r="J194" s="6">
        <v>1</v>
      </c>
      <c r="K194" s="15">
        <v>1</v>
      </c>
      <c r="L194" s="6" t="str">
        <f>IFERROR(IF(INDEX('03_상품분류2526'!$V$7:$V$2532,MATCH(E194,'03_상품분류2526'!$A$7:$A$2532,0))="","",INDEX('03_상품분류2526'!$V$7:$V$2532,MATCH(E194,'03_상품분류2526'!$A$7:$A$2532,0))),"")</f>
        <v/>
      </c>
      <c r="M194" s="6" t="str">
        <f>IFERROR(IF(INDEX('03_상품분류2526'!$W$7:$W$2532,MATCH(E194,'03_상품분류2526'!$A$7:$A$2532,0))="","",INDEX('03_상품분류2526'!$W$7:$W$2532,MATCH(E194,'03_상품분류2526'!$A$7:$A$2532,0))),"")</f>
        <v/>
      </c>
      <c r="N194" s="6" t="str">
        <f>IFERROR(IF(INDEX('03_상품분류2526'!$X$7:$X$2532,MATCH(E194,'03_상품분류2526'!$A$7:$A$2532,0))="","",INDEX('03_상품분류2526'!$X$7:$X$2532,MATCH(E194,'03_상품분류2526'!$A$7:$A$2532,0))),"")</f>
        <v/>
      </c>
      <c r="O194" s="6">
        <f>'02_선반315'!R150</f>
        <v>865</v>
      </c>
      <c r="P194" s="6">
        <f>'02_선반315'!T150</f>
        <v>220</v>
      </c>
      <c r="Q194" s="6">
        <f>'02_선반315'!U150</f>
        <v>200</v>
      </c>
      <c r="R194" s="6">
        <f>'02_선반315'!S150</f>
        <v>270</v>
      </c>
      <c r="S194" s="6" t="str">
        <f t="shared" si="4"/>
        <v/>
      </c>
      <c r="T194" s="6" t="str">
        <f t="shared" si="5"/>
        <v>입력 대기</v>
      </c>
      <c r="U194" s="6" t="s">
        <v>7509</v>
      </c>
      <c r="V194" s="6" t="s">
        <v>555</v>
      </c>
      <c r="W194" s="6" t="s">
        <v>859</v>
      </c>
    </row>
    <row r="195" spans="1:23" ht="33" customHeight="1">
      <c r="A195" s="6" t="s">
        <v>7699</v>
      </c>
      <c r="B195" s="6" t="s">
        <v>1062</v>
      </c>
      <c r="C195" s="6" t="s">
        <v>272</v>
      </c>
      <c r="D195" s="6">
        <v>5</v>
      </c>
      <c r="E195" s="6" t="s">
        <v>1064</v>
      </c>
      <c r="F195" s="6" t="str">
        <f>IFERROR(INDEX('03_상품분류2526'!$C$7:$C$2532,MATCH(E195,'03_상품분류2526'!$A$7:$A$2532,0)),"코드 확인")</f>
        <v>라이프프로젝트 리틀포레스트 핸드워시 300ml</v>
      </c>
      <c r="G195" s="6" t="str">
        <f>IFERROR(INDEX('03_상품분류2526'!$D$7:$D$2532,MATCH(E195,'03_상품분류2526'!$A$7:$A$2532,0)),"코드 확인")</f>
        <v>300ml</v>
      </c>
      <c r="H195" s="6" t="s">
        <v>7508</v>
      </c>
      <c r="I195" s="6" t="str">
        <f>IFERROR(INDEX('03_상품분류2526'!$M$7:$M$2532,MATCH(E195,'03_상품분류2526'!$A$7:$A$2532,0)),"코드 확인")</f>
        <v>B</v>
      </c>
      <c r="J195" s="6">
        <v>1</v>
      </c>
      <c r="K195" s="15">
        <v>1</v>
      </c>
      <c r="L195" s="6" t="str">
        <f>IFERROR(IF(INDEX('03_상품분류2526'!$V$7:$V$2532,MATCH(E195,'03_상품분류2526'!$A$7:$A$2532,0))="","",INDEX('03_상품분류2526'!$V$7:$V$2532,MATCH(E195,'03_상품분류2526'!$A$7:$A$2532,0))),"")</f>
        <v/>
      </c>
      <c r="M195" s="6" t="str">
        <f>IFERROR(IF(INDEX('03_상품분류2526'!$W$7:$W$2532,MATCH(E195,'03_상품분류2526'!$A$7:$A$2532,0))="","",INDEX('03_상품분류2526'!$W$7:$W$2532,MATCH(E195,'03_상품분류2526'!$A$7:$A$2532,0))),"")</f>
        <v/>
      </c>
      <c r="N195" s="6" t="str">
        <f>IFERROR(IF(INDEX('03_상품분류2526'!$X$7:$X$2532,MATCH(E195,'03_상품분류2526'!$A$7:$A$2532,0))="","",INDEX('03_상품분류2526'!$X$7:$X$2532,MATCH(E195,'03_상품분류2526'!$A$7:$A$2532,0))),"")</f>
        <v/>
      </c>
      <c r="O195" s="6">
        <f>'02_선반315'!R151</f>
        <v>865</v>
      </c>
      <c r="P195" s="6">
        <f>'02_선반315'!T151</f>
        <v>220</v>
      </c>
      <c r="Q195" s="6">
        <f>'02_선반315'!U151</f>
        <v>200</v>
      </c>
      <c r="R195" s="6">
        <f>'02_선반315'!S151</f>
        <v>270</v>
      </c>
      <c r="S195" s="6" t="str">
        <f t="shared" si="4"/>
        <v/>
      </c>
      <c r="T195" s="6" t="str">
        <f t="shared" si="5"/>
        <v>입력 대기</v>
      </c>
      <c r="U195" s="6" t="s">
        <v>7509</v>
      </c>
      <c r="V195" s="6" t="s">
        <v>555</v>
      </c>
      <c r="W195" s="6" t="s">
        <v>859</v>
      </c>
    </row>
    <row r="196" spans="1:23" ht="33" customHeight="1">
      <c r="A196" s="6" t="s">
        <v>7700</v>
      </c>
      <c r="B196" s="6" t="s">
        <v>1067</v>
      </c>
      <c r="C196" s="6" t="s">
        <v>282</v>
      </c>
      <c r="D196" s="6">
        <v>2</v>
      </c>
      <c r="E196" s="6" t="s">
        <v>1510</v>
      </c>
      <c r="F196" s="6" t="str">
        <f>IFERROR(INDEX('03_상품분류2526'!$C$7:$C$2532,MATCH(E196,'03_상품분류2526'!$A$7:$A$2532,0)),"코드 확인")</f>
        <v>멜라토닝크림</v>
      </c>
      <c r="G196" s="6" t="str">
        <f>IFERROR(INDEX('03_상품분류2526'!$D$7:$D$2532,MATCH(E196,'03_상품분류2526'!$A$7:$A$2532,0)),"코드 확인")</f>
        <v>30g</v>
      </c>
      <c r="H196" s="6" t="s">
        <v>7508</v>
      </c>
      <c r="I196" s="6" t="str">
        <f>IFERROR(INDEX('03_상품분류2526'!$M$7:$M$2532,MATCH(E196,'03_상품분류2526'!$A$7:$A$2532,0)),"코드 확인")</f>
        <v>A</v>
      </c>
      <c r="J196" s="6">
        <v>1</v>
      </c>
      <c r="K196" s="15">
        <v>2</v>
      </c>
      <c r="L196" s="6" t="str">
        <f>IFERROR(IF(INDEX('03_상품분류2526'!$V$7:$V$2532,MATCH(E196,'03_상품분류2526'!$A$7:$A$2532,0))="","",INDEX('03_상품분류2526'!$V$7:$V$2532,MATCH(E196,'03_상품분류2526'!$A$7:$A$2532,0))),"")</f>
        <v/>
      </c>
      <c r="M196" s="6" t="str">
        <f>IFERROR(IF(INDEX('03_상품분류2526'!$W$7:$W$2532,MATCH(E196,'03_상품분류2526'!$A$7:$A$2532,0))="","",INDEX('03_상품분류2526'!$W$7:$W$2532,MATCH(E196,'03_상품분류2526'!$A$7:$A$2532,0))),"")</f>
        <v/>
      </c>
      <c r="N196" s="6" t="str">
        <f>IFERROR(IF(INDEX('03_상품분류2526'!$X$7:$X$2532,MATCH(E196,'03_상품분류2526'!$A$7:$A$2532,0))="","",INDEX('03_상품분류2526'!$X$7:$X$2532,MATCH(E196,'03_상품분류2526'!$A$7:$A$2532,0))),"")</f>
        <v/>
      </c>
      <c r="O196" s="6">
        <f>'02_선반315'!R153</f>
        <v>865</v>
      </c>
      <c r="P196" s="6">
        <f>'02_선반315'!T153</f>
        <v>220</v>
      </c>
      <c r="Q196" s="6">
        <f>'02_선반315'!U153</f>
        <v>200</v>
      </c>
      <c r="R196" s="6">
        <f>'02_선반315'!S153</f>
        <v>270</v>
      </c>
      <c r="S196" s="6" t="str">
        <f t="shared" si="4"/>
        <v/>
      </c>
      <c r="T196" s="6" t="str">
        <f t="shared" si="5"/>
        <v>입력 대기</v>
      </c>
      <c r="U196" s="6" t="s">
        <v>7509</v>
      </c>
      <c r="V196" s="6" t="s">
        <v>555</v>
      </c>
      <c r="W196" s="6" t="s">
        <v>859</v>
      </c>
    </row>
    <row r="197" spans="1:23" ht="33" customHeight="1">
      <c r="A197" s="6" t="s">
        <v>7701</v>
      </c>
      <c r="B197" s="6" t="s">
        <v>1067</v>
      </c>
      <c r="C197" s="6" t="s">
        <v>282</v>
      </c>
      <c r="D197" s="6">
        <v>2</v>
      </c>
      <c r="E197" s="6" t="s">
        <v>5785</v>
      </c>
      <c r="F197" s="6" t="str">
        <f>IFERROR(INDEX('03_상품분류2526'!$C$7:$C$2532,MATCH(E197,'03_상품분류2526'!$A$7:$A$2532,0)),"코드 확인")</f>
        <v>도미나크림(튜브타입)4%</v>
      </c>
      <c r="G197" s="6" t="str">
        <f>IFERROR(INDEX('03_상품분류2526'!$D$7:$D$2532,MATCH(E197,'03_상품분류2526'!$A$7:$A$2532,0)),"코드 확인")</f>
        <v>50g</v>
      </c>
      <c r="H197" s="6" t="s">
        <v>7508</v>
      </c>
      <c r="I197" s="6" t="str">
        <f>IFERROR(INDEX('03_상품분류2526'!$M$7:$M$2532,MATCH(E197,'03_상품분류2526'!$A$7:$A$2532,0)),"코드 확인")</f>
        <v>A</v>
      </c>
      <c r="J197" s="6">
        <v>2</v>
      </c>
      <c r="K197" s="15">
        <v>2</v>
      </c>
      <c r="L197" s="6" t="str">
        <f>IFERROR(IF(INDEX('03_상품분류2526'!$V$7:$V$2532,MATCH(E197,'03_상품분류2526'!$A$7:$A$2532,0))="","",INDEX('03_상품분류2526'!$V$7:$V$2532,MATCH(E197,'03_상품분류2526'!$A$7:$A$2532,0))),"")</f>
        <v/>
      </c>
      <c r="M197" s="6" t="str">
        <f>IFERROR(IF(INDEX('03_상품분류2526'!$W$7:$W$2532,MATCH(E197,'03_상품분류2526'!$A$7:$A$2532,0))="","",INDEX('03_상품분류2526'!$W$7:$W$2532,MATCH(E197,'03_상품분류2526'!$A$7:$A$2532,0))),"")</f>
        <v/>
      </c>
      <c r="N197" s="6" t="str">
        <f>IFERROR(IF(INDEX('03_상품분류2526'!$X$7:$X$2532,MATCH(E197,'03_상품분류2526'!$A$7:$A$2532,0))="","",INDEX('03_상품분류2526'!$X$7:$X$2532,MATCH(E197,'03_상품분류2526'!$A$7:$A$2532,0))),"")</f>
        <v/>
      </c>
      <c r="O197" s="6">
        <f>'02_선반315'!R153</f>
        <v>865</v>
      </c>
      <c r="P197" s="6">
        <f>'02_선반315'!T153</f>
        <v>220</v>
      </c>
      <c r="Q197" s="6">
        <f>'02_선반315'!U153</f>
        <v>200</v>
      </c>
      <c r="R197" s="6">
        <f>'02_선반315'!S153</f>
        <v>270</v>
      </c>
      <c r="S197" s="6" t="str">
        <f t="shared" si="4"/>
        <v/>
      </c>
      <c r="T197" s="6" t="str">
        <f t="shared" si="5"/>
        <v>입력 대기</v>
      </c>
      <c r="U197" s="6" t="s">
        <v>7509</v>
      </c>
      <c r="V197" s="6" t="s">
        <v>555</v>
      </c>
      <c r="W197" s="6" t="s">
        <v>859</v>
      </c>
    </row>
    <row r="198" spans="1:23" ht="33" customHeight="1">
      <c r="A198" s="6" t="s">
        <v>7702</v>
      </c>
      <c r="B198" s="6" t="s">
        <v>1071</v>
      </c>
      <c r="C198" s="6" t="s">
        <v>282</v>
      </c>
      <c r="D198" s="6">
        <v>3</v>
      </c>
      <c r="E198" s="6" t="s">
        <v>5774</v>
      </c>
      <c r="F198" s="6" t="str">
        <f>IFERROR(INDEX('03_상품분류2526'!$C$7:$C$2532,MATCH(E198,'03_상품분류2526'!$A$7:$A$2532,0)),"코드 확인")</f>
        <v>도미나라이트크림</v>
      </c>
      <c r="G198" s="6" t="str">
        <f>IFERROR(INDEX('03_상품분류2526'!$D$7:$D$2532,MATCH(E198,'03_상품분류2526'!$A$7:$A$2532,0)),"코드 확인")</f>
        <v>40g</v>
      </c>
      <c r="H198" s="6" t="s">
        <v>7508</v>
      </c>
      <c r="I198" s="6" t="str">
        <f>IFERROR(INDEX('03_상품분류2526'!$M$7:$M$2532,MATCH(E198,'03_상품분류2526'!$A$7:$A$2532,0)),"코드 확인")</f>
        <v>B</v>
      </c>
      <c r="J198" s="6">
        <v>1</v>
      </c>
      <c r="K198" s="15">
        <v>1</v>
      </c>
      <c r="L198" s="6" t="str">
        <f>IFERROR(IF(INDEX('03_상품분류2526'!$V$7:$V$2532,MATCH(E198,'03_상품분류2526'!$A$7:$A$2532,0))="","",INDEX('03_상품분류2526'!$V$7:$V$2532,MATCH(E198,'03_상품분류2526'!$A$7:$A$2532,0))),"")</f>
        <v/>
      </c>
      <c r="M198" s="6" t="str">
        <f>IFERROR(IF(INDEX('03_상품분류2526'!$W$7:$W$2532,MATCH(E198,'03_상품분류2526'!$A$7:$A$2532,0))="","",INDEX('03_상품분류2526'!$W$7:$W$2532,MATCH(E198,'03_상품분류2526'!$A$7:$A$2532,0))),"")</f>
        <v/>
      </c>
      <c r="N198" s="6" t="str">
        <f>IFERROR(IF(INDEX('03_상품분류2526'!$X$7:$X$2532,MATCH(E198,'03_상품분류2526'!$A$7:$A$2532,0))="","",INDEX('03_상품분류2526'!$X$7:$X$2532,MATCH(E198,'03_상품분류2526'!$A$7:$A$2532,0))),"")</f>
        <v/>
      </c>
      <c r="O198" s="6">
        <f>'02_선반315'!R154</f>
        <v>865</v>
      </c>
      <c r="P198" s="6">
        <f>'02_선반315'!T154</f>
        <v>220</v>
      </c>
      <c r="Q198" s="6">
        <f>'02_선반315'!U154</f>
        <v>200</v>
      </c>
      <c r="R198" s="6">
        <f>'02_선반315'!S154</f>
        <v>270</v>
      </c>
      <c r="S198" s="6" t="str">
        <f t="shared" si="4"/>
        <v/>
      </c>
      <c r="T198" s="6" t="str">
        <f t="shared" si="5"/>
        <v>입력 대기</v>
      </c>
      <c r="U198" s="6" t="s">
        <v>7509</v>
      </c>
      <c r="V198" s="6" t="s">
        <v>555</v>
      </c>
      <c r="W198" s="6" t="s">
        <v>859</v>
      </c>
    </row>
    <row r="199" spans="1:23" ht="33" customHeight="1">
      <c r="A199" s="6" t="s">
        <v>7703</v>
      </c>
      <c r="B199" s="6" t="s">
        <v>1071</v>
      </c>
      <c r="C199" s="6" t="s">
        <v>282</v>
      </c>
      <c r="D199" s="6">
        <v>3</v>
      </c>
      <c r="E199" s="6" t="s">
        <v>5787</v>
      </c>
      <c r="F199" s="6" t="str">
        <f>IFERROR(INDEX('03_상품분류2526'!$C$7:$C$2532,MATCH(E199,'03_상품분류2526'!$A$7:$A$2532,0)),"코드 확인")</f>
        <v>멜라블리크림 (4%)</v>
      </c>
      <c r="G199" s="6" t="str">
        <f>IFERROR(INDEX('03_상품분류2526'!$D$7:$D$2532,MATCH(E199,'03_상품분류2526'!$A$7:$A$2532,0)),"코드 확인")</f>
        <v>30g</v>
      </c>
      <c r="H199" s="6" t="s">
        <v>7508</v>
      </c>
      <c r="I199" s="6" t="str">
        <f>IFERROR(INDEX('03_상품분류2526'!$M$7:$M$2532,MATCH(E199,'03_상품분류2526'!$A$7:$A$2532,0)),"코드 확인")</f>
        <v>B</v>
      </c>
      <c r="J199" s="6">
        <v>2</v>
      </c>
      <c r="K199" s="15">
        <v>1</v>
      </c>
      <c r="L199" s="6" t="str">
        <f>IFERROR(IF(INDEX('03_상품분류2526'!$V$7:$V$2532,MATCH(E199,'03_상품분류2526'!$A$7:$A$2532,0))="","",INDEX('03_상품분류2526'!$V$7:$V$2532,MATCH(E199,'03_상품분류2526'!$A$7:$A$2532,0))),"")</f>
        <v/>
      </c>
      <c r="M199" s="6" t="str">
        <f>IFERROR(IF(INDEX('03_상품분류2526'!$W$7:$W$2532,MATCH(E199,'03_상품분류2526'!$A$7:$A$2532,0))="","",INDEX('03_상품분류2526'!$W$7:$W$2532,MATCH(E199,'03_상품분류2526'!$A$7:$A$2532,0))),"")</f>
        <v/>
      </c>
      <c r="N199" s="6" t="str">
        <f>IFERROR(IF(INDEX('03_상품분류2526'!$X$7:$X$2532,MATCH(E199,'03_상품분류2526'!$A$7:$A$2532,0))="","",INDEX('03_상품분류2526'!$X$7:$X$2532,MATCH(E199,'03_상품분류2526'!$A$7:$A$2532,0))),"")</f>
        <v/>
      </c>
      <c r="O199" s="6">
        <f>'02_선반315'!R154</f>
        <v>865</v>
      </c>
      <c r="P199" s="6">
        <f>'02_선반315'!T154</f>
        <v>220</v>
      </c>
      <c r="Q199" s="6">
        <f>'02_선반315'!U154</f>
        <v>200</v>
      </c>
      <c r="R199" s="6">
        <f>'02_선반315'!S154</f>
        <v>270</v>
      </c>
      <c r="S199" s="6" t="str">
        <f t="shared" ref="S199:S262" si="6">IF(K199=0,0,IF(L199="","",K199*L199))</f>
        <v/>
      </c>
      <c r="T199" s="6" t="str">
        <f t="shared" ref="T199:T262" si="7">IF(K199=0,"미진열",IF(OR(L199="",M199="",N199=""),"입력 대기",IF(AND(L199&gt;0,M199&gt;0,N199&gt;0,S199&lt;=O199,M199&lt;=Q199,N199&lt;=R199),"개별 범위 내","치수 초과")))</f>
        <v>입력 대기</v>
      </c>
      <c r="U199" s="6" t="s">
        <v>7509</v>
      </c>
      <c r="V199" s="6" t="s">
        <v>555</v>
      </c>
      <c r="W199" s="6" t="s">
        <v>859</v>
      </c>
    </row>
    <row r="200" spans="1:23" ht="33" customHeight="1">
      <c r="A200" s="6" t="s">
        <v>7704</v>
      </c>
      <c r="B200" s="6" t="s">
        <v>1075</v>
      </c>
      <c r="C200" s="6" t="s">
        <v>282</v>
      </c>
      <c r="D200" s="6">
        <v>4</v>
      </c>
      <c r="E200" s="6" t="s">
        <v>1077</v>
      </c>
      <c r="F200" s="6" t="str">
        <f>IFERROR(INDEX('03_상품분류2526'!$C$7:$C$2532,MATCH(E200,'03_상품분류2526'!$A$7:$A$2532,0)),"코드 확인")</f>
        <v>트란시노2정</v>
      </c>
      <c r="G200" s="6" t="str">
        <f>IFERROR(INDEX('03_상품분류2526'!$D$7:$D$2532,MATCH(E200,'03_상품분류2526'!$A$7:$A$2532,0)),"코드 확인")</f>
        <v>120T</v>
      </c>
      <c r="H200" s="6" t="s">
        <v>7508</v>
      </c>
      <c r="I200" s="6" t="str">
        <f>IFERROR(INDEX('03_상품분류2526'!$M$7:$M$2532,MATCH(E200,'03_상품분류2526'!$A$7:$A$2532,0)),"코드 확인")</f>
        <v>B</v>
      </c>
      <c r="J200" s="6">
        <v>1</v>
      </c>
      <c r="K200" s="15">
        <v>1</v>
      </c>
      <c r="L200" s="6" t="str">
        <f>IFERROR(IF(INDEX('03_상품분류2526'!$V$7:$V$2532,MATCH(E200,'03_상품분류2526'!$A$7:$A$2532,0))="","",INDEX('03_상품분류2526'!$V$7:$V$2532,MATCH(E200,'03_상품분류2526'!$A$7:$A$2532,0))),"")</f>
        <v/>
      </c>
      <c r="M200" s="6" t="str">
        <f>IFERROR(IF(INDEX('03_상품분류2526'!$W$7:$W$2532,MATCH(E200,'03_상품분류2526'!$A$7:$A$2532,0))="","",INDEX('03_상품분류2526'!$W$7:$W$2532,MATCH(E200,'03_상품분류2526'!$A$7:$A$2532,0))),"")</f>
        <v/>
      </c>
      <c r="N200" s="6" t="str">
        <f>IFERROR(IF(INDEX('03_상품분류2526'!$X$7:$X$2532,MATCH(E200,'03_상품분류2526'!$A$7:$A$2532,0))="","",INDEX('03_상품분류2526'!$X$7:$X$2532,MATCH(E200,'03_상품분류2526'!$A$7:$A$2532,0))),"")</f>
        <v/>
      </c>
      <c r="O200" s="6">
        <f>'02_선반315'!R155</f>
        <v>865</v>
      </c>
      <c r="P200" s="6">
        <f>'02_선반315'!T155</f>
        <v>220</v>
      </c>
      <c r="Q200" s="6">
        <f>'02_선반315'!U155</f>
        <v>200</v>
      </c>
      <c r="R200" s="6">
        <f>'02_선반315'!S155</f>
        <v>270</v>
      </c>
      <c r="S200" s="6" t="str">
        <f t="shared" si="6"/>
        <v/>
      </c>
      <c r="T200" s="6" t="str">
        <f t="shared" si="7"/>
        <v>입력 대기</v>
      </c>
      <c r="U200" s="6" t="s">
        <v>7509</v>
      </c>
      <c r="V200" s="6" t="s">
        <v>555</v>
      </c>
      <c r="W200" s="6" t="s">
        <v>859</v>
      </c>
    </row>
    <row r="201" spans="1:23" ht="33" customHeight="1">
      <c r="A201" s="6" t="s">
        <v>7705</v>
      </c>
      <c r="B201" s="6" t="s">
        <v>1082</v>
      </c>
      <c r="C201" s="6" t="s">
        <v>290</v>
      </c>
      <c r="D201" s="6">
        <v>2</v>
      </c>
      <c r="E201" s="6" t="s">
        <v>4402</v>
      </c>
      <c r="F201" s="6" t="str">
        <f>IFERROR(INDEX('03_상품분류2526'!$C$7:$C$2532,MATCH(E201,'03_상품분류2526'!$A$7:$A$2532,0)),"코드 확인")</f>
        <v>마미케어 오쏘타민 비타C 앰플 15ml</v>
      </c>
      <c r="G201" s="6" t="str">
        <f>IFERROR(INDEX('03_상품분류2526'!$D$7:$D$2532,MATCH(E201,'03_상품분류2526'!$A$7:$A$2532,0)),"코드 확인")</f>
        <v>15ml</v>
      </c>
      <c r="H201" s="6" t="s">
        <v>7508</v>
      </c>
      <c r="I201" s="6" t="str">
        <f>IFERROR(INDEX('03_상품분류2526'!$M$7:$M$2532,MATCH(E201,'03_상품분류2526'!$A$7:$A$2532,0)),"코드 확인")</f>
        <v>B</v>
      </c>
      <c r="J201" s="6">
        <v>1</v>
      </c>
      <c r="K201" s="15">
        <v>1</v>
      </c>
      <c r="L201" s="6" t="str">
        <f>IFERROR(IF(INDEX('03_상품분류2526'!$V$7:$V$2532,MATCH(E201,'03_상품분류2526'!$A$7:$A$2532,0))="","",INDEX('03_상품분류2526'!$V$7:$V$2532,MATCH(E201,'03_상품분류2526'!$A$7:$A$2532,0))),"")</f>
        <v/>
      </c>
      <c r="M201" s="6" t="str">
        <f>IFERROR(IF(INDEX('03_상품분류2526'!$W$7:$W$2532,MATCH(E201,'03_상품분류2526'!$A$7:$A$2532,0))="","",INDEX('03_상품분류2526'!$W$7:$W$2532,MATCH(E201,'03_상품분류2526'!$A$7:$A$2532,0))),"")</f>
        <v/>
      </c>
      <c r="N201" s="6" t="str">
        <f>IFERROR(IF(INDEX('03_상품분류2526'!$X$7:$X$2532,MATCH(E201,'03_상품분류2526'!$A$7:$A$2532,0))="","",INDEX('03_상품분류2526'!$X$7:$X$2532,MATCH(E201,'03_상품분류2526'!$A$7:$A$2532,0))),"")</f>
        <v/>
      </c>
      <c r="O201" s="6">
        <f>'02_선반315'!R158</f>
        <v>865</v>
      </c>
      <c r="P201" s="6">
        <f>'02_선반315'!T158</f>
        <v>220</v>
      </c>
      <c r="Q201" s="6">
        <f>'02_선반315'!U158</f>
        <v>200</v>
      </c>
      <c r="R201" s="6">
        <f>'02_선반315'!S158</f>
        <v>270</v>
      </c>
      <c r="S201" s="6" t="str">
        <f t="shared" si="6"/>
        <v/>
      </c>
      <c r="T201" s="6" t="str">
        <f t="shared" si="7"/>
        <v>입력 대기</v>
      </c>
      <c r="U201" s="6" t="s">
        <v>7509</v>
      </c>
      <c r="V201" s="6" t="s">
        <v>555</v>
      </c>
      <c r="W201" s="6" t="s">
        <v>859</v>
      </c>
    </row>
    <row r="202" spans="1:23" ht="33" customHeight="1">
      <c r="A202" s="6" t="s">
        <v>7706</v>
      </c>
      <c r="B202" s="6" t="s">
        <v>1082</v>
      </c>
      <c r="C202" s="6" t="s">
        <v>290</v>
      </c>
      <c r="D202" s="6">
        <v>2</v>
      </c>
      <c r="E202" s="6" t="s">
        <v>7087</v>
      </c>
      <c r="F202" s="6" t="str">
        <f>IFERROR(INDEX('03_상품분류2526'!$C$7:$C$2532,MATCH(E202,'03_상품분류2526'!$A$7:$A$2532,0)),"코드 확인")</f>
        <v>프로캄 멜라 화이트닝 모이스쳐 세럼</v>
      </c>
      <c r="G202" s="6" t="str">
        <f>IFERROR(INDEX('03_상품분류2526'!$D$7:$D$2532,MATCH(E202,'03_상품분류2526'!$A$7:$A$2532,0)),"코드 확인")</f>
        <v>20ml</v>
      </c>
      <c r="H202" s="6" t="s">
        <v>7508</v>
      </c>
      <c r="I202" s="6" t="str">
        <f>IFERROR(INDEX('03_상품분류2526'!$M$7:$M$2532,MATCH(E202,'03_상품분류2526'!$A$7:$A$2532,0)),"코드 확인")</f>
        <v>A</v>
      </c>
      <c r="J202" s="6">
        <v>2</v>
      </c>
      <c r="K202" s="15">
        <v>1</v>
      </c>
      <c r="L202" s="6" t="str">
        <f>IFERROR(IF(INDEX('03_상품분류2526'!$V$7:$V$2532,MATCH(E202,'03_상품분류2526'!$A$7:$A$2532,0))="","",INDEX('03_상품분류2526'!$V$7:$V$2532,MATCH(E202,'03_상품분류2526'!$A$7:$A$2532,0))),"")</f>
        <v/>
      </c>
      <c r="M202" s="6" t="str">
        <f>IFERROR(IF(INDEX('03_상품분류2526'!$W$7:$W$2532,MATCH(E202,'03_상품분류2526'!$A$7:$A$2532,0))="","",INDEX('03_상품분류2526'!$W$7:$W$2532,MATCH(E202,'03_상품분류2526'!$A$7:$A$2532,0))),"")</f>
        <v/>
      </c>
      <c r="N202" s="6" t="str">
        <f>IFERROR(IF(INDEX('03_상품분류2526'!$X$7:$X$2532,MATCH(E202,'03_상품분류2526'!$A$7:$A$2532,0))="","",INDEX('03_상품분류2526'!$X$7:$X$2532,MATCH(E202,'03_상품분류2526'!$A$7:$A$2532,0))),"")</f>
        <v/>
      </c>
      <c r="O202" s="6">
        <f>'02_선반315'!R158</f>
        <v>865</v>
      </c>
      <c r="P202" s="6">
        <f>'02_선반315'!T158</f>
        <v>220</v>
      </c>
      <c r="Q202" s="6">
        <f>'02_선반315'!U158</f>
        <v>200</v>
      </c>
      <c r="R202" s="6">
        <f>'02_선반315'!S158</f>
        <v>270</v>
      </c>
      <c r="S202" s="6" t="str">
        <f t="shared" si="6"/>
        <v/>
      </c>
      <c r="T202" s="6" t="str">
        <f t="shared" si="7"/>
        <v>입력 대기</v>
      </c>
      <c r="U202" s="6" t="s">
        <v>7509</v>
      </c>
      <c r="V202" s="6" t="s">
        <v>555</v>
      </c>
      <c r="W202" s="6" t="s">
        <v>859</v>
      </c>
    </row>
    <row r="203" spans="1:23" ht="33" customHeight="1">
      <c r="A203" s="6" t="s">
        <v>7707</v>
      </c>
      <c r="B203" s="6" t="s">
        <v>1082</v>
      </c>
      <c r="C203" s="6" t="s">
        <v>290</v>
      </c>
      <c r="D203" s="6">
        <v>2</v>
      </c>
      <c r="E203" s="6" t="s">
        <v>7083</v>
      </c>
      <c r="F203" s="6" t="str">
        <f>IFERROR(INDEX('03_상품분류2526'!$C$7:$C$2532,MATCH(E203,'03_상품분류2526'!$A$7:$A$2532,0)),"코드 확인")</f>
        <v>프로캄 멜라 화이트닝 리프팅 세럼</v>
      </c>
      <c r="G203" s="6" t="str">
        <f>IFERROR(INDEX('03_상품분류2526'!$D$7:$D$2532,MATCH(E203,'03_상품분류2526'!$A$7:$A$2532,0)),"코드 확인")</f>
        <v>20ml</v>
      </c>
      <c r="H203" s="6" t="s">
        <v>7508</v>
      </c>
      <c r="I203" s="6" t="str">
        <f>IFERROR(INDEX('03_상품분류2526'!$M$7:$M$2532,MATCH(E203,'03_상품분류2526'!$A$7:$A$2532,0)),"코드 확인")</f>
        <v>B</v>
      </c>
      <c r="J203" s="6">
        <v>3</v>
      </c>
      <c r="K203" s="15">
        <v>1</v>
      </c>
      <c r="L203" s="6" t="str">
        <f>IFERROR(IF(INDEX('03_상품분류2526'!$V$7:$V$2532,MATCH(E203,'03_상품분류2526'!$A$7:$A$2532,0))="","",INDEX('03_상품분류2526'!$V$7:$V$2532,MATCH(E203,'03_상품분류2526'!$A$7:$A$2532,0))),"")</f>
        <v/>
      </c>
      <c r="M203" s="6" t="str">
        <f>IFERROR(IF(INDEX('03_상품분류2526'!$W$7:$W$2532,MATCH(E203,'03_상품분류2526'!$A$7:$A$2532,0))="","",INDEX('03_상품분류2526'!$W$7:$W$2532,MATCH(E203,'03_상품분류2526'!$A$7:$A$2532,0))),"")</f>
        <v/>
      </c>
      <c r="N203" s="6" t="str">
        <f>IFERROR(IF(INDEX('03_상품분류2526'!$X$7:$X$2532,MATCH(E203,'03_상품분류2526'!$A$7:$A$2532,0))="","",INDEX('03_상품분류2526'!$X$7:$X$2532,MATCH(E203,'03_상품분류2526'!$A$7:$A$2532,0))),"")</f>
        <v/>
      </c>
      <c r="O203" s="6">
        <f>'02_선반315'!R158</f>
        <v>865</v>
      </c>
      <c r="P203" s="6">
        <f>'02_선반315'!T158</f>
        <v>220</v>
      </c>
      <c r="Q203" s="6">
        <f>'02_선반315'!U158</f>
        <v>200</v>
      </c>
      <c r="R203" s="6">
        <f>'02_선반315'!S158</f>
        <v>270</v>
      </c>
      <c r="S203" s="6" t="str">
        <f t="shared" si="6"/>
        <v/>
      </c>
      <c r="T203" s="6" t="str">
        <f t="shared" si="7"/>
        <v>입력 대기</v>
      </c>
      <c r="U203" s="6" t="s">
        <v>7509</v>
      </c>
      <c r="V203" s="6" t="s">
        <v>555</v>
      </c>
      <c r="W203" s="6" t="s">
        <v>859</v>
      </c>
    </row>
    <row r="204" spans="1:23" ht="33" customHeight="1">
      <c r="A204" s="6" t="s">
        <v>7708</v>
      </c>
      <c r="B204" s="6" t="s">
        <v>1086</v>
      </c>
      <c r="C204" s="6" t="s">
        <v>290</v>
      </c>
      <c r="D204" s="6">
        <v>3</v>
      </c>
      <c r="E204" s="6" t="s">
        <v>6852</v>
      </c>
      <c r="F204" s="6" t="str">
        <f>IFERROR(INDEX('03_상품분류2526'!$C$7:$C$2532,MATCH(E204,'03_상품분류2526'!$A$7:$A$2532,0)),"코드 확인")</f>
        <v>(리쥬올)어드밴스드 레티노멜라세럼</v>
      </c>
      <c r="G204" s="6" t="str">
        <f>IFERROR(INDEX('03_상품분류2526'!$D$7:$D$2532,MATCH(E204,'03_상품분류2526'!$A$7:$A$2532,0)),"코드 확인")</f>
        <v>50mL</v>
      </c>
      <c r="H204" s="6" t="s">
        <v>7508</v>
      </c>
      <c r="I204" s="6" t="str">
        <f>IFERROR(INDEX('03_상품분류2526'!$M$7:$M$2532,MATCH(E204,'03_상품분류2526'!$A$7:$A$2532,0)),"코드 확인")</f>
        <v>A</v>
      </c>
      <c r="J204" s="6">
        <v>1</v>
      </c>
      <c r="K204" s="15">
        <v>1</v>
      </c>
      <c r="L204" s="6" t="str">
        <f>IFERROR(IF(INDEX('03_상품분류2526'!$V$7:$V$2532,MATCH(E204,'03_상품분류2526'!$A$7:$A$2532,0))="","",INDEX('03_상품분류2526'!$V$7:$V$2532,MATCH(E204,'03_상품분류2526'!$A$7:$A$2532,0))),"")</f>
        <v/>
      </c>
      <c r="M204" s="6" t="str">
        <f>IFERROR(IF(INDEX('03_상품분류2526'!$W$7:$W$2532,MATCH(E204,'03_상품분류2526'!$A$7:$A$2532,0))="","",INDEX('03_상품분류2526'!$W$7:$W$2532,MATCH(E204,'03_상품분류2526'!$A$7:$A$2532,0))),"")</f>
        <v/>
      </c>
      <c r="N204" s="6" t="str">
        <f>IFERROR(IF(INDEX('03_상품분류2526'!$X$7:$X$2532,MATCH(E204,'03_상품분류2526'!$A$7:$A$2532,0))="","",INDEX('03_상품분류2526'!$X$7:$X$2532,MATCH(E204,'03_상품분류2526'!$A$7:$A$2532,0))),"")</f>
        <v/>
      </c>
      <c r="O204" s="6">
        <f>'02_선반315'!R159</f>
        <v>865</v>
      </c>
      <c r="P204" s="6">
        <f>'02_선반315'!T159</f>
        <v>220</v>
      </c>
      <c r="Q204" s="6">
        <f>'02_선반315'!U159</f>
        <v>200</v>
      </c>
      <c r="R204" s="6">
        <f>'02_선반315'!S159</f>
        <v>270</v>
      </c>
      <c r="S204" s="6" t="str">
        <f t="shared" si="6"/>
        <v/>
      </c>
      <c r="T204" s="6" t="str">
        <f t="shared" si="7"/>
        <v>입력 대기</v>
      </c>
      <c r="U204" s="6" t="s">
        <v>7509</v>
      </c>
      <c r="V204" s="6" t="s">
        <v>555</v>
      </c>
      <c r="W204" s="6" t="s">
        <v>859</v>
      </c>
    </row>
    <row r="205" spans="1:23" ht="33" customHeight="1">
      <c r="A205" s="6" t="s">
        <v>7709</v>
      </c>
      <c r="B205" s="6" t="s">
        <v>1086</v>
      </c>
      <c r="C205" s="6" t="s">
        <v>290</v>
      </c>
      <c r="D205" s="6">
        <v>3</v>
      </c>
      <c r="E205" s="6" t="s">
        <v>6846</v>
      </c>
      <c r="F205" s="6" t="str">
        <f>IFERROR(INDEX('03_상품분류2526'!$C$7:$C$2532,MATCH(E205,'03_상품분류2526'!$A$7:$A$2532,0)),"코드 확인")</f>
        <v>닥터 리쥬올 어드밴스드 레티노 멜라 톤 크림</v>
      </c>
      <c r="G205" s="6" t="str">
        <f>IFERROR(INDEX('03_상품분류2526'!$D$7:$D$2532,MATCH(E205,'03_상품분류2526'!$A$7:$A$2532,0)),"코드 확인")</f>
        <v>30ml</v>
      </c>
      <c r="H205" s="6" t="s">
        <v>7508</v>
      </c>
      <c r="I205" s="6" t="str">
        <f>IFERROR(INDEX('03_상품분류2526'!$M$7:$M$2532,MATCH(E205,'03_상품분류2526'!$A$7:$A$2532,0)),"코드 확인")</f>
        <v>B</v>
      </c>
      <c r="J205" s="6">
        <v>2</v>
      </c>
      <c r="K205" s="15">
        <v>1</v>
      </c>
      <c r="L205" s="6" t="str">
        <f>IFERROR(IF(INDEX('03_상품분류2526'!$V$7:$V$2532,MATCH(E205,'03_상품분류2526'!$A$7:$A$2532,0))="","",INDEX('03_상품분류2526'!$V$7:$V$2532,MATCH(E205,'03_상품분류2526'!$A$7:$A$2532,0))),"")</f>
        <v/>
      </c>
      <c r="M205" s="6" t="str">
        <f>IFERROR(IF(INDEX('03_상품분류2526'!$W$7:$W$2532,MATCH(E205,'03_상품분류2526'!$A$7:$A$2532,0))="","",INDEX('03_상품분류2526'!$W$7:$W$2532,MATCH(E205,'03_상품분류2526'!$A$7:$A$2532,0))),"")</f>
        <v/>
      </c>
      <c r="N205" s="6" t="str">
        <f>IFERROR(IF(INDEX('03_상품분류2526'!$X$7:$X$2532,MATCH(E205,'03_상품분류2526'!$A$7:$A$2532,0))="","",INDEX('03_상품분류2526'!$X$7:$X$2532,MATCH(E205,'03_상품분류2526'!$A$7:$A$2532,0))),"")</f>
        <v/>
      </c>
      <c r="O205" s="6">
        <f>'02_선반315'!R159</f>
        <v>865</v>
      </c>
      <c r="P205" s="6">
        <f>'02_선반315'!T159</f>
        <v>220</v>
      </c>
      <c r="Q205" s="6">
        <f>'02_선반315'!U159</f>
        <v>200</v>
      </c>
      <c r="R205" s="6">
        <f>'02_선반315'!S159</f>
        <v>270</v>
      </c>
      <c r="S205" s="6" t="str">
        <f t="shared" si="6"/>
        <v/>
      </c>
      <c r="T205" s="6" t="str">
        <f t="shared" si="7"/>
        <v>입력 대기</v>
      </c>
      <c r="U205" s="6" t="s">
        <v>7509</v>
      </c>
      <c r="V205" s="6" t="s">
        <v>555</v>
      </c>
      <c r="W205" s="6" t="s">
        <v>859</v>
      </c>
    </row>
    <row r="206" spans="1:23" ht="33" customHeight="1">
      <c r="A206" s="6" t="s">
        <v>7710</v>
      </c>
      <c r="B206" s="6" t="s">
        <v>1090</v>
      </c>
      <c r="C206" s="6" t="s">
        <v>290</v>
      </c>
      <c r="D206" s="6">
        <v>4</v>
      </c>
      <c r="E206" s="6" t="s">
        <v>4407</v>
      </c>
      <c r="F206" s="6" t="str">
        <f>IFERROR(INDEX('03_상품분류2526'!$C$7:$C$2532,MATCH(E206,'03_상품분류2526'!$A$7:$A$2532,0)),"코드 확인")</f>
        <v>마미케어 오쏘타민 비타민C 크림 50ml</v>
      </c>
      <c r="G206" s="6" t="str">
        <f>IFERROR(INDEX('03_상품분류2526'!$D$7:$D$2532,MATCH(E206,'03_상품분류2526'!$A$7:$A$2532,0)),"코드 확인")</f>
        <v>50ml</v>
      </c>
      <c r="H206" s="6" t="s">
        <v>7508</v>
      </c>
      <c r="I206" s="6" t="str">
        <f>IFERROR(INDEX('03_상품분류2526'!$M$7:$M$2532,MATCH(E206,'03_상품분류2526'!$A$7:$A$2532,0)),"코드 확인")</f>
        <v>B</v>
      </c>
      <c r="J206" s="6">
        <v>1</v>
      </c>
      <c r="K206" s="15">
        <v>1</v>
      </c>
      <c r="L206" s="6" t="str">
        <f>IFERROR(IF(INDEX('03_상품분류2526'!$V$7:$V$2532,MATCH(E206,'03_상품분류2526'!$A$7:$A$2532,0))="","",INDEX('03_상품분류2526'!$V$7:$V$2532,MATCH(E206,'03_상품분류2526'!$A$7:$A$2532,0))),"")</f>
        <v/>
      </c>
      <c r="M206" s="6" t="str">
        <f>IFERROR(IF(INDEX('03_상품분류2526'!$W$7:$W$2532,MATCH(E206,'03_상품분류2526'!$A$7:$A$2532,0))="","",INDEX('03_상품분류2526'!$W$7:$W$2532,MATCH(E206,'03_상품분류2526'!$A$7:$A$2532,0))),"")</f>
        <v/>
      </c>
      <c r="N206" s="6" t="str">
        <f>IFERROR(IF(INDEX('03_상품분류2526'!$X$7:$X$2532,MATCH(E206,'03_상품분류2526'!$A$7:$A$2532,0))="","",INDEX('03_상품분류2526'!$X$7:$X$2532,MATCH(E206,'03_상품분류2526'!$A$7:$A$2532,0))),"")</f>
        <v/>
      </c>
      <c r="O206" s="6">
        <f>'02_선반315'!R160</f>
        <v>865</v>
      </c>
      <c r="P206" s="6">
        <f>'02_선반315'!T160</f>
        <v>220</v>
      </c>
      <c r="Q206" s="6">
        <f>'02_선반315'!U160</f>
        <v>200</v>
      </c>
      <c r="R206" s="6">
        <f>'02_선반315'!S160</f>
        <v>270</v>
      </c>
      <c r="S206" s="6" t="str">
        <f t="shared" si="6"/>
        <v/>
      </c>
      <c r="T206" s="6" t="str">
        <f t="shared" si="7"/>
        <v>입력 대기</v>
      </c>
      <c r="U206" s="6" t="s">
        <v>7509</v>
      </c>
      <c r="V206" s="6" t="s">
        <v>555</v>
      </c>
      <c r="W206" s="6" t="s">
        <v>859</v>
      </c>
    </row>
    <row r="207" spans="1:23" ht="33" customHeight="1">
      <c r="A207" s="6" t="s">
        <v>7711</v>
      </c>
      <c r="B207" s="6" t="s">
        <v>1090</v>
      </c>
      <c r="C207" s="6" t="s">
        <v>290</v>
      </c>
      <c r="D207" s="6">
        <v>4</v>
      </c>
      <c r="E207" s="6" t="s">
        <v>7142</v>
      </c>
      <c r="F207" s="6" t="str">
        <f>IFERROR(INDEX('03_상품분류2526'!$C$7:$C$2532,MATCH(E207,'03_상품분류2526'!$A$7:$A$2532,0)),"코드 확인")</f>
        <v>마리나비 비타민씨25 펄 브라이트닝 세럼</v>
      </c>
      <c r="G207" s="6" t="str">
        <f>IFERROR(INDEX('03_상품분류2526'!$D$7:$D$2532,MATCH(E207,'03_상품분류2526'!$A$7:$A$2532,0)),"코드 확인")</f>
        <v>30ml</v>
      </c>
      <c r="H207" s="6" t="s">
        <v>7508</v>
      </c>
      <c r="I207" s="6" t="str">
        <f>IFERROR(INDEX('03_상품분류2526'!$M$7:$M$2532,MATCH(E207,'03_상품분류2526'!$A$7:$A$2532,0)),"코드 확인")</f>
        <v>B</v>
      </c>
      <c r="J207" s="6">
        <v>2</v>
      </c>
      <c r="K207" s="15">
        <v>1</v>
      </c>
      <c r="L207" s="6" t="str">
        <f>IFERROR(IF(INDEX('03_상품분류2526'!$V$7:$V$2532,MATCH(E207,'03_상품분류2526'!$A$7:$A$2532,0))="","",INDEX('03_상품분류2526'!$V$7:$V$2532,MATCH(E207,'03_상품분류2526'!$A$7:$A$2532,0))),"")</f>
        <v/>
      </c>
      <c r="M207" s="6" t="str">
        <f>IFERROR(IF(INDEX('03_상품분류2526'!$W$7:$W$2532,MATCH(E207,'03_상품분류2526'!$A$7:$A$2532,0))="","",INDEX('03_상품분류2526'!$W$7:$W$2532,MATCH(E207,'03_상품분류2526'!$A$7:$A$2532,0))),"")</f>
        <v/>
      </c>
      <c r="N207" s="6" t="str">
        <f>IFERROR(IF(INDEX('03_상품분류2526'!$X$7:$X$2532,MATCH(E207,'03_상품분류2526'!$A$7:$A$2532,0))="","",INDEX('03_상품분류2526'!$X$7:$X$2532,MATCH(E207,'03_상품분류2526'!$A$7:$A$2532,0))),"")</f>
        <v/>
      </c>
      <c r="O207" s="6">
        <f>'02_선반315'!R160</f>
        <v>865</v>
      </c>
      <c r="P207" s="6">
        <f>'02_선반315'!T160</f>
        <v>220</v>
      </c>
      <c r="Q207" s="6">
        <f>'02_선반315'!U160</f>
        <v>200</v>
      </c>
      <c r="R207" s="6">
        <f>'02_선반315'!S160</f>
        <v>270</v>
      </c>
      <c r="S207" s="6" t="str">
        <f t="shared" si="6"/>
        <v/>
      </c>
      <c r="T207" s="6" t="str">
        <f t="shared" si="7"/>
        <v>입력 대기</v>
      </c>
      <c r="U207" s="6" t="s">
        <v>7509</v>
      </c>
      <c r="V207" s="6" t="s">
        <v>555</v>
      </c>
      <c r="W207" s="6" t="s">
        <v>859</v>
      </c>
    </row>
    <row r="208" spans="1:23" ht="33" customHeight="1">
      <c r="A208" s="6" t="s">
        <v>7712</v>
      </c>
      <c r="B208" s="6" t="s">
        <v>1094</v>
      </c>
      <c r="C208" s="6" t="s">
        <v>290</v>
      </c>
      <c r="D208" s="6">
        <v>5</v>
      </c>
      <c r="E208" s="6" t="s">
        <v>1096</v>
      </c>
      <c r="F208" s="6" t="str">
        <f>IFERROR(INDEX('03_상품분류2526'!$C$7:$C$2532,MATCH(E208,'03_상품분류2526'!$A$7:$A$2532,0)),"코드 확인")</f>
        <v>마미케어 오쏘타민 비타민C 앰플 마스크팩</v>
      </c>
      <c r="G208" s="6" t="str">
        <f>IFERROR(INDEX('03_상품분류2526'!$D$7:$D$2532,MATCH(E208,'03_상품분류2526'!$A$7:$A$2532,0)),"코드 확인")</f>
        <v>7매</v>
      </c>
      <c r="H208" s="6" t="s">
        <v>7508</v>
      </c>
      <c r="I208" s="6" t="str">
        <f>IFERROR(INDEX('03_상품분류2526'!$M$7:$M$2532,MATCH(E208,'03_상품분류2526'!$A$7:$A$2532,0)),"코드 확인")</f>
        <v>B</v>
      </c>
      <c r="J208" s="6">
        <v>1</v>
      </c>
      <c r="K208" s="15">
        <v>1</v>
      </c>
      <c r="L208" s="6" t="str">
        <f>IFERROR(IF(INDEX('03_상품분류2526'!$V$7:$V$2532,MATCH(E208,'03_상품분류2526'!$A$7:$A$2532,0))="","",INDEX('03_상품분류2526'!$V$7:$V$2532,MATCH(E208,'03_상품분류2526'!$A$7:$A$2532,0))),"")</f>
        <v/>
      </c>
      <c r="M208" s="6" t="str">
        <f>IFERROR(IF(INDEX('03_상품분류2526'!$W$7:$W$2532,MATCH(E208,'03_상품분류2526'!$A$7:$A$2532,0))="","",INDEX('03_상품분류2526'!$W$7:$W$2532,MATCH(E208,'03_상품분류2526'!$A$7:$A$2532,0))),"")</f>
        <v/>
      </c>
      <c r="N208" s="6" t="str">
        <f>IFERROR(IF(INDEX('03_상품분류2526'!$X$7:$X$2532,MATCH(E208,'03_상품분류2526'!$A$7:$A$2532,0))="","",INDEX('03_상품분류2526'!$X$7:$X$2532,MATCH(E208,'03_상품분류2526'!$A$7:$A$2532,0))),"")</f>
        <v/>
      </c>
      <c r="O208" s="6">
        <f>'02_선반315'!R161</f>
        <v>865</v>
      </c>
      <c r="P208" s="6">
        <f>'02_선반315'!T161</f>
        <v>220</v>
      </c>
      <c r="Q208" s="6">
        <f>'02_선반315'!U161</f>
        <v>200</v>
      </c>
      <c r="R208" s="6">
        <f>'02_선반315'!S161</f>
        <v>270</v>
      </c>
      <c r="S208" s="6" t="str">
        <f t="shared" si="6"/>
        <v/>
      </c>
      <c r="T208" s="6" t="str">
        <f t="shared" si="7"/>
        <v>입력 대기</v>
      </c>
      <c r="U208" s="6" t="s">
        <v>7509</v>
      </c>
      <c r="V208" s="6" t="s">
        <v>555</v>
      </c>
      <c r="W208" s="6" t="s">
        <v>859</v>
      </c>
    </row>
    <row r="209" spans="1:23" ht="33" customHeight="1">
      <c r="A209" s="6" t="s">
        <v>7713</v>
      </c>
      <c r="B209" s="6" t="s">
        <v>1099</v>
      </c>
      <c r="C209" s="6" t="s">
        <v>299</v>
      </c>
      <c r="D209" s="6">
        <v>2</v>
      </c>
      <c r="E209" s="6" t="s">
        <v>1514</v>
      </c>
      <c r="F209" s="6" t="str">
        <f>IFERROR(INDEX('03_상품분류2526'!$C$7:$C$2532,MATCH(E209,'03_상품분류2526'!$A$7:$A$2532,0)),"코드 확인")</f>
        <v>리쥬올어드밴스드PDRN카밍선세럼</v>
      </c>
      <c r="G209" s="6" t="str">
        <f>IFERROR(INDEX('03_상품분류2526'!$D$7:$D$2532,MATCH(E209,'03_상품분류2526'!$A$7:$A$2532,0)),"코드 확인")</f>
        <v>50ml</v>
      </c>
      <c r="H209" s="6" t="s">
        <v>7508</v>
      </c>
      <c r="I209" s="6" t="str">
        <f>IFERROR(INDEX('03_상품분류2526'!$M$7:$M$2532,MATCH(E209,'03_상품분류2526'!$A$7:$A$2532,0)),"코드 확인")</f>
        <v>A</v>
      </c>
      <c r="J209" s="6">
        <v>1</v>
      </c>
      <c r="K209" s="15">
        <v>1</v>
      </c>
      <c r="L209" s="6" t="str">
        <f>IFERROR(IF(INDEX('03_상품분류2526'!$V$7:$V$2532,MATCH(E209,'03_상품분류2526'!$A$7:$A$2532,0))="","",INDEX('03_상품분류2526'!$V$7:$V$2532,MATCH(E209,'03_상품분류2526'!$A$7:$A$2532,0))),"")</f>
        <v/>
      </c>
      <c r="M209" s="6" t="str">
        <f>IFERROR(IF(INDEX('03_상품분류2526'!$W$7:$W$2532,MATCH(E209,'03_상품분류2526'!$A$7:$A$2532,0))="","",INDEX('03_상품분류2526'!$W$7:$W$2532,MATCH(E209,'03_상품분류2526'!$A$7:$A$2532,0))),"")</f>
        <v/>
      </c>
      <c r="N209" s="6" t="str">
        <f>IFERROR(IF(INDEX('03_상품분류2526'!$X$7:$X$2532,MATCH(E209,'03_상품분류2526'!$A$7:$A$2532,0))="","",INDEX('03_상품분류2526'!$X$7:$X$2532,MATCH(E209,'03_상품분류2526'!$A$7:$A$2532,0))),"")</f>
        <v/>
      </c>
      <c r="O209" s="6">
        <f>'02_선반315'!R163</f>
        <v>865</v>
      </c>
      <c r="P209" s="6">
        <f>'02_선반315'!T163</f>
        <v>220</v>
      </c>
      <c r="Q209" s="6">
        <f>'02_선반315'!U163</f>
        <v>200</v>
      </c>
      <c r="R209" s="6">
        <f>'02_선반315'!S163</f>
        <v>270</v>
      </c>
      <c r="S209" s="6" t="str">
        <f t="shared" si="6"/>
        <v/>
      </c>
      <c r="T209" s="6" t="str">
        <f t="shared" si="7"/>
        <v>입력 대기</v>
      </c>
      <c r="U209" s="6" t="s">
        <v>7509</v>
      </c>
      <c r="V209" s="6" t="s">
        <v>555</v>
      </c>
      <c r="W209" s="6" t="s">
        <v>859</v>
      </c>
    </row>
    <row r="210" spans="1:23" ht="33" customHeight="1">
      <c r="A210" s="6" t="s">
        <v>7714</v>
      </c>
      <c r="B210" s="6" t="s">
        <v>1099</v>
      </c>
      <c r="C210" s="6" t="s">
        <v>299</v>
      </c>
      <c r="D210" s="6">
        <v>2</v>
      </c>
      <c r="E210" s="6" t="s">
        <v>7094</v>
      </c>
      <c r="F210" s="6" t="str">
        <f>IFERROR(INDEX('03_상품분류2526'!$C$7:$C$2532,MATCH(E210,'03_상품분류2526'!$A$7:$A$2532,0)),"코드 확인")</f>
        <v>프로캄 멜라이트 선 에센스</v>
      </c>
      <c r="G210" s="6" t="str">
        <f>IFERROR(INDEX('03_상품분류2526'!$D$7:$D$2532,MATCH(E210,'03_상품분류2526'!$A$7:$A$2532,0)),"코드 확인")</f>
        <v>40ml</v>
      </c>
      <c r="H210" s="6" t="s">
        <v>7508</v>
      </c>
      <c r="I210" s="6" t="str">
        <f>IFERROR(INDEX('03_상품분류2526'!$M$7:$M$2532,MATCH(E210,'03_상품분류2526'!$A$7:$A$2532,0)),"코드 확인")</f>
        <v>B</v>
      </c>
      <c r="J210" s="6">
        <v>2</v>
      </c>
      <c r="K210" s="15">
        <v>1</v>
      </c>
      <c r="L210" s="6" t="str">
        <f>IFERROR(IF(INDEX('03_상품분류2526'!$V$7:$V$2532,MATCH(E210,'03_상품분류2526'!$A$7:$A$2532,0))="","",INDEX('03_상품분류2526'!$V$7:$V$2532,MATCH(E210,'03_상품분류2526'!$A$7:$A$2532,0))),"")</f>
        <v/>
      </c>
      <c r="M210" s="6" t="str">
        <f>IFERROR(IF(INDEX('03_상품분류2526'!$W$7:$W$2532,MATCH(E210,'03_상품분류2526'!$A$7:$A$2532,0))="","",INDEX('03_상품분류2526'!$W$7:$W$2532,MATCH(E210,'03_상품분류2526'!$A$7:$A$2532,0))),"")</f>
        <v/>
      </c>
      <c r="N210" s="6" t="str">
        <f>IFERROR(IF(INDEX('03_상품분류2526'!$X$7:$X$2532,MATCH(E210,'03_상품분류2526'!$A$7:$A$2532,0))="","",INDEX('03_상품분류2526'!$X$7:$X$2532,MATCH(E210,'03_상품분류2526'!$A$7:$A$2532,0))),"")</f>
        <v/>
      </c>
      <c r="O210" s="6">
        <f>'02_선반315'!R163</f>
        <v>865</v>
      </c>
      <c r="P210" s="6">
        <f>'02_선반315'!T163</f>
        <v>220</v>
      </c>
      <c r="Q210" s="6">
        <f>'02_선반315'!U163</f>
        <v>200</v>
      </c>
      <c r="R210" s="6">
        <f>'02_선반315'!S163</f>
        <v>270</v>
      </c>
      <c r="S210" s="6" t="str">
        <f t="shared" si="6"/>
        <v/>
      </c>
      <c r="T210" s="6" t="str">
        <f t="shared" si="7"/>
        <v>입력 대기</v>
      </c>
      <c r="U210" s="6" t="s">
        <v>7509</v>
      </c>
      <c r="V210" s="6" t="s">
        <v>555</v>
      </c>
      <c r="W210" s="6" t="s">
        <v>859</v>
      </c>
    </row>
    <row r="211" spans="1:23" ht="33" customHeight="1">
      <c r="A211" s="6" t="s">
        <v>7715</v>
      </c>
      <c r="B211" s="6" t="s">
        <v>1103</v>
      </c>
      <c r="C211" s="6" t="s">
        <v>299</v>
      </c>
      <c r="D211" s="6">
        <v>3</v>
      </c>
      <c r="E211" s="6" t="s">
        <v>7238</v>
      </c>
      <c r="F211" s="6" t="str">
        <f>IFERROR(INDEX('03_상품분류2526'!$C$7:$C$2532,MATCH(E211,'03_상품분류2526'!$A$7:$A$2532,0)),"코드 확인")</f>
        <v>테카플러스포뮬러 컴포트선크림</v>
      </c>
      <c r="G211" s="6" t="str">
        <f>IFERROR(INDEX('03_상품분류2526'!$D$7:$D$2532,MATCH(E211,'03_상품분류2526'!$A$7:$A$2532,0)),"코드 확인")</f>
        <v>50mL</v>
      </c>
      <c r="H211" s="6" t="s">
        <v>7508</v>
      </c>
      <c r="I211" s="6" t="str">
        <f>IFERROR(INDEX('03_상품분류2526'!$M$7:$M$2532,MATCH(E211,'03_상품분류2526'!$A$7:$A$2532,0)),"코드 확인")</f>
        <v>A</v>
      </c>
      <c r="J211" s="6">
        <v>1</v>
      </c>
      <c r="K211" s="15">
        <v>1</v>
      </c>
      <c r="L211" s="6" t="str">
        <f>IFERROR(IF(INDEX('03_상품분류2526'!$V$7:$V$2532,MATCH(E211,'03_상품분류2526'!$A$7:$A$2532,0))="","",INDEX('03_상품분류2526'!$V$7:$V$2532,MATCH(E211,'03_상품분류2526'!$A$7:$A$2532,0))),"")</f>
        <v/>
      </c>
      <c r="M211" s="6" t="str">
        <f>IFERROR(IF(INDEX('03_상품분류2526'!$W$7:$W$2532,MATCH(E211,'03_상품분류2526'!$A$7:$A$2532,0))="","",INDEX('03_상품분류2526'!$W$7:$W$2532,MATCH(E211,'03_상품분류2526'!$A$7:$A$2532,0))),"")</f>
        <v/>
      </c>
      <c r="N211" s="6" t="str">
        <f>IFERROR(IF(INDEX('03_상품분류2526'!$X$7:$X$2532,MATCH(E211,'03_상품분류2526'!$A$7:$A$2532,0))="","",INDEX('03_상품분류2526'!$X$7:$X$2532,MATCH(E211,'03_상품분류2526'!$A$7:$A$2532,0))),"")</f>
        <v/>
      </c>
      <c r="O211" s="6">
        <f>'02_선반315'!R164</f>
        <v>865</v>
      </c>
      <c r="P211" s="6">
        <f>'02_선반315'!T164</f>
        <v>220</v>
      </c>
      <c r="Q211" s="6">
        <f>'02_선반315'!U164</f>
        <v>200</v>
      </c>
      <c r="R211" s="6">
        <f>'02_선반315'!S164</f>
        <v>270</v>
      </c>
      <c r="S211" s="6" t="str">
        <f t="shared" si="6"/>
        <v/>
      </c>
      <c r="T211" s="6" t="str">
        <f t="shared" si="7"/>
        <v>입력 대기</v>
      </c>
      <c r="U211" s="6" t="s">
        <v>7509</v>
      </c>
      <c r="V211" s="6" t="s">
        <v>555</v>
      </c>
      <c r="W211" s="6" t="s">
        <v>859</v>
      </c>
    </row>
    <row r="212" spans="1:23" ht="33" customHeight="1">
      <c r="A212" s="6" t="s">
        <v>7716</v>
      </c>
      <c r="B212" s="6" t="s">
        <v>1103</v>
      </c>
      <c r="C212" s="6" t="s">
        <v>299</v>
      </c>
      <c r="D212" s="6">
        <v>3</v>
      </c>
      <c r="E212" s="6" t="s">
        <v>4673</v>
      </c>
      <c r="F212" s="6" t="str">
        <f>IFERROR(INDEX('03_상품분류2526'!$C$7:$C$2532,MATCH(E212,'03_상품분류2526'!$A$7:$A$2532,0)),"코드 확인")</f>
        <v>마리나비 트루 마일드 선스크린</v>
      </c>
      <c r="G212" s="6" t="str">
        <f>IFERROR(INDEX('03_상품분류2526'!$D$7:$D$2532,MATCH(E212,'03_상품분류2526'!$A$7:$A$2532,0)),"코드 확인")</f>
        <v>50ml</v>
      </c>
      <c r="H212" s="6" t="s">
        <v>7508</v>
      </c>
      <c r="I212" s="6" t="str">
        <f>IFERROR(INDEX('03_상품분류2526'!$M$7:$M$2532,MATCH(E212,'03_상품분류2526'!$A$7:$A$2532,0)),"코드 확인")</f>
        <v>B</v>
      </c>
      <c r="J212" s="6">
        <v>2</v>
      </c>
      <c r="K212" s="15">
        <v>1</v>
      </c>
      <c r="L212" s="6" t="str">
        <f>IFERROR(IF(INDEX('03_상품분류2526'!$V$7:$V$2532,MATCH(E212,'03_상품분류2526'!$A$7:$A$2532,0))="","",INDEX('03_상품분류2526'!$V$7:$V$2532,MATCH(E212,'03_상품분류2526'!$A$7:$A$2532,0))),"")</f>
        <v/>
      </c>
      <c r="M212" s="6" t="str">
        <f>IFERROR(IF(INDEX('03_상품분류2526'!$W$7:$W$2532,MATCH(E212,'03_상품분류2526'!$A$7:$A$2532,0))="","",INDEX('03_상품분류2526'!$W$7:$W$2532,MATCH(E212,'03_상품분류2526'!$A$7:$A$2532,0))),"")</f>
        <v/>
      </c>
      <c r="N212" s="6" t="str">
        <f>IFERROR(IF(INDEX('03_상품분류2526'!$X$7:$X$2532,MATCH(E212,'03_상품분류2526'!$A$7:$A$2532,0))="","",INDEX('03_상품분류2526'!$X$7:$X$2532,MATCH(E212,'03_상품분류2526'!$A$7:$A$2532,0))),"")</f>
        <v/>
      </c>
      <c r="O212" s="6">
        <f>'02_선반315'!R164</f>
        <v>865</v>
      </c>
      <c r="P212" s="6">
        <f>'02_선반315'!T164</f>
        <v>220</v>
      </c>
      <c r="Q212" s="6">
        <f>'02_선반315'!U164</f>
        <v>200</v>
      </c>
      <c r="R212" s="6">
        <f>'02_선반315'!S164</f>
        <v>270</v>
      </c>
      <c r="S212" s="6" t="str">
        <f t="shared" si="6"/>
        <v/>
      </c>
      <c r="T212" s="6" t="str">
        <f t="shared" si="7"/>
        <v>입력 대기</v>
      </c>
      <c r="U212" s="6" t="s">
        <v>7509</v>
      </c>
      <c r="V212" s="6" t="s">
        <v>555</v>
      </c>
      <c r="W212" s="6" t="s">
        <v>859</v>
      </c>
    </row>
    <row r="213" spans="1:23" ht="33" customHeight="1">
      <c r="A213" s="6" t="s">
        <v>7717</v>
      </c>
      <c r="B213" s="6" t="s">
        <v>1107</v>
      </c>
      <c r="C213" s="6" t="s">
        <v>299</v>
      </c>
      <c r="D213" s="6">
        <v>4</v>
      </c>
      <c r="E213" s="6" t="s">
        <v>6718</v>
      </c>
      <c r="F213" s="6" t="str">
        <f>IFERROR(INDEX('03_상품분류2526'!$C$7:$C$2532,MATCH(E213,'03_상품분류2526'!$A$7:$A$2532,0)),"코드 확인")</f>
        <v>비플레인 선뮤즈 톤업 앤 코렉팅 선크림 (NEW)</v>
      </c>
      <c r="G213" s="6" t="str">
        <f>IFERROR(INDEX('03_상품분류2526'!$D$7:$D$2532,MATCH(E213,'03_상품분류2526'!$A$7:$A$2532,0)),"코드 확인")</f>
        <v>50ml</v>
      </c>
      <c r="H213" s="6" t="s">
        <v>7508</v>
      </c>
      <c r="I213" s="6" t="str">
        <f>IFERROR(INDEX('03_상품분류2526'!$M$7:$M$2532,MATCH(E213,'03_상품분류2526'!$A$7:$A$2532,0)),"코드 확인")</f>
        <v>B</v>
      </c>
      <c r="J213" s="6">
        <v>1</v>
      </c>
      <c r="K213" s="15">
        <v>1</v>
      </c>
      <c r="L213" s="6" t="str">
        <f>IFERROR(IF(INDEX('03_상품분류2526'!$V$7:$V$2532,MATCH(E213,'03_상품분류2526'!$A$7:$A$2532,0))="","",INDEX('03_상품분류2526'!$V$7:$V$2532,MATCH(E213,'03_상품분류2526'!$A$7:$A$2532,0))),"")</f>
        <v/>
      </c>
      <c r="M213" s="6" t="str">
        <f>IFERROR(IF(INDEX('03_상품분류2526'!$W$7:$W$2532,MATCH(E213,'03_상품분류2526'!$A$7:$A$2532,0))="","",INDEX('03_상품분류2526'!$W$7:$W$2532,MATCH(E213,'03_상품분류2526'!$A$7:$A$2532,0))),"")</f>
        <v/>
      </c>
      <c r="N213" s="6" t="str">
        <f>IFERROR(IF(INDEX('03_상품분류2526'!$X$7:$X$2532,MATCH(E213,'03_상품분류2526'!$A$7:$A$2532,0))="","",INDEX('03_상품분류2526'!$X$7:$X$2532,MATCH(E213,'03_상품분류2526'!$A$7:$A$2532,0))),"")</f>
        <v/>
      </c>
      <c r="O213" s="6">
        <f>'02_선반315'!R165</f>
        <v>865</v>
      </c>
      <c r="P213" s="6">
        <f>'02_선반315'!T165</f>
        <v>220</v>
      </c>
      <c r="Q213" s="6">
        <f>'02_선반315'!U165</f>
        <v>200</v>
      </c>
      <c r="R213" s="6">
        <f>'02_선반315'!S165</f>
        <v>270</v>
      </c>
      <c r="S213" s="6" t="str">
        <f t="shared" si="6"/>
        <v/>
      </c>
      <c r="T213" s="6" t="str">
        <f t="shared" si="7"/>
        <v>입력 대기</v>
      </c>
      <c r="U213" s="6" t="s">
        <v>7509</v>
      </c>
      <c r="V213" s="6" t="s">
        <v>555</v>
      </c>
      <c r="W213" s="6" t="s">
        <v>859</v>
      </c>
    </row>
    <row r="214" spans="1:23" ht="33" customHeight="1">
      <c r="A214" s="6" t="s">
        <v>7718</v>
      </c>
      <c r="B214" s="6" t="s">
        <v>1107</v>
      </c>
      <c r="C214" s="6" t="s">
        <v>299</v>
      </c>
      <c r="D214" s="6">
        <v>4</v>
      </c>
      <c r="E214" s="6" t="s">
        <v>6722</v>
      </c>
      <c r="F214" s="6" t="str">
        <f>IFERROR(INDEX('03_상품분류2526'!$C$7:$C$2532,MATCH(E214,'03_상품분류2526'!$A$7:$A$2532,0)),"코드 확인")</f>
        <v>비플레인 선뮤즈 모이스처 선크림 (NEW)</v>
      </c>
      <c r="G214" s="6" t="str">
        <f>IFERROR(INDEX('03_상품분류2526'!$D$7:$D$2532,MATCH(E214,'03_상품분류2526'!$A$7:$A$2532,0)),"코드 확인")</f>
        <v>50ml</v>
      </c>
      <c r="H214" s="6" t="s">
        <v>7508</v>
      </c>
      <c r="I214" s="6" t="str">
        <f>IFERROR(INDEX('03_상품분류2526'!$M$7:$M$2532,MATCH(E214,'03_상품분류2526'!$A$7:$A$2532,0)),"코드 확인")</f>
        <v>B</v>
      </c>
      <c r="J214" s="6">
        <v>2</v>
      </c>
      <c r="K214" s="15">
        <v>1</v>
      </c>
      <c r="L214" s="6" t="str">
        <f>IFERROR(IF(INDEX('03_상품분류2526'!$V$7:$V$2532,MATCH(E214,'03_상품분류2526'!$A$7:$A$2532,0))="","",INDEX('03_상품분류2526'!$V$7:$V$2532,MATCH(E214,'03_상품분류2526'!$A$7:$A$2532,0))),"")</f>
        <v/>
      </c>
      <c r="M214" s="6" t="str">
        <f>IFERROR(IF(INDEX('03_상품분류2526'!$W$7:$W$2532,MATCH(E214,'03_상품분류2526'!$A$7:$A$2532,0))="","",INDEX('03_상품분류2526'!$W$7:$W$2532,MATCH(E214,'03_상품분류2526'!$A$7:$A$2532,0))),"")</f>
        <v/>
      </c>
      <c r="N214" s="6" t="str">
        <f>IFERROR(IF(INDEX('03_상품분류2526'!$X$7:$X$2532,MATCH(E214,'03_상품분류2526'!$A$7:$A$2532,0))="","",INDEX('03_상품분류2526'!$X$7:$X$2532,MATCH(E214,'03_상품분류2526'!$A$7:$A$2532,0))),"")</f>
        <v/>
      </c>
      <c r="O214" s="6">
        <f>'02_선반315'!R165</f>
        <v>865</v>
      </c>
      <c r="P214" s="6">
        <f>'02_선반315'!T165</f>
        <v>220</v>
      </c>
      <c r="Q214" s="6">
        <f>'02_선반315'!U165</f>
        <v>200</v>
      </c>
      <c r="R214" s="6">
        <f>'02_선반315'!S165</f>
        <v>270</v>
      </c>
      <c r="S214" s="6" t="str">
        <f t="shared" si="6"/>
        <v/>
      </c>
      <c r="T214" s="6" t="str">
        <f t="shared" si="7"/>
        <v>입력 대기</v>
      </c>
      <c r="U214" s="6" t="s">
        <v>7509</v>
      </c>
      <c r="V214" s="6" t="s">
        <v>555</v>
      </c>
      <c r="W214" s="6" t="s">
        <v>859</v>
      </c>
    </row>
    <row r="215" spans="1:23" ht="33" customHeight="1">
      <c r="A215" s="6" t="s">
        <v>7719</v>
      </c>
      <c r="B215" s="6" t="s">
        <v>1111</v>
      </c>
      <c r="C215" s="6" t="s">
        <v>299</v>
      </c>
      <c r="D215" s="6">
        <v>5</v>
      </c>
      <c r="E215" s="6" t="s">
        <v>1113</v>
      </c>
      <c r="F215" s="6" t="str">
        <f>IFERROR(INDEX('03_상품분류2526'!$C$7:$C$2532,MATCH(E215,'03_상품분류2526'!$A$7:$A$2532,0)),"코드 확인")</f>
        <v>싸이닉 엔조이 워터프루프 에어핏 선스틱 20g</v>
      </c>
      <c r="G215" s="6" t="str">
        <f>IFERROR(INDEX('03_상품분류2526'!$D$7:$D$2532,MATCH(E215,'03_상품분류2526'!$A$7:$A$2532,0)),"코드 확인")</f>
        <v>20g</v>
      </c>
      <c r="H215" s="6" t="s">
        <v>7508</v>
      </c>
      <c r="I215" s="6" t="str">
        <f>IFERROR(INDEX('03_상품분류2526'!$M$7:$M$2532,MATCH(E215,'03_상품분류2526'!$A$7:$A$2532,0)),"코드 확인")</f>
        <v>B</v>
      </c>
      <c r="J215" s="6">
        <v>1</v>
      </c>
      <c r="K215" s="15">
        <v>1</v>
      </c>
      <c r="L215" s="6" t="str">
        <f>IFERROR(IF(INDEX('03_상품분류2526'!$V$7:$V$2532,MATCH(E215,'03_상품분류2526'!$A$7:$A$2532,0))="","",INDEX('03_상품분류2526'!$V$7:$V$2532,MATCH(E215,'03_상품분류2526'!$A$7:$A$2532,0))),"")</f>
        <v/>
      </c>
      <c r="M215" s="6" t="str">
        <f>IFERROR(IF(INDEX('03_상품분류2526'!$W$7:$W$2532,MATCH(E215,'03_상품분류2526'!$A$7:$A$2532,0))="","",INDEX('03_상품분류2526'!$W$7:$W$2532,MATCH(E215,'03_상품분류2526'!$A$7:$A$2532,0))),"")</f>
        <v/>
      </c>
      <c r="N215" s="6" t="str">
        <f>IFERROR(IF(INDEX('03_상품분류2526'!$X$7:$X$2532,MATCH(E215,'03_상품분류2526'!$A$7:$A$2532,0))="","",INDEX('03_상품분류2526'!$X$7:$X$2532,MATCH(E215,'03_상품분류2526'!$A$7:$A$2532,0))),"")</f>
        <v/>
      </c>
      <c r="O215" s="6">
        <f>'02_선반315'!R166</f>
        <v>865</v>
      </c>
      <c r="P215" s="6">
        <f>'02_선반315'!T166</f>
        <v>220</v>
      </c>
      <c r="Q215" s="6">
        <f>'02_선반315'!U166</f>
        <v>200</v>
      </c>
      <c r="R215" s="6">
        <f>'02_선반315'!S166</f>
        <v>270</v>
      </c>
      <c r="S215" s="6" t="str">
        <f t="shared" si="6"/>
        <v/>
      </c>
      <c r="T215" s="6" t="str">
        <f t="shared" si="7"/>
        <v>입력 대기</v>
      </c>
      <c r="U215" s="6" t="s">
        <v>7509</v>
      </c>
      <c r="V215" s="6" t="s">
        <v>555</v>
      </c>
      <c r="W215" s="6" t="s">
        <v>859</v>
      </c>
    </row>
    <row r="216" spans="1:23" ht="33" customHeight="1">
      <c r="A216" s="6" t="s">
        <v>7720</v>
      </c>
      <c r="B216" s="6" t="s">
        <v>1116</v>
      </c>
      <c r="C216" s="6" t="s">
        <v>307</v>
      </c>
      <c r="D216" s="6">
        <v>2</v>
      </c>
      <c r="E216" s="6" t="s">
        <v>6679</v>
      </c>
      <c r="F216" s="6" t="str">
        <f>IFERROR(INDEX('03_상품분류2526'!$C$7:$C$2532,MATCH(E216,'03_상품분류2526'!$A$7:$A$2532,0)),"코드 확인")</f>
        <v>미녹시딜 바이그루트 5%겔</v>
      </c>
      <c r="G216" s="6" t="str">
        <f>IFERROR(INDEX('03_상품분류2526'!$D$7:$D$2532,MATCH(E216,'03_상품분류2526'!$A$7:$A$2532,0)),"코드 확인")</f>
        <v>15g</v>
      </c>
      <c r="H216" s="6" t="s">
        <v>7508</v>
      </c>
      <c r="I216" s="6" t="str">
        <f>IFERROR(INDEX('03_상품분류2526'!$M$7:$M$2532,MATCH(E216,'03_상품분류2526'!$A$7:$A$2532,0)),"코드 확인")</f>
        <v>B</v>
      </c>
      <c r="J216" s="6">
        <v>1</v>
      </c>
      <c r="K216" s="15">
        <v>1</v>
      </c>
      <c r="L216" s="6" t="str">
        <f>IFERROR(IF(INDEX('03_상품분류2526'!$V$7:$V$2532,MATCH(E216,'03_상품분류2526'!$A$7:$A$2532,0))="","",INDEX('03_상품분류2526'!$V$7:$V$2532,MATCH(E216,'03_상품분류2526'!$A$7:$A$2532,0))),"")</f>
        <v/>
      </c>
      <c r="M216" s="6" t="str">
        <f>IFERROR(IF(INDEX('03_상품분류2526'!$W$7:$W$2532,MATCH(E216,'03_상품분류2526'!$A$7:$A$2532,0))="","",INDEX('03_상품분류2526'!$W$7:$W$2532,MATCH(E216,'03_상품분류2526'!$A$7:$A$2532,0))),"")</f>
        <v/>
      </c>
      <c r="N216" s="6" t="str">
        <f>IFERROR(IF(INDEX('03_상품분류2526'!$X$7:$X$2532,MATCH(E216,'03_상품분류2526'!$A$7:$A$2532,0))="","",INDEX('03_상품분류2526'!$X$7:$X$2532,MATCH(E216,'03_상품분류2526'!$A$7:$A$2532,0))),"")</f>
        <v/>
      </c>
      <c r="O216" s="6">
        <f>'02_선반315'!R168</f>
        <v>865</v>
      </c>
      <c r="P216" s="6">
        <f>'02_선반315'!T168</f>
        <v>220</v>
      </c>
      <c r="Q216" s="6">
        <f>'02_선반315'!U168</f>
        <v>200</v>
      </c>
      <c r="R216" s="6">
        <f>'02_선반315'!S168</f>
        <v>270</v>
      </c>
      <c r="S216" s="6" t="str">
        <f t="shared" si="6"/>
        <v/>
      </c>
      <c r="T216" s="6" t="str">
        <f t="shared" si="7"/>
        <v>입력 대기</v>
      </c>
      <c r="U216" s="6" t="s">
        <v>7509</v>
      </c>
      <c r="V216" s="6" t="s">
        <v>555</v>
      </c>
      <c r="W216" s="6" t="s">
        <v>859</v>
      </c>
    </row>
    <row r="217" spans="1:23" ht="33" customHeight="1">
      <c r="A217" s="6" t="s">
        <v>7721</v>
      </c>
      <c r="B217" s="6" t="s">
        <v>1116</v>
      </c>
      <c r="C217" s="6" t="s">
        <v>307</v>
      </c>
      <c r="D217" s="6">
        <v>2</v>
      </c>
      <c r="E217" s="6" t="s">
        <v>6683</v>
      </c>
      <c r="F217" s="6" t="str">
        <f>IFERROR(INDEX('03_상품분류2526'!$C$7:$C$2532,MATCH(E217,'03_상품분류2526'!$A$7:$A$2532,0)),"코드 확인")</f>
        <v>미녹시딜액5%</v>
      </c>
      <c r="G217" s="6" t="str">
        <f>IFERROR(INDEX('03_상품분류2526'!$D$7:$D$2532,MATCH(E217,'03_상품분류2526'!$A$7:$A$2532,0)),"코드 확인")</f>
        <v>200ml</v>
      </c>
      <c r="H217" s="6" t="s">
        <v>7508</v>
      </c>
      <c r="I217" s="6" t="str">
        <f>IFERROR(INDEX('03_상품분류2526'!$M$7:$M$2532,MATCH(E217,'03_상품분류2526'!$A$7:$A$2532,0)),"코드 확인")</f>
        <v>B</v>
      </c>
      <c r="J217" s="6">
        <v>2</v>
      </c>
      <c r="K217" s="15">
        <v>1</v>
      </c>
      <c r="L217" s="6" t="str">
        <f>IFERROR(IF(INDEX('03_상품분류2526'!$V$7:$V$2532,MATCH(E217,'03_상품분류2526'!$A$7:$A$2532,0))="","",INDEX('03_상품분류2526'!$V$7:$V$2532,MATCH(E217,'03_상품분류2526'!$A$7:$A$2532,0))),"")</f>
        <v/>
      </c>
      <c r="M217" s="6" t="str">
        <f>IFERROR(IF(INDEX('03_상품분류2526'!$W$7:$W$2532,MATCH(E217,'03_상품분류2526'!$A$7:$A$2532,0))="","",INDEX('03_상품분류2526'!$W$7:$W$2532,MATCH(E217,'03_상품분류2526'!$A$7:$A$2532,0))),"")</f>
        <v/>
      </c>
      <c r="N217" s="6" t="str">
        <f>IFERROR(IF(INDEX('03_상품분류2526'!$X$7:$X$2532,MATCH(E217,'03_상품분류2526'!$A$7:$A$2532,0))="","",INDEX('03_상품분류2526'!$X$7:$X$2532,MATCH(E217,'03_상품분류2526'!$A$7:$A$2532,0))),"")</f>
        <v/>
      </c>
      <c r="O217" s="6">
        <f>'02_선반315'!R168</f>
        <v>865</v>
      </c>
      <c r="P217" s="6">
        <f>'02_선반315'!T168</f>
        <v>220</v>
      </c>
      <c r="Q217" s="6">
        <f>'02_선반315'!U168</f>
        <v>200</v>
      </c>
      <c r="R217" s="6">
        <f>'02_선반315'!S168</f>
        <v>270</v>
      </c>
      <c r="S217" s="6" t="str">
        <f t="shared" si="6"/>
        <v/>
      </c>
      <c r="T217" s="6" t="str">
        <f t="shared" si="7"/>
        <v>입력 대기</v>
      </c>
      <c r="U217" s="6" t="s">
        <v>7509</v>
      </c>
      <c r="V217" s="6" t="s">
        <v>555</v>
      </c>
      <c r="W217" s="6" t="s">
        <v>859</v>
      </c>
    </row>
    <row r="218" spans="1:23" ht="33" customHeight="1">
      <c r="A218" s="6" t="s">
        <v>7722</v>
      </c>
      <c r="B218" s="6" t="s">
        <v>1120</v>
      </c>
      <c r="C218" s="6" t="s">
        <v>307</v>
      </c>
      <c r="D218" s="6">
        <v>3</v>
      </c>
      <c r="E218" s="6" t="s">
        <v>1122</v>
      </c>
      <c r="F218" s="6" t="str">
        <f>IFERROR(INDEX('03_상품분류2526'!$C$7:$C$2532,MATCH(E218,'03_상품분류2526'!$A$7:$A$2532,0)),"코드 확인")</f>
        <v>(신)니조랄2%액</v>
      </c>
      <c r="G218" s="6" t="str">
        <f>IFERROR(INDEX('03_상품분류2526'!$D$7:$D$2532,MATCH(E218,'03_상품분류2526'!$A$7:$A$2532,0)),"코드 확인")</f>
        <v>100ml</v>
      </c>
      <c r="H218" s="6" t="s">
        <v>7508</v>
      </c>
      <c r="I218" s="6" t="str">
        <f>IFERROR(INDEX('03_상품분류2526'!$M$7:$M$2532,MATCH(E218,'03_상품분류2526'!$A$7:$A$2532,0)),"코드 확인")</f>
        <v>A</v>
      </c>
      <c r="J218" s="6">
        <v>1</v>
      </c>
      <c r="K218" s="15">
        <v>1</v>
      </c>
      <c r="L218" s="6" t="str">
        <f>IFERROR(IF(INDEX('03_상품분류2526'!$V$7:$V$2532,MATCH(E218,'03_상품분류2526'!$A$7:$A$2532,0))="","",INDEX('03_상품분류2526'!$V$7:$V$2532,MATCH(E218,'03_상품분류2526'!$A$7:$A$2532,0))),"")</f>
        <v/>
      </c>
      <c r="M218" s="6" t="str">
        <f>IFERROR(IF(INDEX('03_상품분류2526'!$W$7:$W$2532,MATCH(E218,'03_상품분류2526'!$A$7:$A$2532,0))="","",INDEX('03_상품분류2526'!$W$7:$W$2532,MATCH(E218,'03_상품분류2526'!$A$7:$A$2532,0))),"")</f>
        <v/>
      </c>
      <c r="N218" s="6" t="str">
        <f>IFERROR(IF(INDEX('03_상품분류2526'!$X$7:$X$2532,MATCH(E218,'03_상품분류2526'!$A$7:$A$2532,0))="","",INDEX('03_상품분류2526'!$X$7:$X$2532,MATCH(E218,'03_상품분류2526'!$A$7:$A$2532,0))),"")</f>
        <v/>
      </c>
      <c r="O218" s="6">
        <f>'02_선반315'!R169</f>
        <v>865</v>
      </c>
      <c r="P218" s="6">
        <f>'02_선반315'!T169</f>
        <v>220</v>
      </c>
      <c r="Q218" s="6">
        <f>'02_선반315'!U169</f>
        <v>200</v>
      </c>
      <c r="R218" s="6">
        <f>'02_선반315'!S169</f>
        <v>270</v>
      </c>
      <c r="S218" s="6" t="str">
        <f t="shared" si="6"/>
        <v/>
      </c>
      <c r="T218" s="6" t="str">
        <f t="shared" si="7"/>
        <v>입력 대기</v>
      </c>
      <c r="U218" s="6" t="s">
        <v>7509</v>
      </c>
      <c r="V218" s="6" t="s">
        <v>555</v>
      </c>
      <c r="W218" s="6" t="s">
        <v>859</v>
      </c>
    </row>
    <row r="219" spans="1:23" ht="33" customHeight="1">
      <c r="A219" s="6" t="s">
        <v>7723</v>
      </c>
      <c r="B219" s="6" t="s">
        <v>1124</v>
      </c>
      <c r="C219" s="6" t="s">
        <v>307</v>
      </c>
      <c r="D219" s="6">
        <v>4</v>
      </c>
      <c r="E219" s="6" t="s">
        <v>1522</v>
      </c>
      <c r="F219" s="6" t="str">
        <f>IFERROR(INDEX('03_상품분류2526'!$C$7:$C$2532,MATCH(E219,'03_상품분류2526'!$A$7:$A$2532,0)),"코드 확인")</f>
        <v>닥터 리쥬올 어드밴스드 피디알엔 헤어 덴시티 스칼프 세럼</v>
      </c>
      <c r="G219" s="6" t="str">
        <f>IFERROR(INDEX('03_상품분류2526'!$D$7:$D$2532,MATCH(E219,'03_상품분류2526'!$A$7:$A$2532,0)),"코드 확인")</f>
        <v>15ml</v>
      </c>
      <c r="H219" s="6" t="s">
        <v>7508</v>
      </c>
      <c r="I219" s="6" t="str">
        <f>IFERROR(INDEX('03_상품분류2526'!$M$7:$M$2532,MATCH(E219,'03_상품분류2526'!$A$7:$A$2532,0)),"코드 확인")</f>
        <v>B</v>
      </c>
      <c r="J219" s="6">
        <v>1</v>
      </c>
      <c r="K219" s="15">
        <v>1</v>
      </c>
      <c r="L219" s="6" t="str">
        <f>IFERROR(IF(INDEX('03_상품분류2526'!$V$7:$V$2532,MATCH(E219,'03_상품분류2526'!$A$7:$A$2532,0))="","",INDEX('03_상품분류2526'!$V$7:$V$2532,MATCH(E219,'03_상품분류2526'!$A$7:$A$2532,0))),"")</f>
        <v/>
      </c>
      <c r="M219" s="6" t="str">
        <f>IFERROR(IF(INDEX('03_상품분류2526'!$W$7:$W$2532,MATCH(E219,'03_상품분류2526'!$A$7:$A$2532,0))="","",INDEX('03_상품분류2526'!$W$7:$W$2532,MATCH(E219,'03_상품분류2526'!$A$7:$A$2532,0))),"")</f>
        <v/>
      </c>
      <c r="N219" s="6" t="str">
        <f>IFERROR(IF(INDEX('03_상품분류2526'!$X$7:$X$2532,MATCH(E219,'03_상품분류2526'!$A$7:$A$2532,0))="","",INDEX('03_상품분류2526'!$X$7:$X$2532,MATCH(E219,'03_상품분류2526'!$A$7:$A$2532,0))),"")</f>
        <v/>
      </c>
      <c r="O219" s="6">
        <f>'02_선반315'!R170</f>
        <v>865</v>
      </c>
      <c r="P219" s="6">
        <f>'02_선반315'!T170</f>
        <v>220</v>
      </c>
      <c r="Q219" s="6">
        <f>'02_선반315'!U170</f>
        <v>200</v>
      </c>
      <c r="R219" s="6">
        <f>'02_선반315'!S170</f>
        <v>270</v>
      </c>
      <c r="S219" s="6" t="str">
        <f t="shared" si="6"/>
        <v/>
      </c>
      <c r="T219" s="6" t="str">
        <f t="shared" si="7"/>
        <v>입력 대기</v>
      </c>
      <c r="U219" s="6" t="s">
        <v>7509</v>
      </c>
      <c r="V219" s="6" t="s">
        <v>555</v>
      </c>
      <c r="W219" s="6" t="s">
        <v>859</v>
      </c>
    </row>
    <row r="220" spans="1:23" ht="33" customHeight="1">
      <c r="A220" s="6" t="s">
        <v>7724</v>
      </c>
      <c r="B220" s="6" t="s">
        <v>1124</v>
      </c>
      <c r="C220" s="6" t="s">
        <v>307</v>
      </c>
      <c r="D220" s="6">
        <v>4</v>
      </c>
      <c r="E220" s="6" t="s">
        <v>7151</v>
      </c>
      <c r="F220" s="6" t="str">
        <f>IFERROR(INDEX('03_상품분류2526'!$C$7:$C$2532,MATCH(E220,'03_상품분류2526'!$A$7:$A$2532,0)),"코드 확인")</f>
        <v>루브큐텐플러스 헤어토닉 100ML</v>
      </c>
      <c r="G220" s="6" t="str">
        <f>IFERROR(INDEX('03_상품분류2526'!$D$7:$D$2532,MATCH(E220,'03_상품분류2526'!$A$7:$A$2532,0)),"코드 확인")</f>
        <v>100ML</v>
      </c>
      <c r="H220" s="6" t="s">
        <v>7508</v>
      </c>
      <c r="I220" s="6" t="str">
        <f>IFERROR(INDEX('03_상품분류2526'!$M$7:$M$2532,MATCH(E220,'03_상품분류2526'!$A$7:$A$2532,0)),"코드 확인")</f>
        <v>B</v>
      </c>
      <c r="J220" s="6">
        <v>2</v>
      </c>
      <c r="K220" s="15">
        <v>1</v>
      </c>
      <c r="L220" s="6" t="str">
        <f>IFERROR(IF(INDEX('03_상품분류2526'!$V$7:$V$2532,MATCH(E220,'03_상품분류2526'!$A$7:$A$2532,0))="","",INDEX('03_상품분류2526'!$V$7:$V$2532,MATCH(E220,'03_상품분류2526'!$A$7:$A$2532,0))),"")</f>
        <v/>
      </c>
      <c r="M220" s="6" t="str">
        <f>IFERROR(IF(INDEX('03_상품분류2526'!$W$7:$W$2532,MATCH(E220,'03_상품분류2526'!$A$7:$A$2532,0))="","",INDEX('03_상품분류2526'!$W$7:$W$2532,MATCH(E220,'03_상품분류2526'!$A$7:$A$2532,0))),"")</f>
        <v/>
      </c>
      <c r="N220" s="6" t="str">
        <f>IFERROR(IF(INDEX('03_상품분류2526'!$X$7:$X$2532,MATCH(E220,'03_상품분류2526'!$A$7:$A$2532,0))="","",INDEX('03_상품분류2526'!$X$7:$X$2532,MATCH(E220,'03_상품분류2526'!$A$7:$A$2532,0))),"")</f>
        <v/>
      </c>
      <c r="O220" s="6">
        <f>'02_선반315'!R170</f>
        <v>865</v>
      </c>
      <c r="P220" s="6">
        <f>'02_선반315'!T170</f>
        <v>220</v>
      </c>
      <c r="Q220" s="6">
        <f>'02_선반315'!U170</f>
        <v>200</v>
      </c>
      <c r="R220" s="6">
        <f>'02_선반315'!S170</f>
        <v>270</v>
      </c>
      <c r="S220" s="6" t="str">
        <f t="shared" si="6"/>
        <v/>
      </c>
      <c r="T220" s="6" t="str">
        <f t="shared" si="7"/>
        <v>입력 대기</v>
      </c>
      <c r="U220" s="6" t="s">
        <v>7509</v>
      </c>
      <c r="V220" s="6" t="s">
        <v>555</v>
      </c>
      <c r="W220" s="6" t="s">
        <v>859</v>
      </c>
    </row>
    <row r="221" spans="1:23" ht="33" customHeight="1">
      <c r="A221" s="6" t="s">
        <v>7725</v>
      </c>
      <c r="B221" s="6" t="s">
        <v>1128</v>
      </c>
      <c r="C221" s="6" t="s">
        <v>307</v>
      </c>
      <c r="D221" s="6">
        <v>5</v>
      </c>
      <c r="E221" s="6" t="s">
        <v>6336</v>
      </c>
      <c r="F221" s="6" t="str">
        <f>IFERROR(INDEX('03_상품분류2526'!$C$7:$C$2532,MATCH(E221,'03_상품분류2526'!$A$7:$A$2532,0)),"코드 확인")</f>
        <v>루트헤어 세라리프 베리어 클리닉 샴푸 295ml</v>
      </c>
      <c r="G221" s="6" t="str">
        <f>IFERROR(INDEX('03_상품분류2526'!$D$7:$D$2532,MATCH(E221,'03_상품분류2526'!$A$7:$A$2532,0)),"코드 확인")</f>
        <v>295ml</v>
      </c>
      <c r="H221" s="6" t="s">
        <v>7508</v>
      </c>
      <c r="I221" s="6" t="str">
        <f>IFERROR(INDEX('03_상품분류2526'!$M$7:$M$2532,MATCH(E221,'03_상품분류2526'!$A$7:$A$2532,0)),"코드 확인")</f>
        <v>B</v>
      </c>
      <c r="J221" s="6">
        <v>1</v>
      </c>
      <c r="K221" s="15">
        <v>1</v>
      </c>
      <c r="L221" s="6" t="str">
        <f>IFERROR(IF(INDEX('03_상품분류2526'!$V$7:$V$2532,MATCH(E221,'03_상품분류2526'!$A$7:$A$2532,0))="","",INDEX('03_상품분류2526'!$V$7:$V$2532,MATCH(E221,'03_상품분류2526'!$A$7:$A$2532,0))),"")</f>
        <v/>
      </c>
      <c r="M221" s="6" t="str">
        <f>IFERROR(IF(INDEX('03_상품분류2526'!$W$7:$W$2532,MATCH(E221,'03_상품분류2526'!$A$7:$A$2532,0))="","",INDEX('03_상품분류2526'!$W$7:$W$2532,MATCH(E221,'03_상품분류2526'!$A$7:$A$2532,0))),"")</f>
        <v/>
      </c>
      <c r="N221" s="6" t="str">
        <f>IFERROR(IF(INDEX('03_상품분류2526'!$X$7:$X$2532,MATCH(E221,'03_상품분류2526'!$A$7:$A$2532,0))="","",INDEX('03_상품분류2526'!$X$7:$X$2532,MATCH(E221,'03_상품분류2526'!$A$7:$A$2532,0))),"")</f>
        <v/>
      </c>
      <c r="O221" s="6">
        <f>'02_선반315'!R171</f>
        <v>865</v>
      </c>
      <c r="P221" s="6">
        <f>'02_선반315'!T171</f>
        <v>220</v>
      </c>
      <c r="Q221" s="6">
        <f>'02_선반315'!U171</f>
        <v>200</v>
      </c>
      <c r="R221" s="6">
        <f>'02_선반315'!S171</f>
        <v>270</v>
      </c>
      <c r="S221" s="6" t="str">
        <f t="shared" si="6"/>
        <v/>
      </c>
      <c r="T221" s="6" t="str">
        <f t="shared" si="7"/>
        <v>입력 대기</v>
      </c>
      <c r="U221" s="6" t="s">
        <v>7509</v>
      </c>
      <c r="V221" s="6" t="s">
        <v>555</v>
      </c>
      <c r="W221" s="6" t="s">
        <v>859</v>
      </c>
    </row>
    <row r="222" spans="1:23" ht="33" customHeight="1">
      <c r="A222" s="6" t="s">
        <v>7726</v>
      </c>
      <c r="B222" s="6" t="s">
        <v>1128</v>
      </c>
      <c r="C222" s="6" t="s">
        <v>307</v>
      </c>
      <c r="D222" s="6">
        <v>5</v>
      </c>
      <c r="E222" s="6" t="s">
        <v>7157</v>
      </c>
      <c r="F222" s="6" t="str">
        <f>IFERROR(INDEX('03_상품분류2526'!$C$7:$C$2532,MATCH(E222,'03_상품분류2526'!$A$7:$A$2532,0)),"코드 확인")</f>
        <v>메이레브 너리싱 앤 두피 케어 샴푸 400ML</v>
      </c>
      <c r="G222" s="6" t="str">
        <f>IFERROR(INDEX('03_상품분류2526'!$D$7:$D$2532,MATCH(E222,'03_상품분류2526'!$A$7:$A$2532,0)),"코드 확인")</f>
        <v>400ML</v>
      </c>
      <c r="H222" s="6" t="s">
        <v>7508</v>
      </c>
      <c r="I222" s="6" t="str">
        <f>IFERROR(INDEX('03_상품분류2526'!$M$7:$M$2532,MATCH(E222,'03_상품분류2526'!$A$7:$A$2532,0)),"코드 확인")</f>
        <v>B</v>
      </c>
      <c r="J222" s="6">
        <v>2</v>
      </c>
      <c r="K222" s="15">
        <v>1</v>
      </c>
      <c r="L222" s="6" t="str">
        <f>IFERROR(IF(INDEX('03_상품분류2526'!$V$7:$V$2532,MATCH(E222,'03_상품분류2526'!$A$7:$A$2532,0))="","",INDEX('03_상품분류2526'!$V$7:$V$2532,MATCH(E222,'03_상품분류2526'!$A$7:$A$2532,0))),"")</f>
        <v/>
      </c>
      <c r="M222" s="6" t="str">
        <f>IFERROR(IF(INDEX('03_상품분류2526'!$W$7:$W$2532,MATCH(E222,'03_상품분류2526'!$A$7:$A$2532,0))="","",INDEX('03_상품분류2526'!$W$7:$W$2532,MATCH(E222,'03_상품분류2526'!$A$7:$A$2532,0))),"")</f>
        <v/>
      </c>
      <c r="N222" s="6" t="str">
        <f>IFERROR(IF(INDEX('03_상품분류2526'!$X$7:$X$2532,MATCH(E222,'03_상품분류2526'!$A$7:$A$2532,0))="","",INDEX('03_상품분류2526'!$X$7:$X$2532,MATCH(E222,'03_상품분류2526'!$A$7:$A$2532,0))),"")</f>
        <v/>
      </c>
      <c r="O222" s="6">
        <f>'02_선반315'!R171</f>
        <v>865</v>
      </c>
      <c r="P222" s="6">
        <f>'02_선반315'!T171</f>
        <v>220</v>
      </c>
      <c r="Q222" s="6">
        <f>'02_선반315'!U171</f>
        <v>200</v>
      </c>
      <c r="R222" s="6">
        <f>'02_선반315'!S171</f>
        <v>270</v>
      </c>
      <c r="S222" s="6" t="str">
        <f t="shared" si="6"/>
        <v/>
      </c>
      <c r="T222" s="6" t="str">
        <f t="shared" si="7"/>
        <v>입력 대기</v>
      </c>
      <c r="U222" s="6" t="s">
        <v>7509</v>
      </c>
      <c r="V222" s="6" t="s">
        <v>555</v>
      </c>
      <c r="W222" s="6" t="s">
        <v>859</v>
      </c>
    </row>
    <row r="223" spans="1:23" ht="33" customHeight="1">
      <c r="A223" s="6" t="s">
        <v>7727</v>
      </c>
      <c r="B223" s="6" t="s">
        <v>1133</v>
      </c>
      <c r="C223" s="6" t="s">
        <v>315</v>
      </c>
      <c r="D223" s="6">
        <v>1</v>
      </c>
      <c r="E223" s="6" t="s">
        <v>6081</v>
      </c>
      <c r="F223" s="6" t="str">
        <f>IFERROR(INDEX('03_상품분류2526'!$C$7:$C$2532,MATCH(E223,'03_상품분류2526'!$A$7:$A$2532,0)),"코드 확인")</f>
        <v>머시론정</v>
      </c>
      <c r="G223" s="6" t="str">
        <f>IFERROR(INDEX('03_상품분류2526'!$D$7:$D$2532,MATCH(E223,'03_상품분류2526'!$A$7:$A$2532,0)),"코드 확인")</f>
        <v>21T</v>
      </c>
      <c r="H223" s="6" t="s">
        <v>7508</v>
      </c>
      <c r="I223" s="6" t="str">
        <f>IFERROR(INDEX('03_상품분류2526'!$M$7:$M$2532,MATCH(E223,'03_상품분류2526'!$A$7:$A$2532,0)),"코드 확인")</f>
        <v>A</v>
      </c>
      <c r="J223" s="6">
        <v>1</v>
      </c>
      <c r="K223" s="15">
        <v>1</v>
      </c>
      <c r="L223" s="6" t="str">
        <f>IFERROR(IF(INDEX('03_상품분류2526'!$V$7:$V$2532,MATCH(E223,'03_상품분류2526'!$A$7:$A$2532,0))="","",INDEX('03_상품분류2526'!$V$7:$V$2532,MATCH(E223,'03_상품분류2526'!$A$7:$A$2532,0))),"")</f>
        <v/>
      </c>
      <c r="M223" s="6" t="str">
        <f>IFERROR(IF(INDEX('03_상품분류2526'!$W$7:$W$2532,MATCH(E223,'03_상품분류2526'!$A$7:$A$2532,0))="","",INDEX('03_상품분류2526'!$W$7:$W$2532,MATCH(E223,'03_상품분류2526'!$A$7:$A$2532,0))),"")</f>
        <v/>
      </c>
      <c r="N223" s="6" t="str">
        <f>IFERROR(IF(INDEX('03_상품분류2526'!$X$7:$X$2532,MATCH(E223,'03_상품분류2526'!$A$7:$A$2532,0))="","",INDEX('03_상품분류2526'!$X$7:$X$2532,MATCH(E223,'03_상품분류2526'!$A$7:$A$2532,0))),"")</f>
        <v/>
      </c>
      <c r="O223" s="6">
        <f>'02_선반315'!R172</f>
        <v>865</v>
      </c>
      <c r="P223" s="6">
        <f>'02_선반315'!T172</f>
        <v>100</v>
      </c>
      <c r="Q223" s="6">
        <f>'02_선반315'!U172</f>
        <v>80</v>
      </c>
      <c r="R223" s="6">
        <f>'02_선반315'!S172</f>
        <v>270</v>
      </c>
      <c r="S223" s="6" t="str">
        <f t="shared" si="6"/>
        <v/>
      </c>
      <c r="T223" s="6" t="str">
        <f t="shared" si="7"/>
        <v>입력 대기</v>
      </c>
      <c r="U223" s="6" t="s">
        <v>7543</v>
      </c>
      <c r="V223" s="6" t="s">
        <v>555</v>
      </c>
      <c r="W223" s="6" t="s">
        <v>859</v>
      </c>
    </row>
    <row r="224" spans="1:23" ht="33" customHeight="1">
      <c r="A224" s="6" t="s">
        <v>7728</v>
      </c>
      <c r="B224" s="6" t="s">
        <v>1133</v>
      </c>
      <c r="C224" s="6" t="s">
        <v>315</v>
      </c>
      <c r="D224" s="6">
        <v>1</v>
      </c>
      <c r="E224" s="6" t="s">
        <v>6083</v>
      </c>
      <c r="F224" s="6" t="str">
        <f>IFERROR(INDEX('03_상품분류2526'!$C$7:$C$2532,MATCH(E224,'03_상품분류2526'!$A$7:$A$2532,0)),"코드 확인")</f>
        <v>멜리안정</v>
      </c>
      <c r="G224" s="6" t="str">
        <f>IFERROR(INDEX('03_상품분류2526'!$D$7:$D$2532,MATCH(E224,'03_상품분류2526'!$A$7:$A$2532,0)),"코드 확인")</f>
        <v>21T</v>
      </c>
      <c r="H224" s="6" t="s">
        <v>7508</v>
      </c>
      <c r="I224" s="6" t="str">
        <f>IFERROR(INDEX('03_상품분류2526'!$M$7:$M$2532,MATCH(E224,'03_상품분류2526'!$A$7:$A$2532,0)),"코드 확인")</f>
        <v>B</v>
      </c>
      <c r="J224" s="6">
        <v>2</v>
      </c>
      <c r="K224" s="15">
        <v>1</v>
      </c>
      <c r="L224" s="6" t="str">
        <f>IFERROR(IF(INDEX('03_상품분류2526'!$V$7:$V$2532,MATCH(E224,'03_상품분류2526'!$A$7:$A$2532,0))="","",INDEX('03_상품분류2526'!$V$7:$V$2532,MATCH(E224,'03_상품분류2526'!$A$7:$A$2532,0))),"")</f>
        <v/>
      </c>
      <c r="M224" s="6" t="str">
        <f>IFERROR(IF(INDEX('03_상품분류2526'!$W$7:$W$2532,MATCH(E224,'03_상품분류2526'!$A$7:$A$2532,0))="","",INDEX('03_상품분류2526'!$W$7:$W$2532,MATCH(E224,'03_상품분류2526'!$A$7:$A$2532,0))),"")</f>
        <v/>
      </c>
      <c r="N224" s="6" t="str">
        <f>IFERROR(IF(INDEX('03_상품분류2526'!$X$7:$X$2532,MATCH(E224,'03_상품분류2526'!$A$7:$A$2532,0))="","",INDEX('03_상품분류2526'!$X$7:$X$2532,MATCH(E224,'03_상품분류2526'!$A$7:$A$2532,0))),"")</f>
        <v/>
      </c>
      <c r="O224" s="6">
        <f>'02_선반315'!R172</f>
        <v>865</v>
      </c>
      <c r="P224" s="6">
        <f>'02_선반315'!T172</f>
        <v>100</v>
      </c>
      <c r="Q224" s="6">
        <f>'02_선반315'!U172</f>
        <v>80</v>
      </c>
      <c r="R224" s="6">
        <f>'02_선반315'!S172</f>
        <v>270</v>
      </c>
      <c r="S224" s="6" t="str">
        <f t="shared" si="6"/>
        <v/>
      </c>
      <c r="T224" s="6" t="str">
        <f t="shared" si="7"/>
        <v>입력 대기</v>
      </c>
      <c r="U224" s="6" t="s">
        <v>7543</v>
      </c>
      <c r="V224" s="6" t="s">
        <v>555</v>
      </c>
      <c r="W224" s="6" t="s">
        <v>859</v>
      </c>
    </row>
    <row r="225" spans="1:23" ht="33" customHeight="1">
      <c r="A225" s="6" t="s">
        <v>7729</v>
      </c>
      <c r="B225" s="6" t="s">
        <v>1138</v>
      </c>
      <c r="C225" s="6" t="s">
        <v>315</v>
      </c>
      <c r="D225" s="6">
        <v>2</v>
      </c>
      <c r="E225" s="6" t="s">
        <v>1140</v>
      </c>
      <c r="F225" s="6" t="str">
        <f>IFERROR(INDEX('03_상품분류2526'!$C$7:$C$2532,MATCH(E225,'03_상품분류2526'!$A$7:$A$2532,0)),"코드 확인")</f>
        <v>카네스텐1질정</v>
      </c>
      <c r="G225" s="6" t="str">
        <f>IFERROR(INDEX('03_상품분류2526'!$D$7:$D$2532,MATCH(E225,'03_상품분류2526'!$A$7:$A$2532,0)),"코드 확인")</f>
        <v>1T</v>
      </c>
      <c r="H225" s="6" t="s">
        <v>7508</v>
      </c>
      <c r="I225" s="6" t="str">
        <f>IFERROR(INDEX('03_상품분류2526'!$M$7:$M$2532,MATCH(E225,'03_상품분류2526'!$A$7:$A$2532,0)),"코드 확인")</f>
        <v>A</v>
      </c>
      <c r="J225" s="6">
        <v>1</v>
      </c>
      <c r="K225" s="15">
        <v>1</v>
      </c>
      <c r="L225" s="6" t="str">
        <f>IFERROR(IF(INDEX('03_상품분류2526'!$V$7:$V$2532,MATCH(E225,'03_상품분류2526'!$A$7:$A$2532,0))="","",INDEX('03_상품분류2526'!$V$7:$V$2532,MATCH(E225,'03_상품분류2526'!$A$7:$A$2532,0))),"")</f>
        <v/>
      </c>
      <c r="M225" s="6" t="str">
        <f>IFERROR(IF(INDEX('03_상품분류2526'!$W$7:$W$2532,MATCH(E225,'03_상품분류2526'!$A$7:$A$2532,0))="","",INDEX('03_상품분류2526'!$W$7:$W$2532,MATCH(E225,'03_상품분류2526'!$A$7:$A$2532,0))),"")</f>
        <v/>
      </c>
      <c r="N225" s="6" t="str">
        <f>IFERROR(IF(INDEX('03_상품분류2526'!$X$7:$X$2532,MATCH(E225,'03_상품분류2526'!$A$7:$A$2532,0))="","",INDEX('03_상품분류2526'!$X$7:$X$2532,MATCH(E225,'03_상품분류2526'!$A$7:$A$2532,0))),"")</f>
        <v/>
      </c>
      <c r="O225" s="6">
        <f>'02_선반315'!R173</f>
        <v>865</v>
      </c>
      <c r="P225" s="6">
        <f>'02_선반315'!T173</f>
        <v>220</v>
      </c>
      <c r="Q225" s="6">
        <f>'02_선반315'!U173</f>
        <v>200</v>
      </c>
      <c r="R225" s="6">
        <f>'02_선반315'!S173</f>
        <v>270</v>
      </c>
      <c r="S225" s="6" t="str">
        <f t="shared" si="6"/>
        <v/>
      </c>
      <c r="T225" s="6" t="str">
        <f t="shared" si="7"/>
        <v>입력 대기</v>
      </c>
      <c r="U225" s="6" t="s">
        <v>7509</v>
      </c>
      <c r="V225" s="6" t="s">
        <v>555</v>
      </c>
      <c r="W225" s="6" t="s">
        <v>859</v>
      </c>
    </row>
    <row r="226" spans="1:23" ht="33" customHeight="1">
      <c r="A226" s="6" t="s">
        <v>7730</v>
      </c>
      <c r="B226" s="6" t="s">
        <v>1142</v>
      </c>
      <c r="C226" s="6" t="s">
        <v>315</v>
      </c>
      <c r="D226" s="6">
        <v>3</v>
      </c>
      <c r="E226" s="6" t="s">
        <v>6994</v>
      </c>
      <c r="F226" s="6" t="str">
        <f>IFERROR(INDEX('03_상품분류2526'!$C$7:$C$2532,MATCH(E226,'03_상품분류2526'!$A$7:$A$2532,0)),"코드 확인")</f>
        <v>프로캄 클레어진</v>
      </c>
      <c r="G226" s="6" t="str">
        <f>IFERROR(INDEX('03_상품분류2526'!$D$7:$D$2532,MATCH(E226,'03_상품분류2526'!$A$7:$A$2532,0)),"코드 확인")</f>
        <v>200mL+50mL</v>
      </c>
      <c r="H226" s="6" t="s">
        <v>7508</v>
      </c>
      <c r="I226" s="6" t="str">
        <f>IFERROR(INDEX('03_상품분류2526'!$M$7:$M$2532,MATCH(E226,'03_상품분류2526'!$A$7:$A$2532,0)),"코드 확인")</f>
        <v>B</v>
      </c>
      <c r="J226" s="6">
        <v>1</v>
      </c>
      <c r="K226" s="15">
        <v>1</v>
      </c>
      <c r="L226" s="6" t="str">
        <f>IFERROR(IF(INDEX('03_상품분류2526'!$V$7:$V$2532,MATCH(E226,'03_상품분류2526'!$A$7:$A$2532,0))="","",INDEX('03_상품분류2526'!$V$7:$V$2532,MATCH(E226,'03_상품분류2526'!$A$7:$A$2532,0))),"")</f>
        <v/>
      </c>
      <c r="M226" s="6" t="str">
        <f>IFERROR(IF(INDEX('03_상품분류2526'!$W$7:$W$2532,MATCH(E226,'03_상품분류2526'!$A$7:$A$2532,0))="","",INDEX('03_상품분류2526'!$W$7:$W$2532,MATCH(E226,'03_상품분류2526'!$A$7:$A$2532,0))),"")</f>
        <v/>
      </c>
      <c r="N226" s="6" t="str">
        <f>IFERROR(IF(INDEX('03_상품분류2526'!$X$7:$X$2532,MATCH(E226,'03_상품분류2526'!$A$7:$A$2532,0))="","",INDEX('03_상품분류2526'!$X$7:$X$2532,MATCH(E226,'03_상품분류2526'!$A$7:$A$2532,0))),"")</f>
        <v/>
      </c>
      <c r="O226" s="6">
        <f>'02_선반315'!R174</f>
        <v>865</v>
      </c>
      <c r="P226" s="6">
        <f>'02_선반315'!T174</f>
        <v>220</v>
      </c>
      <c r="Q226" s="6">
        <f>'02_선반315'!U174</f>
        <v>200</v>
      </c>
      <c r="R226" s="6">
        <f>'02_선반315'!S174</f>
        <v>270</v>
      </c>
      <c r="S226" s="6" t="str">
        <f t="shared" si="6"/>
        <v/>
      </c>
      <c r="T226" s="6" t="str">
        <f t="shared" si="7"/>
        <v>입력 대기</v>
      </c>
      <c r="U226" s="6" t="s">
        <v>7509</v>
      </c>
      <c r="V226" s="6" t="s">
        <v>555</v>
      </c>
      <c r="W226" s="6" t="s">
        <v>859</v>
      </c>
    </row>
    <row r="227" spans="1:23" ht="33" customHeight="1">
      <c r="A227" s="6" t="s">
        <v>7731</v>
      </c>
      <c r="B227" s="6" t="s">
        <v>1142</v>
      </c>
      <c r="C227" s="6" t="s">
        <v>315</v>
      </c>
      <c r="D227" s="6">
        <v>3</v>
      </c>
      <c r="E227" s="6" t="s">
        <v>1929</v>
      </c>
      <c r="F227" s="6" t="str">
        <f>IFERROR(INDEX('03_상품분류2526'!$C$7:$C$2532,MATCH(E227,'03_상품분류2526'!$A$7:$A$2532,0)),"코드 확인")</f>
        <v>닥터헬퍼 여성세정엔 락센(여성청결제)</v>
      </c>
      <c r="G227" s="6" t="str">
        <f>IFERROR(INDEX('03_상품분류2526'!$D$7:$D$2532,MATCH(E227,'03_상품분류2526'!$A$7:$A$2532,0)),"코드 확인")</f>
        <v>200g</v>
      </c>
      <c r="H227" s="6" t="s">
        <v>7508</v>
      </c>
      <c r="I227" s="6" t="str">
        <f>IFERROR(INDEX('03_상품분류2526'!$M$7:$M$2532,MATCH(E227,'03_상품분류2526'!$A$7:$A$2532,0)),"코드 확인")</f>
        <v>B</v>
      </c>
      <c r="J227" s="6">
        <v>2</v>
      </c>
      <c r="K227" s="15">
        <v>1</v>
      </c>
      <c r="L227" s="6" t="str">
        <f>IFERROR(IF(INDEX('03_상품분류2526'!$V$7:$V$2532,MATCH(E227,'03_상품분류2526'!$A$7:$A$2532,0))="","",INDEX('03_상품분류2526'!$V$7:$V$2532,MATCH(E227,'03_상품분류2526'!$A$7:$A$2532,0))),"")</f>
        <v/>
      </c>
      <c r="M227" s="6" t="str">
        <f>IFERROR(IF(INDEX('03_상품분류2526'!$W$7:$W$2532,MATCH(E227,'03_상품분류2526'!$A$7:$A$2532,0))="","",INDEX('03_상품분류2526'!$W$7:$W$2532,MATCH(E227,'03_상품분류2526'!$A$7:$A$2532,0))),"")</f>
        <v/>
      </c>
      <c r="N227" s="6" t="str">
        <f>IFERROR(IF(INDEX('03_상품분류2526'!$X$7:$X$2532,MATCH(E227,'03_상품분류2526'!$A$7:$A$2532,0))="","",INDEX('03_상품분류2526'!$X$7:$X$2532,MATCH(E227,'03_상품분류2526'!$A$7:$A$2532,0))),"")</f>
        <v/>
      </c>
      <c r="O227" s="6">
        <f>'02_선반315'!R174</f>
        <v>865</v>
      </c>
      <c r="P227" s="6">
        <f>'02_선반315'!T174</f>
        <v>220</v>
      </c>
      <c r="Q227" s="6">
        <f>'02_선반315'!U174</f>
        <v>200</v>
      </c>
      <c r="R227" s="6">
        <f>'02_선반315'!S174</f>
        <v>270</v>
      </c>
      <c r="S227" s="6" t="str">
        <f t="shared" si="6"/>
        <v/>
      </c>
      <c r="T227" s="6" t="str">
        <f t="shared" si="7"/>
        <v>입력 대기</v>
      </c>
      <c r="U227" s="6" t="s">
        <v>7509</v>
      </c>
      <c r="V227" s="6" t="s">
        <v>555</v>
      </c>
      <c r="W227" s="6" t="s">
        <v>859</v>
      </c>
    </row>
    <row r="228" spans="1:23" ht="33" customHeight="1">
      <c r="A228" s="6" t="s">
        <v>7732</v>
      </c>
      <c r="B228" s="6" t="s">
        <v>1147</v>
      </c>
      <c r="C228" s="6" t="s">
        <v>315</v>
      </c>
      <c r="D228" s="6">
        <v>4</v>
      </c>
      <c r="E228" s="6" t="s">
        <v>5754</v>
      </c>
      <c r="F228" s="6" t="str">
        <f>IFERROR(INDEX('03_상품분류2526'!$C$7:$C$2532,MATCH(E228,'03_상품분류2526'!$A$7:$A$2532,0)),"코드 확인")</f>
        <v>템포내추럴</v>
      </c>
      <c r="G228" s="6" t="str">
        <f>IFERROR(INDEX('03_상품분류2526'!$D$7:$D$2532,MATCH(E228,'03_상품분류2526'!$A$7:$A$2532,0)),"코드 확인")</f>
        <v>10P</v>
      </c>
      <c r="H228" s="6" t="s">
        <v>7508</v>
      </c>
      <c r="I228" s="6" t="str">
        <f>IFERROR(INDEX('03_상품분류2526'!$M$7:$M$2532,MATCH(E228,'03_상품분류2526'!$A$7:$A$2532,0)),"코드 확인")</f>
        <v>B</v>
      </c>
      <c r="J228" s="6">
        <v>1</v>
      </c>
      <c r="K228" s="15">
        <v>1</v>
      </c>
      <c r="L228" s="6" t="str">
        <f>IFERROR(IF(INDEX('03_상품분류2526'!$V$7:$V$2532,MATCH(E228,'03_상품분류2526'!$A$7:$A$2532,0))="","",INDEX('03_상품분류2526'!$V$7:$V$2532,MATCH(E228,'03_상품분류2526'!$A$7:$A$2532,0))),"")</f>
        <v/>
      </c>
      <c r="M228" s="6" t="str">
        <f>IFERROR(IF(INDEX('03_상품분류2526'!$W$7:$W$2532,MATCH(E228,'03_상품분류2526'!$A$7:$A$2532,0))="","",INDEX('03_상품분류2526'!$W$7:$W$2532,MATCH(E228,'03_상품분류2526'!$A$7:$A$2532,0))),"")</f>
        <v/>
      </c>
      <c r="N228" s="6" t="str">
        <f>IFERROR(IF(INDEX('03_상품분류2526'!$X$7:$X$2532,MATCH(E228,'03_상품분류2526'!$A$7:$A$2532,0))="","",INDEX('03_상품분류2526'!$X$7:$X$2532,MATCH(E228,'03_상품분류2526'!$A$7:$A$2532,0))),"")</f>
        <v/>
      </c>
      <c r="O228" s="6">
        <f>'02_선반315'!R175</f>
        <v>865</v>
      </c>
      <c r="P228" s="6">
        <f>'02_선반315'!T175</f>
        <v>220</v>
      </c>
      <c r="Q228" s="6">
        <f>'02_선반315'!U175</f>
        <v>200</v>
      </c>
      <c r="R228" s="6">
        <f>'02_선반315'!S175</f>
        <v>270</v>
      </c>
      <c r="S228" s="6" t="str">
        <f t="shared" si="6"/>
        <v/>
      </c>
      <c r="T228" s="6" t="str">
        <f t="shared" si="7"/>
        <v>입력 대기</v>
      </c>
      <c r="U228" s="6" t="s">
        <v>7509</v>
      </c>
      <c r="V228" s="6" t="s">
        <v>555</v>
      </c>
      <c r="W228" s="6" t="s">
        <v>859</v>
      </c>
    </row>
    <row r="229" spans="1:23" ht="33" customHeight="1">
      <c r="A229" s="6" t="s">
        <v>7733</v>
      </c>
      <c r="B229" s="6" t="s">
        <v>1147</v>
      </c>
      <c r="C229" s="6" t="s">
        <v>315</v>
      </c>
      <c r="D229" s="6">
        <v>4</v>
      </c>
      <c r="E229" s="6" t="s">
        <v>6809</v>
      </c>
      <c r="F229" s="6" t="str">
        <f>IFERROR(INDEX('03_상품분류2526'!$C$7:$C$2532,MATCH(E229,'03_상품분류2526'!$A$7:$A$2532,0)),"코드 확인")</f>
        <v>리올가닉 롱팬티라이너 26P</v>
      </c>
      <c r="G229" s="6" t="str">
        <f>IFERROR(INDEX('03_상품분류2526'!$D$7:$D$2532,MATCH(E229,'03_상품분류2526'!$A$7:$A$2532,0)),"코드 확인")</f>
        <v>26P</v>
      </c>
      <c r="H229" s="6" t="s">
        <v>7508</v>
      </c>
      <c r="I229" s="6" t="str">
        <f>IFERROR(INDEX('03_상품분류2526'!$M$7:$M$2532,MATCH(E229,'03_상품분류2526'!$A$7:$A$2532,0)),"코드 확인")</f>
        <v>B</v>
      </c>
      <c r="J229" s="6">
        <v>2</v>
      </c>
      <c r="K229" s="15">
        <v>1</v>
      </c>
      <c r="L229" s="6" t="str">
        <f>IFERROR(IF(INDEX('03_상품분류2526'!$V$7:$V$2532,MATCH(E229,'03_상품분류2526'!$A$7:$A$2532,0))="","",INDEX('03_상품분류2526'!$V$7:$V$2532,MATCH(E229,'03_상품분류2526'!$A$7:$A$2532,0))),"")</f>
        <v/>
      </c>
      <c r="M229" s="6" t="str">
        <f>IFERROR(IF(INDEX('03_상품분류2526'!$W$7:$W$2532,MATCH(E229,'03_상품분류2526'!$A$7:$A$2532,0))="","",INDEX('03_상품분류2526'!$W$7:$W$2532,MATCH(E229,'03_상품분류2526'!$A$7:$A$2532,0))),"")</f>
        <v/>
      </c>
      <c r="N229" s="6" t="str">
        <f>IFERROR(IF(INDEX('03_상품분류2526'!$X$7:$X$2532,MATCH(E229,'03_상품분류2526'!$A$7:$A$2532,0))="","",INDEX('03_상품분류2526'!$X$7:$X$2532,MATCH(E229,'03_상품분류2526'!$A$7:$A$2532,0))),"")</f>
        <v/>
      </c>
      <c r="O229" s="6">
        <f>'02_선반315'!R175</f>
        <v>865</v>
      </c>
      <c r="P229" s="6">
        <f>'02_선반315'!T175</f>
        <v>220</v>
      </c>
      <c r="Q229" s="6">
        <f>'02_선반315'!U175</f>
        <v>200</v>
      </c>
      <c r="R229" s="6">
        <f>'02_선반315'!S175</f>
        <v>270</v>
      </c>
      <c r="S229" s="6" t="str">
        <f t="shared" si="6"/>
        <v/>
      </c>
      <c r="T229" s="6" t="str">
        <f t="shared" si="7"/>
        <v>입력 대기</v>
      </c>
      <c r="U229" s="6" t="s">
        <v>7509</v>
      </c>
      <c r="V229" s="6" t="s">
        <v>555</v>
      </c>
      <c r="W229" s="6" t="s">
        <v>859</v>
      </c>
    </row>
    <row r="230" spans="1:23" ht="33" customHeight="1">
      <c r="A230" s="6" t="s">
        <v>7734</v>
      </c>
      <c r="B230" s="6" t="s">
        <v>1151</v>
      </c>
      <c r="C230" s="6" t="s">
        <v>315</v>
      </c>
      <c r="D230" s="6">
        <v>5</v>
      </c>
      <c r="E230" s="6" t="s">
        <v>1692</v>
      </c>
      <c r="F230" s="6" t="str">
        <f>IFERROR(INDEX('03_상품분류2526'!$C$7:$C$2532,MATCH(E230,'03_상품분류2526'!$A$7:$A$2532,0)),"코드 확인")</f>
        <v>소프트콘돔PLAINP(일반형)</v>
      </c>
      <c r="G230" s="6" t="str">
        <f>IFERROR(INDEX('03_상품분류2526'!$D$7:$D$2532,MATCH(E230,'03_상품분류2526'!$A$7:$A$2532,0)),"코드 확인")</f>
        <v>10P</v>
      </c>
      <c r="H230" s="6" t="s">
        <v>7508</v>
      </c>
      <c r="I230" s="6" t="str">
        <f>IFERROR(INDEX('03_상품분류2526'!$M$7:$M$2532,MATCH(E230,'03_상품분류2526'!$A$7:$A$2532,0)),"코드 확인")</f>
        <v>A</v>
      </c>
      <c r="J230" s="6">
        <v>1</v>
      </c>
      <c r="K230" s="15">
        <v>1</v>
      </c>
      <c r="L230" s="6" t="str">
        <f>IFERROR(IF(INDEX('03_상품분류2526'!$V$7:$V$2532,MATCH(E230,'03_상품분류2526'!$A$7:$A$2532,0))="","",INDEX('03_상품분류2526'!$V$7:$V$2532,MATCH(E230,'03_상품분류2526'!$A$7:$A$2532,0))),"")</f>
        <v/>
      </c>
      <c r="M230" s="6" t="str">
        <f>IFERROR(IF(INDEX('03_상품분류2526'!$W$7:$W$2532,MATCH(E230,'03_상품분류2526'!$A$7:$A$2532,0))="","",INDEX('03_상품분류2526'!$W$7:$W$2532,MATCH(E230,'03_상품분류2526'!$A$7:$A$2532,0))),"")</f>
        <v/>
      </c>
      <c r="N230" s="6" t="str">
        <f>IFERROR(IF(INDEX('03_상품분류2526'!$X$7:$X$2532,MATCH(E230,'03_상품분류2526'!$A$7:$A$2532,0))="","",INDEX('03_상품분류2526'!$X$7:$X$2532,MATCH(E230,'03_상품분류2526'!$A$7:$A$2532,0))),"")</f>
        <v/>
      </c>
      <c r="O230" s="6">
        <f>'02_선반315'!R176</f>
        <v>865</v>
      </c>
      <c r="P230" s="6">
        <f>'02_선반315'!T176</f>
        <v>220</v>
      </c>
      <c r="Q230" s="6">
        <f>'02_선반315'!U176</f>
        <v>200</v>
      </c>
      <c r="R230" s="6">
        <f>'02_선반315'!S176</f>
        <v>270</v>
      </c>
      <c r="S230" s="6" t="str">
        <f t="shared" si="6"/>
        <v/>
      </c>
      <c r="T230" s="6" t="str">
        <f t="shared" si="7"/>
        <v>입력 대기</v>
      </c>
      <c r="U230" s="6" t="s">
        <v>7509</v>
      </c>
      <c r="V230" s="6" t="s">
        <v>555</v>
      </c>
      <c r="W230" s="6" t="s">
        <v>859</v>
      </c>
    </row>
    <row r="231" spans="1:23" ht="33" customHeight="1">
      <c r="A231" s="6" t="s">
        <v>7735</v>
      </c>
      <c r="B231" s="6" t="s">
        <v>1151</v>
      </c>
      <c r="C231" s="6" t="s">
        <v>315</v>
      </c>
      <c r="D231" s="6">
        <v>5</v>
      </c>
      <c r="E231" s="6" t="s">
        <v>7160</v>
      </c>
      <c r="F231" s="6" t="str">
        <f>IFERROR(INDEX('03_상품분류2526'!$C$7:$C$2532,MATCH(E231,'03_상품분류2526'!$A$7:$A$2532,0)),"코드 확인")</f>
        <v>센스데이 얼리체크</v>
      </c>
      <c r="G231" s="6" t="str">
        <f>IFERROR(INDEX('03_상품분류2526'!$D$7:$D$2532,MATCH(E231,'03_상품분류2526'!$A$7:$A$2532,0)),"코드 확인")</f>
        <v>1test</v>
      </c>
      <c r="H231" s="6" t="s">
        <v>7508</v>
      </c>
      <c r="I231" s="6" t="str">
        <f>IFERROR(INDEX('03_상품분류2526'!$M$7:$M$2532,MATCH(E231,'03_상품분류2526'!$A$7:$A$2532,0)),"코드 확인")</f>
        <v>A</v>
      </c>
      <c r="J231" s="6">
        <v>2</v>
      </c>
      <c r="K231" s="15">
        <v>1</v>
      </c>
      <c r="L231" s="6" t="str">
        <f>IFERROR(IF(INDEX('03_상품분류2526'!$V$7:$V$2532,MATCH(E231,'03_상품분류2526'!$A$7:$A$2532,0))="","",INDEX('03_상품분류2526'!$V$7:$V$2532,MATCH(E231,'03_상품분류2526'!$A$7:$A$2532,0))),"")</f>
        <v/>
      </c>
      <c r="M231" s="6" t="str">
        <f>IFERROR(IF(INDEX('03_상품분류2526'!$W$7:$W$2532,MATCH(E231,'03_상품분류2526'!$A$7:$A$2532,0))="","",INDEX('03_상품분류2526'!$W$7:$W$2532,MATCH(E231,'03_상품분류2526'!$A$7:$A$2532,0))),"")</f>
        <v/>
      </c>
      <c r="N231" s="6" t="str">
        <f>IFERROR(IF(INDEX('03_상품분류2526'!$X$7:$X$2532,MATCH(E231,'03_상품분류2526'!$A$7:$A$2532,0))="","",INDEX('03_상품분류2526'!$X$7:$X$2532,MATCH(E231,'03_상품분류2526'!$A$7:$A$2532,0))),"")</f>
        <v/>
      </c>
      <c r="O231" s="6">
        <f>'02_선반315'!R176</f>
        <v>865</v>
      </c>
      <c r="P231" s="6">
        <f>'02_선반315'!T176</f>
        <v>220</v>
      </c>
      <c r="Q231" s="6">
        <f>'02_선반315'!U176</f>
        <v>200</v>
      </c>
      <c r="R231" s="6">
        <f>'02_선반315'!S176</f>
        <v>270</v>
      </c>
      <c r="S231" s="6" t="str">
        <f t="shared" si="6"/>
        <v/>
      </c>
      <c r="T231" s="6" t="str">
        <f t="shared" si="7"/>
        <v>입력 대기</v>
      </c>
      <c r="U231" s="6" t="s">
        <v>7509</v>
      </c>
      <c r="V231" s="6" t="s">
        <v>555</v>
      </c>
      <c r="W231" s="6" t="s">
        <v>859</v>
      </c>
    </row>
    <row r="232" spans="1:23" ht="33" customHeight="1">
      <c r="A232" s="6" t="s">
        <v>7736</v>
      </c>
      <c r="B232" s="6" t="s">
        <v>1158</v>
      </c>
      <c r="C232" s="6" t="s">
        <v>323</v>
      </c>
      <c r="D232" s="6">
        <v>2</v>
      </c>
      <c r="E232" s="6" t="s">
        <v>6600</v>
      </c>
      <c r="F232" s="6" t="str">
        <f>IFERROR(INDEX('03_상품분류2526'!$C$7:$C$2532,MATCH(E232,'03_상품분류2526'!$A$7:$A$2532,0)),"코드 확인")</f>
        <v>자멘쏙정</v>
      </c>
      <c r="G232" s="6" t="str">
        <f>IFERROR(INDEX('03_상품분류2526'!$D$7:$D$2532,MATCH(E232,'03_상품분류2526'!$A$7:$A$2532,0)),"코드 확인")</f>
        <v>20T</v>
      </c>
      <c r="H232" s="6" t="s">
        <v>7508</v>
      </c>
      <c r="I232" s="6" t="str">
        <f>IFERROR(INDEX('03_상품분류2526'!$M$7:$M$2532,MATCH(E232,'03_상품분류2526'!$A$7:$A$2532,0)),"코드 확인")</f>
        <v>A</v>
      </c>
      <c r="J232" s="6">
        <v>1</v>
      </c>
      <c r="K232" s="15">
        <v>1</v>
      </c>
      <c r="L232" s="6" t="str">
        <f>IFERROR(IF(INDEX('03_상품분류2526'!$V$7:$V$2532,MATCH(E232,'03_상품분류2526'!$A$7:$A$2532,0))="","",INDEX('03_상품분류2526'!$V$7:$V$2532,MATCH(E232,'03_상품분류2526'!$A$7:$A$2532,0))),"")</f>
        <v/>
      </c>
      <c r="M232" s="6" t="str">
        <f>IFERROR(IF(INDEX('03_상품분류2526'!$W$7:$W$2532,MATCH(E232,'03_상품분류2526'!$A$7:$A$2532,0))="","",INDEX('03_상품분류2526'!$W$7:$W$2532,MATCH(E232,'03_상품분류2526'!$A$7:$A$2532,0))),"")</f>
        <v/>
      </c>
      <c r="N232" s="6" t="str">
        <f>IFERROR(IF(INDEX('03_상품분류2526'!$X$7:$X$2532,MATCH(E232,'03_상품분류2526'!$A$7:$A$2532,0))="","",INDEX('03_상품분류2526'!$X$7:$X$2532,MATCH(E232,'03_상품분류2526'!$A$7:$A$2532,0))),"")</f>
        <v/>
      </c>
      <c r="O232" s="6">
        <f>'02_선반315'!R178</f>
        <v>865</v>
      </c>
      <c r="P232" s="6">
        <f>'02_선반315'!T178</f>
        <v>220</v>
      </c>
      <c r="Q232" s="6">
        <f>'02_선반315'!U178</f>
        <v>200</v>
      </c>
      <c r="R232" s="6">
        <f>'02_선반315'!S178</f>
        <v>270</v>
      </c>
      <c r="S232" s="6" t="str">
        <f t="shared" si="6"/>
        <v/>
      </c>
      <c r="T232" s="6" t="str">
        <f t="shared" si="7"/>
        <v>입력 대기</v>
      </c>
      <c r="U232" s="6" t="s">
        <v>7509</v>
      </c>
      <c r="V232" s="6" t="s">
        <v>555</v>
      </c>
      <c r="W232" s="6" t="s">
        <v>859</v>
      </c>
    </row>
    <row r="233" spans="1:23" ht="33" customHeight="1">
      <c r="A233" s="6" t="s">
        <v>7737</v>
      </c>
      <c r="B233" s="6" t="s">
        <v>1158</v>
      </c>
      <c r="C233" s="6" t="s">
        <v>323</v>
      </c>
      <c r="D233" s="6">
        <v>2</v>
      </c>
      <c r="E233" s="6" t="s">
        <v>6856</v>
      </c>
      <c r="F233" s="6" t="str">
        <f>IFERROR(INDEX('03_상품분류2526'!$C$7:$C$2532,MATCH(E233,'03_상품분류2526'!$A$7:$A$2532,0)),"코드 확인")</f>
        <v>한미슬리펠정</v>
      </c>
      <c r="G233" s="6" t="str">
        <f>IFERROR(INDEX('03_상품분류2526'!$D$7:$D$2532,MATCH(E233,'03_상품분류2526'!$A$7:$A$2532,0)),"코드 확인")</f>
        <v>20T</v>
      </c>
      <c r="H233" s="6" t="s">
        <v>7508</v>
      </c>
      <c r="I233" s="6" t="str">
        <f>IFERROR(INDEX('03_상품분류2526'!$M$7:$M$2532,MATCH(E233,'03_상품분류2526'!$A$7:$A$2532,0)),"코드 확인")</f>
        <v>B</v>
      </c>
      <c r="J233" s="6">
        <v>2</v>
      </c>
      <c r="K233" s="15">
        <v>1</v>
      </c>
      <c r="L233" s="6" t="str">
        <f>IFERROR(IF(INDEX('03_상품분류2526'!$V$7:$V$2532,MATCH(E233,'03_상품분류2526'!$A$7:$A$2532,0))="","",INDEX('03_상품분류2526'!$V$7:$V$2532,MATCH(E233,'03_상품분류2526'!$A$7:$A$2532,0))),"")</f>
        <v/>
      </c>
      <c r="M233" s="6" t="str">
        <f>IFERROR(IF(INDEX('03_상품분류2526'!$W$7:$W$2532,MATCH(E233,'03_상품분류2526'!$A$7:$A$2532,0))="","",INDEX('03_상품분류2526'!$W$7:$W$2532,MATCH(E233,'03_상품분류2526'!$A$7:$A$2532,0))),"")</f>
        <v/>
      </c>
      <c r="N233" s="6" t="str">
        <f>IFERROR(IF(INDEX('03_상품분류2526'!$X$7:$X$2532,MATCH(E233,'03_상품분류2526'!$A$7:$A$2532,0))="","",INDEX('03_상품분류2526'!$X$7:$X$2532,MATCH(E233,'03_상품분류2526'!$A$7:$A$2532,0))),"")</f>
        <v/>
      </c>
      <c r="O233" s="6">
        <f>'02_선반315'!R178</f>
        <v>865</v>
      </c>
      <c r="P233" s="6">
        <f>'02_선반315'!T178</f>
        <v>220</v>
      </c>
      <c r="Q233" s="6">
        <f>'02_선반315'!U178</f>
        <v>200</v>
      </c>
      <c r="R233" s="6">
        <f>'02_선반315'!S178</f>
        <v>270</v>
      </c>
      <c r="S233" s="6" t="str">
        <f t="shared" si="6"/>
        <v/>
      </c>
      <c r="T233" s="6" t="str">
        <f t="shared" si="7"/>
        <v>입력 대기</v>
      </c>
      <c r="U233" s="6" t="s">
        <v>7509</v>
      </c>
      <c r="V233" s="6" t="s">
        <v>555</v>
      </c>
      <c r="W233" s="6" t="s">
        <v>859</v>
      </c>
    </row>
    <row r="234" spans="1:23" ht="33" customHeight="1">
      <c r="A234" s="6" t="s">
        <v>7738</v>
      </c>
      <c r="B234" s="6" t="s">
        <v>1162</v>
      </c>
      <c r="C234" s="6" t="s">
        <v>323</v>
      </c>
      <c r="D234" s="6">
        <v>3</v>
      </c>
      <c r="E234" s="6" t="s">
        <v>7123</v>
      </c>
      <c r="F234" s="6" t="str">
        <f>IFERROR(INDEX('03_상품분류2526'!$C$7:$C$2532,MATCH(E234,'03_상품분류2526'!$A$7:$A$2532,0)),"코드 확인")</f>
        <v>앨리스랩 하이퍼셀 식물성 멜라토닌 구미</v>
      </c>
      <c r="G234" s="6" t="str">
        <f>IFERROR(INDEX('03_상품분류2526'!$D$7:$D$2532,MATCH(E234,'03_상품분류2526'!$A$7:$A$2532,0)),"코드 확인")</f>
        <v>30구미</v>
      </c>
      <c r="H234" s="6" t="s">
        <v>7508</v>
      </c>
      <c r="I234" s="6" t="str">
        <f>IFERROR(INDEX('03_상품분류2526'!$M$7:$M$2532,MATCH(E234,'03_상품분류2526'!$A$7:$A$2532,0)),"코드 확인")</f>
        <v>T</v>
      </c>
      <c r="J234" s="6">
        <v>1</v>
      </c>
      <c r="K234" s="15">
        <v>1</v>
      </c>
      <c r="L234" s="6" t="str">
        <f>IFERROR(IF(INDEX('03_상품분류2526'!$V$7:$V$2532,MATCH(E234,'03_상품분류2526'!$A$7:$A$2532,0))="","",INDEX('03_상품분류2526'!$V$7:$V$2532,MATCH(E234,'03_상품분류2526'!$A$7:$A$2532,0))),"")</f>
        <v/>
      </c>
      <c r="M234" s="6" t="str">
        <f>IFERROR(IF(INDEX('03_상품분류2526'!$W$7:$W$2532,MATCH(E234,'03_상품분류2526'!$A$7:$A$2532,0))="","",INDEX('03_상품분류2526'!$W$7:$W$2532,MATCH(E234,'03_상품분류2526'!$A$7:$A$2532,0))),"")</f>
        <v/>
      </c>
      <c r="N234" s="6" t="str">
        <f>IFERROR(IF(INDEX('03_상품분류2526'!$X$7:$X$2532,MATCH(E234,'03_상품분류2526'!$A$7:$A$2532,0))="","",INDEX('03_상품분류2526'!$X$7:$X$2532,MATCH(E234,'03_상품분류2526'!$A$7:$A$2532,0))),"")</f>
        <v/>
      </c>
      <c r="O234" s="6">
        <f>'02_선반315'!R179</f>
        <v>865</v>
      </c>
      <c r="P234" s="6">
        <f>'02_선반315'!T179</f>
        <v>220</v>
      </c>
      <c r="Q234" s="6">
        <f>'02_선반315'!U179</f>
        <v>200</v>
      </c>
      <c r="R234" s="6">
        <f>'02_선반315'!S179</f>
        <v>270</v>
      </c>
      <c r="S234" s="6" t="str">
        <f t="shared" si="6"/>
        <v/>
      </c>
      <c r="T234" s="6" t="str">
        <f t="shared" si="7"/>
        <v>입력 대기</v>
      </c>
      <c r="U234" s="6" t="s">
        <v>7509</v>
      </c>
      <c r="V234" s="6" t="s">
        <v>555</v>
      </c>
      <c r="W234" s="6" t="s">
        <v>859</v>
      </c>
    </row>
    <row r="235" spans="1:23" ht="33" customHeight="1">
      <c r="A235" s="6" t="s">
        <v>7739</v>
      </c>
      <c r="B235" s="6" t="s">
        <v>1162</v>
      </c>
      <c r="C235" s="6" t="s">
        <v>323</v>
      </c>
      <c r="D235" s="6">
        <v>3</v>
      </c>
      <c r="E235" s="6" t="s">
        <v>7255</v>
      </c>
      <c r="F235" s="6" t="str">
        <f>IFERROR(INDEX('03_상품분류2526'!$C$7:$C$2532,MATCH(E235,'03_상품분류2526'!$A$7:$A$2532,0)),"코드 확인")</f>
        <v>수면엔릴잠</v>
      </c>
      <c r="G235" s="6" t="str">
        <f>IFERROR(INDEX('03_상품분류2526'!$D$7:$D$2532,MATCH(E235,'03_상품분류2526'!$A$7:$A$2532,0)),"코드 확인")</f>
        <v>14정</v>
      </c>
      <c r="H235" s="6" t="s">
        <v>7508</v>
      </c>
      <c r="I235" s="6" t="str">
        <f>IFERROR(INDEX('03_상품분류2526'!$M$7:$M$2532,MATCH(E235,'03_상품분류2526'!$A$7:$A$2532,0)),"코드 확인")</f>
        <v>T</v>
      </c>
      <c r="J235" s="6">
        <v>2</v>
      </c>
      <c r="K235" s="15">
        <v>1</v>
      </c>
      <c r="L235" s="6" t="str">
        <f>IFERROR(IF(INDEX('03_상품분류2526'!$V$7:$V$2532,MATCH(E235,'03_상품분류2526'!$A$7:$A$2532,0))="","",INDEX('03_상품분류2526'!$V$7:$V$2532,MATCH(E235,'03_상품분류2526'!$A$7:$A$2532,0))),"")</f>
        <v/>
      </c>
      <c r="M235" s="6" t="str">
        <f>IFERROR(IF(INDEX('03_상품분류2526'!$W$7:$W$2532,MATCH(E235,'03_상품분류2526'!$A$7:$A$2532,0))="","",INDEX('03_상품분류2526'!$W$7:$W$2532,MATCH(E235,'03_상품분류2526'!$A$7:$A$2532,0))),"")</f>
        <v/>
      </c>
      <c r="N235" s="6" t="str">
        <f>IFERROR(IF(INDEX('03_상품분류2526'!$X$7:$X$2532,MATCH(E235,'03_상품분류2526'!$A$7:$A$2532,0))="","",INDEX('03_상품분류2526'!$X$7:$X$2532,MATCH(E235,'03_상품분류2526'!$A$7:$A$2532,0))),"")</f>
        <v/>
      </c>
      <c r="O235" s="6">
        <f>'02_선반315'!R179</f>
        <v>865</v>
      </c>
      <c r="P235" s="6">
        <f>'02_선반315'!T179</f>
        <v>220</v>
      </c>
      <c r="Q235" s="6">
        <f>'02_선반315'!U179</f>
        <v>200</v>
      </c>
      <c r="R235" s="6">
        <f>'02_선반315'!S179</f>
        <v>270</v>
      </c>
      <c r="S235" s="6" t="str">
        <f t="shared" si="6"/>
        <v/>
      </c>
      <c r="T235" s="6" t="str">
        <f t="shared" si="7"/>
        <v>입력 대기</v>
      </c>
      <c r="U235" s="6" t="s">
        <v>7509</v>
      </c>
      <c r="V235" s="6" t="s">
        <v>555</v>
      </c>
      <c r="W235" s="6" t="s">
        <v>859</v>
      </c>
    </row>
    <row r="236" spans="1:23" ht="33" customHeight="1">
      <c r="A236" s="6" t="s">
        <v>7740</v>
      </c>
      <c r="B236" s="6" t="s">
        <v>1167</v>
      </c>
      <c r="C236" s="6" t="s">
        <v>323</v>
      </c>
      <c r="D236" s="6">
        <v>4</v>
      </c>
      <c r="E236" s="6" t="s">
        <v>1169</v>
      </c>
      <c r="F236" s="6" t="str">
        <f>IFERROR(INDEX('03_상품분류2526'!$C$7:$C$2532,MATCH(E236,'03_상품분류2526'!$A$7:$A$2532,0)),"코드 확인")</f>
        <v>COZA 코자아</v>
      </c>
      <c r="G236" s="6" t="str">
        <f>IFERROR(INDEX('03_상품분류2526'!$D$7:$D$2532,MATCH(E236,'03_상품분류2526'!$A$7:$A$2532,0)),"코드 확인")</f>
        <v>100ml</v>
      </c>
      <c r="H236" s="6" t="s">
        <v>7508</v>
      </c>
      <c r="I236" s="6" t="str">
        <f>IFERROR(INDEX('03_상품분류2526'!$M$7:$M$2532,MATCH(E236,'03_상품분류2526'!$A$7:$A$2532,0)),"코드 확인")</f>
        <v>T</v>
      </c>
      <c r="J236" s="6">
        <v>1</v>
      </c>
      <c r="K236" s="15">
        <v>1</v>
      </c>
      <c r="L236" s="6" t="str">
        <f>IFERROR(IF(INDEX('03_상품분류2526'!$V$7:$V$2532,MATCH(E236,'03_상품분류2526'!$A$7:$A$2532,0))="","",INDEX('03_상품분류2526'!$V$7:$V$2532,MATCH(E236,'03_상품분류2526'!$A$7:$A$2532,0))),"")</f>
        <v/>
      </c>
      <c r="M236" s="6" t="str">
        <f>IFERROR(IF(INDEX('03_상품분류2526'!$W$7:$W$2532,MATCH(E236,'03_상품분류2526'!$A$7:$A$2532,0))="","",INDEX('03_상품분류2526'!$W$7:$W$2532,MATCH(E236,'03_상품분류2526'!$A$7:$A$2532,0))),"")</f>
        <v/>
      </c>
      <c r="N236" s="6" t="str">
        <f>IFERROR(IF(INDEX('03_상품분류2526'!$X$7:$X$2532,MATCH(E236,'03_상품분류2526'!$A$7:$A$2532,0))="","",INDEX('03_상품분류2526'!$X$7:$X$2532,MATCH(E236,'03_상품분류2526'!$A$7:$A$2532,0))),"")</f>
        <v/>
      </c>
      <c r="O236" s="6">
        <f>'02_선반315'!R180</f>
        <v>865</v>
      </c>
      <c r="P236" s="6">
        <f>'02_선반315'!T180</f>
        <v>220</v>
      </c>
      <c r="Q236" s="6">
        <f>'02_선반315'!U180</f>
        <v>200</v>
      </c>
      <c r="R236" s="6">
        <f>'02_선반315'!S180</f>
        <v>270</v>
      </c>
      <c r="S236" s="6" t="str">
        <f t="shared" si="6"/>
        <v/>
      </c>
      <c r="T236" s="6" t="str">
        <f t="shared" si="7"/>
        <v>입력 대기</v>
      </c>
      <c r="U236" s="6" t="s">
        <v>7509</v>
      </c>
      <c r="V236" s="6" t="s">
        <v>555</v>
      </c>
      <c r="W236" s="6" t="s">
        <v>859</v>
      </c>
    </row>
    <row r="237" spans="1:23" ht="33" customHeight="1">
      <c r="A237" s="6" t="s">
        <v>7741</v>
      </c>
      <c r="B237" s="6" t="s">
        <v>1171</v>
      </c>
      <c r="C237" s="6" t="s">
        <v>323</v>
      </c>
      <c r="D237" s="6">
        <v>5</v>
      </c>
      <c r="E237" s="6" t="s">
        <v>5945</v>
      </c>
      <c r="F237" s="6" t="str">
        <f>IFERROR(INDEX('03_상품분류2526'!$C$7:$C$2532,MATCH(E237,'03_상품분류2526'!$A$7:$A$2532,0)),"코드 확인")</f>
        <v>푸레파인마일드연고</v>
      </c>
      <c r="G237" s="6" t="str">
        <f>IFERROR(INDEX('03_상품분류2526'!$D$7:$D$2532,MATCH(E237,'03_상품분류2526'!$A$7:$A$2532,0)),"코드 확인")</f>
        <v>28g</v>
      </c>
      <c r="H237" s="6" t="s">
        <v>7508</v>
      </c>
      <c r="I237" s="6" t="str">
        <f>IFERROR(INDEX('03_상품분류2526'!$M$7:$M$2532,MATCH(E237,'03_상품분류2526'!$A$7:$A$2532,0)),"코드 확인")</f>
        <v>B</v>
      </c>
      <c r="J237" s="6">
        <v>1</v>
      </c>
      <c r="K237" s="15">
        <v>1</v>
      </c>
      <c r="L237" s="6" t="str">
        <f>IFERROR(IF(INDEX('03_상품분류2526'!$V$7:$V$2532,MATCH(E237,'03_상품분류2526'!$A$7:$A$2532,0))="","",INDEX('03_상품분류2526'!$V$7:$V$2532,MATCH(E237,'03_상품분류2526'!$A$7:$A$2532,0))),"")</f>
        <v/>
      </c>
      <c r="M237" s="6" t="str">
        <f>IFERROR(IF(INDEX('03_상품분류2526'!$W$7:$W$2532,MATCH(E237,'03_상품분류2526'!$A$7:$A$2532,0))="","",INDEX('03_상품분류2526'!$W$7:$W$2532,MATCH(E237,'03_상품분류2526'!$A$7:$A$2532,0))),"")</f>
        <v/>
      </c>
      <c r="N237" s="6" t="str">
        <f>IFERROR(IF(INDEX('03_상품분류2526'!$X$7:$X$2532,MATCH(E237,'03_상품분류2526'!$A$7:$A$2532,0))="","",INDEX('03_상품분류2526'!$X$7:$X$2532,MATCH(E237,'03_상품분류2526'!$A$7:$A$2532,0))),"")</f>
        <v/>
      </c>
      <c r="O237" s="6">
        <f>'02_선반315'!R181</f>
        <v>865</v>
      </c>
      <c r="P237" s="6">
        <f>'02_선반315'!T181</f>
        <v>220</v>
      </c>
      <c r="Q237" s="6">
        <f>'02_선반315'!U181</f>
        <v>200</v>
      </c>
      <c r="R237" s="6">
        <f>'02_선반315'!S181</f>
        <v>270</v>
      </c>
      <c r="S237" s="6" t="str">
        <f t="shared" si="6"/>
        <v/>
      </c>
      <c r="T237" s="6" t="str">
        <f t="shared" si="7"/>
        <v>입력 대기</v>
      </c>
      <c r="U237" s="6" t="s">
        <v>7509</v>
      </c>
      <c r="V237" s="6" t="s">
        <v>555</v>
      </c>
      <c r="W237" s="6" t="s">
        <v>859</v>
      </c>
    </row>
    <row r="238" spans="1:23" ht="33" customHeight="1">
      <c r="A238" s="6" t="s">
        <v>7742</v>
      </c>
      <c r="B238" s="6" t="s">
        <v>1171</v>
      </c>
      <c r="C238" s="6" t="s">
        <v>323</v>
      </c>
      <c r="D238" s="6">
        <v>5</v>
      </c>
      <c r="E238" s="6" t="s">
        <v>6208</v>
      </c>
      <c r="F238" s="6" t="str">
        <f>IFERROR(INDEX('03_상품분류2526'!$C$7:$C$2532,MATCH(E238,'03_상품분류2526'!$A$7:$A$2532,0)),"코드 확인")</f>
        <v>치지래연고</v>
      </c>
      <c r="G238" s="6" t="str">
        <f>IFERROR(INDEX('03_상품분류2526'!$D$7:$D$2532,MATCH(E238,'03_상품분류2526'!$A$7:$A$2532,0)),"코드 확인")</f>
        <v>30g</v>
      </c>
      <c r="H238" s="6" t="s">
        <v>7508</v>
      </c>
      <c r="I238" s="6" t="str">
        <f>IFERROR(INDEX('03_상품분류2526'!$M$7:$M$2532,MATCH(E238,'03_상품분류2526'!$A$7:$A$2532,0)),"코드 확인")</f>
        <v>B</v>
      </c>
      <c r="J238" s="6">
        <v>2</v>
      </c>
      <c r="K238" s="15">
        <v>1</v>
      </c>
      <c r="L238" s="6" t="str">
        <f>IFERROR(IF(INDEX('03_상품분류2526'!$V$7:$V$2532,MATCH(E238,'03_상품분류2526'!$A$7:$A$2532,0))="","",INDEX('03_상품분류2526'!$V$7:$V$2532,MATCH(E238,'03_상품분류2526'!$A$7:$A$2532,0))),"")</f>
        <v/>
      </c>
      <c r="M238" s="6" t="str">
        <f>IFERROR(IF(INDEX('03_상품분류2526'!$W$7:$W$2532,MATCH(E238,'03_상품분류2526'!$A$7:$A$2532,0))="","",INDEX('03_상품분류2526'!$W$7:$W$2532,MATCH(E238,'03_상품분류2526'!$A$7:$A$2532,0))),"")</f>
        <v/>
      </c>
      <c r="N238" s="6" t="str">
        <f>IFERROR(IF(INDEX('03_상품분류2526'!$X$7:$X$2532,MATCH(E238,'03_상품분류2526'!$A$7:$A$2532,0))="","",INDEX('03_상품분류2526'!$X$7:$X$2532,MATCH(E238,'03_상품분류2526'!$A$7:$A$2532,0))),"")</f>
        <v/>
      </c>
      <c r="O238" s="6">
        <f>'02_선반315'!R181</f>
        <v>865</v>
      </c>
      <c r="P238" s="6">
        <f>'02_선반315'!T181</f>
        <v>220</v>
      </c>
      <c r="Q238" s="6">
        <f>'02_선반315'!U181</f>
        <v>200</v>
      </c>
      <c r="R238" s="6">
        <f>'02_선반315'!S181</f>
        <v>270</v>
      </c>
      <c r="S238" s="6" t="str">
        <f t="shared" si="6"/>
        <v/>
      </c>
      <c r="T238" s="6" t="str">
        <f t="shared" si="7"/>
        <v>입력 대기</v>
      </c>
      <c r="U238" s="6" t="s">
        <v>7509</v>
      </c>
      <c r="V238" s="6" t="s">
        <v>555</v>
      </c>
      <c r="W238" s="6" t="s">
        <v>859</v>
      </c>
    </row>
    <row r="239" spans="1:23" ht="33" customHeight="1">
      <c r="A239" s="6" t="s">
        <v>7743</v>
      </c>
      <c r="B239" s="6" t="s">
        <v>1177</v>
      </c>
      <c r="C239" s="6" t="s">
        <v>332</v>
      </c>
      <c r="D239" s="6">
        <v>2</v>
      </c>
      <c r="E239" s="6" t="s">
        <v>1179</v>
      </c>
      <c r="F239" s="6" t="str">
        <f>IFERROR(INDEX('03_상품분류2526'!$C$7:$C$2532,MATCH(E239,'03_상품분류2526'!$A$7:$A$2532,0)),"코드 확인")</f>
        <v>비타민씨정1000mg</v>
      </c>
      <c r="G239" s="6" t="str">
        <f>IFERROR(INDEX('03_상품분류2526'!$D$7:$D$2532,MATCH(E239,'03_상품분류2526'!$A$7:$A$2532,0)),"코드 확인")</f>
        <v>300T</v>
      </c>
      <c r="H239" s="6" t="s">
        <v>7508</v>
      </c>
      <c r="I239" s="6" t="str">
        <f>IFERROR(INDEX('03_상품분류2526'!$M$7:$M$2532,MATCH(E239,'03_상품분류2526'!$A$7:$A$2532,0)),"코드 확인")</f>
        <v>B</v>
      </c>
      <c r="J239" s="6">
        <v>1</v>
      </c>
      <c r="K239" s="15">
        <v>1</v>
      </c>
      <c r="L239" s="6" t="str">
        <f>IFERROR(IF(INDEX('03_상품분류2526'!$V$7:$V$2532,MATCH(E239,'03_상품분류2526'!$A$7:$A$2532,0))="","",INDEX('03_상품분류2526'!$V$7:$V$2532,MATCH(E239,'03_상품분류2526'!$A$7:$A$2532,0))),"")</f>
        <v/>
      </c>
      <c r="M239" s="6" t="str">
        <f>IFERROR(IF(INDEX('03_상품분류2526'!$W$7:$W$2532,MATCH(E239,'03_상품분류2526'!$A$7:$A$2532,0))="","",INDEX('03_상품분류2526'!$W$7:$W$2532,MATCH(E239,'03_상품분류2526'!$A$7:$A$2532,0))),"")</f>
        <v/>
      </c>
      <c r="N239" s="6" t="str">
        <f>IFERROR(IF(INDEX('03_상품분류2526'!$X$7:$X$2532,MATCH(E239,'03_상품분류2526'!$A$7:$A$2532,0))="","",INDEX('03_상품분류2526'!$X$7:$X$2532,MATCH(E239,'03_상품분류2526'!$A$7:$A$2532,0))),"")</f>
        <v/>
      </c>
      <c r="O239" s="6">
        <f>'02_선반315'!R183</f>
        <v>865</v>
      </c>
      <c r="P239" s="6">
        <f>'02_선반315'!T183</f>
        <v>220</v>
      </c>
      <c r="Q239" s="6">
        <f>'02_선반315'!U183</f>
        <v>200</v>
      </c>
      <c r="R239" s="6">
        <f>'02_선반315'!S183</f>
        <v>270</v>
      </c>
      <c r="S239" s="6" t="str">
        <f t="shared" si="6"/>
        <v/>
      </c>
      <c r="T239" s="6" t="str">
        <f t="shared" si="7"/>
        <v>입력 대기</v>
      </c>
      <c r="U239" s="6" t="s">
        <v>7509</v>
      </c>
      <c r="V239" s="6" t="s">
        <v>555</v>
      </c>
      <c r="W239" s="6" t="s">
        <v>859</v>
      </c>
    </row>
    <row r="240" spans="1:23" ht="33" customHeight="1">
      <c r="A240" s="6" t="s">
        <v>7744</v>
      </c>
      <c r="B240" s="6" t="s">
        <v>1181</v>
      </c>
      <c r="C240" s="6" t="s">
        <v>332</v>
      </c>
      <c r="D240" s="6">
        <v>3</v>
      </c>
      <c r="E240" s="6" t="s">
        <v>801</v>
      </c>
      <c r="F240" s="6" t="str">
        <f>IFERROR(INDEX('03_상품분류2526'!$C$7:$C$2532,MATCH(E240,'03_상품분류2526'!$A$7:$A$2532,0)),"코드 확인")</f>
        <v>고려은단 비타민C1000(120T)</v>
      </c>
      <c r="G240" s="6" t="str">
        <f>IFERROR(INDEX('03_상품분류2526'!$D$7:$D$2532,MATCH(E240,'03_상품분류2526'!$A$7:$A$2532,0)),"코드 확인")</f>
        <v>120T</v>
      </c>
      <c r="H240" s="6" t="s">
        <v>7508</v>
      </c>
      <c r="I240" s="6" t="str">
        <f>IFERROR(INDEX('03_상품분류2526'!$M$7:$M$2532,MATCH(E240,'03_상품분류2526'!$A$7:$A$2532,0)),"코드 확인")</f>
        <v>A</v>
      </c>
      <c r="J240" s="6">
        <v>1</v>
      </c>
      <c r="K240" s="15">
        <v>2</v>
      </c>
      <c r="L240" s="6" t="str">
        <f>IFERROR(IF(INDEX('03_상품분류2526'!$V$7:$V$2532,MATCH(E240,'03_상품분류2526'!$A$7:$A$2532,0))="","",INDEX('03_상품분류2526'!$V$7:$V$2532,MATCH(E240,'03_상품분류2526'!$A$7:$A$2532,0))),"")</f>
        <v/>
      </c>
      <c r="M240" s="6" t="str">
        <f>IFERROR(IF(INDEX('03_상품분류2526'!$W$7:$W$2532,MATCH(E240,'03_상품분류2526'!$A$7:$A$2532,0))="","",INDEX('03_상품분류2526'!$W$7:$W$2532,MATCH(E240,'03_상품분류2526'!$A$7:$A$2532,0))),"")</f>
        <v/>
      </c>
      <c r="N240" s="6" t="str">
        <f>IFERROR(IF(INDEX('03_상품분류2526'!$X$7:$X$2532,MATCH(E240,'03_상품분류2526'!$A$7:$A$2532,0))="","",INDEX('03_상품분류2526'!$X$7:$X$2532,MATCH(E240,'03_상품분류2526'!$A$7:$A$2532,0))),"")</f>
        <v/>
      </c>
      <c r="O240" s="6">
        <f>'02_선반315'!R184</f>
        <v>865</v>
      </c>
      <c r="P240" s="6">
        <f>'02_선반315'!T184</f>
        <v>220</v>
      </c>
      <c r="Q240" s="6">
        <f>'02_선반315'!U184</f>
        <v>200</v>
      </c>
      <c r="R240" s="6">
        <f>'02_선반315'!S184</f>
        <v>270</v>
      </c>
      <c r="S240" s="6" t="str">
        <f t="shared" si="6"/>
        <v/>
      </c>
      <c r="T240" s="6" t="str">
        <f t="shared" si="7"/>
        <v>입력 대기</v>
      </c>
      <c r="U240" s="6" t="s">
        <v>7509</v>
      </c>
      <c r="V240" s="6" t="s">
        <v>555</v>
      </c>
      <c r="W240" s="6" t="s">
        <v>859</v>
      </c>
    </row>
    <row r="241" spans="1:23" ht="33" customHeight="1">
      <c r="A241" s="6" t="s">
        <v>7745</v>
      </c>
      <c r="B241" s="6" t="s">
        <v>1181</v>
      </c>
      <c r="C241" s="6" t="s">
        <v>332</v>
      </c>
      <c r="D241" s="6">
        <v>3</v>
      </c>
      <c r="E241" s="6" t="s">
        <v>6561</v>
      </c>
      <c r="F241" s="6" t="str">
        <f>IFERROR(INDEX('03_상품분류2526'!$C$7:$C$2532,MATCH(E241,'03_상품분류2526'!$A$7:$A$2532,0)),"코드 확인")</f>
        <v>고려은단 메가도스C 비타민C 3000mg</v>
      </c>
      <c r="G241" s="6" t="str">
        <f>IFERROR(INDEX('03_상품분류2526'!$D$7:$D$2532,MATCH(E241,'03_상품분류2526'!$A$7:$A$2532,0)),"코드 확인")</f>
        <v>30P</v>
      </c>
      <c r="H241" s="6" t="s">
        <v>7508</v>
      </c>
      <c r="I241" s="6" t="str">
        <f>IFERROR(INDEX('03_상품분류2526'!$M$7:$M$2532,MATCH(E241,'03_상품분류2526'!$A$7:$A$2532,0)),"코드 확인")</f>
        <v>A</v>
      </c>
      <c r="J241" s="6">
        <v>2</v>
      </c>
      <c r="K241" s="15">
        <v>1</v>
      </c>
      <c r="L241" s="6" t="str">
        <f>IFERROR(IF(INDEX('03_상품분류2526'!$V$7:$V$2532,MATCH(E241,'03_상품분류2526'!$A$7:$A$2532,0))="","",INDEX('03_상품분류2526'!$V$7:$V$2532,MATCH(E241,'03_상품분류2526'!$A$7:$A$2532,0))),"")</f>
        <v/>
      </c>
      <c r="M241" s="6" t="str">
        <f>IFERROR(IF(INDEX('03_상품분류2526'!$W$7:$W$2532,MATCH(E241,'03_상품분류2526'!$A$7:$A$2532,0))="","",INDEX('03_상품분류2526'!$W$7:$W$2532,MATCH(E241,'03_상품분류2526'!$A$7:$A$2532,0))),"")</f>
        <v/>
      </c>
      <c r="N241" s="6" t="str">
        <f>IFERROR(IF(INDEX('03_상품분류2526'!$X$7:$X$2532,MATCH(E241,'03_상품분류2526'!$A$7:$A$2532,0))="","",INDEX('03_상품분류2526'!$X$7:$X$2532,MATCH(E241,'03_상품분류2526'!$A$7:$A$2532,0))),"")</f>
        <v/>
      </c>
      <c r="O241" s="6">
        <f>'02_선반315'!R184</f>
        <v>865</v>
      </c>
      <c r="P241" s="6">
        <f>'02_선반315'!T184</f>
        <v>220</v>
      </c>
      <c r="Q241" s="6">
        <f>'02_선반315'!U184</f>
        <v>200</v>
      </c>
      <c r="R241" s="6">
        <f>'02_선반315'!S184</f>
        <v>270</v>
      </c>
      <c r="S241" s="6" t="str">
        <f t="shared" si="6"/>
        <v/>
      </c>
      <c r="T241" s="6" t="str">
        <f t="shared" si="7"/>
        <v>입력 대기</v>
      </c>
      <c r="U241" s="6" t="s">
        <v>7509</v>
      </c>
      <c r="V241" s="6" t="s">
        <v>555</v>
      </c>
      <c r="W241" s="6" t="s">
        <v>859</v>
      </c>
    </row>
    <row r="242" spans="1:23" ht="33" customHeight="1">
      <c r="A242" s="6" t="s">
        <v>7746</v>
      </c>
      <c r="B242" s="6" t="s">
        <v>1181</v>
      </c>
      <c r="C242" s="6" t="s">
        <v>332</v>
      </c>
      <c r="D242" s="6">
        <v>3</v>
      </c>
      <c r="E242" s="6" t="s">
        <v>1531</v>
      </c>
      <c r="F242" s="6" t="str">
        <f>IFERROR(INDEX('03_상품분류2526'!$C$7:$C$2532,MATCH(E242,'03_상품분류2526'!$A$7:$A$2532,0)),"코드 확인")</f>
        <v>하이퍼셀리포좀비타민C</v>
      </c>
      <c r="G242" s="6" t="str">
        <f>IFERROR(INDEX('03_상품분류2526'!$D$7:$D$2532,MATCH(E242,'03_상품분류2526'!$A$7:$A$2532,0)),"코드 확인")</f>
        <v>30포</v>
      </c>
      <c r="H242" s="6" t="s">
        <v>7508</v>
      </c>
      <c r="I242" s="6" t="str">
        <f>IFERROR(INDEX('03_상품분류2526'!$M$7:$M$2532,MATCH(E242,'03_상품분류2526'!$A$7:$A$2532,0)),"코드 확인")</f>
        <v>B</v>
      </c>
      <c r="J242" s="6">
        <v>3</v>
      </c>
      <c r="K242" s="15">
        <v>1</v>
      </c>
      <c r="L242" s="6" t="str">
        <f>IFERROR(IF(INDEX('03_상품분류2526'!$V$7:$V$2532,MATCH(E242,'03_상품분류2526'!$A$7:$A$2532,0))="","",INDEX('03_상품분류2526'!$V$7:$V$2532,MATCH(E242,'03_상품분류2526'!$A$7:$A$2532,0))),"")</f>
        <v/>
      </c>
      <c r="M242" s="6" t="str">
        <f>IFERROR(IF(INDEX('03_상품분류2526'!$W$7:$W$2532,MATCH(E242,'03_상품분류2526'!$A$7:$A$2532,0))="","",INDEX('03_상품분류2526'!$W$7:$W$2532,MATCH(E242,'03_상품분류2526'!$A$7:$A$2532,0))),"")</f>
        <v/>
      </c>
      <c r="N242" s="6" t="str">
        <f>IFERROR(IF(INDEX('03_상품분류2526'!$X$7:$X$2532,MATCH(E242,'03_상품분류2526'!$A$7:$A$2532,0))="","",INDEX('03_상품분류2526'!$X$7:$X$2532,MATCH(E242,'03_상품분류2526'!$A$7:$A$2532,0))),"")</f>
        <v/>
      </c>
      <c r="O242" s="6">
        <f>'02_선반315'!R184</f>
        <v>865</v>
      </c>
      <c r="P242" s="6">
        <f>'02_선반315'!T184</f>
        <v>220</v>
      </c>
      <c r="Q242" s="6">
        <f>'02_선반315'!U184</f>
        <v>200</v>
      </c>
      <c r="R242" s="6">
        <f>'02_선반315'!S184</f>
        <v>270</v>
      </c>
      <c r="S242" s="6" t="str">
        <f t="shared" si="6"/>
        <v/>
      </c>
      <c r="T242" s="6" t="str">
        <f t="shared" si="7"/>
        <v>입력 대기</v>
      </c>
      <c r="U242" s="6" t="s">
        <v>7509</v>
      </c>
      <c r="V242" s="6" t="s">
        <v>555</v>
      </c>
      <c r="W242" s="6" t="s">
        <v>859</v>
      </c>
    </row>
    <row r="243" spans="1:23" ht="33" customHeight="1">
      <c r="A243" s="6" t="s">
        <v>7747</v>
      </c>
      <c r="B243" s="6" t="s">
        <v>1185</v>
      </c>
      <c r="C243" s="6" t="s">
        <v>332</v>
      </c>
      <c r="D243" s="6">
        <v>4</v>
      </c>
      <c r="E243" s="6" t="s">
        <v>6989</v>
      </c>
      <c r="F243" s="6" t="str">
        <f>IFERROR(INDEX('03_상품분류2526'!$C$7:$C$2532,MATCH(E243,'03_상품분류2526'!$A$7:$A$2532,0)),"코드 확인")</f>
        <v>하이퍼셀 리포좀 글루타치온C</v>
      </c>
      <c r="G243" s="6" t="str">
        <f>IFERROR(INDEX('03_상품분류2526'!$D$7:$D$2532,MATCH(E243,'03_상품분류2526'!$A$7:$A$2532,0)),"코드 확인")</f>
        <v>4.5g*30포</v>
      </c>
      <c r="H243" s="6" t="s">
        <v>7508</v>
      </c>
      <c r="I243" s="6" t="str">
        <f>IFERROR(INDEX('03_상품분류2526'!$M$7:$M$2532,MATCH(E243,'03_상품분류2526'!$A$7:$A$2532,0)),"코드 확인")</f>
        <v>A</v>
      </c>
      <c r="J243" s="6">
        <v>1</v>
      </c>
      <c r="K243" s="15">
        <v>1</v>
      </c>
      <c r="L243" s="6" t="str">
        <f>IFERROR(IF(INDEX('03_상품분류2526'!$V$7:$V$2532,MATCH(E243,'03_상품분류2526'!$A$7:$A$2532,0))="","",INDEX('03_상품분류2526'!$V$7:$V$2532,MATCH(E243,'03_상품분류2526'!$A$7:$A$2532,0))),"")</f>
        <v/>
      </c>
      <c r="M243" s="6" t="str">
        <f>IFERROR(IF(INDEX('03_상품분류2526'!$W$7:$W$2532,MATCH(E243,'03_상품분류2526'!$A$7:$A$2532,0))="","",INDEX('03_상품분류2526'!$W$7:$W$2532,MATCH(E243,'03_상품분류2526'!$A$7:$A$2532,0))),"")</f>
        <v/>
      </c>
      <c r="N243" s="6" t="str">
        <f>IFERROR(IF(INDEX('03_상품분류2526'!$X$7:$X$2532,MATCH(E243,'03_상품분류2526'!$A$7:$A$2532,0))="","",INDEX('03_상품분류2526'!$X$7:$X$2532,MATCH(E243,'03_상품분류2526'!$A$7:$A$2532,0))),"")</f>
        <v/>
      </c>
      <c r="O243" s="6">
        <f>'02_선반315'!R185</f>
        <v>865</v>
      </c>
      <c r="P243" s="6">
        <f>'02_선반315'!T185</f>
        <v>220</v>
      </c>
      <c r="Q243" s="6">
        <f>'02_선반315'!U185</f>
        <v>200</v>
      </c>
      <c r="R243" s="6">
        <f>'02_선반315'!S185</f>
        <v>270</v>
      </c>
      <c r="S243" s="6" t="str">
        <f t="shared" si="6"/>
        <v/>
      </c>
      <c r="T243" s="6" t="str">
        <f t="shared" si="7"/>
        <v>입력 대기</v>
      </c>
      <c r="U243" s="6" t="s">
        <v>7509</v>
      </c>
      <c r="V243" s="6" t="s">
        <v>555</v>
      </c>
      <c r="W243" s="6" t="s">
        <v>859</v>
      </c>
    </row>
    <row r="244" spans="1:23" ht="33" customHeight="1">
      <c r="A244" s="6" t="s">
        <v>7748</v>
      </c>
      <c r="B244" s="6" t="s">
        <v>1185</v>
      </c>
      <c r="C244" s="6" t="s">
        <v>332</v>
      </c>
      <c r="D244" s="6">
        <v>4</v>
      </c>
      <c r="E244" s="6" t="s">
        <v>2368</v>
      </c>
      <c r="F244" s="6" t="str">
        <f>IFERROR(INDEX('03_상품분류2526'!$C$7:$C$2532,MATCH(E244,'03_상품분류2526'!$A$7:$A$2532,0)),"코드 확인")</f>
        <v>라티브 글루타치온 화이트토마토샷</v>
      </c>
      <c r="G244" s="6" t="str">
        <f>IFERROR(INDEX('03_상품분류2526'!$D$7:$D$2532,MATCH(E244,'03_상품분류2526'!$A$7:$A$2532,0)),"코드 확인")</f>
        <v>14EA</v>
      </c>
      <c r="H244" s="6" t="s">
        <v>7508</v>
      </c>
      <c r="I244" s="6" t="str">
        <f>IFERROR(INDEX('03_상품분류2526'!$M$7:$M$2532,MATCH(E244,'03_상품분류2526'!$A$7:$A$2532,0)),"코드 확인")</f>
        <v>B</v>
      </c>
      <c r="J244" s="6">
        <v>2</v>
      </c>
      <c r="K244" s="15">
        <v>1</v>
      </c>
      <c r="L244" s="6" t="str">
        <f>IFERROR(IF(INDEX('03_상품분류2526'!$V$7:$V$2532,MATCH(E244,'03_상품분류2526'!$A$7:$A$2532,0))="","",INDEX('03_상품분류2526'!$V$7:$V$2532,MATCH(E244,'03_상품분류2526'!$A$7:$A$2532,0))),"")</f>
        <v/>
      </c>
      <c r="M244" s="6" t="str">
        <f>IFERROR(IF(INDEX('03_상품분류2526'!$W$7:$W$2532,MATCH(E244,'03_상품분류2526'!$A$7:$A$2532,0))="","",INDEX('03_상품분류2526'!$W$7:$W$2532,MATCH(E244,'03_상품분류2526'!$A$7:$A$2532,0))),"")</f>
        <v/>
      </c>
      <c r="N244" s="6" t="str">
        <f>IFERROR(IF(INDEX('03_상품분류2526'!$X$7:$X$2532,MATCH(E244,'03_상품분류2526'!$A$7:$A$2532,0))="","",INDEX('03_상품분류2526'!$X$7:$X$2532,MATCH(E244,'03_상품분류2526'!$A$7:$A$2532,0))),"")</f>
        <v/>
      </c>
      <c r="O244" s="6">
        <f>'02_선반315'!R185</f>
        <v>865</v>
      </c>
      <c r="P244" s="6">
        <f>'02_선반315'!T185</f>
        <v>220</v>
      </c>
      <c r="Q244" s="6">
        <f>'02_선반315'!U185</f>
        <v>200</v>
      </c>
      <c r="R244" s="6">
        <f>'02_선반315'!S185</f>
        <v>270</v>
      </c>
      <c r="S244" s="6" t="str">
        <f t="shared" si="6"/>
        <v/>
      </c>
      <c r="T244" s="6" t="str">
        <f t="shared" si="7"/>
        <v>입력 대기</v>
      </c>
      <c r="U244" s="6" t="s">
        <v>7509</v>
      </c>
      <c r="V244" s="6" t="s">
        <v>555</v>
      </c>
      <c r="W244" s="6" t="s">
        <v>859</v>
      </c>
    </row>
    <row r="245" spans="1:23" ht="33" customHeight="1">
      <c r="A245" s="6" t="s">
        <v>7749</v>
      </c>
      <c r="B245" s="6" t="s">
        <v>1189</v>
      </c>
      <c r="C245" s="6" t="s">
        <v>332</v>
      </c>
      <c r="D245" s="6">
        <v>5</v>
      </c>
      <c r="E245" s="6" t="s">
        <v>1191</v>
      </c>
      <c r="F245" s="6" t="str">
        <f>IFERROR(INDEX('03_상품분류2526'!$C$7:$C$2532,MATCH(E245,'03_상품분류2526'!$A$7:$A$2532,0)),"코드 확인")</f>
        <v>고려은단 비타민C1000(300T)</v>
      </c>
      <c r="G245" s="6" t="str">
        <f>IFERROR(INDEX('03_상품분류2526'!$D$7:$D$2532,MATCH(E245,'03_상품분류2526'!$A$7:$A$2532,0)),"코드 확인")</f>
        <v>300T</v>
      </c>
      <c r="H245" s="6" t="s">
        <v>7508</v>
      </c>
      <c r="I245" s="6" t="str">
        <f>IFERROR(INDEX('03_상품분류2526'!$M$7:$M$2532,MATCH(E245,'03_상품분류2526'!$A$7:$A$2532,0)),"코드 확인")</f>
        <v>B</v>
      </c>
      <c r="J245" s="6">
        <v>1</v>
      </c>
      <c r="K245" s="15">
        <v>1</v>
      </c>
      <c r="L245" s="6" t="str">
        <f>IFERROR(IF(INDEX('03_상품분류2526'!$V$7:$V$2532,MATCH(E245,'03_상품분류2526'!$A$7:$A$2532,0))="","",INDEX('03_상품분류2526'!$V$7:$V$2532,MATCH(E245,'03_상품분류2526'!$A$7:$A$2532,0))),"")</f>
        <v/>
      </c>
      <c r="M245" s="6" t="str">
        <f>IFERROR(IF(INDEX('03_상품분류2526'!$W$7:$W$2532,MATCH(E245,'03_상품분류2526'!$A$7:$A$2532,0))="","",INDEX('03_상품분류2526'!$W$7:$W$2532,MATCH(E245,'03_상품분류2526'!$A$7:$A$2532,0))),"")</f>
        <v/>
      </c>
      <c r="N245" s="6" t="str">
        <f>IFERROR(IF(INDEX('03_상품분류2526'!$X$7:$X$2532,MATCH(E245,'03_상품분류2526'!$A$7:$A$2532,0))="","",INDEX('03_상품분류2526'!$X$7:$X$2532,MATCH(E245,'03_상품분류2526'!$A$7:$A$2532,0))),"")</f>
        <v/>
      </c>
      <c r="O245" s="6">
        <f>'02_선반315'!R186</f>
        <v>865</v>
      </c>
      <c r="P245" s="6">
        <f>'02_선반315'!T186</f>
        <v>220</v>
      </c>
      <c r="Q245" s="6">
        <f>'02_선반315'!U186</f>
        <v>200</v>
      </c>
      <c r="R245" s="6">
        <f>'02_선반315'!S186</f>
        <v>270</v>
      </c>
      <c r="S245" s="6" t="str">
        <f t="shared" si="6"/>
        <v/>
      </c>
      <c r="T245" s="6" t="str">
        <f t="shared" si="7"/>
        <v>입력 대기</v>
      </c>
      <c r="U245" s="6" t="s">
        <v>7509</v>
      </c>
      <c r="V245" s="6" t="s">
        <v>555</v>
      </c>
      <c r="W245" s="6" t="s">
        <v>859</v>
      </c>
    </row>
    <row r="246" spans="1:23" ht="33" customHeight="1">
      <c r="A246" s="6" t="s">
        <v>7750</v>
      </c>
      <c r="B246" s="6" t="s">
        <v>1194</v>
      </c>
      <c r="C246" s="6" t="s">
        <v>341</v>
      </c>
      <c r="D246" s="6">
        <v>2</v>
      </c>
      <c r="E246" s="6" t="s">
        <v>1540</v>
      </c>
      <c r="F246" s="6" t="str">
        <f>IFERROR(INDEX('03_상품분류2526'!$C$7:$C$2532,MATCH(E246,'03_상품분류2526'!$A$7:$A$2532,0)),"코드 확인")</f>
        <v>생유산균_락토핏_골드_리뉴얼</v>
      </c>
      <c r="G246" s="6" t="str">
        <f>IFERROR(INDEX('03_상품분류2526'!$D$7:$D$2532,MATCH(E246,'03_상품분류2526'!$A$7:$A$2532,0)),"코드 확인")</f>
        <v>50포</v>
      </c>
      <c r="H246" s="6" t="s">
        <v>7508</v>
      </c>
      <c r="I246" s="6" t="str">
        <f>IFERROR(INDEX('03_상품분류2526'!$M$7:$M$2532,MATCH(E246,'03_상품분류2526'!$A$7:$A$2532,0)),"코드 확인")</f>
        <v>A</v>
      </c>
      <c r="J246" s="6">
        <v>1</v>
      </c>
      <c r="K246" s="15">
        <v>2</v>
      </c>
      <c r="L246" s="6" t="str">
        <f>IFERROR(IF(INDEX('03_상품분류2526'!$V$7:$V$2532,MATCH(E246,'03_상품분류2526'!$A$7:$A$2532,0))="","",INDEX('03_상품분류2526'!$V$7:$V$2532,MATCH(E246,'03_상품분류2526'!$A$7:$A$2532,0))),"")</f>
        <v/>
      </c>
      <c r="M246" s="6" t="str">
        <f>IFERROR(IF(INDEX('03_상품분류2526'!$W$7:$W$2532,MATCH(E246,'03_상품분류2526'!$A$7:$A$2532,0))="","",INDEX('03_상품분류2526'!$W$7:$W$2532,MATCH(E246,'03_상품분류2526'!$A$7:$A$2532,0))),"")</f>
        <v/>
      </c>
      <c r="N246" s="6" t="str">
        <f>IFERROR(IF(INDEX('03_상품분류2526'!$X$7:$X$2532,MATCH(E246,'03_상품분류2526'!$A$7:$A$2532,0))="","",INDEX('03_상품분류2526'!$X$7:$X$2532,MATCH(E246,'03_상품분류2526'!$A$7:$A$2532,0))),"")</f>
        <v/>
      </c>
      <c r="O246" s="6">
        <f>'02_선반315'!R188</f>
        <v>865</v>
      </c>
      <c r="P246" s="6">
        <f>'02_선반315'!T188</f>
        <v>220</v>
      </c>
      <c r="Q246" s="6">
        <f>'02_선반315'!U188</f>
        <v>200</v>
      </c>
      <c r="R246" s="6">
        <f>'02_선반315'!S188</f>
        <v>270</v>
      </c>
      <c r="S246" s="6" t="str">
        <f t="shared" si="6"/>
        <v/>
      </c>
      <c r="T246" s="6" t="str">
        <f t="shared" si="7"/>
        <v>입력 대기</v>
      </c>
      <c r="U246" s="6" t="s">
        <v>7509</v>
      </c>
      <c r="V246" s="6" t="s">
        <v>555</v>
      </c>
      <c r="W246" s="6" t="s">
        <v>859</v>
      </c>
    </row>
    <row r="247" spans="1:23" ht="33" customHeight="1">
      <c r="A247" s="6" t="s">
        <v>7751</v>
      </c>
      <c r="B247" s="6" t="s">
        <v>1194</v>
      </c>
      <c r="C247" s="6" t="s">
        <v>341</v>
      </c>
      <c r="D247" s="6">
        <v>2</v>
      </c>
      <c r="E247" s="6" t="s">
        <v>6589</v>
      </c>
      <c r="F247" s="6" t="str">
        <f>IFERROR(INDEX('03_상품분류2526'!$C$7:$C$2532,MATCH(E247,'03_상품분류2526'!$A$7:$A$2532,0)),"코드 확인")</f>
        <v>한미 엔플 덴마크 유산균 30C</v>
      </c>
      <c r="G247" s="6" t="str">
        <f>IFERROR(INDEX('03_상품분류2526'!$D$7:$D$2532,MATCH(E247,'03_상품분류2526'!$A$7:$A$2532,0)),"코드 확인")</f>
        <v>30C</v>
      </c>
      <c r="H247" s="6" t="s">
        <v>7508</v>
      </c>
      <c r="I247" s="6" t="str">
        <f>IFERROR(INDEX('03_상품분류2526'!$M$7:$M$2532,MATCH(E247,'03_상품분류2526'!$A$7:$A$2532,0)),"코드 확인")</f>
        <v>A</v>
      </c>
      <c r="J247" s="6">
        <v>2</v>
      </c>
      <c r="K247" s="15">
        <v>1</v>
      </c>
      <c r="L247" s="6" t="str">
        <f>IFERROR(IF(INDEX('03_상품분류2526'!$V$7:$V$2532,MATCH(E247,'03_상품분류2526'!$A$7:$A$2532,0))="","",INDEX('03_상품분류2526'!$V$7:$V$2532,MATCH(E247,'03_상품분류2526'!$A$7:$A$2532,0))),"")</f>
        <v/>
      </c>
      <c r="M247" s="6" t="str">
        <f>IFERROR(IF(INDEX('03_상품분류2526'!$W$7:$W$2532,MATCH(E247,'03_상품분류2526'!$A$7:$A$2532,0))="","",INDEX('03_상품분류2526'!$W$7:$W$2532,MATCH(E247,'03_상품분류2526'!$A$7:$A$2532,0))),"")</f>
        <v/>
      </c>
      <c r="N247" s="6" t="str">
        <f>IFERROR(IF(INDEX('03_상품분류2526'!$X$7:$X$2532,MATCH(E247,'03_상품분류2526'!$A$7:$A$2532,0))="","",INDEX('03_상품분류2526'!$X$7:$X$2532,MATCH(E247,'03_상품분류2526'!$A$7:$A$2532,0))),"")</f>
        <v/>
      </c>
      <c r="O247" s="6">
        <f>'02_선반315'!R188</f>
        <v>865</v>
      </c>
      <c r="P247" s="6">
        <f>'02_선반315'!T188</f>
        <v>220</v>
      </c>
      <c r="Q247" s="6">
        <f>'02_선반315'!U188</f>
        <v>200</v>
      </c>
      <c r="R247" s="6">
        <f>'02_선반315'!S188</f>
        <v>270</v>
      </c>
      <c r="S247" s="6" t="str">
        <f t="shared" si="6"/>
        <v/>
      </c>
      <c r="T247" s="6" t="str">
        <f t="shared" si="7"/>
        <v>입력 대기</v>
      </c>
      <c r="U247" s="6" t="s">
        <v>7509</v>
      </c>
      <c r="V247" s="6" t="s">
        <v>555</v>
      </c>
      <c r="W247" s="6" t="s">
        <v>859</v>
      </c>
    </row>
    <row r="248" spans="1:23" ht="33" customHeight="1">
      <c r="A248" s="6" t="s">
        <v>7752</v>
      </c>
      <c r="B248" s="6" t="s">
        <v>1198</v>
      </c>
      <c r="C248" s="6" t="s">
        <v>341</v>
      </c>
      <c r="D248" s="6">
        <v>3</v>
      </c>
      <c r="E248" s="6" t="s">
        <v>1200</v>
      </c>
      <c r="F248" s="6" t="str">
        <f>IFERROR(INDEX('03_상품분류2526'!$C$7:$C$2532,MATCH(E248,'03_상품분류2526'!$A$7:$A$2532,0)),"코드 확인")</f>
        <v>그린스토어 우먼프로바이오틱스</v>
      </c>
      <c r="G248" s="6" t="str">
        <f>IFERROR(INDEX('03_상품분류2526'!$D$7:$D$2532,MATCH(E248,'03_상품분류2526'!$A$7:$A$2532,0)),"코드 확인")</f>
        <v>30C</v>
      </c>
      <c r="H248" s="6" t="s">
        <v>7508</v>
      </c>
      <c r="I248" s="6" t="str">
        <f>IFERROR(INDEX('03_상품분류2526'!$M$7:$M$2532,MATCH(E248,'03_상품분류2526'!$A$7:$A$2532,0)),"코드 확인")</f>
        <v>B</v>
      </c>
      <c r="J248" s="6">
        <v>1</v>
      </c>
      <c r="K248" s="15">
        <v>1</v>
      </c>
      <c r="L248" s="6" t="str">
        <f>IFERROR(IF(INDEX('03_상품분류2526'!$V$7:$V$2532,MATCH(E248,'03_상품분류2526'!$A$7:$A$2532,0))="","",INDEX('03_상품분류2526'!$V$7:$V$2532,MATCH(E248,'03_상품분류2526'!$A$7:$A$2532,0))),"")</f>
        <v/>
      </c>
      <c r="M248" s="6" t="str">
        <f>IFERROR(IF(INDEX('03_상품분류2526'!$W$7:$W$2532,MATCH(E248,'03_상품분류2526'!$A$7:$A$2532,0))="","",INDEX('03_상품분류2526'!$W$7:$W$2532,MATCH(E248,'03_상품분류2526'!$A$7:$A$2532,0))),"")</f>
        <v/>
      </c>
      <c r="N248" s="6" t="str">
        <f>IFERROR(IF(INDEX('03_상품분류2526'!$X$7:$X$2532,MATCH(E248,'03_상품분류2526'!$A$7:$A$2532,0))="","",INDEX('03_상품분류2526'!$X$7:$X$2532,MATCH(E248,'03_상품분류2526'!$A$7:$A$2532,0))),"")</f>
        <v/>
      </c>
      <c r="O248" s="6">
        <f>'02_선반315'!R189</f>
        <v>865</v>
      </c>
      <c r="P248" s="6">
        <f>'02_선반315'!T189</f>
        <v>220</v>
      </c>
      <c r="Q248" s="6">
        <f>'02_선반315'!U189</f>
        <v>200</v>
      </c>
      <c r="R248" s="6">
        <f>'02_선반315'!S189</f>
        <v>270</v>
      </c>
      <c r="S248" s="6" t="str">
        <f t="shared" si="6"/>
        <v/>
      </c>
      <c r="T248" s="6" t="str">
        <f t="shared" si="7"/>
        <v>입력 대기</v>
      </c>
      <c r="U248" s="6" t="s">
        <v>7509</v>
      </c>
      <c r="V248" s="6" t="s">
        <v>555</v>
      </c>
      <c r="W248" s="6" t="s">
        <v>859</v>
      </c>
    </row>
    <row r="249" spans="1:23" ht="33" customHeight="1">
      <c r="A249" s="6" t="s">
        <v>7753</v>
      </c>
      <c r="B249" s="6" t="s">
        <v>1202</v>
      </c>
      <c r="C249" s="6" t="s">
        <v>341</v>
      </c>
      <c r="D249" s="6">
        <v>4</v>
      </c>
      <c r="E249" s="6" t="s">
        <v>6456</v>
      </c>
      <c r="F249" s="6" t="str">
        <f>IFERROR(INDEX('03_상품분류2526'!$C$7:$C$2532,MATCH(E249,'03_상품분류2526'!$A$7:$A$2532,0)),"코드 확인")</f>
        <v>테일러 딥워터 푸룬</v>
      </c>
      <c r="G249" s="6" t="str">
        <f>IFERROR(INDEX('03_상품분류2526'!$D$7:$D$2532,MATCH(E249,'03_상품분류2526'!$A$7:$A$2532,0)),"코드 확인")</f>
        <v>180ml</v>
      </c>
      <c r="H249" s="6" t="s">
        <v>7508</v>
      </c>
      <c r="I249" s="6" t="str">
        <f>IFERROR(INDEX('03_상품분류2526'!$M$7:$M$2532,MATCH(E249,'03_상품분류2526'!$A$7:$A$2532,0)),"코드 확인")</f>
        <v>B</v>
      </c>
      <c r="J249" s="6">
        <v>1</v>
      </c>
      <c r="K249" s="15">
        <v>1</v>
      </c>
      <c r="L249" s="6" t="str">
        <f>IFERROR(IF(INDEX('03_상품분류2526'!$V$7:$V$2532,MATCH(E249,'03_상품분류2526'!$A$7:$A$2532,0))="","",INDEX('03_상품분류2526'!$V$7:$V$2532,MATCH(E249,'03_상품분류2526'!$A$7:$A$2532,0))),"")</f>
        <v/>
      </c>
      <c r="M249" s="6" t="str">
        <f>IFERROR(IF(INDEX('03_상품분류2526'!$W$7:$W$2532,MATCH(E249,'03_상품분류2526'!$A$7:$A$2532,0))="","",INDEX('03_상품분류2526'!$W$7:$W$2532,MATCH(E249,'03_상품분류2526'!$A$7:$A$2532,0))),"")</f>
        <v/>
      </c>
      <c r="N249" s="6" t="str">
        <f>IFERROR(IF(INDEX('03_상품분류2526'!$X$7:$X$2532,MATCH(E249,'03_상품분류2526'!$A$7:$A$2532,0))="","",INDEX('03_상품분류2526'!$X$7:$X$2532,MATCH(E249,'03_상품분류2526'!$A$7:$A$2532,0))),"")</f>
        <v/>
      </c>
      <c r="O249" s="6">
        <f>'02_선반315'!R190</f>
        <v>865</v>
      </c>
      <c r="P249" s="6">
        <f>'02_선반315'!T190</f>
        <v>220</v>
      </c>
      <c r="Q249" s="6">
        <f>'02_선반315'!U190</f>
        <v>200</v>
      </c>
      <c r="R249" s="6">
        <f>'02_선반315'!S190</f>
        <v>270</v>
      </c>
      <c r="S249" s="6" t="str">
        <f t="shared" si="6"/>
        <v/>
      </c>
      <c r="T249" s="6" t="str">
        <f t="shared" si="7"/>
        <v>입력 대기</v>
      </c>
      <c r="U249" s="6" t="s">
        <v>7509</v>
      </c>
      <c r="V249" s="6" t="s">
        <v>555</v>
      </c>
      <c r="W249" s="6" t="s">
        <v>859</v>
      </c>
    </row>
    <row r="250" spans="1:23" ht="33" customHeight="1">
      <c r="A250" s="6" t="s">
        <v>7754</v>
      </c>
      <c r="B250" s="6" t="s">
        <v>1202</v>
      </c>
      <c r="C250" s="6" t="s">
        <v>341</v>
      </c>
      <c r="D250" s="6">
        <v>4</v>
      </c>
      <c r="E250" s="6" t="s">
        <v>2072</v>
      </c>
      <c r="F250" s="6" t="str">
        <f>IFERROR(INDEX('03_상품분류2526'!$C$7:$C$2532,MATCH(E250,'03_상품분류2526'!$A$7:$A$2532,0)),"코드 확인")</f>
        <v>STOM 식이섬유정 1000</v>
      </c>
      <c r="G250" s="6" t="str">
        <f>IFERROR(INDEX('03_상품분류2526'!$D$7:$D$2532,MATCH(E250,'03_상품분류2526'!$A$7:$A$2532,0)),"코드 확인")</f>
        <v>30g</v>
      </c>
      <c r="H250" s="6" t="s">
        <v>7508</v>
      </c>
      <c r="I250" s="6" t="str">
        <f>IFERROR(INDEX('03_상품분류2526'!$M$7:$M$2532,MATCH(E250,'03_상품분류2526'!$A$7:$A$2532,0)),"코드 확인")</f>
        <v>B</v>
      </c>
      <c r="J250" s="6">
        <v>2</v>
      </c>
      <c r="K250" s="15">
        <v>1</v>
      </c>
      <c r="L250" s="6" t="str">
        <f>IFERROR(IF(INDEX('03_상품분류2526'!$V$7:$V$2532,MATCH(E250,'03_상품분류2526'!$A$7:$A$2532,0))="","",INDEX('03_상품분류2526'!$V$7:$V$2532,MATCH(E250,'03_상품분류2526'!$A$7:$A$2532,0))),"")</f>
        <v/>
      </c>
      <c r="M250" s="6" t="str">
        <f>IFERROR(IF(INDEX('03_상품분류2526'!$W$7:$W$2532,MATCH(E250,'03_상품분류2526'!$A$7:$A$2532,0))="","",INDEX('03_상품분류2526'!$W$7:$W$2532,MATCH(E250,'03_상품분류2526'!$A$7:$A$2532,0))),"")</f>
        <v/>
      </c>
      <c r="N250" s="6" t="str">
        <f>IFERROR(IF(INDEX('03_상품분류2526'!$X$7:$X$2532,MATCH(E250,'03_상품분류2526'!$A$7:$A$2532,0))="","",INDEX('03_상품분류2526'!$X$7:$X$2532,MATCH(E250,'03_상품분류2526'!$A$7:$A$2532,0))),"")</f>
        <v/>
      </c>
      <c r="O250" s="6">
        <f>'02_선반315'!R190</f>
        <v>865</v>
      </c>
      <c r="P250" s="6">
        <f>'02_선반315'!T190</f>
        <v>220</v>
      </c>
      <c r="Q250" s="6">
        <f>'02_선반315'!U190</f>
        <v>200</v>
      </c>
      <c r="R250" s="6">
        <f>'02_선반315'!S190</f>
        <v>270</v>
      </c>
      <c r="S250" s="6" t="str">
        <f t="shared" si="6"/>
        <v/>
      </c>
      <c r="T250" s="6" t="str">
        <f t="shared" si="7"/>
        <v>입력 대기</v>
      </c>
      <c r="U250" s="6" t="s">
        <v>7509</v>
      </c>
      <c r="V250" s="6" t="s">
        <v>555</v>
      </c>
      <c r="W250" s="6" t="s">
        <v>859</v>
      </c>
    </row>
    <row r="251" spans="1:23" ht="33" customHeight="1">
      <c r="A251" s="6" t="s">
        <v>7755</v>
      </c>
      <c r="B251" s="6" t="s">
        <v>1206</v>
      </c>
      <c r="C251" s="6" t="s">
        <v>341</v>
      </c>
      <c r="D251" s="6">
        <v>5</v>
      </c>
      <c r="E251" s="6" t="s">
        <v>6154</v>
      </c>
      <c r="F251" s="6" t="str">
        <f>IFERROR(INDEX('03_상품분류2526'!$C$7:$C$2532,MATCH(E251,'03_상품분류2526'!$A$7:$A$2532,0)),"코드 확인")</f>
        <v>웰니스효소</v>
      </c>
      <c r="G251" s="6" t="str">
        <f>IFERROR(INDEX('03_상품분류2526'!$D$7:$D$2532,MATCH(E251,'03_상품분류2526'!$A$7:$A$2532,0)),"코드 확인")</f>
        <v>60p</v>
      </c>
      <c r="H251" s="6" t="s">
        <v>7508</v>
      </c>
      <c r="I251" s="6" t="str">
        <f>IFERROR(INDEX('03_상품분류2526'!$M$7:$M$2532,MATCH(E251,'03_상품분류2526'!$A$7:$A$2532,0)),"코드 확인")</f>
        <v>B</v>
      </c>
      <c r="J251" s="6">
        <v>1</v>
      </c>
      <c r="K251" s="15">
        <v>1</v>
      </c>
      <c r="L251" s="6" t="str">
        <f>IFERROR(IF(INDEX('03_상품분류2526'!$V$7:$V$2532,MATCH(E251,'03_상품분류2526'!$A$7:$A$2532,0))="","",INDEX('03_상품분류2526'!$V$7:$V$2532,MATCH(E251,'03_상품분류2526'!$A$7:$A$2532,0))),"")</f>
        <v/>
      </c>
      <c r="M251" s="6" t="str">
        <f>IFERROR(IF(INDEX('03_상품분류2526'!$W$7:$W$2532,MATCH(E251,'03_상품분류2526'!$A$7:$A$2532,0))="","",INDEX('03_상품분류2526'!$W$7:$W$2532,MATCH(E251,'03_상품분류2526'!$A$7:$A$2532,0))),"")</f>
        <v/>
      </c>
      <c r="N251" s="6" t="str">
        <f>IFERROR(IF(INDEX('03_상품분류2526'!$X$7:$X$2532,MATCH(E251,'03_상품분류2526'!$A$7:$A$2532,0))="","",INDEX('03_상품분류2526'!$X$7:$X$2532,MATCH(E251,'03_상품분류2526'!$A$7:$A$2532,0))),"")</f>
        <v/>
      </c>
      <c r="O251" s="6">
        <f>'02_선반315'!R191</f>
        <v>865</v>
      </c>
      <c r="P251" s="6">
        <f>'02_선반315'!T191</f>
        <v>220</v>
      </c>
      <c r="Q251" s="6">
        <f>'02_선반315'!U191</f>
        <v>200</v>
      </c>
      <c r="R251" s="6">
        <f>'02_선반315'!S191</f>
        <v>270</v>
      </c>
      <c r="S251" s="6" t="str">
        <f t="shared" si="6"/>
        <v/>
      </c>
      <c r="T251" s="6" t="str">
        <f t="shared" si="7"/>
        <v>입력 대기</v>
      </c>
      <c r="U251" s="6" t="s">
        <v>7509</v>
      </c>
      <c r="V251" s="6" t="s">
        <v>555</v>
      </c>
      <c r="W251" s="6" t="s">
        <v>859</v>
      </c>
    </row>
    <row r="252" spans="1:23" ht="33" customHeight="1">
      <c r="A252" s="6" t="s">
        <v>7756</v>
      </c>
      <c r="B252" s="6" t="s">
        <v>1206</v>
      </c>
      <c r="C252" s="6" t="s">
        <v>341</v>
      </c>
      <c r="D252" s="6">
        <v>5</v>
      </c>
      <c r="E252" s="6" t="s">
        <v>6539</v>
      </c>
      <c r="F252" s="6" t="str">
        <f>IFERROR(INDEX('03_상품분류2526'!$C$7:$C$2532,MATCH(E252,'03_상품분류2526'!$A$7:$A$2532,0)),"코드 확인")</f>
        <v>달심 효소 후르츠믹스</v>
      </c>
      <c r="G252" s="6" t="str">
        <f>IFERROR(INDEX('03_상품분류2526'!$D$7:$D$2532,MATCH(E252,'03_상품분류2526'!$A$7:$A$2532,0)),"코드 확인")</f>
        <v>3g*30</v>
      </c>
      <c r="H252" s="6" t="s">
        <v>7508</v>
      </c>
      <c r="I252" s="6" t="str">
        <f>IFERROR(INDEX('03_상품분류2526'!$M$7:$M$2532,MATCH(E252,'03_상품분류2526'!$A$7:$A$2532,0)),"코드 확인")</f>
        <v>B</v>
      </c>
      <c r="J252" s="6">
        <v>2</v>
      </c>
      <c r="K252" s="15">
        <v>1</v>
      </c>
      <c r="L252" s="6" t="str">
        <f>IFERROR(IF(INDEX('03_상품분류2526'!$V$7:$V$2532,MATCH(E252,'03_상품분류2526'!$A$7:$A$2532,0))="","",INDEX('03_상품분류2526'!$V$7:$V$2532,MATCH(E252,'03_상품분류2526'!$A$7:$A$2532,0))),"")</f>
        <v/>
      </c>
      <c r="M252" s="6" t="str">
        <f>IFERROR(IF(INDEX('03_상품분류2526'!$W$7:$W$2532,MATCH(E252,'03_상품분류2526'!$A$7:$A$2532,0))="","",INDEX('03_상품분류2526'!$W$7:$W$2532,MATCH(E252,'03_상품분류2526'!$A$7:$A$2532,0))),"")</f>
        <v/>
      </c>
      <c r="N252" s="6" t="str">
        <f>IFERROR(IF(INDEX('03_상품분류2526'!$X$7:$X$2532,MATCH(E252,'03_상품분류2526'!$A$7:$A$2532,0))="","",INDEX('03_상품분류2526'!$X$7:$X$2532,MATCH(E252,'03_상품분류2526'!$A$7:$A$2532,0))),"")</f>
        <v/>
      </c>
      <c r="O252" s="6">
        <f>'02_선반315'!R191</f>
        <v>865</v>
      </c>
      <c r="P252" s="6">
        <f>'02_선반315'!T191</f>
        <v>220</v>
      </c>
      <c r="Q252" s="6">
        <f>'02_선반315'!U191</f>
        <v>200</v>
      </c>
      <c r="R252" s="6">
        <f>'02_선반315'!S191</f>
        <v>270</v>
      </c>
      <c r="S252" s="6" t="str">
        <f t="shared" si="6"/>
        <v/>
      </c>
      <c r="T252" s="6" t="str">
        <f t="shared" si="7"/>
        <v>입력 대기</v>
      </c>
      <c r="U252" s="6" t="s">
        <v>7509</v>
      </c>
      <c r="V252" s="6" t="s">
        <v>555</v>
      </c>
      <c r="W252" s="6" t="s">
        <v>859</v>
      </c>
    </row>
    <row r="253" spans="1:23" ht="33" customHeight="1">
      <c r="A253" s="6" t="s">
        <v>7757</v>
      </c>
      <c r="B253" s="6" t="s">
        <v>1211</v>
      </c>
      <c r="C253" s="6" t="s">
        <v>349</v>
      </c>
      <c r="D253" s="6">
        <v>2</v>
      </c>
      <c r="E253" s="6" t="s">
        <v>805</v>
      </c>
      <c r="F253" s="6" t="str">
        <f>IFERROR(INDEX('03_상품분류2526'!$C$7:$C$2532,MATCH(E253,'03_상품분류2526'!$A$7:$A$2532,0)),"코드 확인")</f>
        <v>에버콜라겐 타임 레티놀 A</v>
      </c>
      <c r="G253" s="6" t="str">
        <f>IFERROR(INDEX('03_상품분류2526'!$D$7:$D$2532,MATCH(E253,'03_상품분류2526'!$A$7:$A$2532,0)),"코드 확인")</f>
        <v>30포</v>
      </c>
      <c r="H253" s="6" t="s">
        <v>7508</v>
      </c>
      <c r="I253" s="6" t="str">
        <f>IFERROR(INDEX('03_상품분류2526'!$M$7:$M$2532,MATCH(E253,'03_상품분류2526'!$A$7:$A$2532,0)),"코드 확인")</f>
        <v>A</v>
      </c>
      <c r="J253" s="6">
        <v>1</v>
      </c>
      <c r="K253" s="15">
        <v>2</v>
      </c>
      <c r="L253" s="6" t="str">
        <f>IFERROR(IF(INDEX('03_상품분류2526'!$V$7:$V$2532,MATCH(E253,'03_상품분류2526'!$A$7:$A$2532,0))="","",INDEX('03_상품분류2526'!$V$7:$V$2532,MATCH(E253,'03_상품분류2526'!$A$7:$A$2532,0))),"")</f>
        <v/>
      </c>
      <c r="M253" s="6" t="str">
        <f>IFERROR(IF(INDEX('03_상품분류2526'!$W$7:$W$2532,MATCH(E253,'03_상품분류2526'!$A$7:$A$2532,0))="","",INDEX('03_상품분류2526'!$W$7:$W$2532,MATCH(E253,'03_상품분류2526'!$A$7:$A$2532,0))),"")</f>
        <v/>
      </c>
      <c r="N253" s="6" t="str">
        <f>IFERROR(IF(INDEX('03_상품분류2526'!$X$7:$X$2532,MATCH(E253,'03_상품분류2526'!$A$7:$A$2532,0))="","",INDEX('03_상품분류2526'!$X$7:$X$2532,MATCH(E253,'03_상품분류2526'!$A$7:$A$2532,0))),"")</f>
        <v/>
      </c>
      <c r="O253" s="6">
        <f>'02_선반315'!R193</f>
        <v>865</v>
      </c>
      <c r="P253" s="6">
        <f>'02_선반315'!T193</f>
        <v>220</v>
      </c>
      <c r="Q253" s="6">
        <f>'02_선반315'!U193</f>
        <v>200</v>
      </c>
      <c r="R253" s="6">
        <f>'02_선반315'!S193</f>
        <v>270</v>
      </c>
      <c r="S253" s="6" t="str">
        <f t="shared" si="6"/>
        <v/>
      </c>
      <c r="T253" s="6" t="str">
        <f t="shared" si="7"/>
        <v>입력 대기</v>
      </c>
      <c r="U253" s="6" t="s">
        <v>7509</v>
      </c>
      <c r="V253" s="6" t="s">
        <v>555</v>
      </c>
      <c r="W253" s="6" t="s">
        <v>859</v>
      </c>
    </row>
    <row r="254" spans="1:23" ht="33" customHeight="1">
      <c r="A254" s="6" t="s">
        <v>7758</v>
      </c>
      <c r="B254" s="6" t="s">
        <v>1211</v>
      </c>
      <c r="C254" s="6" t="s">
        <v>349</v>
      </c>
      <c r="D254" s="6">
        <v>2</v>
      </c>
      <c r="E254" s="6" t="s">
        <v>1784</v>
      </c>
      <c r="F254" s="6" t="str">
        <f>IFERROR(INDEX('03_상품분류2526'!$C$7:$C$2532,MATCH(E254,'03_상품분류2526'!$A$7:$A$2532,0)),"코드 확인")</f>
        <v>에버콜라겐 타임 비오틴 셀</v>
      </c>
      <c r="G254" s="6" t="str">
        <f>IFERROR(INDEX('03_상품분류2526'!$D$7:$D$2532,MATCH(E254,'03_상품분류2526'!$A$7:$A$2532,0)),"코드 확인")</f>
        <v>30p</v>
      </c>
      <c r="H254" s="6" t="s">
        <v>7508</v>
      </c>
      <c r="I254" s="6" t="str">
        <f>IFERROR(INDEX('03_상품분류2526'!$M$7:$M$2532,MATCH(E254,'03_상품분류2526'!$A$7:$A$2532,0)),"코드 확인")</f>
        <v>B</v>
      </c>
      <c r="J254" s="6">
        <v>2</v>
      </c>
      <c r="K254" s="15">
        <v>1</v>
      </c>
      <c r="L254" s="6" t="str">
        <f>IFERROR(IF(INDEX('03_상품분류2526'!$V$7:$V$2532,MATCH(E254,'03_상품분류2526'!$A$7:$A$2532,0))="","",INDEX('03_상품분류2526'!$V$7:$V$2532,MATCH(E254,'03_상품분류2526'!$A$7:$A$2532,0))),"")</f>
        <v/>
      </c>
      <c r="M254" s="6" t="str">
        <f>IFERROR(IF(INDEX('03_상품분류2526'!$W$7:$W$2532,MATCH(E254,'03_상품분류2526'!$A$7:$A$2532,0))="","",INDEX('03_상품분류2526'!$W$7:$W$2532,MATCH(E254,'03_상품분류2526'!$A$7:$A$2532,0))),"")</f>
        <v/>
      </c>
      <c r="N254" s="6" t="str">
        <f>IFERROR(IF(INDEX('03_상품분류2526'!$X$7:$X$2532,MATCH(E254,'03_상품분류2526'!$A$7:$A$2532,0))="","",INDEX('03_상품분류2526'!$X$7:$X$2532,MATCH(E254,'03_상품분류2526'!$A$7:$A$2532,0))),"")</f>
        <v/>
      </c>
      <c r="O254" s="6">
        <f>'02_선반315'!R193</f>
        <v>865</v>
      </c>
      <c r="P254" s="6">
        <f>'02_선반315'!T193</f>
        <v>220</v>
      </c>
      <c r="Q254" s="6">
        <f>'02_선반315'!U193</f>
        <v>200</v>
      </c>
      <c r="R254" s="6">
        <f>'02_선반315'!S193</f>
        <v>270</v>
      </c>
      <c r="S254" s="6" t="str">
        <f t="shared" si="6"/>
        <v/>
      </c>
      <c r="T254" s="6" t="str">
        <f t="shared" si="7"/>
        <v>입력 대기</v>
      </c>
      <c r="U254" s="6" t="s">
        <v>7509</v>
      </c>
      <c r="V254" s="6" t="s">
        <v>555</v>
      </c>
      <c r="W254" s="6" t="s">
        <v>859</v>
      </c>
    </row>
    <row r="255" spans="1:23" ht="33" customHeight="1">
      <c r="A255" s="6" t="s">
        <v>7759</v>
      </c>
      <c r="B255" s="6" t="s">
        <v>1215</v>
      </c>
      <c r="C255" s="6" t="s">
        <v>349</v>
      </c>
      <c r="D255" s="6">
        <v>3</v>
      </c>
      <c r="E255" s="6" t="s">
        <v>1217</v>
      </c>
      <c r="F255" s="6" t="str">
        <f>IFERROR(INDEX('03_상품분류2526'!$C$7:$C$2532,MATCH(E255,'03_상품분류2526'!$A$7:$A$2532,0)),"코드 확인")</f>
        <v>앱솔루트콜라겐9.0</v>
      </c>
      <c r="G255" s="6" t="str">
        <f>IFERROR(INDEX('03_상품분류2526'!$D$7:$D$2532,MATCH(E255,'03_상품분류2526'!$A$7:$A$2532,0)),"코드 확인")</f>
        <v>30p</v>
      </c>
      <c r="H255" s="6" t="s">
        <v>7508</v>
      </c>
      <c r="I255" s="6" t="str">
        <f>IFERROR(INDEX('03_상품분류2526'!$M$7:$M$2532,MATCH(E255,'03_상품분류2526'!$A$7:$A$2532,0)),"코드 확인")</f>
        <v>A</v>
      </c>
      <c r="J255" s="6">
        <v>1</v>
      </c>
      <c r="K255" s="15">
        <v>1</v>
      </c>
      <c r="L255" s="6" t="str">
        <f>IFERROR(IF(INDEX('03_상품분류2526'!$V$7:$V$2532,MATCH(E255,'03_상품분류2526'!$A$7:$A$2532,0))="","",INDEX('03_상품분류2526'!$V$7:$V$2532,MATCH(E255,'03_상품분류2526'!$A$7:$A$2532,0))),"")</f>
        <v/>
      </c>
      <c r="M255" s="6" t="str">
        <f>IFERROR(IF(INDEX('03_상품분류2526'!$W$7:$W$2532,MATCH(E255,'03_상품분류2526'!$A$7:$A$2532,0))="","",INDEX('03_상품분류2526'!$W$7:$W$2532,MATCH(E255,'03_상품분류2526'!$A$7:$A$2532,0))),"")</f>
        <v/>
      </c>
      <c r="N255" s="6" t="str">
        <f>IFERROR(IF(INDEX('03_상품분류2526'!$X$7:$X$2532,MATCH(E255,'03_상품분류2526'!$A$7:$A$2532,0))="","",INDEX('03_상품분류2526'!$X$7:$X$2532,MATCH(E255,'03_상품분류2526'!$A$7:$A$2532,0))),"")</f>
        <v/>
      </c>
      <c r="O255" s="6">
        <f>'02_선반315'!R194</f>
        <v>865</v>
      </c>
      <c r="P255" s="6">
        <f>'02_선반315'!T194</f>
        <v>220</v>
      </c>
      <c r="Q255" s="6">
        <f>'02_선반315'!U194</f>
        <v>200</v>
      </c>
      <c r="R255" s="6">
        <f>'02_선반315'!S194</f>
        <v>270</v>
      </c>
      <c r="S255" s="6" t="str">
        <f t="shared" si="6"/>
        <v/>
      </c>
      <c r="T255" s="6" t="str">
        <f t="shared" si="7"/>
        <v>입력 대기</v>
      </c>
      <c r="U255" s="6" t="s">
        <v>7509</v>
      </c>
      <c r="V255" s="6" t="s">
        <v>555</v>
      </c>
      <c r="W255" s="6" t="s">
        <v>859</v>
      </c>
    </row>
    <row r="256" spans="1:23" ht="33" customHeight="1">
      <c r="A256" s="6" t="s">
        <v>7760</v>
      </c>
      <c r="B256" s="6" t="s">
        <v>1219</v>
      </c>
      <c r="C256" s="6" t="s">
        <v>349</v>
      </c>
      <c r="D256" s="6">
        <v>4</v>
      </c>
      <c r="E256" s="6" t="s">
        <v>2539</v>
      </c>
      <c r="F256" s="6" t="str">
        <f>IFERROR(INDEX('03_상품분류2526'!$C$7:$C$2532,MATCH(E256,'03_상품분류2526'!$A$7:$A$2532,0)),"코드 확인")</f>
        <v>낫띵베럴 단백질 쉐이크 초코크런치</v>
      </c>
      <c r="G256" s="6" t="str">
        <f>IFERROR(INDEX('03_상품분류2526'!$D$7:$D$2532,MATCH(E256,'03_상품분류2526'!$A$7:$A$2532,0)),"코드 확인")</f>
        <v>40g</v>
      </c>
      <c r="H256" s="6" t="s">
        <v>7508</v>
      </c>
      <c r="I256" s="6" t="str">
        <f>IFERROR(INDEX('03_상품분류2526'!$M$7:$M$2532,MATCH(E256,'03_상품분류2526'!$A$7:$A$2532,0)),"코드 확인")</f>
        <v>B</v>
      </c>
      <c r="J256" s="6">
        <v>1</v>
      </c>
      <c r="K256" s="15">
        <v>1</v>
      </c>
      <c r="L256" s="6" t="str">
        <f>IFERROR(IF(INDEX('03_상품분류2526'!$V$7:$V$2532,MATCH(E256,'03_상품분류2526'!$A$7:$A$2532,0))="","",INDEX('03_상품분류2526'!$V$7:$V$2532,MATCH(E256,'03_상품분류2526'!$A$7:$A$2532,0))),"")</f>
        <v/>
      </c>
      <c r="M256" s="6" t="str">
        <f>IFERROR(IF(INDEX('03_상품분류2526'!$W$7:$W$2532,MATCH(E256,'03_상품분류2526'!$A$7:$A$2532,0))="","",INDEX('03_상품분류2526'!$W$7:$W$2532,MATCH(E256,'03_상품분류2526'!$A$7:$A$2532,0))),"")</f>
        <v/>
      </c>
      <c r="N256" s="6" t="str">
        <f>IFERROR(IF(INDEX('03_상품분류2526'!$X$7:$X$2532,MATCH(E256,'03_상품분류2526'!$A$7:$A$2532,0))="","",INDEX('03_상품분류2526'!$X$7:$X$2532,MATCH(E256,'03_상품분류2526'!$A$7:$A$2532,0))),"")</f>
        <v/>
      </c>
      <c r="O256" s="6">
        <f>'02_선반315'!R195</f>
        <v>865</v>
      </c>
      <c r="P256" s="6">
        <f>'02_선반315'!T195</f>
        <v>220</v>
      </c>
      <c r="Q256" s="6">
        <f>'02_선반315'!U195</f>
        <v>200</v>
      </c>
      <c r="R256" s="6">
        <f>'02_선반315'!S195</f>
        <v>270</v>
      </c>
      <c r="S256" s="6" t="str">
        <f t="shared" si="6"/>
        <v/>
      </c>
      <c r="T256" s="6" t="str">
        <f t="shared" si="7"/>
        <v>입력 대기</v>
      </c>
      <c r="U256" s="6" t="s">
        <v>7509</v>
      </c>
      <c r="V256" s="6" t="s">
        <v>555</v>
      </c>
      <c r="W256" s="6" t="s">
        <v>859</v>
      </c>
    </row>
    <row r="257" spans="1:23" ht="33" customHeight="1">
      <c r="A257" s="6" t="s">
        <v>7761</v>
      </c>
      <c r="B257" s="6" t="s">
        <v>1219</v>
      </c>
      <c r="C257" s="6" t="s">
        <v>349</v>
      </c>
      <c r="D257" s="6">
        <v>4</v>
      </c>
      <c r="E257" s="6" t="s">
        <v>2541</v>
      </c>
      <c r="F257" s="6" t="str">
        <f>IFERROR(INDEX('03_상품분류2526'!$C$7:$C$2532,MATCH(E257,'03_상품분류2526'!$A$7:$A$2532,0)),"코드 확인")</f>
        <v>낫띵베럴 단백질 쉐이크 딸기라떼</v>
      </c>
      <c r="G257" s="6" t="str">
        <f>IFERROR(INDEX('03_상품분류2526'!$D$7:$D$2532,MATCH(E257,'03_상품분류2526'!$A$7:$A$2532,0)),"코드 확인")</f>
        <v>40g</v>
      </c>
      <c r="H257" s="6" t="s">
        <v>7508</v>
      </c>
      <c r="I257" s="6" t="str">
        <f>IFERROR(INDEX('03_상품분류2526'!$M$7:$M$2532,MATCH(E257,'03_상품분류2526'!$A$7:$A$2532,0)),"코드 확인")</f>
        <v>B</v>
      </c>
      <c r="J257" s="6">
        <v>2</v>
      </c>
      <c r="K257" s="15">
        <v>1</v>
      </c>
      <c r="L257" s="6" t="str">
        <f>IFERROR(IF(INDEX('03_상품분류2526'!$V$7:$V$2532,MATCH(E257,'03_상품분류2526'!$A$7:$A$2532,0))="","",INDEX('03_상품분류2526'!$V$7:$V$2532,MATCH(E257,'03_상품분류2526'!$A$7:$A$2532,0))),"")</f>
        <v/>
      </c>
      <c r="M257" s="6" t="str">
        <f>IFERROR(IF(INDEX('03_상품분류2526'!$W$7:$W$2532,MATCH(E257,'03_상품분류2526'!$A$7:$A$2532,0))="","",INDEX('03_상품분류2526'!$W$7:$W$2532,MATCH(E257,'03_상품분류2526'!$A$7:$A$2532,0))),"")</f>
        <v/>
      </c>
      <c r="N257" s="6" t="str">
        <f>IFERROR(IF(INDEX('03_상품분류2526'!$X$7:$X$2532,MATCH(E257,'03_상품분류2526'!$A$7:$A$2532,0))="","",INDEX('03_상품분류2526'!$X$7:$X$2532,MATCH(E257,'03_상품분류2526'!$A$7:$A$2532,0))),"")</f>
        <v/>
      </c>
      <c r="O257" s="6">
        <f>'02_선반315'!R195</f>
        <v>865</v>
      </c>
      <c r="P257" s="6">
        <f>'02_선반315'!T195</f>
        <v>220</v>
      </c>
      <c r="Q257" s="6">
        <f>'02_선반315'!U195</f>
        <v>200</v>
      </c>
      <c r="R257" s="6">
        <f>'02_선반315'!S195</f>
        <v>270</v>
      </c>
      <c r="S257" s="6" t="str">
        <f t="shared" si="6"/>
        <v/>
      </c>
      <c r="T257" s="6" t="str">
        <f t="shared" si="7"/>
        <v>입력 대기</v>
      </c>
      <c r="U257" s="6" t="s">
        <v>7509</v>
      </c>
      <c r="V257" s="6" t="s">
        <v>555</v>
      </c>
      <c r="W257" s="6" t="s">
        <v>859</v>
      </c>
    </row>
    <row r="258" spans="1:23" ht="33" customHeight="1">
      <c r="A258" s="6" t="s">
        <v>7762</v>
      </c>
      <c r="B258" s="6" t="s">
        <v>1224</v>
      </c>
      <c r="C258" s="6" t="s">
        <v>349</v>
      </c>
      <c r="D258" s="6">
        <v>5</v>
      </c>
      <c r="E258" s="6" t="s">
        <v>7140</v>
      </c>
      <c r="F258" s="6" t="str">
        <f>IFERROR(INDEX('03_상품분류2526'!$C$7:$C$2532,MATCH(E258,'03_상품분류2526'!$A$7:$A$2532,0)),"코드 확인")</f>
        <v>아르기닌 화이트 3X</v>
      </c>
      <c r="G258" s="6" t="str">
        <f>IFERROR(INDEX('03_상품분류2526'!$D$7:$D$2532,MATCH(E258,'03_상품분류2526'!$A$7:$A$2532,0)),"코드 확인")</f>
        <v>1P</v>
      </c>
      <c r="H258" s="6" t="s">
        <v>7508</v>
      </c>
      <c r="I258" s="6" t="str">
        <f>IFERROR(INDEX('03_상품분류2526'!$M$7:$M$2532,MATCH(E258,'03_상품분류2526'!$A$7:$A$2532,0)),"코드 확인")</f>
        <v>B</v>
      </c>
      <c r="J258" s="6">
        <v>1</v>
      </c>
      <c r="K258" s="15">
        <v>1</v>
      </c>
      <c r="L258" s="6" t="str">
        <f>IFERROR(IF(INDEX('03_상품분류2526'!$V$7:$V$2532,MATCH(E258,'03_상품분류2526'!$A$7:$A$2532,0))="","",INDEX('03_상품분류2526'!$V$7:$V$2532,MATCH(E258,'03_상품분류2526'!$A$7:$A$2532,0))),"")</f>
        <v/>
      </c>
      <c r="M258" s="6" t="str">
        <f>IFERROR(IF(INDEX('03_상품분류2526'!$W$7:$W$2532,MATCH(E258,'03_상품분류2526'!$A$7:$A$2532,0))="","",INDEX('03_상품분류2526'!$W$7:$W$2532,MATCH(E258,'03_상품분류2526'!$A$7:$A$2532,0))),"")</f>
        <v/>
      </c>
      <c r="N258" s="6" t="str">
        <f>IFERROR(IF(INDEX('03_상품분류2526'!$X$7:$X$2532,MATCH(E258,'03_상품분류2526'!$A$7:$A$2532,0))="","",INDEX('03_상품분류2526'!$X$7:$X$2532,MATCH(E258,'03_상품분류2526'!$A$7:$A$2532,0))),"")</f>
        <v/>
      </c>
      <c r="O258" s="6">
        <f>'02_선반315'!R196</f>
        <v>865</v>
      </c>
      <c r="P258" s="6">
        <f>'02_선반315'!T196</f>
        <v>220</v>
      </c>
      <c r="Q258" s="6">
        <f>'02_선반315'!U196</f>
        <v>200</v>
      </c>
      <c r="R258" s="6">
        <f>'02_선반315'!S196</f>
        <v>270</v>
      </c>
      <c r="S258" s="6" t="str">
        <f t="shared" si="6"/>
        <v/>
      </c>
      <c r="T258" s="6" t="str">
        <f t="shared" si="7"/>
        <v>입력 대기</v>
      </c>
      <c r="U258" s="6" t="s">
        <v>7509</v>
      </c>
      <c r="V258" s="6" t="s">
        <v>555</v>
      </c>
      <c r="W258" s="6" t="s">
        <v>859</v>
      </c>
    </row>
    <row r="259" spans="1:23" ht="33" customHeight="1">
      <c r="A259" s="6" t="s">
        <v>7763</v>
      </c>
      <c r="B259" s="6" t="s">
        <v>1224</v>
      </c>
      <c r="C259" s="6" t="s">
        <v>349</v>
      </c>
      <c r="D259" s="6">
        <v>5</v>
      </c>
      <c r="E259" s="6" t="s">
        <v>2814</v>
      </c>
      <c r="F259" s="6" t="str">
        <f>IFERROR(INDEX('03_상품분류2526'!$C$7:$C$2532,MATCH(E259,'03_상품분류2526'!$A$7:$A$2532,0)),"코드 확인")</f>
        <v>익스트림 듀얼아르기닌 플러스 120정 (2개월분)</v>
      </c>
      <c r="G259" s="6" t="str">
        <f>IFERROR(INDEX('03_상품분류2526'!$D$7:$D$2532,MATCH(E259,'03_상품분류2526'!$A$7:$A$2532,0)),"코드 확인")</f>
        <v>120T</v>
      </c>
      <c r="H259" s="6" t="s">
        <v>7508</v>
      </c>
      <c r="I259" s="6" t="str">
        <f>IFERROR(INDEX('03_상품분류2526'!$M$7:$M$2532,MATCH(E259,'03_상품분류2526'!$A$7:$A$2532,0)),"코드 확인")</f>
        <v>B</v>
      </c>
      <c r="J259" s="6">
        <v>2</v>
      </c>
      <c r="K259" s="15">
        <v>1</v>
      </c>
      <c r="L259" s="6" t="str">
        <f>IFERROR(IF(INDEX('03_상품분류2526'!$V$7:$V$2532,MATCH(E259,'03_상품분류2526'!$A$7:$A$2532,0))="","",INDEX('03_상품분류2526'!$V$7:$V$2532,MATCH(E259,'03_상품분류2526'!$A$7:$A$2532,0))),"")</f>
        <v/>
      </c>
      <c r="M259" s="6" t="str">
        <f>IFERROR(IF(INDEX('03_상품분류2526'!$W$7:$W$2532,MATCH(E259,'03_상품분류2526'!$A$7:$A$2532,0))="","",INDEX('03_상품분류2526'!$W$7:$W$2532,MATCH(E259,'03_상품분류2526'!$A$7:$A$2532,0))),"")</f>
        <v/>
      </c>
      <c r="N259" s="6" t="str">
        <f>IFERROR(IF(INDEX('03_상품분류2526'!$X$7:$X$2532,MATCH(E259,'03_상품분류2526'!$A$7:$A$2532,0))="","",INDEX('03_상품분류2526'!$X$7:$X$2532,MATCH(E259,'03_상품분류2526'!$A$7:$A$2532,0))),"")</f>
        <v/>
      </c>
      <c r="O259" s="6">
        <f>'02_선반315'!R196</f>
        <v>865</v>
      </c>
      <c r="P259" s="6">
        <f>'02_선반315'!T196</f>
        <v>220</v>
      </c>
      <c r="Q259" s="6">
        <f>'02_선반315'!U196</f>
        <v>200</v>
      </c>
      <c r="R259" s="6">
        <f>'02_선반315'!S196</f>
        <v>270</v>
      </c>
      <c r="S259" s="6" t="str">
        <f t="shared" si="6"/>
        <v/>
      </c>
      <c r="T259" s="6" t="str">
        <f t="shared" si="7"/>
        <v>입력 대기</v>
      </c>
      <c r="U259" s="6" t="s">
        <v>7509</v>
      </c>
      <c r="V259" s="6" t="s">
        <v>555</v>
      </c>
      <c r="W259" s="6" t="s">
        <v>859</v>
      </c>
    </row>
    <row r="260" spans="1:23" ht="33" customHeight="1">
      <c r="A260" s="6" t="s">
        <v>7764</v>
      </c>
      <c r="B260" s="6" t="s">
        <v>1229</v>
      </c>
      <c r="C260" s="6" t="s">
        <v>358</v>
      </c>
      <c r="D260" s="6">
        <v>2</v>
      </c>
      <c r="E260" s="6" t="s">
        <v>1544</v>
      </c>
      <c r="F260" s="6" t="str">
        <f>IFERROR(INDEX('03_상품분류2526'!$C$7:$C$2532,MATCH(E260,'03_상품분류2526'!$A$7:$A$2532,0)),"코드 확인")</f>
        <v>고려은단 멀티비타민 올인원 맨</v>
      </c>
      <c r="G260" s="6" t="str">
        <f>IFERROR(INDEX('03_상품분류2526'!$D$7:$D$2532,MATCH(E260,'03_상품분류2526'!$A$7:$A$2532,0)),"코드 확인")</f>
        <v>30T</v>
      </c>
      <c r="H260" s="6" t="s">
        <v>7508</v>
      </c>
      <c r="I260" s="6" t="str">
        <f>IFERROR(INDEX('03_상품분류2526'!$M$7:$M$2532,MATCH(E260,'03_상품분류2526'!$A$7:$A$2532,0)),"코드 확인")</f>
        <v>A</v>
      </c>
      <c r="J260" s="6">
        <v>1</v>
      </c>
      <c r="K260" s="15">
        <v>1</v>
      </c>
      <c r="L260" s="6" t="str">
        <f>IFERROR(IF(INDEX('03_상품분류2526'!$V$7:$V$2532,MATCH(E260,'03_상품분류2526'!$A$7:$A$2532,0))="","",INDEX('03_상품분류2526'!$V$7:$V$2532,MATCH(E260,'03_상품분류2526'!$A$7:$A$2532,0))),"")</f>
        <v/>
      </c>
      <c r="M260" s="6" t="str">
        <f>IFERROR(IF(INDEX('03_상품분류2526'!$W$7:$W$2532,MATCH(E260,'03_상품분류2526'!$A$7:$A$2532,0))="","",INDEX('03_상품분류2526'!$W$7:$W$2532,MATCH(E260,'03_상품분류2526'!$A$7:$A$2532,0))),"")</f>
        <v/>
      </c>
      <c r="N260" s="6" t="str">
        <f>IFERROR(IF(INDEX('03_상품분류2526'!$X$7:$X$2532,MATCH(E260,'03_상품분류2526'!$A$7:$A$2532,0))="","",INDEX('03_상품분류2526'!$X$7:$X$2532,MATCH(E260,'03_상품분류2526'!$A$7:$A$2532,0))),"")</f>
        <v/>
      </c>
      <c r="O260" s="6">
        <f>'02_선반315'!R198</f>
        <v>865</v>
      </c>
      <c r="P260" s="6">
        <f>'02_선반315'!T198</f>
        <v>220</v>
      </c>
      <c r="Q260" s="6">
        <f>'02_선반315'!U198</f>
        <v>200</v>
      </c>
      <c r="R260" s="6">
        <f>'02_선반315'!S198</f>
        <v>270</v>
      </c>
      <c r="S260" s="6" t="str">
        <f t="shared" si="6"/>
        <v/>
      </c>
      <c r="T260" s="6" t="str">
        <f t="shared" si="7"/>
        <v>입력 대기</v>
      </c>
      <c r="U260" s="6" t="s">
        <v>7509</v>
      </c>
      <c r="V260" s="6" t="s">
        <v>555</v>
      </c>
      <c r="W260" s="6" t="s">
        <v>859</v>
      </c>
    </row>
    <row r="261" spans="1:23" ht="33" customHeight="1">
      <c r="A261" s="6" t="s">
        <v>7765</v>
      </c>
      <c r="B261" s="6" t="s">
        <v>1229</v>
      </c>
      <c r="C261" s="6" t="s">
        <v>358</v>
      </c>
      <c r="D261" s="6">
        <v>2</v>
      </c>
      <c r="E261" s="6" t="s">
        <v>6550</v>
      </c>
      <c r="F261" s="6" t="str">
        <f>IFERROR(INDEX('03_상품분류2526'!$C$7:$C$2532,MATCH(E261,'03_상품분류2526'!$A$7:$A$2532,0)),"코드 확인")</f>
        <v>고려은단 멀티비타민 올인원 우먼</v>
      </c>
      <c r="G261" s="6" t="str">
        <f>IFERROR(INDEX('03_상품분류2526'!$D$7:$D$2532,MATCH(E261,'03_상품분류2526'!$A$7:$A$2532,0)),"코드 확인")</f>
        <v>30T</v>
      </c>
      <c r="H261" s="6" t="s">
        <v>7508</v>
      </c>
      <c r="I261" s="6" t="str">
        <f>IFERROR(INDEX('03_상품분류2526'!$M$7:$M$2532,MATCH(E261,'03_상품분류2526'!$A$7:$A$2532,0)),"코드 확인")</f>
        <v>A</v>
      </c>
      <c r="J261" s="6">
        <v>2</v>
      </c>
      <c r="K261" s="15">
        <v>1</v>
      </c>
      <c r="L261" s="6" t="str">
        <f>IFERROR(IF(INDEX('03_상품분류2526'!$V$7:$V$2532,MATCH(E261,'03_상품분류2526'!$A$7:$A$2532,0))="","",INDEX('03_상품분류2526'!$V$7:$V$2532,MATCH(E261,'03_상품분류2526'!$A$7:$A$2532,0))),"")</f>
        <v/>
      </c>
      <c r="M261" s="6" t="str">
        <f>IFERROR(IF(INDEX('03_상품분류2526'!$W$7:$W$2532,MATCH(E261,'03_상품분류2526'!$A$7:$A$2532,0))="","",INDEX('03_상품분류2526'!$W$7:$W$2532,MATCH(E261,'03_상품분류2526'!$A$7:$A$2532,0))),"")</f>
        <v/>
      </c>
      <c r="N261" s="6" t="str">
        <f>IFERROR(IF(INDEX('03_상품분류2526'!$X$7:$X$2532,MATCH(E261,'03_상품분류2526'!$A$7:$A$2532,0))="","",INDEX('03_상품분류2526'!$X$7:$X$2532,MATCH(E261,'03_상품분류2526'!$A$7:$A$2532,0))),"")</f>
        <v/>
      </c>
      <c r="O261" s="6">
        <f>'02_선반315'!R198</f>
        <v>865</v>
      </c>
      <c r="P261" s="6">
        <f>'02_선반315'!T198</f>
        <v>220</v>
      </c>
      <c r="Q261" s="6">
        <f>'02_선반315'!U198</f>
        <v>200</v>
      </c>
      <c r="R261" s="6">
        <f>'02_선반315'!S198</f>
        <v>270</v>
      </c>
      <c r="S261" s="6" t="str">
        <f t="shared" si="6"/>
        <v/>
      </c>
      <c r="T261" s="6" t="str">
        <f t="shared" si="7"/>
        <v>입력 대기</v>
      </c>
      <c r="U261" s="6" t="s">
        <v>7509</v>
      </c>
      <c r="V261" s="6" t="s">
        <v>555</v>
      </c>
      <c r="W261" s="6" t="s">
        <v>859</v>
      </c>
    </row>
    <row r="262" spans="1:23" ht="33" customHeight="1">
      <c r="A262" s="6" t="s">
        <v>7766</v>
      </c>
      <c r="B262" s="6" t="s">
        <v>1233</v>
      </c>
      <c r="C262" s="6" t="s">
        <v>358</v>
      </c>
      <c r="D262" s="6">
        <v>3</v>
      </c>
      <c r="E262" s="6" t="s">
        <v>6546</v>
      </c>
      <c r="F262" s="6" t="str">
        <f>IFERROR(INDEX('03_상품분류2526'!$C$7:$C$2532,MATCH(E262,'03_상품분류2526'!$A$7:$A$2532,0)),"코드 확인")</f>
        <v>고려은단 루테인 지아잔틴 아스타잔틴</v>
      </c>
      <c r="G262" s="6" t="str">
        <f>IFERROR(INDEX('03_상품분류2526'!$D$7:$D$2532,MATCH(E262,'03_상품분류2526'!$A$7:$A$2532,0)),"코드 확인")</f>
        <v>30C</v>
      </c>
      <c r="H262" s="6" t="s">
        <v>7508</v>
      </c>
      <c r="I262" s="6" t="str">
        <f>IFERROR(INDEX('03_상품분류2526'!$M$7:$M$2532,MATCH(E262,'03_상품분류2526'!$A$7:$A$2532,0)),"코드 확인")</f>
        <v>A</v>
      </c>
      <c r="J262" s="6">
        <v>1</v>
      </c>
      <c r="K262" s="15">
        <v>1</v>
      </c>
      <c r="L262" s="6" t="str">
        <f>IFERROR(IF(INDEX('03_상품분류2526'!$V$7:$V$2532,MATCH(E262,'03_상품분류2526'!$A$7:$A$2532,0))="","",INDEX('03_상품분류2526'!$V$7:$V$2532,MATCH(E262,'03_상품분류2526'!$A$7:$A$2532,0))),"")</f>
        <v/>
      </c>
      <c r="M262" s="6" t="str">
        <f>IFERROR(IF(INDEX('03_상품분류2526'!$W$7:$W$2532,MATCH(E262,'03_상품분류2526'!$A$7:$A$2532,0))="","",INDEX('03_상품분류2526'!$W$7:$W$2532,MATCH(E262,'03_상품분류2526'!$A$7:$A$2532,0))),"")</f>
        <v/>
      </c>
      <c r="N262" s="6" t="str">
        <f>IFERROR(IF(INDEX('03_상품분류2526'!$X$7:$X$2532,MATCH(E262,'03_상품분류2526'!$A$7:$A$2532,0))="","",INDEX('03_상품분류2526'!$X$7:$X$2532,MATCH(E262,'03_상품분류2526'!$A$7:$A$2532,0))),"")</f>
        <v/>
      </c>
      <c r="O262" s="6">
        <f>'02_선반315'!R199</f>
        <v>865</v>
      </c>
      <c r="P262" s="6">
        <f>'02_선반315'!T199</f>
        <v>220</v>
      </c>
      <c r="Q262" s="6">
        <f>'02_선반315'!U199</f>
        <v>200</v>
      </c>
      <c r="R262" s="6">
        <f>'02_선반315'!S199</f>
        <v>270</v>
      </c>
      <c r="S262" s="6" t="str">
        <f t="shared" si="6"/>
        <v/>
      </c>
      <c r="T262" s="6" t="str">
        <f t="shared" si="7"/>
        <v>입력 대기</v>
      </c>
      <c r="U262" s="6" t="s">
        <v>7509</v>
      </c>
      <c r="V262" s="6" t="s">
        <v>555</v>
      </c>
      <c r="W262" s="6" t="s">
        <v>859</v>
      </c>
    </row>
    <row r="263" spans="1:23" ht="33" customHeight="1">
      <c r="A263" s="6" t="s">
        <v>7767</v>
      </c>
      <c r="B263" s="6" t="s">
        <v>1233</v>
      </c>
      <c r="C263" s="6" t="s">
        <v>358</v>
      </c>
      <c r="D263" s="6">
        <v>3</v>
      </c>
      <c r="E263" s="6" t="s">
        <v>6090</v>
      </c>
      <c r="F263" s="6" t="str">
        <f>IFERROR(INDEX('03_상품분류2526'!$C$7:$C$2532,MATCH(E263,'03_상품분류2526'!$A$7:$A$2532,0)),"코드 확인")</f>
        <v>올인원 루테인지아잔틴아스타잔틴</v>
      </c>
      <c r="G263" s="6" t="str">
        <f>IFERROR(INDEX('03_상품분류2526'!$D$7:$D$2532,MATCH(E263,'03_상품분류2526'!$A$7:$A$2532,0)),"코드 확인")</f>
        <v>60C</v>
      </c>
      <c r="H263" s="6" t="s">
        <v>7508</v>
      </c>
      <c r="I263" s="6" t="str">
        <f>IFERROR(INDEX('03_상품분류2526'!$M$7:$M$2532,MATCH(E263,'03_상품분류2526'!$A$7:$A$2532,0)),"코드 확인")</f>
        <v>B</v>
      </c>
      <c r="J263" s="6">
        <v>2</v>
      </c>
      <c r="K263" s="15">
        <v>1</v>
      </c>
      <c r="L263" s="6" t="str">
        <f>IFERROR(IF(INDEX('03_상품분류2526'!$V$7:$V$2532,MATCH(E263,'03_상품분류2526'!$A$7:$A$2532,0))="","",INDEX('03_상품분류2526'!$V$7:$V$2532,MATCH(E263,'03_상품분류2526'!$A$7:$A$2532,0))),"")</f>
        <v/>
      </c>
      <c r="M263" s="6" t="str">
        <f>IFERROR(IF(INDEX('03_상품분류2526'!$W$7:$W$2532,MATCH(E263,'03_상품분류2526'!$A$7:$A$2532,0))="","",INDEX('03_상품분류2526'!$W$7:$W$2532,MATCH(E263,'03_상품분류2526'!$A$7:$A$2532,0))),"")</f>
        <v/>
      </c>
      <c r="N263" s="6" t="str">
        <f>IFERROR(IF(INDEX('03_상품분류2526'!$X$7:$X$2532,MATCH(E263,'03_상품분류2526'!$A$7:$A$2532,0))="","",INDEX('03_상품분류2526'!$X$7:$X$2532,MATCH(E263,'03_상품분류2526'!$A$7:$A$2532,0))),"")</f>
        <v/>
      </c>
      <c r="O263" s="6">
        <f>'02_선반315'!R199</f>
        <v>865</v>
      </c>
      <c r="P263" s="6">
        <f>'02_선반315'!T199</f>
        <v>220</v>
      </c>
      <c r="Q263" s="6">
        <f>'02_선반315'!U199</f>
        <v>200</v>
      </c>
      <c r="R263" s="6">
        <f>'02_선반315'!S199</f>
        <v>270</v>
      </c>
      <c r="S263" s="6" t="str">
        <f t="shared" ref="S263:S326" si="8">IF(K263=0,0,IF(L263="","",K263*L263))</f>
        <v/>
      </c>
      <c r="T263" s="6" t="str">
        <f t="shared" ref="T263:T326" si="9">IF(K263=0,"미진열",IF(OR(L263="",M263="",N263=""),"입력 대기",IF(AND(L263&gt;0,M263&gt;0,N263&gt;0,S263&lt;=O263,M263&lt;=Q263,N263&lt;=R263),"개별 범위 내","치수 초과")))</f>
        <v>입력 대기</v>
      </c>
      <c r="U263" s="6" t="s">
        <v>7509</v>
      </c>
      <c r="V263" s="6" t="s">
        <v>555</v>
      </c>
      <c r="W263" s="6" t="s">
        <v>859</v>
      </c>
    </row>
    <row r="264" spans="1:23" ht="33" customHeight="1">
      <c r="A264" s="6" t="s">
        <v>7768</v>
      </c>
      <c r="B264" s="6" t="s">
        <v>1238</v>
      </c>
      <c r="C264" s="6" t="s">
        <v>358</v>
      </c>
      <c r="D264" s="6">
        <v>4</v>
      </c>
      <c r="E264" s="6" t="s">
        <v>6568</v>
      </c>
      <c r="F264" s="6" t="str">
        <f>IFERROR(INDEX('03_상품분류2526'!$C$7:$C$2532,MATCH(E264,'03_상품분류2526'!$A$7:$A$2532,0)),"코드 확인")</f>
        <v>고려은단 식물성 알티지 오메가3</v>
      </c>
      <c r="G264" s="6" t="str">
        <f>IFERROR(INDEX('03_상품분류2526'!$D$7:$D$2532,MATCH(E264,'03_상품분류2526'!$A$7:$A$2532,0)),"코드 확인")</f>
        <v>30C</v>
      </c>
      <c r="H264" s="6" t="s">
        <v>7508</v>
      </c>
      <c r="I264" s="6" t="str">
        <f>IFERROR(INDEX('03_상품분류2526'!$M$7:$M$2532,MATCH(E264,'03_상품분류2526'!$A$7:$A$2532,0)),"코드 확인")</f>
        <v>A</v>
      </c>
      <c r="J264" s="6">
        <v>1</v>
      </c>
      <c r="K264" s="15">
        <v>1</v>
      </c>
      <c r="L264" s="6" t="str">
        <f>IFERROR(IF(INDEX('03_상품분류2526'!$V$7:$V$2532,MATCH(E264,'03_상품분류2526'!$A$7:$A$2532,0))="","",INDEX('03_상품분류2526'!$V$7:$V$2532,MATCH(E264,'03_상품분류2526'!$A$7:$A$2532,0))),"")</f>
        <v/>
      </c>
      <c r="M264" s="6" t="str">
        <f>IFERROR(IF(INDEX('03_상품분류2526'!$W$7:$W$2532,MATCH(E264,'03_상품분류2526'!$A$7:$A$2532,0))="","",INDEX('03_상품분류2526'!$W$7:$W$2532,MATCH(E264,'03_상품분류2526'!$A$7:$A$2532,0))),"")</f>
        <v/>
      </c>
      <c r="N264" s="6" t="str">
        <f>IFERROR(IF(INDEX('03_상품분류2526'!$X$7:$X$2532,MATCH(E264,'03_상품분류2526'!$A$7:$A$2532,0))="","",INDEX('03_상품분류2526'!$X$7:$X$2532,MATCH(E264,'03_상품분류2526'!$A$7:$A$2532,0))),"")</f>
        <v/>
      </c>
      <c r="O264" s="6">
        <f>'02_선반315'!R200</f>
        <v>865</v>
      </c>
      <c r="P264" s="6">
        <f>'02_선반315'!T200</f>
        <v>220</v>
      </c>
      <c r="Q264" s="6">
        <f>'02_선반315'!U200</f>
        <v>200</v>
      </c>
      <c r="R264" s="6">
        <f>'02_선반315'!S200</f>
        <v>270</v>
      </c>
      <c r="S264" s="6" t="str">
        <f t="shared" si="8"/>
        <v/>
      </c>
      <c r="T264" s="6" t="str">
        <f t="shared" si="9"/>
        <v>입력 대기</v>
      </c>
      <c r="U264" s="6" t="s">
        <v>7509</v>
      </c>
      <c r="V264" s="6" t="s">
        <v>555</v>
      </c>
      <c r="W264" s="6" t="s">
        <v>859</v>
      </c>
    </row>
    <row r="265" spans="1:23" ht="33" customHeight="1">
      <c r="A265" s="6" t="s">
        <v>7769</v>
      </c>
      <c r="B265" s="6" t="s">
        <v>1238</v>
      </c>
      <c r="C265" s="6" t="s">
        <v>358</v>
      </c>
      <c r="D265" s="6">
        <v>4</v>
      </c>
      <c r="E265" s="6" t="s">
        <v>6591</v>
      </c>
      <c r="F265" s="6" t="str">
        <f>IFERROR(INDEX('03_상품분류2526'!$C$7:$C$2532,MATCH(E265,'03_상품분류2526'!$A$7:$A$2532,0)),"코드 확인")</f>
        <v>한미 엔플 알티지 오메가3 츄어블1000 30C</v>
      </c>
      <c r="G265" s="6" t="str">
        <f>IFERROR(INDEX('03_상품분류2526'!$D$7:$D$2532,MATCH(E265,'03_상품분류2526'!$A$7:$A$2532,0)),"코드 확인")</f>
        <v>30C</v>
      </c>
      <c r="H265" s="6" t="s">
        <v>7508</v>
      </c>
      <c r="I265" s="6" t="str">
        <f>IFERROR(INDEX('03_상품분류2526'!$M$7:$M$2532,MATCH(E265,'03_상품분류2526'!$A$7:$A$2532,0)),"코드 확인")</f>
        <v>B</v>
      </c>
      <c r="J265" s="6">
        <v>2</v>
      </c>
      <c r="K265" s="15">
        <v>1</v>
      </c>
      <c r="L265" s="6" t="str">
        <f>IFERROR(IF(INDEX('03_상품분류2526'!$V$7:$V$2532,MATCH(E265,'03_상품분류2526'!$A$7:$A$2532,0))="","",INDEX('03_상품분류2526'!$V$7:$V$2532,MATCH(E265,'03_상품분류2526'!$A$7:$A$2532,0))),"")</f>
        <v/>
      </c>
      <c r="M265" s="6" t="str">
        <f>IFERROR(IF(INDEX('03_상품분류2526'!$W$7:$W$2532,MATCH(E265,'03_상품분류2526'!$A$7:$A$2532,0))="","",INDEX('03_상품분류2526'!$W$7:$W$2532,MATCH(E265,'03_상품분류2526'!$A$7:$A$2532,0))),"")</f>
        <v/>
      </c>
      <c r="N265" s="6" t="str">
        <f>IFERROR(IF(INDEX('03_상품분류2526'!$X$7:$X$2532,MATCH(E265,'03_상품분류2526'!$A$7:$A$2532,0))="","",INDEX('03_상품분류2526'!$X$7:$X$2532,MATCH(E265,'03_상품분류2526'!$A$7:$A$2532,0))),"")</f>
        <v/>
      </c>
      <c r="O265" s="6">
        <f>'02_선반315'!R200</f>
        <v>865</v>
      </c>
      <c r="P265" s="6">
        <f>'02_선반315'!T200</f>
        <v>220</v>
      </c>
      <c r="Q265" s="6">
        <f>'02_선반315'!U200</f>
        <v>200</v>
      </c>
      <c r="R265" s="6">
        <f>'02_선반315'!S200</f>
        <v>270</v>
      </c>
      <c r="S265" s="6" t="str">
        <f t="shared" si="8"/>
        <v/>
      </c>
      <c r="T265" s="6" t="str">
        <f t="shared" si="9"/>
        <v>입력 대기</v>
      </c>
      <c r="U265" s="6" t="s">
        <v>7509</v>
      </c>
      <c r="V265" s="6" t="s">
        <v>555</v>
      </c>
      <c r="W265" s="6" t="s">
        <v>859</v>
      </c>
    </row>
    <row r="266" spans="1:23" ht="33" customHeight="1">
      <c r="A266" s="6" t="s">
        <v>7770</v>
      </c>
      <c r="B266" s="6" t="s">
        <v>1243</v>
      </c>
      <c r="C266" s="6" t="s">
        <v>358</v>
      </c>
      <c r="D266" s="6">
        <v>5</v>
      </c>
      <c r="E266" s="6" t="s">
        <v>2155</v>
      </c>
      <c r="F266" s="6" t="str">
        <f>IFERROR(INDEX('03_상품분류2526'!$C$7:$C$2532,MATCH(E266,'03_상품분류2526'!$A$7:$A$2532,0)),"코드 확인")</f>
        <v>네츄럴메이드 코랄칼슘앤마그네슘플러스(3개월분)</v>
      </c>
      <c r="G266" s="6" t="str">
        <f>IFERROR(INDEX('03_상품분류2526'!$D$7:$D$2532,MATCH(E266,'03_상품분류2526'!$A$7:$A$2532,0)),"코드 확인")</f>
        <v>1730mg*90T</v>
      </c>
      <c r="H266" s="6" t="s">
        <v>7508</v>
      </c>
      <c r="I266" s="6" t="str">
        <f>IFERROR(INDEX('03_상품분류2526'!$M$7:$M$2532,MATCH(E266,'03_상품분류2526'!$A$7:$A$2532,0)),"코드 확인")</f>
        <v>B</v>
      </c>
      <c r="J266" s="6">
        <v>1</v>
      </c>
      <c r="K266" s="15">
        <v>1</v>
      </c>
      <c r="L266" s="6" t="str">
        <f>IFERROR(IF(INDEX('03_상품분류2526'!$V$7:$V$2532,MATCH(E266,'03_상품분류2526'!$A$7:$A$2532,0))="","",INDEX('03_상품분류2526'!$V$7:$V$2532,MATCH(E266,'03_상품분류2526'!$A$7:$A$2532,0))),"")</f>
        <v/>
      </c>
      <c r="M266" s="6" t="str">
        <f>IFERROR(IF(INDEX('03_상품분류2526'!$W$7:$W$2532,MATCH(E266,'03_상품분류2526'!$A$7:$A$2532,0))="","",INDEX('03_상품분류2526'!$W$7:$W$2532,MATCH(E266,'03_상품분류2526'!$A$7:$A$2532,0))),"")</f>
        <v/>
      </c>
      <c r="N266" s="6" t="str">
        <f>IFERROR(IF(INDEX('03_상품분류2526'!$X$7:$X$2532,MATCH(E266,'03_상품분류2526'!$A$7:$A$2532,0))="","",INDEX('03_상품분류2526'!$X$7:$X$2532,MATCH(E266,'03_상품분류2526'!$A$7:$A$2532,0))),"")</f>
        <v/>
      </c>
      <c r="O266" s="6">
        <f>'02_선반315'!R201</f>
        <v>865</v>
      </c>
      <c r="P266" s="6">
        <f>'02_선반315'!T201</f>
        <v>220</v>
      </c>
      <c r="Q266" s="6">
        <f>'02_선반315'!U201</f>
        <v>200</v>
      </c>
      <c r="R266" s="6">
        <f>'02_선반315'!S201</f>
        <v>270</v>
      </c>
      <c r="S266" s="6" t="str">
        <f t="shared" si="8"/>
        <v/>
      </c>
      <c r="T266" s="6" t="str">
        <f t="shared" si="9"/>
        <v>입력 대기</v>
      </c>
      <c r="U266" s="6" t="s">
        <v>7509</v>
      </c>
      <c r="V266" s="6" t="s">
        <v>555</v>
      </c>
      <c r="W266" s="6" t="s">
        <v>859</v>
      </c>
    </row>
    <row r="267" spans="1:23" ht="33" customHeight="1">
      <c r="A267" s="6" t="s">
        <v>7771</v>
      </c>
      <c r="B267" s="6" t="s">
        <v>1243</v>
      </c>
      <c r="C267" s="6" t="s">
        <v>358</v>
      </c>
      <c r="D267" s="6">
        <v>5</v>
      </c>
      <c r="E267" s="6" t="s">
        <v>2170</v>
      </c>
      <c r="F267" s="6" t="str">
        <f>IFERROR(INDEX('03_상품분류2526'!$C$7:$C$2532,MATCH(E267,'03_상품분류2526'!$A$7:$A$2532,0)),"코드 확인")</f>
        <v>네츄럴메이드 비타민D 2000IU (3개월분)</v>
      </c>
      <c r="G267" s="6" t="str">
        <f>IFERROR(INDEX('03_상품분류2526'!$D$7:$D$2532,MATCH(E267,'03_상품분류2526'!$A$7:$A$2532,0)),"코드 확인")</f>
        <v>150mg*90C</v>
      </c>
      <c r="H267" s="6" t="s">
        <v>7508</v>
      </c>
      <c r="I267" s="6" t="str">
        <f>IFERROR(INDEX('03_상품분류2526'!$M$7:$M$2532,MATCH(E267,'03_상품분류2526'!$A$7:$A$2532,0)),"코드 확인")</f>
        <v>B</v>
      </c>
      <c r="J267" s="6">
        <v>2</v>
      </c>
      <c r="K267" s="15">
        <v>1</v>
      </c>
      <c r="L267" s="6" t="str">
        <f>IFERROR(IF(INDEX('03_상품분류2526'!$V$7:$V$2532,MATCH(E267,'03_상품분류2526'!$A$7:$A$2532,0))="","",INDEX('03_상품분류2526'!$V$7:$V$2532,MATCH(E267,'03_상품분류2526'!$A$7:$A$2532,0))),"")</f>
        <v/>
      </c>
      <c r="M267" s="6" t="str">
        <f>IFERROR(IF(INDEX('03_상품분류2526'!$W$7:$W$2532,MATCH(E267,'03_상품분류2526'!$A$7:$A$2532,0))="","",INDEX('03_상품분류2526'!$W$7:$W$2532,MATCH(E267,'03_상품분류2526'!$A$7:$A$2532,0))),"")</f>
        <v/>
      </c>
      <c r="N267" s="6" t="str">
        <f>IFERROR(IF(INDEX('03_상품분류2526'!$X$7:$X$2532,MATCH(E267,'03_상품분류2526'!$A$7:$A$2532,0))="","",INDEX('03_상품분류2526'!$X$7:$X$2532,MATCH(E267,'03_상품분류2526'!$A$7:$A$2532,0))),"")</f>
        <v/>
      </c>
      <c r="O267" s="6">
        <f>'02_선반315'!R201</f>
        <v>865</v>
      </c>
      <c r="P267" s="6">
        <f>'02_선반315'!T201</f>
        <v>220</v>
      </c>
      <c r="Q267" s="6">
        <f>'02_선반315'!U201</f>
        <v>200</v>
      </c>
      <c r="R267" s="6">
        <f>'02_선반315'!S201</f>
        <v>270</v>
      </c>
      <c r="S267" s="6" t="str">
        <f t="shared" si="8"/>
        <v/>
      </c>
      <c r="T267" s="6" t="str">
        <f t="shared" si="9"/>
        <v>입력 대기</v>
      </c>
      <c r="U267" s="6" t="s">
        <v>7509</v>
      </c>
      <c r="V267" s="6" t="s">
        <v>555</v>
      </c>
      <c r="W267" s="6" t="s">
        <v>859</v>
      </c>
    </row>
    <row r="268" spans="1:23" ht="33" customHeight="1">
      <c r="A268" s="6" t="s">
        <v>7772</v>
      </c>
      <c r="B268" s="6" t="s">
        <v>1243</v>
      </c>
      <c r="C268" s="6" t="s">
        <v>358</v>
      </c>
      <c r="D268" s="6">
        <v>5</v>
      </c>
      <c r="E268" s="6" t="s">
        <v>6570</v>
      </c>
      <c r="F268" s="6" t="str">
        <f>IFERROR(INDEX('03_상품분류2526'!$C$7:$C$2532,MATCH(E268,'03_상품분류2526'!$A$7:$A$2532,0)),"코드 확인")</f>
        <v>고려은단 퓨어 밀크씨슬</v>
      </c>
      <c r="G268" s="6" t="str">
        <f>IFERROR(INDEX('03_상품분류2526'!$D$7:$D$2532,MATCH(E268,'03_상품분류2526'!$A$7:$A$2532,0)),"코드 확인")</f>
        <v>60T</v>
      </c>
      <c r="H268" s="6" t="s">
        <v>7508</v>
      </c>
      <c r="I268" s="6" t="str">
        <f>IFERROR(INDEX('03_상품분류2526'!$M$7:$M$2532,MATCH(E268,'03_상품분류2526'!$A$7:$A$2532,0)),"코드 확인")</f>
        <v>B</v>
      </c>
      <c r="J268" s="6">
        <v>3</v>
      </c>
      <c r="K268" s="15">
        <v>1</v>
      </c>
      <c r="L268" s="6" t="str">
        <f>IFERROR(IF(INDEX('03_상품분류2526'!$V$7:$V$2532,MATCH(E268,'03_상품분류2526'!$A$7:$A$2532,0))="","",INDEX('03_상품분류2526'!$V$7:$V$2532,MATCH(E268,'03_상품분류2526'!$A$7:$A$2532,0))),"")</f>
        <v/>
      </c>
      <c r="M268" s="6" t="str">
        <f>IFERROR(IF(INDEX('03_상품분류2526'!$W$7:$W$2532,MATCH(E268,'03_상품분류2526'!$A$7:$A$2532,0))="","",INDEX('03_상품분류2526'!$W$7:$W$2532,MATCH(E268,'03_상품분류2526'!$A$7:$A$2532,0))),"")</f>
        <v/>
      </c>
      <c r="N268" s="6" t="str">
        <f>IFERROR(IF(INDEX('03_상품분류2526'!$X$7:$X$2532,MATCH(E268,'03_상품분류2526'!$A$7:$A$2532,0))="","",INDEX('03_상품분류2526'!$X$7:$X$2532,MATCH(E268,'03_상품분류2526'!$A$7:$A$2532,0))),"")</f>
        <v/>
      </c>
      <c r="O268" s="6">
        <f>'02_선반315'!R201</f>
        <v>865</v>
      </c>
      <c r="P268" s="6">
        <f>'02_선반315'!T201</f>
        <v>220</v>
      </c>
      <c r="Q268" s="6">
        <f>'02_선반315'!U201</f>
        <v>200</v>
      </c>
      <c r="R268" s="6">
        <f>'02_선반315'!S201</f>
        <v>270</v>
      </c>
      <c r="S268" s="6" t="str">
        <f t="shared" si="8"/>
        <v/>
      </c>
      <c r="T268" s="6" t="str">
        <f t="shared" si="9"/>
        <v>입력 대기</v>
      </c>
      <c r="U268" s="6" t="s">
        <v>7509</v>
      </c>
      <c r="V268" s="6" t="s">
        <v>555</v>
      </c>
      <c r="W268" s="6" t="s">
        <v>859</v>
      </c>
    </row>
    <row r="269" spans="1:23" ht="33" customHeight="1">
      <c r="A269" s="6" t="s">
        <v>7773</v>
      </c>
      <c r="B269" s="6" t="s">
        <v>1250</v>
      </c>
      <c r="C269" s="6" t="s">
        <v>366</v>
      </c>
      <c r="D269" s="6">
        <v>2</v>
      </c>
      <c r="E269" s="6" t="s">
        <v>815</v>
      </c>
      <c r="F269" s="6" t="str">
        <f>IFERROR(INDEX('03_상품분류2526'!$C$7:$C$2532,MATCH(E269,'03_상품분류2526'!$A$7:$A$2532,0)),"코드 확인")</f>
        <v>(리쥬올)PDRN리쥬비네이팅크림</v>
      </c>
      <c r="G269" s="6" t="str">
        <f>IFERROR(INDEX('03_상품분류2526'!$D$7:$D$2532,MATCH(E269,'03_상품분류2526'!$A$7:$A$2532,0)),"코드 확인")</f>
        <v>30mL</v>
      </c>
      <c r="H269" s="6" t="s">
        <v>7508</v>
      </c>
      <c r="I269" s="6" t="str">
        <f>IFERROR(INDEX('03_상품분류2526'!$M$7:$M$2532,MATCH(E269,'03_상품분류2526'!$A$7:$A$2532,0)),"코드 확인")</f>
        <v>A</v>
      </c>
      <c r="J269" s="6">
        <v>1</v>
      </c>
      <c r="K269" s="15">
        <v>2</v>
      </c>
      <c r="L269" s="6" t="str">
        <f>IFERROR(IF(INDEX('03_상품분류2526'!$V$7:$V$2532,MATCH(E269,'03_상품분류2526'!$A$7:$A$2532,0))="","",INDEX('03_상품분류2526'!$V$7:$V$2532,MATCH(E269,'03_상품분류2526'!$A$7:$A$2532,0))),"")</f>
        <v/>
      </c>
      <c r="M269" s="6" t="str">
        <f>IFERROR(IF(INDEX('03_상품분류2526'!$W$7:$W$2532,MATCH(E269,'03_상품분류2526'!$A$7:$A$2532,0))="","",INDEX('03_상품분류2526'!$W$7:$W$2532,MATCH(E269,'03_상품분류2526'!$A$7:$A$2532,0))),"")</f>
        <v/>
      </c>
      <c r="N269" s="6" t="str">
        <f>IFERROR(IF(INDEX('03_상품분류2526'!$X$7:$X$2532,MATCH(E269,'03_상품분류2526'!$A$7:$A$2532,0))="","",INDEX('03_상품분류2526'!$X$7:$X$2532,MATCH(E269,'03_상품분류2526'!$A$7:$A$2532,0))),"")</f>
        <v/>
      </c>
      <c r="O269" s="6">
        <f>'02_선반315'!R203</f>
        <v>865</v>
      </c>
      <c r="P269" s="6">
        <f>'02_선반315'!T203</f>
        <v>220</v>
      </c>
      <c r="Q269" s="6">
        <f>'02_선반315'!U203</f>
        <v>200</v>
      </c>
      <c r="R269" s="6">
        <f>'02_선반315'!S203</f>
        <v>270</v>
      </c>
      <c r="S269" s="6" t="str">
        <f t="shared" si="8"/>
        <v/>
      </c>
      <c r="T269" s="6" t="str">
        <f t="shared" si="9"/>
        <v>입력 대기</v>
      </c>
      <c r="U269" s="6" t="s">
        <v>7509</v>
      </c>
      <c r="V269" s="6" t="s">
        <v>555</v>
      </c>
      <c r="W269" s="6" t="s">
        <v>859</v>
      </c>
    </row>
    <row r="270" spans="1:23" ht="33" customHeight="1">
      <c r="A270" s="6" t="s">
        <v>7774</v>
      </c>
      <c r="B270" s="6" t="s">
        <v>1252</v>
      </c>
      <c r="C270" s="6" t="s">
        <v>366</v>
      </c>
      <c r="D270" s="6">
        <v>3</v>
      </c>
      <c r="E270" s="6" t="s">
        <v>830</v>
      </c>
      <c r="F270" s="6" t="str">
        <f>IFERROR(INDEX('03_상품분류2526'!$C$7:$C$2532,MATCH(E270,'03_상품분류2526'!$A$7:$A$2532,0)),"코드 확인")</f>
        <v>닥터리쥬올-세라마이드 베리어 크림</v>
      </c>
      <c r="G270" s="6" t="str">
        <f>IFERROR(INDEX('03_상품분류2526'!$D$7:$D$2532,MATCH(E270,'03_상품분류2526'!$A$7:$A$2532,0)),"코드 확인")</f>
        <v>90mL</v>
      </c>
      <c r="H270" s="6" t="s">
        <v>7508</v>
      </c>
      <c r="I270" s="6" t="str">
        <f>IFERROR(INDEX('03_상품분류2526'!$M$7:$M$2532,MATCH(E270,'03_상품분류2526'!$A$7:$A$2532,0)),"코드 확인")</f>
        <v>A</v>
      </c>
      <c r="J270" s="6">
        <v>1</v>
      </c>
      <c r="K270" s="15">
        <v>2</v>
      </c>
      <c r="L270" s="6" t="str">
        <f>IFERROR(IF(INDEX('03_상품분류2526'!$V$7:$V$2532,MATCH(E270,'03_상품분류2526'!$A$7:$A$2532,0))="","",INDEX('03_상품분류2526'!$V$7:$V$2532,MATCH(E270,'03_상품분류2526'!$A$7:$A$2532,0))),"")</f>
        <v/>
      </c>
      <c r="M270" s="6" t="str">
        <f>IFERROR(IF(INDEX('03_상품분류2526'!$W$7:$W$2532,MATCH(E270,'03_상품분류2526'!$A$7:$A$2532,0))="","",INDEX('03_상품분류2526'!$W$7:$W$2532,MATCH(E270,'03_상품분류2526'!$A$7:$A$2532,0))),"")</f>
        <v/>
      </c>
      <c r="N270" s="6" t="str">
        <f>IFERROR(IF(INDEX('03_상품분류2526'!$X$7:$X$2532,MATCH(E270,'03_상품분류2526'!$A$7:$A$2532,0))="","",INDEX('03_상품분류2526'!$X$7:$X$2532,MATCH(E270,'03_상품분류2526'!$A$7:$A$2532,0))),"")</f>
        <v/>
      </c>
      <c r="O270" s="6">
        <f>'02_선반315'!R204</f>
        <v>865</v>
      </c>
      <c r="P270" s="6">
        <f>'02_선반315'!T204</f>
        <v>220</v>
      </c>
      <c r="Q270" s="6">
        <f>'02_선반315'!U204</f>
        <v>200</v>
      </c>
      <c r="R270" s="6">
        <f>'02_선반315'!S204</f>
        <v>270</v>
      </c>
      <c r="S270" s="6" t="str">
        <f t="shared" si="8"/>
        <v/>
      </c>
      <c r="T270" s="6" t="str">
        <f t="shared" si="9"/>
        <v>입력 대기</v>
      </c>
      <c r="U270" s="6" t="s">
        <v>7509</v>
      </c>
      <c r="V270" s="6" t="s">
        <v>555</v>
      </c>
      <c r="W270" s="6" t="s">
        <v>859</v>
      </c>
    </row>
    <row r="271" spans="1:23" ht="33" customHeight="1">
      <c r="A271" s="6" t="s">
        <v>7775</v>
      </c>
      <c r="B271" s="6" t="s">
        <v>1254</v>
      </c>
      <c r="C271" s="6" t="s">
        <v>366</v>
      </c>
      <c r="D271" s="6">
        <v>4</v>
      </c>
      <c r="E271" s="6" t="s">
        <v>1256</v>
      </c>
      <c r="F271" s="6" t="str">
        <f>IFERROR(INDEX('03_상품분류2526'!$C$7:$C$2532,MATCH(E271,'03_상품분류2526'!$A$7:$A$2532,0)),"코드 확인")</f>
        <v>닥터리쥬올PDRN마스크</v>
      </c>
      <c r="G271" s="6" t="str">
        <f>IFERROR(INDEX('03_상품분류2526'!$D$7:$D$2532,MATCH(E271,'03_상품분류2526'!$A$7:$A$2532,0)),"코드 확인")</f>
        <v>6EA</v>
      </c>
      <c r="H271" s="6" t="s">
        <v>7508</v>
      </c>
      <c r="I271" s="6" t="str">
        <f>IFERROR(INDEX('03_상품분류2526'!$M$7:$M$2532,MATCH(E271,'03_상품분류2526'!$A$7:$A$2532,0)),"코드 확인")</f>
        <v>A</v>
      </c>
      <c r="J271" s="6">
        <v>1</v>
      </c>
      <c r="K271" s="15">
        <v>1</v>
      </c>
      <c r="L271" s="6" t="str">
        <f>IFERROR(IF(INDEX('03_상품분류2526'!$V$7:$V$2532,MATCH(E271,'03_상품분류2526'!$A$7:$A$2532,0))="","",INDEX('03_상품분류2526'!$V$7:$V$2532,MATCH(E271,'03_상품분류2526'!$A$7:$A$2532,0))),"")</f>
        <v/>
      </c>
      <c r="M271" s="6" t="str">
        <f>IFERROR(IF(INDEX('03_상품분류2526'!$W$7:$W$2532,MATCH(E271,'03_상품분류2526'!$A$7:$A$2532,0))="","",INDEX('03_상품분류2526'!$W$7:$W$2532,MATCH(E271,'03_상품분류2526'!$A$7:$A$2532,0))),"")</f>
        <v/>
      </c>
      <c r="N271" s="6" t="str">
        <f>IFERROR(IF(INDEX('03_상품분류2526'!$X$7:$X$2532,MATCH(E271,'03_상품분류2526'!$A$7:$A$2532,0))="","",INDEX('03_상품분류2526'!$X$7:$X$2532,MATCH(E271,'03_상품분류2526'!$A$7:$A$2532,0))),"")</f>
        <v/>
      </c>
      <c r="O271" s="6">
        <f>'02_선반315'!R205</f>
        <v>865</v>
      </c>
      <c r="P271" s="6">
        <f>'02_선반315'!T205</f>
        <v>220</v>
      </c>
      <c r="Q271" s="6">
        <f>'02_선반315'!U205</f>
        <v>200</v>
      </c>
      <c r="R271" s="6">
        <f>'02_선반315'!S205</f>
        <v>270</v>
      </c>
      <c r="S271" s="6" t="str">
        <f t="shared" si="8"/>
        <v/>
      </c>
      <c r="T271" s="6" t="str">
        <f t="shared" si="9"/>
        <v>입력 대기</v>
      </c>
      <c r="U271" s="6" t="s">
        <v>7509</v>
      </c>
      <c r="V271" s="6" t="s">
        <v>555</v>
      </c>
      <c r="W271" s="6" t="s">
        <v>859</v>
      </c>
    </row>
    <row r="272" spans="1:23" ht="33" customHeight="1">
      <c r="A272" s="6" t="s">
        <v>7776</v>
      </c>
      <c r="B272" s="6" t="s">
        <v>1258</v>
      </c>
      <c r="C272" s="6" t="s">
        <v>366</v>
      </c>
      <c r="D272" s="6">
        <v>5</v>
      </c>
      <c r="E272" s="6" t="s">
        <v>1260</v>
      </c>
      <c r="F272" s="6" t="str">
        <f>IFERROR(INDEX('03_상품분류2526'!$C$7:$C$2532,MATCH(E272,'03_상품분류2526'!$A$7:$A$2532,0)),"코드 확인")</f>
        <v>닥터리쥬올-어드밴스드 PDLLA 퍼밍 크림</v>
      </c>
      <c r="G272" s="6" t="str">
        <f>IFERROR(INDEX('03_상품분류2526'!$D$7:$D$2532,MATCH(E272,'03_상품분류2526'!$A$7:$A$2532,0)),"코드 확인")</f>
        <v>30ml</v>
      </c>
      <c r="H272" s="6" t="s">
        <v>7508</v>
      </c>
      <c r="I272" s="6" t="str">
        <f>IFERROR(INDEX('03_상품분류2526'!$M$7:$M$2532,MATCH(E272,'03_상품분류2526'!$A$7:$A$2532,0)),"코드 확인")</f>
        <v>T</v>
      </c>
      <c r="J272" s="6">
        <v>1</v>
      </c>
      <c r="K272" s="15">
        <v>1</v>
      </c>
      <c r="L272" s="6" t="str">
        <f>IFERROR(IF(INDEX('03_상품분류2526'!$V$7:$V$2532,MATCH(E272,'03_상품분류2526'!$A$7:$A$2532,0))="","",INDEX('03_상품분류2526'!$V$7:$V$2532,MATCH(E272,'03_상품분류2526'!$A$7:$A$2532,0))),"")</f>
        <v/>
      </c>
      <c r="M272" s="6" t="str">
        <f>IFERROR(IF(INDEX('03_상품분류2526'!$W$7:$W$2532,MATCH(E272,'03_상품분류2526'!$A$7:$A$2532,0))="","",INDEX('03_상품분류2526'!$W$7:$W$2532,MATCH(E272,'03_상품분류2526'!$A$7:$A$2532,0))),"")</f>
        <v/>
      </c>
      <c r="N272" s="6" t="str">
        <f>IFERROR(IF(INDEX('03_상품분류2526'!$X$7:$X$2532,MATCH(E272,'03_상품분류2526'!$A$7:$A$2532,0))="","",INDEX('03_상품분류2526'!$X$7:$X$2532,MATCH(E272,'03_상품분류2526'!$A$7:$A$2532,0))),"")</f>
        <v/>
      </c>
      <c r="O272" s="6">
        <f>'02_선반315'!R206</f>
        <v>865</v>
      </c>
      <c r="P272" s="6">
        <f>'02_선반315'!T206</f>
        <v>220</v>
      </c>
      <c r="Q272" s="6">
        <f>'02_선반315'!U206</f>
        <v>200</v>
      </c>
      <c r="R272" s="6">
        <f>'02_선반315'!S206</f>
        <v>270</v>
      </c>
      <c r="S272" s="6" t="str">
        <f t="shared" si="8"/>
        <v/>
      </c>
      <c r="T272" s="6" t="str">
        <f t="shared" si="9"/>
        <v>입력 대기</v>
      </c>
      <c r="U272" s="6" t="s">
        <v>7509</v>
      </c>
      <c r="V272" s="6" t="s">
        <v>555</v>
      </c>
      <c r="W272" s="6" t="s">
        <v>859</v>
      </c>
    </row>
    <row r="273" spans="1:23" ht="33" customHeight="1">
      <c r="A273" s="6" t="s">
        <v>7777</v>
      </c>
      <c r="B273" s="6" t="s">
        <v>1266</v>
      </c>
      <c r="C273" s="6" t="s">
        <v>376</v>
      </c>
      <c r="D273" s="6">
        <v>2</v>
      </c>
      <c r="E273" s="6" t="s">
        <v>3017</v>
      </c>
      <c r="F273" s="6" t="str">
        <f>IFERROR(INDEX('03_상품분류2526'!$C$7:$C$2532,MATCH(E273,'03_상품분류2526'!$A$7:$A$2532,0)),"코드 확인")</f>
        <v>네오젠 리얼레티놀세럼</v>
      </c>
      <c r="G273" s="6" t="str">
        <f>IFERROR(INDEX('03_상품분류2526'!$D$7:$D$2532,MATCH(E273,'03_상품분류2526'!$A$7:$A$2532,0)),"코드 확인")</f>
        <v>30ml</v>
      </c>
      <c r="H273" s="6" t="s">
        <v>7508</v>
      </c>
      <c r="I273" s="6" t="str">
        <f>IFERROR(INDEX('03_상품분류2526'!$M$7:$M$2532,MATCH(E273,'03_상품분류2526'!$A$7:$A$2532,0)),"코드 확인")</f>
        <v>B</v>
      </c>
      <c r="J273" s="6">
        <v>1</v>
      </c>
      <c r="K273" s="15">
        <v>1</v>
      </c>
      <c r="L273" s="6" t="str">
        <f>IFERROR(IF(INDEX('03_상품분류2526'!$V$7:$V$2532,MATCH(E273,'03_상품분류2526'!$A$7:$A$2532,0))="","",INDEX('03_상품분류2526'!$V$7:$V$2532,MATCH(E273,'03_상품분류2526'!$A$7:$A$2532,0))),"")</f>
        <v/>
      </c>
      <c r="M273" s="6" t="str">
        <f>IFERROR(IF(INDEX('03_상품분류2526'!$W$7:$W$2532,MATCH(E273,'03_상품분류2526'!$A$7:$A$2532,0))="","",INDEX('03_상품분류2526'!$W$7:$W$2532,MATCH(E273,'03_상품분류2526'!$A$7:$A$2532,0))),"")</f>
        <v/>
      </c>
      <c r="N273" s="6" t="str">
        <f>IFERROR(IF(INDEX('03_상품분류2526'!$X$7:$X$2532,MATCH(E273,'03_상품분류2526'!$A$7:$A$2532,0))="","",INDEX('03_상품분류2526'!$X$7:$X$2532,MATCH(E273,'03_상품분류2526'!$A$7:$A$2532,0))),"")</f>
        <v/>
      </c>
      <c r="O273" s="6">
        <f>'02_선반315'!R208</f>
        <v>865</v>
      </c>
      <c r="P273" s="6">
        <f>'02_선반315'!T208</f>
        <v>220</v>
      </c>
      <c r="Q273" s="6">
        <f>'02_선반315'!U208</f>
        <v>200</v>
      </c>
      <c r="R273" s="6">
        <f>'02_선반315'!S208</f>
        <v>270</v>
      </c>
      <c r="S273" s="6" t="str">
        <f t="shared" si="8"/>
        <v/>
      </c>
      <c r="T273" s="6" t="str">
        <f t="shared" si="9"/>
        <v>입력 대기</v>
      </c>
      <c r="U273" s="6" t="s">
        <v>7509</v>
      </c>
      <c r="V273" s="6" t="s">
        <v>7778</v>
      </c>
      <c r="W273" s="6" t="s">
        <v>859</v>
      </c>
    </row>
    <row r="274" spans="1:23" ht="33" customHeight="1">
      <c r="A274" s="6" t="s">
        <v>7779</v>
      </c>
      <c r="B274" s="6" t="s">
        <v>1266</v>
      </c>
      <c r="C274" s="6" t="s">
        <v>376</v>
      </c>
      <c r="D274" s="6">
        <v>2</v>
      </c>
      <c r="E274" s="6" t="s">
        <v>3019</v>
      </c>
      <c r="F274" s="6" t="str">
        <f>IFERROR(INDEX('03_상품분류2526'!$C$7:$C$2532,MATCH(E274,'03_상품분류2526'!$A$7:$A$2532,0)),"코드 확인")</f>
        <v>네오젠 리얼 바쿠치올 퍼밍 세럼</v>
      </c>
      <c r="G274" s="6" t="str">
        <f>IFERROR(INDEX('03_상품분류2526'!$D$7:$D$2532,MATCH(E274,'03_상품분류2526'!$A$7:$A$2532,0)),"코드 확인")</f>
        <v>30ml</v>
      </c>
      <c r="H274" s="6" t="s">
        <v>7508</v>
      </c>
      <c r="I274" s="6" t="str">
        <f>IFERROR(INDEX('03_상품분류2526'!$M$7:$M$2532,MATCH(E274,'03_상품분류2526'!$A$7:$A$2532,0)),"코드 확인")</f>
        <v>B</v>
      </c>
      <c r="J274" s="6">
        <v>2</v>
      </c>
      <c r="K274" s="15">
        <v>1</v>
      </c>
      <c r="L274" s="6" t="str">
        <f>IFERROR(IF(INDEX('03_상품분류2526'!$V$7:$V$2532,MATCH(E274,'03_상품분류2526'!$A$7:$A$2532,0))="","",INDEX('03_상품분류2526'!$V$7:$V$2532,MATCH(E274,'03_상품분류2526'!$A$7:$A$2532,0))),"")</f>
        <v/>
      </c>
      <c r="M274" s="6" t="str">
        <f>IFERROR(IF(INDEX('03_상품분류2526'!$W$7:$W$2532,MATCH(E274,'03_상품분류2526'!$A$7:$A$2532,0))="","",INDEX('03_상품분류2526'!$W$7:$W$2532,MATCH(E274,'03_상품분류2526'!$A$7:$A$2532,0))),"")</f>
        <v/>
      </c>
      <c r="N274" s="6" t="str">
        <f>IFERROR(IF(INDEX('03_상품분류2526'!$X$7:$X$2532,MATCH(E274,'03_상품분류2526'!$A$7:$A$2532,0))="","",INDEX('03_상품분류2526'!$X$7:$X$2532,MATCH(E274,'03_상품분류2526'!$A$7:$A$2532,0))),"")</f>
        <v/>
      </c>
      <c r="O274" s="6">
        <f>'02_선반315'!R208</f>
        <v>865</v>
      </c>
      <c r="P274" s="6">
        <f>'02_선반315'!T208</f>
        <v>220</v>
      </c>
      <c r="Q274" s="6">
        <f>'02_선반315'!U208</f>
        <v>200</v>
      </c>
      <c r="R274" s="6">
        <f>'02_선반315'!S208</f>
        <v>270</v>
      </c>
      <c r="S274" s="6" t="str">
        <f t="shared" si="8"/>
        <v/>
      </c>
      <c r="T274" s="6" t="str">
        <f t="shared" si="9"/>
        <v>입력 대기</v>
      </c>
      <c r="U274" s="6" t="s">
        <v>7509</v>
      </c>
      <c r="V274" s="6" t="s">
        <v>7778</v>
      </c>
      <c r="W274" s="6" t="s">
        <v>859</v>
      </c>
    </row>
    <row r="275" spans="1:23" ht="33" customHeight="1">
      <c r="A275" s="6" t="s">
        <v>7780</v>
      </c>
      <c r="B275" s="6" t="s">
        <v>1271</v>
      </c>
      <c r="C275" s="6" t="s">
        <v>376</v>
      </c>
      <c r="D275" s="6">
        <v>3</v>
      </c>
      <c r="E275" s="6" t="s">
        <v>5542</v>
      </c>
      <c r="F275" s="6" t="str">
        <f>IFERROR(INDEX('03_상품분류2526'!$C$7:$C$2532,MATCH(E275,'03_상품분류2526'!$A$7:$A$2532,0)),"코드 확인")</f>
        <v>톰 펩타이드 부스트 앰플 (50g)</v>
      </c>
      <c r="G275" s="6" t="str">
        <f>IFERROR(INDEX('03_상품분류2526'!$D$7:$D$2532,MATCH(E275,'03_상품분류2526'!$A$7:$A$2532,0)),"코드 확인")</f>
        <v>50g</v>
      </c>
      <c r="H275" s="6" t="s">
        <v>7508</v>
      </c>
      <c r="I275" s="6" t="str">
        <f>IFERROR(INDEX('03_상품분류2526'!$M$7:$M$2532,MATCH(E275,'03_상품분류2526'!$A$7:$A$2532,0)),"코드 확인")</f>
        <v>B</v>
      </c>
      <c r="J275" s="6">
        <v>1</v>
      </c>
      <c r="K275" s="15">
        <v>1</v>
      </c>
      <c r="L275" s="6" t="str">
        <f>IFERROR(IF(INDEX('03_상품분류2526'!$V$7:$V$2532,MATCH(E275,'03_상품분류2526'!$A$7:$A$2532,0))="","",INDEX('03_상품분류2526'!$V$7:$V$2532,MATCH(E275,'03_상품분류2526'!$A$7:$A$2532,0))),"")</f>
        <v/>
      </c>
      <c r="M275" s="6" t="str">
        <f>IFERROR(IF(INDEX('03_상품분류2526'!$W$7:$W$2532,MATCH(E275,'03_상품분류2526'!$A$7:$A$2532,0))="","",INDEX('03_상품분류2526'!$W$7:$W$2532,MATCH(E275,'03_상품분류2526'!$A$7:$A$2532,0))),"")</f>
        <v/>
      </c>
      <c r="N275" s="6" t="str">
        <f>IFERROR(IF(INDEX('03_상품분류2526'!$X$7:$X$2532,MATCH(E275,'03_상품분류2526'!$A$7:$A$2532,0))="","",INDEX('03_상품분류2526'!$X$7:$X$2532,MATCH(E275,'03_상품분류2526'!$A$7:$A$2532,0))),"")</f>
        <v/>
      </c>
      <c r="O275" s="6">
        <f>'02_선반315'!R209</f>
        <v>865</v>
      </c>
      <c r="P275" s="6">
        <f>'02_선반315'!T209</f>
        <v>220</v>
      </c>
      <c r="Q275" s="6">
        <f>'02_선반315'!U209</f>
        <v>200</v>
      </c>
      <c r="R275" s="6">
        <f>'02_선반315'!S209</f>
        <v>270</v>
      </c>
      <c r="S275" s="6" t="str">
        <f t="shared" si="8"/>
        <v/>
      </c>
      <c r="T275" s="6" t="str">
        <f t="shared" si="9"/>
        <v>입력 대기</v>
      </c>
      <c r="U275" s="6" t="s">
        <v>7509</v>
      </c>
      <c r="V275" s="6" t="s">
        <v>7778</v>
      </c>
      <c r="W275" s="6" t="s">
        <v>859</v>
      </c>
    </row>
    <row r="276" spans="1:23" ht="33" customHeight="1">
      <c r="A276" s="6" t="s">
        <v>7781</v>
      </c>
      <c r="B276" s="6" t="s">
        <v>1271</v>
      </c>
      <c r="C276" s="6" t="s">
        <v>376</v>
      </c>
      <c r="D276" s="6">
        <v>3</v>
      </c>
      <c r="E276" s="6" t="s">
        <v>4409</v>
      </c>
      <c r="F276" s="6" t="str">
        <f>IFERROR(INDEX('03_상품분류2526'!$C$7:$C$2532,MATCH(E276,'03_상품분류2526'!$A$7:$A$2532,0)),"코드 확인")</f>
        <v>마미케어 쥬베핏 펩타이드 앰플 35ml</v>
      </c>
      <c r="G276" s="6" t="str">
        <f>IFERROR(INDEX('03_상품분류2526'!$D$7:$D$2532,MATCH(E276,'03_상품분류2526'!$A$7:$A$2532,0)),"코드 확인")</f>
        <v>35ml</v>
      </c>
      <c r="H276" s="6" t="s">
        <v>7508</v>
      </c>
      <c r="I276" s="6" t="str">
        <f>IFERROR(INDEX('03_상품분류2526'!$M$7:$M$2532,MATCH(E276,'03_상품분류2526'!$A$7:$A$2532,0)),"코드 확인")</f>
        <v>B</v>
      </c>
      <c r="J276" s="6">
        <v>2</v>
      </c>
      <c r="K276" s="15">
        <v>1</v>
      </c>
      <c r="L276" s="6" t="str">
        <f>IFERROR(IF(INDEX('03_상품분류2526'!$V$7:$V$2532,MATCH(E276,'03_상품분류2526'!$A$7:$A$2532,0))="","",INDEX('03_상품분류2526'!$V$7:$V$2532,MATCH(E276,'03_상품분류2526'!$A$7:$A$2532,0))),"")</f>
        <v/>
      </c>
      <c r="M276" s="6" t="str">
        <f>IFERROR(IF(INDEX('03_상품분류2526'!$W$7:$W$2532,MATCH(E276,'03_상품분류2526'!$A$7:$A$2532,0))="","",INDEX('03_상품분류2526'!$W$7:$W$2532,MATCH(E276,'03_상품분류2526'!$A$7:$A$2532,0))),"")</f>
        <v/>
      </c>
      <c r="N276" s="6" t="str">
        <f>IFERROR(IF(INDEX('03_상품분류2526'!$X$7:$X$2532,MATCH(E276,'03_상품분류2526'!$A$7:$A$2532,0))="","",INDEX('03_상품분류2526'!$X$7:$X$2532,MATCH(E276,'03_상품분류2526'!$A$7:$A$2532,0))),"")</f>
        <v/>
      </c>
      <c r="O276" s="6">
        <f>'02_선반315'!R209</f>
        <v>865</v>
      </c>
      <c r="P276" s="6">
        <f>'02_선반315'!T209</f>
        <v>220</v>
      </c>
      <c r="Q276" s="6">
        <f>'02_선반315'!U209</f>
        <v>200</v>
      </c>
      <c r="R276" s="6">
        <f>'02_선반315'!S209</f>
        <v>270</v>
      </c>
      <c r="S276" s="6" t="str">
        <f t="shared" si="8"/>
        <v/>
      </c>
      <c r="T276" s="6" t="str">
        <f t="shared" si="9"/>
        <v>입력 대기</v>
      </c>
      <c r="U276" s="6" t="s">
        <v>7509</v>
      </c>
      <c r="V276" s="6" t="s">
        <v>7778</v>
      </c>
      <c r="W276" s="6" t="s">
        <v>859</v>
      </c>
    </row>
    <row r="277" spans="1:23" ht="33" customHeight="1">
      <c r="A277" s="6" t="s">
        <v>7782</v>
      </c>
      <c r="B277" s="6" t="s">
        <v>1275</v>
      </c>
      <c r="C277" s="6" t="s">
        <v>376</v>
      </c>
      <c r="D277" s="6">
        <v>4</v>
      </c>
      <c r="E277" s="6" t="s">
        <v>1278</v>
      </c>
      <c r="F277" s="6" t="str">
        <f>IFERROR(INDEX('03_상품분류2526'!$C$7:$C$2532,MATCH(E277,'03_상품분류2526'!$A$7:$A$2532,0)),"코드 확인")</f>
        <v>더마픽스 리쥬콜 코드알엔 리셋 마스크팩</v>
      </c>
      <c r="G277" s="6" t="str">
        <f>IFERROR(INDEX('03_상품분류2526'!$D$7:$D$2532,MATCH(E277,'03_상품분류2526'!$A$7:$A$2532,0)),"코드 확인")</f>
        <v>4매</v>
      </c>
      <c r="H277" s="6" t="s">
        <v>7508</v>
      </c>
      <c r="I277" s="6" t="str">
        <f>IFERROR(INDEX('03_상품분류2526'!$M$7:$M$2532,MATCH(E277,'03_상품분류2526'!$A$7:$A$2532,0)),"코드 확인")</f>
        <v>T</v>
      </c>
      <c r="J277" s="6">
        <v>1</v>
      </c>
      <c r="K277" s="15">
        <v>1</v>
      </c>
      <c r="L277" s="6" t="str">
        <f>IFERROR(IF(INDEX('03_상품분류2526'!$V$7:$V$2532,MATCH(E277,'03_상품분류2526'!$A$7:$A$2532,0))="","",INDEX('03_상품분류2526'!$V$7:$V$2532,MATCH(E277,'03_상품분류2526'!$A$7:$A$2532,0))),"")</f>
        <v/>
      </c>
      <c r="M277" s="6" t="str">
        <f>IFERROR(IF(INDEX('03_상품분류2526'!$W$7:$W$2532,MATCH(E277,'03_상품분류2526'!$A$7:$A$2532,0))="","",INDEX('03_상품분류2526'!$W$7:$W$2532,MATCH(E277,'03_상품분류2526'!$A$7:$A$2532,0))),"")</f>
        <v/>
      </c>
      <c r="N277" s="6" t="str">
        <f>IFERROR(IF(INDEX('03_상품분류2526'!$X$7:$X$2532,MATCH(E277,'03_상품분류2526'!$A$7:$A$2532,0))="","",INDEX('03_상품분류2526'!$X$7:$X$2532,MATCH(E277,'03_상품분류2526'!$A$7:$A$2532,0))),"")</f>
        <v/>
      </c>
      <c r="O277" s="6">
        <f>'02_선반315'!R210</f>
        <v>865</v>
      </c>
      <c r="P277" s="6">
        <f>'02_선반315'!T210</f>
        <v>220</v>
      </c>
      <c r="Q277" s="6">
        <f>'02_선반315'!U210</f>
        <v>200</v>
      </c>
      <c r="R277" s="6">
        <f>'02_선반315'!S210</f>
        <v>270</v>
      </c>
      <c r="S277" s="6" t="str">
        <f t="shared" si="8"/>
        <v/>
      </c>
      <c r="T277" s="6" t="str">
        <f t="shared" si="9"/>
        <v>입력 대기</v>
      </c>
      <c r="U277" s="6" t="s">
        <v>7509</v>
      </c>
      <c r="V277" s="6" t="s">
        <v>7778</v>
      </c>
      <c r="W277" s="6" t="s">
        <v>859</v>
      </c>
    </row>
    <row r="278" spans="1:23" ht="33" customHeight="1">
      <c r="A278" s="6" t="s">
        <v>7783</v>
      </c>
      <c r="B278" s="6" t="s">
        <v>1280</v>
      </c>
      <c r="C278" s="6" t="s">
        <v>376</v>
      </c>
      <c r="D278" s="6">
        <v>5</v>
      </c>
      <c r="E278" s="6" t="s">
        <v>1282</v>
      </c>
      <c r="F278" s="6" t="str">
        <f>IFERROR(INDEX('03_상품분류2526'!$C$7:$C$2532,MATCH(E278,'03_상품분류2526'!$A$7:$A$2532,0)),"코드 확인")</f>
        <v>마미케어 쥬베핏 펩타이드 캡슐크림 50ml</v>
      </c>
      <c r="G278" s="6" t="str">
        <f>IFERROR(INDEX('03_상품분류2526'!$D$7:$D$2532,MATCH(E278,'03_상품분류2526'!$A$7:$A$2532,0)),"코드 확인")</f>
        <v>50ml</v>
      </c>
      <c r="H278" s="6" t="s">
        <v>7508</v>
      </c>
      <c r="I278" s="6" t="str">
        <f>IFERROR(INDEX('03_상품분류2526'!$M$7:$M$2532,MATCH(E278,'03_상품분류2526'!$A$7:$A$2532,0)),"코드 확인")</f>
        <v>B</v>
      </c>
      <c r="J278" s="6">
        <v>1</v>
      </c>
      <c r="K278" s="15">
        <v>1</v>
      </c>
      <c r="L278" s="6" t="str">
        <f>IFERROR(IF(INDEX('03_상품분류2526'!$V$7:$V$2532,MATCH(E278,'03_상품분류2526'!$A$7:$A$2532,0))="","",INDEX('03_상품분류2526'!$V$7:$V$2532,MATCH(E278,'03_상품분류2526'!$A$7:$A$2532,0))),"")</f>
        <v/>
      </c>
      <c r="M278" s="6" t="str">
        <f>IFERROR(IF(INDEX('03_상품분류2526'!$W$7:$W$2532,MATCH(E278,'03_상품분류2526'!$A$7:$A$2532,0))="","",INDEX('03_상품분류2526'!$W$7:$W$2532,MATCH(E278,'03_상품분류2526'!$A$7:$A$2532,0))),"")</f>
        <v/>
      </c>
      <c r="N278" s="6" t="str">
        <f>IFERROR(IF(INDEX('03_상품분류2526'!$X$7:$X$2532,MATCH(E278,'03_상품분류2526'!$A$7:$A$2532,0))="","",INDEX('03_상품분류2526'!$X$7:$X$2532,MATCH(E278,'03_상품분류2526'!$A$7:$A$2532,0))),"")</f>
        <v/>
      </c>
      <c r="O278" s="6">
        <f>'02_선반315'!R211</f>
        <v>865</v>
      </c>
      <c r="P278" s="6">
        <f>'02_선반315'!T211</f>
        <v>220</v>
      </c>
      <c r="Q278" s="6">
        <f>'02_선반315'!U211</f>
        <v>200</v>
      </c>
      <c r="R278" s="6">
        <f>'02_선반315'!S211</f>
        <v>270</v>
      </c>
      <c r="S278" s="6" t="str">
        <f t="shared" si="8"/>
        <v/>
      </c>
      <c r="T278" s="6" t="str">
        <f t="shared" si="9"/>
        <v>입력 대기</v>
      </c>
      <c r="U278" s="6" t="s">
        <v>7509</v>
      </c>
      <c r="V278" s="6" t="s">
        <v>7778</v>
      </c>
      <c r="W278" s="6" t="s">
        <v>859</v>
      </c>
    </row>
    <row r="279" spans="1:23" ht="33" customHeight="1">
      <c r="A279" s="6" t="s">
        <v>7784</v>
      </c>
      <c r="B279" s="6" t="s">
        <v>1285</v>
      </c>
      <c r="C279" s="6" t="s">
        <v>386</v>
      </c>
      <c r="D279" s="6">
        <v>2</v>
      </c>
      <c r="E279" s="6" t="s">
        <v>819</v>
      </c>
      <c r="F279" s="6" t="str">
        <f>IFERROR(INDEX('03_상품분류2526'!$C$7:$C$2532,MATCH(E279,'03_상품분류2526'!$A$7:$A$2532,0)),"코드 확인")</f>
        <v>리쥬비에스</v>
      </c>
      <c r="G279" s="6">
        <f>IFERROR(INDEX('03_상품분류2526'!$D$7:$D$2532,MATCH(E279,'03_상품분류2526'!$A$7:$A$2532,0)),"코드 확인")</f>
        <v>0</v>
      </c>
      <c r="H279" s="6" t="s">
        <v>7508</v>
      </c>
      <c r="I279" s="6" t="str">
        <f>IFERROR(INDEX('03_상품분류2526'!$M$7:$M$2532,MATCH(E279,'03_상품분류2526'!$A$7:$A$2532,0)),"코드 확인")</f>
        <v>A</v>
      </c>
      <c r="J279" s="6">
        <v>1</v>
      </c>
      <c r="K279" s="15">
        <v>2</v>
      </c>
      <c r="L279" s="6" t="str">
        <f>IFERROR(IF(INDEX('03_상품분류2526'!$V$7:$V$2532,MATCH(E279,'03_상품분류2526'!$A$7:$A$2532,0))="","",INDEX('03_상품분류2526'!$V$7:$V$2532,MATCH(E279,'03_상품분류2526'!$A$7:$A$2532,0))),"")</f>
        <v/>
      </c>
      <c r="M279" s="6" t="str">
        <f>IFERROR(IF(INDEX('03_상품분류2526'!$W$7:$W$2532,MATCH(E279,'03_상품분류2526'!$A$7:$A$2532,0))="","",INDEX('03_상품분류2526'!$W$7:$W$2532,MATCH(E279,'03_상품분류2526'!$A$7:$A$2532,0))),"")</f>
        <v/>
      </c>
      <c r="N279" s="6" t="str">
        <f>IFERROR(IF(INDEX('03_상품분류2526'!$X$7:$X$2532,MATCH(E279,'03_상품분류2526'!$A$7:$A$2532,0))="","",INDEX('03_상품분류2526'!$X$7:$X$2532,MATCH(E279,'03_상품분류2526'!$A$7:$A$2532,0))),"")</f>
        <v/>
      </c>
      <c r="O279" s="6">
        <f>'02_선반315'!R213</f>
        <v>865</v>
      </c>
      <c r="P279" s="6">
        <f>'02_선반315'!T213</f>
        <v>220</v>
      </c>
      <c r="Q279" s="6">
        <f>'02_선반315'!U213</f>
        <v>200</v>
      </c>
      <c r="R279" s="6">
        <f>'02_선반315'!S213</f>
        <v>270</v>
      </c>
      <c r="S279" s="6" t="str">
        <f t="shared" si="8"/>
        <v/>
      </c>
      <c r="T279" s="6" t="str">
        <f t="shared" si="9"/>
        <v>입력 대기</v>
      </c>
      <c r="U279" s="6" t="s">
        <v>7509</v>
      </c>
      <c r="V279" s="6" t="s">
        <v>7778</v>
      </c>
      <c r="W279" s="6" t="s">
        <v>859</v>
      </c>
    </row>
    <row r="280" spans="1:23" ht="33" customHeight="1">
      <c r="A280" s="6" t="s">
        <v>7785</v>
      </c>
      <c r="B280" s="6" t="s">
        <v>1285</v>
      </c>
      <c r="C280" s="6" t="s">
        <v>386</v>
      </c>
      <c r="D280" s="6">
        <v>2</v>
      </c>
      <c r="E280" s="6" t="s">
        <v>6838</v>
      </c>
      <c r="F280" s="6" t="str">
        <f>IFERROR(INDEX('03_상품분류2526'!$C$7:$C$2532,MATCH(E280,'03_상품분류2526'!$A$7:$A$2532,0)),"코드 확인")</f>
        <v>리쥬란 턴오버 앰플</v>
      </c>
      <c r="G280" s="6" t="str">
        <f>IFERROR(INDEX('03_상품분류2526'!$D$7:$D$2532,MATCH(E280,'03_상품분류2526'!$A$7:$A$2532,0)),"코드 확인")</f>
        <v>30ml</v>
      </c>
      <c r="H280" s="6" t="s">
        <v>7508</v>
      </c>
      <c r="I280" s="6" t="str">
        <f>IFERROR(INDEX('03_상품분류2526'!$M$7:$M$2532,MATCH(E280,'03_상품분류2526'!$A$7:$A$2532,0)),"코드 확인")</f>
        <v>B</v>
      </c>
      <c r="J280" s="6">
        <v>2</v>
      </c>
      <c r="K280" s="15">
        <v>1</v>
      </c>
      <c r="L280" s="6" t="str">
        <f>IFERROR(IF(INDEX('03_상품분류2526'!$V$7:$V$2532,MATCH(E280,'03_상품분류2526'!$A$7:$A$2532,0))="","",INDEX('03_상품분류2526'!$V$7:$V$2532,MATCH(E280,'03_상품분류2526'!$A$7:$A$2532,0))),"")</f>
        <v/>
      </c>
      <c r="M280" s="6" t="str">
        <f>IFERROR(IF(INDEX('03_상품분류2526'!$W$7:$W$2532,MATCH(E280,'03_상품분류2526'!$A$7:$A$2532,0))="","",INDEX('03_상품분류2526'!$W$7:$W$2532,MATCH(E280,'03_상품분류2526'!$A$7:$A$2532,0))),"")</f>
        <v/>
      </c>
      <c r="N280" s="6" t="str">
        <f>IFERROR(IF(INDEX('03_상품분류2526'!$X$7:$X$2532,MATCH(E280,'03_상품분류2526'!$A$7:$A$2532,0))="","",INDEX('03_상품분류2526'!$X$7:$X$2532,MATCH(E280,'03_상품분류2526'!$A$7:$A$2532,0))),"")</f>
        <v/>
      </c>
      <c r="O280" s="6">
        <f>'02_선반315'!R213</f>
        <v>865</v>
      </c>
      <c r="P280" s="6">
        <f>'02_선반315'!T213</f>
        <v>220</v>
      </c>
      <c r="Q280" s="6">
        <f>'02_선반315'!U213</f>
        <v>200</v>
      </c>
      <c r="R280" s="6">
        <f>'02_선반315'!S213</f>
        <v>270</v>
      </c>
      <c r="S280" s="6" t="str">
        <f t="shared" si="8"/>
        <v/>
      </c>
      <c r="T280" s="6" t="str">
        <f t="shared" si="9"/>
        <v>입력 대기</v>
      </c>
      <c r="U280" s="6" t="s">
        <v>7509</v>
      </c>
      <c r="V280" s="6" t="s">
        <v>7778</v>
      </c>
      <c r="W280" s="6" t="s">
        <v>859</v>
      </c>
    </row>
    <row r="281" spans="1:23" ht="33" customHeight="1">
      <c r="A281" s="6" t="s">
        <v>7786</v>
      </c>
      <c r="B281" s="6" t="s">
        <v>1289</v>
      </c>
      <c r="C281" s="6" t="s">
        <v>386</v>
      </c>
      <c r="D281" s="6">
        <v>3</v>
      </c>
      <c r="E281" s="6" t="s">
        <v>1563</v>
      </c>
      <c r="F281" s="6" t="str">
        <f>IFERROR(INDEX('03_상품분류2526'!$C$7:$C$2532,MATCH(E281,'03_상품분류2526'!$A$7:$A$2532,0)),"코드 확인")</f>
        <v>리쥬란 턴오버 인핸스드 크림</v>
      </c>
      <c r="G281" s="6" t="str">
        <f>IFERROR(INDEX('03_상품분류2526'!$D$7:$D$2532,MATCH(E281,'03_상품분류2526'!$A$7:$A$2532,0)),"코드 확인")</f>
        <v>50ml</v>
      </c>
      <c r="H281" s="6" t="s">
        <v>7508</v>
      </c>
      <c r="I281" s="6" t="str">
        <f>IFERROR(INDEX('03_상품분류2526'!$M$7:$M$2532,MATCH(E281,'03_상품분류2526'!$A$7:$A$2532,0)),"코드 확인")</f>
        <v>A</v>
      </c>
      <c r="J281" s="6">
        <v>1</v>
      </c>
      <c r="K281" s="15">
        <v>2</v>
      </c>
      <c r="L281" s="6" t="str">
        <f>IFERROR(IF(INDEX('03_상품분류2526'!$V$7:$V$2532,MATCH(E281,'03_상품분류2526'!$A$7:$A$2532,0))="","",INDEX('03_상품분류2526'!$V$7:$V$2532,MATCH(E281,'03_상품분류2526'!$A$7:$A$2532,0))),"")</f>
        <v/>
      </c>
      <c r="M281" s="6" t="str">
        <f>IFERROR(IF(INDEX('03_상품분류2526'!$W$7:$W$2532,MATCH(E281,'03_상품분류2526'!$A$7:$A$2532,0))="","",INDEX('03_상품분류2526'!$W$7:$W$2532,MATCH(E281,'03_상품분류2526'!$A$7:$A$2532,0))),"")</f>
        <v/>
      </c>
      <c r="N281" s="6" t="str">
        <f>IFERROR(IF(INDEX('03_상품분류2526'!$X$7:$X$2532,MATCH(E281,'03_상품분류2526'!$A$7:$A$2532,0))="","",INDEX('03_상품분류2526'!$X$7:$X$2532,MATCH(E281,'03_상품분류2526'!$A$7:$A$2532,0))),"")</f>
        <v/>
      </c>
      <c r="O281" s="6">
        <f>'02_선반315'!R214</f>
        <v>865</v>
      </c>
      <c r="P281" s="6">
        <f>'02_선반315'!T214</f>
        <v>220</v>
      </c>
      <c r="Q281" s="6">
        <f>'02_선반315'!U214</f>
        <v>200</v>
      </c>
      <c r="R281" s="6">
        <f>'02_선반315'!S214</f>
        <v>270</v>
      </c>
      <c r="S281" s="6" t="str">
        <f t="shared" si="8"/>
        <v/>
      </c>
      <c r="T281" s="6" t="str">
        <f t="shared" si="9"/>
        <v>입력 대기</v>
      </c>
      <c r="U281" s="6" t="s">
        <v>7509</v>
      </c>
      <c r="V281" s="6" t="s">
        <v>7778</v>
      </c>
      <c r="W281" s="6" t="s">
        <v>859</v>
      </c>
    </row>
    <row r="282" spans="1:23" ht="33" customHeight="1">
      <c r="A282" s="6" t="s">
        <v>7787</v>
      </c>
      <c r="B282" s="6" t="s">
        <v>1289</v>
      </c>
      <c r="C282" s="6" t="s">
        <v>386</v>
      </c>
      <c r="D282" s="6">
        <v>3</v>
      </c>
      <c r="E282" s="6" t="s">
        <v>1567</v>
      </c>
      <c r="F282" s="6" t="str">
        <f>IFERROR(INDEX('03_상품분류2526'!$C$7:$C$2532,MATCH(E282,'03_상품분류2526'!$A$7:$A$2532,0)),"코드 확인")</f>
        <v>레비온 RX PDRN EGF크림</v>
      </c>
      <c r="G282" s="6" t="str">
        <f>IFERROR(INDEX('03_상품분류2526'!$D$7:$D$2532,MATCH(E282,'03_상품분류2526'!$A$7:$A$2532,0)),"코드 확인")</f>
        <v>20ml</v>
      </c>
      <c r="H282" s="6" t="s">
        <v>7508</v>
      </c>
      <c r="I282" s="6" t="str">
        <f>IFERROR(INDEX('03_상품분류2526'!$M$7:$M$2532,MATCH(E282,'03_상품분류2526'!$A$7:$A$2532,0)),"코드 확인")</f>
        <v>A</v>
      </c>
      <c r="J282" s="6">
        <v>2</v>
      </c>
      <c r="K282" s="15">
        <v>1</v>
      </c>
      <c r="L282" s="6" t="str">
        <f>IFERROR(IF(INDEX('03_상품분류2526'!$V$7:$V$2532,MATCH(E282,'03_상품분류2526'!$A$7:$A$2532,0))="","",INDEX('03_상품분류2526'!$V$7:$V$2532,MATCH(E282,'03_상품분류2526'!$A$7:$A$2532,0))),"")</f>
        <v/>
      </c>
      <c r="M282" s="6" t="str">
        <f>IFERROR(IF(INDEX('03_상품분류2526'!$W$7:$W$2532,MATCH(E282,'03_상품분류2526'!$A$7:$A$2532,0))="","",INDEX('03_상품분류2526'!$W$7:$W$2532,MATCH(E282,'03_상품분류2526'!$A$7:$A$2532,0))),"")</f>
        <v/>
      </c>
      <c r="N282" s="6" t="str">
        <f>IFERROR(IF(INDEX('03_상품분류2526'!$X$7:$X$2532,MATCH(E282,'03_상품분류2526'!$A$7:$A$2532,0))="","",INDEX('03_상품분류2526'!$X$7:$X$2532,MATCH(E282,'03_상품분류2526'!$A$7:$A$2532,0))),"")</f>
        <v/>
      </c>
      <c r="O282" s="6">
        <f>'02_선반315'!R214</f>
        <v>865</v>
      </c>
      <c r="P282" s="6">
        <f>'02_선반315'!T214</f>
        <v>220</v>
      </c>
      <c r="Q282" s="6">
        <f>'02_선반315'!U214</f>
        <v>200</v>
      </c>
      <c r="R282" s="6">
        <f>'02_선반315'!S214</f>
        <v>270</v>
      </c>
      <c r="S282" s="6" t="str">
        <f t="shared" si="8"/>
        <v/>
      </c>
      <c r="T282" s="6" t="str">
        <f t="shared" si="9"/>
        <v>입력 대기</v>
      </c>
      <c r="U282" s="6" t="s">
        <v>7509</v>
      </c>
      <c r="V282" s="6" t="s">
        <v>7778</v>
      </c>
      <c r="W282" s="6" t="s">
        <v>859</v>
      </c>
    </row>
    <row r="283" spans="1:23" ht="33" customHeight="1">
      <c r="A283" s="6" t="s">
        <v>7788</v>
      </c>
      <c r="B283" s="6" t="s">
        <v>1293</v>
      </c>
      <c r="C283" s="6" t="s">
        <v>386</v>
      </c>
      <c r="D283" s="6">
        <v>4</v>
      </c>
      <c r="E283" s="6" t="s">
        <v>823</v>
      </c>
      <c r="F283" s="6" t="str">
        <f>IFERROR(INDEX('03_상품분류2526'!$C$7:$C$2532,MATCH(E283,'03_상품분류2526'!$A$7:$A$2532,0)),"코드 확인")</f>
        <v>리쥬란 턴오버 마스크</v>
      </c>
      <c r="G283" s="6" t="str">
        <f>IFERROR(INDEX('03_상품분류2526'!$D$7:$D$2532,MATCH(E283,'03_상품분류2526'!$A$7:$A$2532,0)),"코드 확인")</f>
        <v>40ml*5ea</v>
      </c>
      <c r="H283" s="6" t="s">
        <v>7508</v>
      </c>
      <c r="I283" s="6" t="str">
        <f>IFERROR(INDEX('03_상품분류2526'!$M$7:$M$2532,MATCH(E283,'03_상품분류2526'!$A$7:$A$2532,0)),"코드 확인")</f>
        <v>B</v>
      </c>
      <c r="J283" s="6">
        <v>1</v>
      </c>
      <c r="K283" s="15">
        <v>1</v>
      </c>
      <c r="L283" s="6" t="str">
        <f>IFERROR(IF(INDEX('03_상품분류2526'!$V$7:$V$2532,MATCH(E283,'03_상품분류2526'!$A$7:$A$2532,0))="","",INDEX('03_상품분류2526'!$V$7:$V$2532,MATCH(E283,'03_상품분류2526'!$A$7:$A$2532,0))),"")</f>
        <v/>
      </c>
      <c r="M283" s="6" t="str">
        <f>IFERROR(IF(INDEX('03_상품분류2526'!$W$7:$W$2532,MATCH(E283,'03_상품분류2526'!$A$7:$A$2532,0))="","",INDEX('03_상품분류2526'!$W$7:$W$2532,MATCH(E283,'03_상품분류2526'!$A$7:$A$2532,0))),"")</f>
        <v/>
      </c>
      <c r="N283" s="6" t="str">
        <f>IFERROR(IF(INDEX('03_상품분류2526'!$X$7:$X$2532,MATCH(E283,'03_상품분류2526'!$A$7:$A$2532,0))="","",INDEX('03_상품분류2526'!$X$7:$X$2532,MATCH(E283,'03_상품분류2526'!$A$7:$A$2532,0))),"")</f>
        <v/>
      </c>
      <c r="O283" s="6">
        <f>'02_선반315'!R215</f>
        <v>865</v>
      </c>
      <c r="P283" s="6">
        <f>'02_선반315'!T215</f>
        <v>220</v>
      </c>
      <c r="Q283" s="6">
        <f>'02_선반315'!U215</f>
        <v>200</v>
      </c>
      <c r="R283" s="6">
        <f>'02_선반315'!S215</f>
        <v>270</v>
      </c>
      <c r="S283" s="6" t="str">
        <f t="shared" si="8"/>
        <v/>
      </c>
      <c r="T283" s="6" t="str">
        <f t="shared" si="9"/>
        <v>입력 대기</v>
      </c>
      <c r="U283" s="6" t="s">
        <v>7509</v>
      </c>
      <c r="V283" s="6" t="s">
        <v>7778</v>
      </c>
      <c r="W283" s="6" t="s">
        <v>859</v>
      </c>
    </row>
    <row r="284" spans="1:23" ht="33" customHeight="1">
      <c r="A284" s="6" t="s">
        <v>7789</v>
      </c>
      <c r="B284" s="6" t="s">
        <v>1293</v>
      </c>
      <c r="C284" s="6" t="s">
        <v>386</v>
      </c>
      <c r="D284" s="6">
        <v>4</v>
      </c>
      <c r="E284" s="6" t="s">
        <v>5992</v>
      </c>
      <c r="F284" s="6" t="str">
        <f>IFERROR(INDEX('03_상품분류2526'!$C$7:$C$2532,MATCH(E284,'03_상품분류2526'!$A$7:$A$2532,0)),"코드 확인")</f>
        <v>레비온알엑스마스크(PDRN,EGF)</v>
      </c>
      <c r="G284" s="6" t="str">
        <f>IFERROR(INDEX('03_상품분류2526'!$D$7:$D$2532,MATCH(E284,'03_상품분류2526'!$A$7:$A$2532,0)),"코드 확인")</f>
        <v>25ml/4ea</v>
      </c>
      <c r="H284" s="6" t="s">
        <v>7508</v>
      </c>
      <c r="I284" s="6" t="str">
        <f>IFERROR(INDEX('03_상품분류2526'!$M$7:$M$2532,MATCH(E284,'03_상품분류2526'!$A$7:$A$2532,0)),"코드 확인")</f>
        <v>B</v>
      </c>
      <c r="J284" s="6">
        <v>2</v>
      </c>
      <c r="K284" s="15">
        <v>1</v>
      </c>
      <c r="L284" s="6" t="str">
        <f>IFERROR(IF(INDEX('03_상품분류2526'!$V$7:$V$2532,MATCH(E284,'03_상품분류2526'!$A$7:$A$2532,0))="","",INDEX('03_상품분류2526'!$V$7:$V$2532,MATCH(E284,'03_상품분류2526'!$A$7:$A$2532,0))),"")</f>
        <v/>
      </c>
      <c r="M284" s="6" t="str">
        <f>IFERROR(IF(INDEX('03_상품분류2526'!$W$7:$W$2532,MATCH(E284,'03_상품분류2526'!$A$7:$A$2532,0))="","",INDEX('03_상품분류2526'!$W$7:$W$2532,MATCH(E284,'03_상품분류2526'!$A$7:$A$2532,0))),"")</f>
        <v/>
      </c>
      <c r="N284" s="6" t="str">
        <f>IFERROR(IF(INDEX('03_상품분류2526'!$X$7:$X$2532,MATCH(E284,'03_상품분류2526'!$A$7:$A$2532,0))="","",INDEX('03_상품분류2526'!$X$7:$X$2532,MATCH(E284,'03_상품분류2526'!$A$7:$A$2532,0))),"")</f>
        <v/>
      </c>
      <c r="O284" s="6">
        <f>'02_선반315'!R215</f>
        <v>865</v>
      </c>
      <c r="P284" s="6">
        <f>'02_선반315'!T215</f>
        <v>220</v>
      </c>
      <c r="Q284" s="6">
        <f>'02_선반315'!U215</f>
        <v>200</v>
      </c>
      <c r="R284" s="6">
        <f>'02_선반315'!S215</f>
        <v>270</v>
      </c>
      <c r="S284" s="6" t="str">
        <f t="shared" si="8"/>
        <v/>
      </c>
      <c r="T284" s="6" t="str">
        <f t="shared" si="9"/>
        <v>입력 대기</v>
      </c>
      <c r="U284" s="6" t="s">
        <v>7509</v>
      </c>
      <c r="V284" s="6" t="s">
        <v>7778</v>
      </c>
      <c r="W284" s="6" t="s">
        <v>859</v>
      </c>
    </row>
    <row r="285" spans="1:23" ht="33" customHeight="1">
      <c r="A285" s="6" t="s">
        <v>7790</v>
      </c>
      <c r="B285" s="6" t="s">
        <v>1297</v>
      </c>
      <c r="C285" s="6" t="s">
        <v>386</v>
      </c>
      <c r="D285" s="6">
        <v>5</v>
      </c>
      <c r="E285" s="6" t="s">
        <v>1299</v>
      </c>
      <c r="F285" s="6" t="str">
        <f>IFERROR(INDEX('03_상품분류2526'!$C$7:$C$2532,MATCH(E285,'03_상품분류2526'!$A$7:$A$2532,0)),"코드 확인")</f>
        <v>피더린 리쥬부스터 크림 마스크</v>
      </c>
      <c r="G285" s="6" t="str">
        <f>IFERROR(INDEX('03_상품분류2526'!$D$7:$D$2532,MATCH(E285,'03_상품분류2526'!$A$7:$A$2532,0)),"코드 확인")</f>
        <v>22g*5ea</v>
      </c>
      <c r="H285" s="6" t="s">
        <v>7508</v>
      </c>
      <c r="I285" s="6" t="str">
        <f>IFERROR(INDEX('03_상품분류2526'!$M$7:$M$2532,MATCH(E285,'03_상품분류2526'!$A$7:$A$2532,0)),"코드 확인")</f>
        <v>B</v>
      </c>
      <c r="J285" s="6">
        <v>1</v>
      </c>
      <c r="K285" s="15">
        <v>1</v>
      </c>
      <c r="L285" s="6" t="str">
        <f>IFERROR(IF(INDEX('03_상품분류2526'!$V$7:$V$2532,MATCH(E285,'03_상품분류2526'!$A$7:$A$2532,0))="","",INDEX('03_상품분류2526'!$V$7:$V$2532,MATCH(E285,'03_상품분류2526'!$A$7:$A$2532,0))),"")</f>
        <v/>
      </c>
      <c r="M285" s="6" t="str">
        <f>IFERROR(IF(INDEX('03_상품분류2526'!$W$7:$W$2532,MATCH(E285,'03_상품분류2526'!$A$7:$A$2532,0))="","",INDEX('03_상품분류2526'!$W$7:$W$2532,MATCH(E285,'03_상품분류2526'!$A$7:$A$2532,0))),"")</f>
        <v/>
      </c>
      <c r="N285" s="6" t="str">
        <f>IFERROR(IF(INDEX('03_상품분류2526'!$X$7:$X$2532,MATCH(E285,'03_상품분류2526'!$A$7:$A$2532,0))="","",INDEX('03_상품분류2526'!$X$7:$X$2532,MATCH(E285,'03_상품분류2526'!$A$7:$A$2532,0))),"")</f>
        <v/>
      </c>
      <c r="O285" s="6">
        <f>'02_선반315'!R216</f>
        <v>865</v>
      </c>
      <c r="P285" s="6">
        <f>'02_선반315'!T216</f>
        <v>220</v>
      </c>
      <c r="Q285" s="6">
        <f>'02_선반315'!U216</f>
        <v>200</v>
      </c>
      <c r="R285" s="6">
        <f>'02_선반315'!S216</f>
        <v>270</v>
      </c>
      <c r="S285" s="6" t="str">
        <f t="shared" si="8"/>
        <v/>
      </c>
      <c r="T285" s="6" t="str">
        <f t="shared" si="9"/>
        <v>입력 대기</v>
      </c>
      <c r="U285" s="6" t="s">
        <v>7509</v>
      </c>
      <c r="V285" s="6" t="s">
        <v>7778</v>
      </c>
      <c r="W285" s="6" t="s">
        <v>859</v>
      </c>
    </row>
    <row r="286" spans="1:23" ht="33" customHeight="1">
      <c r="A286" s="6" t="s">
        <v>7791</v>
      </c>
      <c r="B286" s="6" t="s">
        <v>1302</v>
      </c>
      <c r="C286" s="6" t="s">
        <v>395</v>
      </c>
      <c r="D286" s="6">
        <v>2</v>
      </c>
      <c r="E286" s="6" t="s">
        <v>4109</v>
      </c>
      <c r="F286" s="6" t="str">
        <f>IFERROR(INDEX('03_상품분류2526'!$C$7:$C$2532,MATCH(E286,'03_상품분류2526'!$A$7:$A$2532,0)),"코드 확인")</f>
        <v>엠디스픽 테카테카 D판테놀 리페어 크림 Rx</v>
      </c>
      <c r="G286" s="6" t="str">
        <f>IFERROR(INDEX('03_상품분류2526'!$D$7:$D$2532,MATCH(E286,'03_상품분류2526'!$A$7:$A$2532,0)),"코드 확인")</f>
        <v>30ml</v>
      </c>
      <c r="H286" s="6" t="s">
        <v>7508</v>
      </c>
      <c r="I286" s="6" t="str">
        <f>IFERROR(INDEX('03_상품분류2526'!$M$7:$M$2532,MATCH(E286,'03_상품분류2526'!$A$7:$A$2532,0)),"코드 확인")</f>
        <v>A</v>
      </c>
      <c r="J286" s="6">
        <v>1</v>
      </c>
      <c r="K286" s="15">
        <v>1</v>
      </c>
      <c r="L286" s="6" t="str">
        <f>IFERROR(IF(INDEX('03_상품분류2526'!$V$7:$V$2532,MATCH(E286,'03_상품분류2526'!$A$7:$A$2532,0))="","",INDEX('03_상품분류2526'!$V$7:$V$2532,MATCH(E286,'03_상품분류2526'!$A$7:$A$2532,0))),"")</f>
        <v/>
      </c>
      <c r="M286" s="6" t="str">
        <f>IFERROR(IF(INDEX('03_상품분류2526'!$W$7:$W$2532,MATCH(E286,'03_상품분류2526'!$A$7:$A$2532,0))="","",INDEX('03_상품분류2526'!$W$7:$W$2532,MATCH(E286,'03_상품분류2526'!$A$7:$A$2532,0))),"")</f>
        <v/>
      </c>
      <c r="N286" s="6" t="str">
        <f>IFERROR(IF(INDEX('03_상품분류2526'!$X$7:$X$2532,MATCH(E286,'03_상품분류2526'!$A$7:$A$2532,0))="","",INDEX('03_상품분류2526'!$X$7:$X$2532,MATCH(E286,'03_상품분류2526'!$A$7:$A$2532,0))),"")</f>
        <v/>
      </c>
      <c r="O286" s="6">
        <f>'02_선반315'!R218</f>
        <v>865</v>
      </c>
      <c r="P286" s="6">
        <f>'02_선반315'!T218</f>
        <v>220</v>
      </c>
      <c r="Q286" s="6">
        <f>'02_선반315'!U218</f>
        <v>200</v>
      </c>
      <c r="R286" s="6">
        <f>'02_선반315'!S218</f>
        <v>270</v>
      </c>
      <c r="S286" s="6" t="str">
        <f t="shared" si="8"/>
        <v/>
      </c>
      <c r="T286" s="6" t="str">
        <f t="shared" si="9"/>
        <v>입력 대기</v>
      </c>
      <c r="U286" s="6" t="s">
        <v>7509</v>
      </c>
      <c r="V286" s="6" t="s">
        <v>555</v>
      </c>
      <c r="W286" s="6" t="s">
        <v>859</v>
      </c>
    </row>
    <row r="287" spans="1:23" ht="33" customHeight="1">
      <c r="A287" s="6" t="s">
        <v>7792</v>
      </c>
      <c r="B287" s="6" t="s">
        <v>1302</v>
      </c>
      <c r="C287" s="6" t="s">
        <v>395</v>
      </c>
      <c r="D287" s="6">
        <v>2</v>
      </c>
      <c r="E287" s="6" t="s">
        <v>1551</v>
      </c>
      <c r="F287" s="6" t="str">
        <f>IFERROR(INDEX('03_상품분류2526'!$C$7:$C$2532,MATCH(E287,'03_상품분류2526'!$A$7:$A$2532,0)),"코드 확인")</f>
        <v>닥터알파 피부장벽 크림 80ML</v>
      </c>
      <c r="G287" s="6" t="str">
        <f>IFERROR(INDEX('03_상품분류2526'!$D$7:$D$2532,MATCH(E287,'03_상품분류2526'!$A$7:$A$2532,0)),"코드 확인")</f>
        <v>80ML</v>
      </c>
      <c r="H287" s="6" t="s">
        <v>7508</v>
      </c>
      <c r="I287" s="6" t="str">
        <f>IFERROR(INDEX('03_상품분류2526'!$M$7:$M$2532,MATCH(E287,'03_상품분류2526'!$A$7:$A$2532,0)),"코드 확인")</f>
        <v>A</v>
      </c>
      <c r="J287" s="6">
        <v>2</v>
      </c>
      <c r="K287" s="15">
        <v>1</v>
      </c>
      <c r="L287" s="6" t="str">
        <f>IFERROR(IF(INDEX('03_상품분류2526'!$V$7:$V$2532,MATCH(E287,'03_상품분류2526'!$A$7:$A$2532,0))="","",INDEX('03_상품분류2526'!$V$7:$V$2532,MATCH(E287,'03_상품분류2526'!$A$7:$A$2532,0))),"")</f>
        <v/>
      </c>
      <c r="M287" s="6" t="str">
        <f>IFERROR(IF(INDEX('03_상품분류2526'!$W$7:$W$2532,MATCH(E287,'03_상품분류2526'!$A$7:$A$2532,0))="","",INDEX('03_상품분류2526'!$W$7:$W$2532,MATCH(E287,'03_상품분류2526'!$A$7:$A$2532,0))),"")</f>
        <v/>
      </c>
      <c r="N287" s="6" t="str">
        <f>IFERROR(IF(INDEX('03_상품분류2526'!$X$7:$X$2532,MATCH(E287,'03_상품분류2526'!$A$7:$A$2532,0))="","",INDEX('03_상품분류2526'!$X$7:$X$2532,MATCH(E287,'03_상품분류2526'!$A$7:$A$2532,0))),"")</f>
        <v/>
      </c>
      <c r="O287" s="6">
        <f>'02_선반315'!R218</f>
        <v>865</v>
      </c>
      <c r="P287" s="6">
        <f>'02_선반315'!T218</f>
        <v>220</v>
      </c>
      <c r="Q287" s="6">
        <f>'02_선반315'!U218</f>
        <v>200</v>
      </c>
      <c r="R287" s="6">
        <f>'02_선반315'!S218</f>
        <v>270</v>
      </c>
      <c r="S287" s="6" t="str">
        <f t="shared" si="8"/>
        <v/>
      </c>
      <c r="T287" s="6" t="str">
        <f t="shared" si="9"/>
        <v>입력 대기</v>
      </c>
      <c r="U287" s="6" t="s">
        <v>7509</v>
      </c>
      <c r="V287" s="6" t="s">
        <v>555</v>
      </c>
      <c r="W287" s="6" t="s">
        <v>859</v>
      </c>
    </row>
    <row r="288" spans="1:23" ht="33" customHeight="1">
      <c r="A288" s="6" t="s">
        <v>7793</v>
      </c>
      <c r="B288" s="6" t="s">
        <v>1302</v>
      </c>
      <c r="C288" s="6" t="s">
        <v>395</v>
      </c>
      <c r="D288" s="6">
        <v>2</v>
      </c>
      <c r="E288" s="6" t="s">
        <v>3085</v>
      </c>
      <c r="F288" s="6" t="str">
        <f>IFERROR(INDEX('03_상품분류2526'!$C$7:$C$2532,MATCH(E288,'03_상품분류2526'!$A$7:$A$2532,0)),"코드 확인")</f>
        <v>닥터오라클 세라마베리어 페이셜 세라마이드 크림</v>
      </c>
      <c r="G288" s="6" t="str">
        <f>IFERROR(INDEX('03_상품분류2526'!$D$7:$D$2532,MATCH(E288,'03_상품분류2526'!$A$7:$A$2532,0)),"코드 확인")</f>
        <v>80g</v>
      </c>
      <c r="H288" s="6" t="s">
        <v>7508</v>
      </c>
      <c r="I288" s="6" t="str">
        <f>IFERROR(INDEX('03_상품분류2526'!$M$7:$M$2532,MATCH(E288,'03_상품분류2526'!$A$7:$A$2532,0)),"코드 확인")</f>
        <v>B</v>
      </c>
      <c r="J288" s="6">
        <v>3</v>
      </c>
      <c r="K288" s="15">
        <v>1</v>
      </c>
      <c r="L288" s="6" t="str">
        <f>IFERROR(IF(INDEX('03_상품분류2526'!$V$7:$V$2532,MATCH(E288,'03_상품분류2526'!$A$7:$A$2532,0))="","",INDEX('03_상품분류2526'!$V$7:$V$2532,MATCH(E288,'03_상품분류2526'!$A$7:$A$2532,0))),"")</f>
        <v/>
      </c>
      <c r="M288" s="6" t="str">
        <f>IFERROR(IF(INDEX('03_상품분류2526'!$W$7:$W$2532,MATCH(E288,'03_상품분류2526'!$A$7:$A$2532,0))="","",INDEX('03_상품분류2526'!$W$7:$W$2532,MATCH(E288,'03_상품분류2526'!$A$7:$A$2532,0))),"")</f>
        <v/>
      </c>
      <c r="N288" s="6" t="str">
        <f>IFERROR(IF(INDEX('03_상품분류2526'!$X$7:$X$2532,MATCH(E288,'03_상품분류2526'!$A$7:$A$2532,0))="","",INDEX('03_상품분류2526'!$X$7:$X$2532,MATCH(E288,'03_상품분류2526'!$A$7:$A$2532,0))),"")</f>
        <v/>
      </c>
      <c r="O288" s="6">
        <f>'02_선반315'!R218</f>
        <v>865</v>
      </c>
      <c r="P288" s="6">
        <f>'02_선반315'!T218</f>
        <v>220</v>
      </c>
      <c r="Q288" s="6">
        <f>'02_선반315'!U218</f>
        <v>200</v>
      </c>
      <c r="R288" s="6">
        <f>'02_선반315'!S218</f>
        <v>270</v>
      </c>
      <c r="S288" s="6" t="str">
        <f t="shared" si="8"/>
        <v/>
      </c>
      <c r="T288" s="6" t="str">
        <f t="shared" si="9"/>
        <v>입력 대기</v>
      </c>
      <c r="U288" s="6" t="s">
        <v>7509</v>
      </c>
      <c r="V288" s="6" t="s">
        <v>555</v>
      </c>
      <c r="W288" s="6" t="s">
        <v>859</v>
      </c>
    </row>
    <row r="289" spans="1:23" ht="33" customHeight="1">
      <c r="A289" s="6" t="s">
        <v>7794</v>
      </c>
      <c r="B289" s="6" t="s">
        <v>1306</v>
      </c>
      <c r="C289" s="6" t="s">
        <v>395</v>
      </c>
      <c r="D289" s="6">
        <v>3</v>
      </c>
      <c r="E289" s="6" t="s">
        <v>598</v>
      </c>
      <c r="F289" s="6" t="str">
        <f>IFERROR(INDEX('03_상품분류2526'!$C$7:$C$2532,MATCH(E289,'03_상품분류2526'!$A$7:$A$2532,0)),"코드 확인")</f>
        <v>톰 PPM 트리플 시너지 베리어 세럼</v>
      </c>
      <c r="G289" s="6" t="str">
        <f>IFERROR(INDEX('03_상품분류2526'!$D$7:$D$2532,MATCH(E289,'03_상품분류2526'!$A$7:$A$2532,0)),"코드 확인")</f>
        <v>30mL</v>
      </c>
      <c r="H289" s="6" t="s">
        <v>7508</v>
      </c>
      <c r="I289" s="6" t="str">
        <f>IFERROR(INDEX('03_상품분류2526'!$M$7:$M$2532,MATCH(E289,'03_상품분류2526'!$A$7:$A$2532,0)),"코드 확인")</f>
        <v>A</v>
      </c>
      <c r="J289" s="6">
        <v>1</v>
      </c>
      <c r="K289" s="15">
        <v>1</v>
      </c>
      <c r="L289" s="6" t="str">
        <f>IFERROR(IF(INDEX('03_상품분류2526'!$V$7:$V$2532,MATCH(E289,'03_상품분류2526'!$A$7:$A$2532,0))="","",INDEX('03_상품분류2526'!$V$7:$V$2532,MATCH(E289,'03_상품분류2526'!$A$7:$A$2532,0))),"")</f>
        <v/>
      </c>
      <c r="M289" s="6" t="str">
        <f>IFERROR(IF(INDEX('03_상품분류2526'!$W$7:$W$2532,MATCH(E289,'03_상품분류2526'!$A$7:$A$2532,0))="","",INDEX('03_상품분류2526'!$W$7:$W$2532,MATCH(E289,'03_상품분류2526'!$A$7:$A$2532,0))),"")</f>
        <v/>
      </c>
      <c r="N289" s="6" t="str">
        <f>IFERROR(IF(INDEX('03_상품분류2526'!$X$7:$X$2532,MATCH(E289,'03_상품분류2526'!$A$7:$A$2532,0))="","",INDEX('03_상품분류2526'!$X$7:$X$2532,MATCH(E289,'03_상품분류2526'!$A$7:$A$2532,0))),"")</f>
        <v/>
      </c>
      <c r="O289" s="6">
        <f>'02_선반315'!R219</f>
        <v>865</v>
      </c>
      <c r="P289" s="6">
        <f>'02_선반315'!T219</f>
        <v>220</v>
      </c>
      <c r="Q289" s="6">
        <f>'02_선반315'!U219</f>
        <v>200</v>
      </c>
      <c r="R289" s="6">
        <f>'02_선반315'!S219</f>
        <v>270</v>
      </c>
      <c r="S289" s="6" t="str">
        <f t="shared" si="8"/>
        <v/>
      </c>
      <c r="T289" s="6" t="str">
        <f t="shared" si="9"/>
        <v>입력 대기</v>
      </c>
      <c r="U289" s="6" t="s">
        <v>7509</v>
      </c>
      <c r="V289" s="6" t="s">
        <v>555</v>
      </c>
      <c r="W289" s="6" t="s">
        <v>859</v>
      </c>
    </row>
    <row r="290" spans="1:23" ht="33" customHeight="1">
      <c r="A290" s="6" t="s">
        <v>7795</v>
      </c>
      <c r="B290" s="6" t="s">
        <v>1307</v>
      </c>
      <c r="C290" s="6" t="s">
        <v>395</v>
      </c>
      <c r="D290" s="6">
        <v>4</v>
      </c>
      <c r="E290" s="6" t="s">
        <v>1309</v>
      </c>
      <c r="F290" s="6" t="str">
        <f>IFERROR(INDEX('03_상품분류2526'!$C$7:$C$2532,MATCH(E290,'03_상품분류2526'!$A$7:$A$2532,0)),"코드 확인")</f>
        <v>비플레인 밀크 세라마이드 보습 토너 (NEW)</v>
      </c>
      <c r="G290" s="6" t="str">
        <f>IFERROR(INDEX('03_상품분류2526'!$D$7:$D$2532,MATCH(E290,'03_상품분류2526'!$A$7:$A$2532,0)),"코드 확인")</f>
        <v>150ml</v>
      </c>
      <c r="H290" s="6" t="s">
        <v>7508</v>
      </c>
      <c r="I290" s="6" t="str">
        <f>IFERROR(INDEX('03_상품분류2526'!$M$7:$M$2532,MATCH(E290,'03_상품분류2526'!$A$7:$A$2532,0)),"코드 확인")</f>
        <v>B</v>
      </c>
      <c r="J290" s="6">
        <v>1</v>
      </c>
      <c r="K290" s="15">
        <v>1</v>
      </c>
      <c r="L290" s="6" t="str">
        <f>IFERROR(IF(INDEX('03_상품분류2526'!$V$7:$V$2532,MATCH(E290,'03_상품분류2526'!$A$7:$A$2532,0))="","",INDEX('03_상품분류2526'!$V$7:$V$2532,MATCH(E290,'03_상품분류2526'!$A$7:$A$2532,0))),"")</f>
        <v/>
      </c>
      <c r="M290" s="6" t="str">
        <f>IFERROR(IF(INDEX('03_상품분류2526'!$W$7:$W$2532,MATCH(E290,'03_상품분류2526'!$A$7:$A$2532,0))="","",INDEX('03_상품분류2526'!$W$7:$W$2532,MATCH(E290,'03_상품분류2526'!$A$7:$A$2532,0))),"")</f>
        <v/>
      </c>
      <c r="N290" s="6" t="str">
        <f>IFERROR(IF(INDEX('03_상품분류2526'!$X$7:$X$2532,MATCH(E290,'03_상품분류2526'!$A$7:$A$2532,0))="","",INDEX('03_상품분류2526'!$X$7:$X$2532,MATCH(E290,'03_상품분류2526'!$A$7:$A$2532,0))),"")</f>
        <v/>
      </c>
      <c r="O290" s="6">
        <f>'02_선반315'!R220</f>
        <v>865</v>
      </c>
      <c r="P290" s="6">
        <f>'02_선반315'!T220</f>
        <v>220</v>
      </c>
      <c r="Q290" s="6">
        <f>'02_선반315'!U220</f>
        <v>200</v>
      </c>
      <c r="R290" s="6">
        <f>'02_선반315'!S220</f>
        <v>270</v>
      </c>
      <c r="S290" s="6" t="str">
        <f t="shared" si="8"/>
        <v/>
      </c>
      <c r="T290" s="6" t="str">
        <f t="shared" si="9"/>
        <v>입력 대기</v>
      </c>
      <c r="U290" s="6" t="s">
        <v>7509</v>
      </c>
      <c r="V290" s="6" t="s">
        <v>555</v>
      </c>
      <c r="W290" s="6" t="s">
        <v>859</v>
      </c>
    </row>
    <row r="291" spans="1:23" ht="33" customHeight="1">
      <c r="A291" s="6" t="s">
        <v>7796</v>
      </c>
      <c r="B291" s="6" t="s">
        <v>1313</v>
      </c>
      <c r="C291" s="6" t="s">
        <v>404</v>
      </c>
      <c r="D291" s="6">
        <v>2</v>
      </c>
      <c r="E291" s="6" t="s">
        <v>834</v>
      </c>
      <c r="F291" s="6" t="str">
        <f>IFERROR(INDEX('03_상품분류2526'!$C$7:$C$2532,MATCH(E291,'03_상품분류2526'!$A$7:$A$2532,0)),"코드 확인")</f>
        <v>테카플러스포뮬러 페이셜 리페어 크림</v>
      </c>
      <c r="G291" s="6" t="str">
        <f>IFERROR(INDEX('03_상품분류2526'!$D$7:$D$2532,MATCH(E291,'03_상품분류2526'!$A$7:$A$2532,0)),"코드 확인")</f>
        <v>50ml</v>
      </c>
      <c r="H291" s="6" t="s">
        <v>7508</v>
      </c>
      <c r="I291" s="6" t="str">
        <f>IFERROR(INDEX('03_상품분류2526'!$M$7:$M$2532,MATCH(E291,'03_상품분류2526'!$A$7:$A$2532,0)),"코드 확인")</f>
        <v>A</v>
      </c>
      <c r="J291" s="6">
        <v>1</v>
      </c>
      <c r="K291" s="15">
        <v>2</v>
      </c>
      <c r="L291" s="6" t="str">
        <f>IFERROR(IF(INDEX('03_상품분류2526'!$V$7:$V$2532,MATCH(E291,'03_상품분류2526'!$A$7:$A$2532,0))="","",INDEX('03_상품분류2526'!$V$7:$V$2532,MATCH(E291,'03_상품분류2526'!$A$7:$A$2532,0))),"")</f>
        <v/>
      </c>
      <c r="M291" s="6" t="str">
        <f>IFERROR(IF(INDEX('03_상품분류2526'!$W$7:$W$2532,MATCH(E291,'03_상품분류2526'!$A$7:$A$2532,0))="","",INDEX('03_상품분류2526'!$W$7:$W$2532,MATCH(E291,'03_상품분류2526'!$A$7:$A$2532,0))),"")</f>
        <v/>
      </c>
      <c r="N291" s="6" t="str">
        <f>IFERROR(IF(INDEX('03_상품분류2526'!$X$7:$X$2532,MATCH(E291,'03_상품분류2526'!$A$7:$A$2532,0))="","",INDEX('03_상품분류2526'!$X$7:$X$2532,MATCH(E291,'03_상품분류2526'!$A$7:$A$2532,0))),"")</f>
        <v/>
      </c>
      <c r="O291" s="6">
        <f>'02_선반315'!R223</f>
        <v>865</v>
      </c>
      <c r="P291" s="6">
        <f>'02_선반315'!T223</f>
        <v>220</v>
      </c>
      <c r="Q291" s="6">
        <f>'02_선반315'!U223</f>
        <v>200</v>
      </c>
      <c r="R291" s="6">
        <f>'02_선반315'!S223</f>
        <v>270</v>
      </c>
      <c r="S291" s="6" t="str">
        <f t="shared" si="8"/>
        <v/>
      </c>
      <c r="T291" s="6" t="str">
        <f t="shared" si="9"/>
        <v>입력 대기</v>
      </c>
      <c r="U291" s="6" t="s">
        <v>7509</v>
      </c>
      <c r="V291" s="6" t="s">
        <v>555</v>
      </c>
      <c r="W291" s="6" t="s">
        <v>859</v>
      </c>
    </row>
    <row r="292" spans="1:23" ht="33" customHeight="1">
      <c r="A292" s="6" t="s">
        <v>7797</v>
      </c>
      <c r="B292" s="6" t="s">
        <v>1313</v>
      </c>
      <c r="C292" s="6" t="s">
        <v>404</v>
      </c>
      <c r="D292" s="6">
        <v>2</v>
      </c>
      <c r="E292" s="6" t="s">
        <v>593</v>
      </c>
      <c r="F292" s="6" t="str">
        <f>IFERROR(INDEX('03_상품분류2526'!$C$7:$C$2532,MATCH(E292,'03_상품분류2526'!$A$7:$A$2532,0)),"코드 확인")</f>
        <v>프로캄 후시메디 리페어 크림S</v>
      </c>
      <c r="G292" s="6" t="str">
        <f>IFERROR(INDEX('03_상품분류2526'!$D$7:$D$2532,MATCH(E292,'03_상품분류2526'!$A$7:$A$2532,0)),"코드 확인")</f>
        <v>50ml</v>
      </c>
      <c r="H292" s="6" t="s">
        <v>7508</v>
      </c>
      <c r="I292" s="6" t="str">
        <f>IFERROR(INDEX('03_상품분류2526'!$M$7:$M$2532,MATCH(E292,'03_상품분류2526'!$A$7:$A$2532,0)),"코드 확인")</f>
        <v>A</v>
      </c>
      <c r="J292" s="6">
        <v>2</v>
      </c>
      <c r="K292" s="15">
        <v>2</v>
      </c>
      <c r="L292" s="6" t="str">
        <f>IFERROR(IF(INDEX('03_상품분류2526'!$V$7:$V$2532,MATCH(E292,'03_상품분류2526'!$A$7:$A$2532,0))="","",INDEX('03_상품분류2526'!$V$7:$V$2532,MATCH(E292,'03_상품분류2526'!$A$7:$A$2532,0))),"")</f>
        <v/>
      </c>
      <c r="M292" s="6" t="str">
        <f>IFERROR(IF(INDEX('03_상품분류2526'!$W$7:$W$2532,MATCH(E292,'03_상품분류2526'!$A$7:$A$2532,0))="","",INDEX('03_상품분류2526'!$W$7:$W$2532,MATCH(E292,'03_상품분류2526'!$A$7:$A$2532,0))),"")</f>
        <v/>
      </c>
      <c r="N292" s="6" t="str">
        <f>IFERROR(IF(INDEX('03_상품분류2526'!$X$7:$X$2532,MATCH(E292,'03_상품분류2526'!$A$7:$A$2532,0))="","",INDEX('03_상품분류2526'!$X$7:$X$2532,MATCH(E292,'03_상품분류2526'!$A$7:$A$2532,0))),"")</f>
        <v/>
      </c>
      <c r="O292" s="6">
        <f>'02_선반315'!R223</f>
        <v>865</v>
      </c>
      <c r="P292" s="6">
        <f>'02_선반315'!T223</f>
        <v>220</v>
      </c>
      <c r="Q292" s="6">
        <f>'02_선반315'!U223</f>
        <v>200</v>
      </c>
      <c r="R292" s="6">
        <f>'02_선반315'!S223</f>
        <v>270</v>
      </c>
      <c r="S292" s="6" t="str">
        <f t="shared" si="8"/>
        <v/>
      </c>
      <c r="T292" s="6" t="str">
        <f t="shared" si="9"/>
        <v>입력 대기</v>
      </c>
      <c r="U292" s="6" t="s">
        <v>7509</v>
      </c>
      <c r="V292" s="6" t="s">
        <v>555</v>
      </c>
      <c r="W292" s="6" t="s">
        <v>859</v>
      </c>
    </row>
    <row r="293" spans="1:23" ht="33" customHeight="1">
      <c r="A293" s="6" t="s">
        <v>7798</v>
      </c>
      <c r="B293" s="6" t="s">
        <v>1317</v>
      </c>
      <c r="C293" s="6" t="s">
        <v>404</v>
      </c>
      <c r="D293" s="6">
        <v>3</v>
      </c>
      <c r="E293" s="6" t="s">
        <v>7242</v>
      </c>
      <c r="F293" s="6" t="str">
        <f>IFERROR(INDEX('03_상품분류2526'!$C$7:$C$2532,MATCH(E293,'03_상품분류2526'!$A$7:$A$2532,0)),"코드 확인")</f>
        <v>테카 플러스 포뮬러 페이셜 리페어 크림 라이트</v>
      </c>
      <c r="G293" s="6" t="str">
        <f>IFERROR(INDEX('03_상품분류2526'!$D$7:$D$2532,MATCH(E293,'03_상품분류2526'!$A$7:$A$2532,0)),"코드 확인")</f>
        <v>50ml</v>
      </c>
      <c r="H293" s="6" t="s">
        <v>7508</v>
      </c>
      <c r="I293" s="6" t="str">
        <f>IFERROR(INDEX('03_상품분류2526'!$M$7:$M$2532,MATCH(E293,'03_상품분류2526'!$A$7:$A$2532,0)),"코드 확인")</f>
        <v>B</v>
      </c>
      <c r="J293" s="6">
        <v>1</v>
      </c>
      <c r="K293" s="15">
        <v>1</v>
      </c>
      <c r="L293" s="6" t="str">
        <f>IFERROR(IF(INDEX('03_상품분류2526'!$V$7:$V$2532,MATCH(E293,'03_상품분류2526'!$A$7:$A$2532,0))="","",INDEX('03_상품분류2526'!$V$7:$V$2532,MATCH(E293,'03_상품분류2526'!$A$7:$A$2532,0))),"")</f>
        <v/>
      </c>
      <c r="M293" s="6" t="str">
        <f>IFERROR(IF(INDEX('03_상품분류2526'!$W$7:$W$2532,MATCH(E293,'03_상품분류2526'!$A$7:$A$2532,0))="","",INDEX('03_상품분류2526'!$W$7:$W$2532,MATCH(E293,'03_상품분류2526'!$A$7:$A$2532,0))),"")</f>
        <v/>
      </c>
      <c r="N293" s="6" t="str">
        <f>IFERROR(IF(INDEX('03_상품분류2526'!$X$7:$X$2532,MATCH(E293,'03_상품분류2526'!$A$7:$A$2532,0))="","",INDEX('03_상품분류2526'!$X$7:$X$2532,MATCH(E293,'03_상품분류2526'!$A$7:$A$2532,0))),"")</f>
        <v/>
      </c>
      <c r="O293" s="6">
        <f>'02_선반315'!R224</f>
        <v>865</v>
      </c>
      <c r="P293" s="6">
        <f>'02_선반315'!T224</f>
        <v>220</v>
      </c>
      <c r="Q293" s="6">
        <f>'02_선반315'!U224</f>
        <v>200</v>
      </c>
      <c r="R293" s="6">
        <f>'02_선반315'!S224</f>
        <v>270</v>
      </c>
      <c r="S293" s="6" t="str">
        <f t="shared" si="8"/>
        <v/>
      </c>
      <c r="T293" s="6" t="str">
        <f t="shared" si="9"/>
        <v>입력 대기</v>
      </c>
      <c r="U293" s="6" t="s">
        <v>7509</v>
      </c>
      <c r="V293" s="6" t="s">
        <v>555</v>
      </c>
      <c r="W293" s="6" t="s">
        <v>859</v>
      </c>
    </row>
    <row r="294" spans="1:23" ht="33" customHeight="1">
      <c r="A294" s="6" t="s">
        <v>7799</v>
      </c>
      <c r="B294" s="6" t="s">
        <v>1317</v>
      </c>
      <c r="C294" s="6" t="s">
        <v>404</v>
      </c>
      <c r="D294" s="6">
        <v>3</v>
      </c>
      <c r="E294" s="6" t="s">
        <v>4094</v>
      </c>
      <c r="F294" s="6" t="str">
        <f>IFERROR(INDEX('03_상품분류2526'!$C$7:$C$2532,MATCH(E294,'03_상품분류2526'!$A$7:$A$2532,0)),"코드 확인")</f>
        <v>엠디스픽 테카테카 카밍 세럼</v>
      </c>
      <c r="G294" s="6" t="str">
        <f>IFERROR(INDEX('03_상품분류2526'!$D$7:$D$2532,MATCH(E294,'03_상품분류2526'!$A$7:$A$2532,0)),"코드 확인")</f>
        <v>30ml</v>
      </c>
      <c r="H294" s="6" t="s">
        <v>7508</v>
      </c>
      <c r="I294" s="6" t="str">
        <f>IFERROR(INDEX('03_상품분류2526'!$M$7:$M$2532,MATCH(E294,'03_상품분류2526'!$A$7:$A$2532,0)),"코드 확인")</f>
        <v>B</v>
      </c>
      <c r="J294" s="6">
        <v>2</v>
      </c>
      <c r="K294" s="15">
        <v>1</v>
      </c>
      <c r="L294" s="6" t="str">
        <f>IFERROR(IF(INDEX('03_상품분류2526'!$V$7:$V$2532,MATCH(E294,'03_상품분류2526'!$A$7:$A$2532,0))="","",INDEX('03_상품분류2526'!$V$7:$V$2532,MATCH(E294,'03_상품분류2526'!$A$7:$A$2532,0))),"")</f>
        <v/>
      </c>
      <c r="M294" s="6" t="str">
        <f>IFERROR(IF(INDEX('03_상품분류2526'!$W$7:$W$2532,MATCH(E294,'03_상품분류2526'!$A$7:$A$2532,0))="","",INDEX('03_상품분류2526'!$W$7:$W$2532,MATCH(E294,'03_상품분류2526'!$A$7:$A$2532,0))),"")</f>
        <v/>
      </c>
      <c r="N294" s="6" t="str">
        <f>IFERROR(IF(INDEX('03_상품분류2526'!$X$7:$X$2532,MATCH(E294,'03_상품분류2526'!$A$7:$A$2532,0))="","",INDEX('03_상품분류2526'!$X$7:$X$2532,MATCH(E294,'03_상품분류2526'!$A$7:$A$2532,0))),"")</f>
        <v/>
      </c>
      <c r="O294" s="6">
        <f>'02_선반315'!R224</f>
        <v>865</v>
      </c>
      <c r="P294" s="6">
        <f>'02_선반315'!T224</f>
        <v>220</v>
      </c>
      <c r="Q294" s="6">
        <f>'02_선반315'!U224</f>
        <v>200</v>
      </c>
      <c r="R294" s="6">
        <f>'02_선반315'!S224</f>
        <v>270</v>
      </c>
      <c r="S294" s="6" t="str">
        <f t="shared" si="8"/>
        <v/>
      </c>
      <c r="T294" s="6" t="str">
        <f t="shared" si="9"/>
        <v>입력 대기</v>
      </c>
      <c r="U294" s="6" t="s">
        <v>7509</v>
      </c>
      <c r="V294" s="6" t="s">
        <v>555</v>
      </c>
      <c r="W294" s="6" t="s">
        <v>859</v>
      </c>
    </row>
    <row r="295" spans="1:23" ht="33" customHeight="1">
      <c r="A295" s="6" t="s">
        <v>7800</v>
      </c>
      <c r="B295" s="6" t="s">
        <v>1317</v>
      </c>
      <c r="C295" s="6" t="s">
        <v>404</v>
      </c>
      <c r="D295" s="6">
        <v>3</v>
      </c>
      <c r="E295" s="6" t="s">
        <v>4098</v>
      </c>
      <c r="F295" s="6" t="str">
        <f>IFERROR(INDEX('03_상품분류2526'!$C$7:$C$2532,MATCH(E295,'03_상품분류2526'!$A$7:$A$2532,0)),"코드 확인")</f>
        <v>엠디스픽 테카테카 카밍 캡슐 크림</v>
      </c>
      <c r="G295" s="6" t="str">
        <f>IFERROR(INDEX('03_상품분류2526'!$D$7:$D$2532,MATCH(E295,'03_상품분류2526'!$A$7:$A$2532,0)),"코드 확인")</f>
        <v>50ml</v>
      </c>
      <c r="H295" s="6" t="s">
        <v>7508</v>
      </c>
      <c r="I295" s="6" t="str">
        <f>IFERROR(INDEX('03_상품분류2526'!$M$7:$M$2532,MATCH(E295,'03_상품분류2526'!$A$7:$A$2532,0)),"코드 확인")</f>
        <v>B</v>
      </c>
      <c r="J295" s="6">
        <v>3</v>
      </c>
      <c r="K295" s="15">
        <v>1</v>
      </c>
      <c r="L295" s="6" t="str">
        <f>IFERROR(IF(INDEX('03_상품분류2526'!$V$7:$V$2532,MATCH(E295,'03_상품분류2526'!$A$7:$A$2532,0))="","",INDEX('03_상품분류2526'!$V$7:$V$2532,MATCH(E295,'03_상품분류2526'!$A$7:$A$2532,0))),"")</f>
        <v/>
      </c>
      <c r="M295" s="6" t="str">
        <f>IFERROR(IF(INDEX('03_상품분류2526'!$W$7:$W$2532,MATCH(E295,'03_상품분류2526'!$A$7:$A$2532,0))="","",INDEX('03_상품분류2526'!$W$7:$W$2532,MATCH(E295,'03_상품분류2526'!$A$7:$A$2532,0))),"")</f>
        <v/>
      </c>
      <c r="N295" s="6" t="str">
        <f>IFERROR(IF(INDEX('03_상품분류2526'!$X$7:$X$2532,MATCH(E295,'03_상품분류2526'!$A$7:$A$2532,0))="","",INDEX('03_상품분류2526'!$X$7:$X$2532,MATCH(E295,'03_상품분류2526'!$A$7:$A$2532,0))),"")</f>
        <v/>
      </c>
      <c r="O295" s="6">
        <f>'02_선반315'!R224</f>
        <v>865</v>
      </c>
      <c r="P295" s="6">
        <f>'02_선반315'!T224</f>
        <v>220</v>
      </c>
      <c r="Q295" s="6">
        <f>'02_선반315'!U224</f>
        <v>200</v>
      </c>
      <c r="R295" s="6">
        <f>'02_선반315'!S224</f>
        <v>270</v>
      </c>
      <c r="S295" s="6" t="str">
        <f t="shared" si="8"/>
        <v/>
      </c>
      <c r="T295" s="6" t="str">
        <f t="shared" si="9"/>
        <v>입력 대기</v>
      </c>
      <c r="U295" s="6" t="s">
        <v>7509</v>
      </c>
      <c r="V295" s="6" t="s">
        <v>555</v>
      </c>
      <c r="W295" s="6" t="s">
        <v>859</v>
      </c>
    </row>
    <row r="296" spans="1:23" ht="33" customHeight="1">
      <c r="A296" s="6" t="s">
        <v>7801</v>
      </c>
      <c r="B296" s="6" t="s">
        <v>1321</v>
      </c>
      <c r="C296" s="6" t="s">
        <v>404</v>
      </c>
      <c r="D296" s="6">
        <v>4</v>
      </c>
      <c r="E296" s="6" t="s">
        <v>1555</v>
      </c>
      <c r="F296" s="6" t="str">
        <f>IFERROR(INDEX('03_상품분류2526'!$C$7:$C$2532,MATCH(E296,'03_상품분류2526'!$A$7:$A$2532,0)),"코드 확인")</f>
        <v>프로캄 후시메디 리페어 젤 마스크</v>
      </c>
      <c r="G296" s="6" t="str">
        <f>IFERROR(INDEX('03_상품분류2526'!$D$7:$D$2532,MATCH(E296,'03_상품분류2526'!$A$7:$A$2532,0)),"코드 확인")</f>
        <v>27ml*5매</v>
      </c>
      <c r="H296" s="6" t="s">
        <v>7508</v>
      </c>
      <c r="I296" s="6" t="str">
        <f>IFERROR(INDEX('03_상품분류2526'!$M$7:$M$2532,MATCH(E296,'03_상품분류2526'!$A$7:$A$2532,0)),"코드 확인")</f>
        <v>A</v>
      </c>
      <c r="J296" s="6">
        <v>1</v>
      </c>
      <c r="K296" s="15">
        <v>1</v>
      </c>
      <c r="L296" s="6" t="str">
        <f>IFERROR(IF(INDEX('03_상품분류2526'!$V$7:$V$2532,MATCH(E296,'03_상품분류2526'!$A$7:$A$2532,0))="","",INDEX('03_상품분류2526'!$V$7:$V$2532,MATCH(E296,'03_상품분류2526'!$A$7:$A$2532,0))),"")</f>
        <v/>
      </c>
      <c r="M296" s="6" t="str">
        <f>IFERROR(IF(INDEX('03_상품분류2526'!$W$7:$W$2532,MATCH(E296,'03_상품분류2526'!$A$7:$A$2532,0))="","",INDEX('03_상품분류2526'!$W$7:$W$2532,MATCH(E296,'03_상품분류2526'!$A$7:$A$2532,0))),"")</f>
        <v/>
      </c>
      <c r="N296" s="6" t="str">
        <f>IFERROR(IF(INDEX('03_상품분류2526'!$X$7:$X$2532,MATCH(E296,'03_상품분류2526'!$A$7:$A$2532,0))="","",INDEX('03_상품분류2526'!$X$7:$X$2532,MATCH(E296,'03_상품분류2526'!$A$7:$A$2532,0))),"")</f>
        <v/>
      </c>
      <c r="O296" s="6">
        <f>'02_선반315'!R225</f>
        <v>865</v>
      </c>
      <c r="P296" s="6">
        <f>'02_선반315'!T225</f>
        <v>220</v>
      </c>
      <c r="Q296" s="6">
        <f>'02_선반315'!U225</f>
        <v>200</v>
      </c>
      <c r="R296" s="6">
        <f>'02_선반315'!S225</f>
        <v>270</v>
      </c>
      <c r="S296" s="6" t="str">
        <f t="shared" si="8"/>
        <v/>
      </c>
      <c r="T296" s="6" t="str">
        <f t="shared" si="9"/>
        <v>입력 대기</v>
      </c>
      <c r="U296" s="6" t="s">
        <v>7509</v>
      </c>
      <c r="V296" s="6" t="s">
        <v>555</v>
      </c>
      <c r="W296" s="6" t="s">
        <v>859</v>
      </c>
    </row>
    <row r="297" spans="1:23" ht="33" customHeight="1">
      <c r="A297" s="6" t="s">
        <v>7802</v>
      </c>
      <c r="B297" s="6" t="s">
        <v>1321</v>
      </c>
      <c r="C297" s="6" t="s">
        <v>404</v>
      </c>
      <c r="D297" s="6">
        <v>4</v>
      </c>
      <c r="E297" s="6" t="s">
        <v>4104</v>
      </c>
      <c r="F297" s="6" t="str">
        <f>IFERROR(INDEX('03_상품분류2526'!$C$7:$C$2532,MATCH(E297,'03_상품분류2526'!$A$7:$A$2532,0)),"코드 확인")</f>
        <v>엠디스픽 테카테카 카밍 세럼 인 마스크</v>
      </c>
      <c r="G297" s="6" t="str">
        <f>IFERROR(INDEX('03_상품분류2526'!$D$7:$D$2532,MATCH(E297,'03_상품분류2526'!$A$7:$A$2532,0)),"코드 확인")</f>
        <v>6ea</v>
      </c>
      <c r="H297" s="6" t="s">
        <v>7508</v>
      </c>
      <c r="I297" s="6" t="str">
        <f>IFERROR(INDEX('03_상품분류2526'!$M$7:$M$2532,MATCH(E297,'03_상품분류2526'!$A$7:$A$2532,0)),"코드 확인")</f>
        <v>B</v>
      </c>
      <c r="J297" s="6">
        <v>2</v>
      </c>
      <c r="K297" s="15">
        <v>1</v>
      </c>
      <c r="L297" s="6" t="str">
        <f>IFERROR(IF(INDEX('03_상품분류2526'!$V$7:$V$2532,MATCH(E297,'03_상품분류2526'!$A$7:$A$2532,0))="","",INDEX('03_상품분류2526'!$V$7:$V$2532,MATCH(E297,'03_상품분류2526'!$A$7:$A$2532,0))),"")</f>
        <v/>
      </c>
      <c r="M297" s="6" t="str">
        <f>IFERROR(IF(INDEX('03_상품분류2526'!$W$7:$W$2532,MATCH(E297,'03_상품분류2526'!$A$7:$A$2532,0))="","",INDEX('03_상품분류2526'!$W$7:$W$2532,MATCH(E297,'03_상품분류2526'!$A$7:$A$2532,0))),"")</f>
        <v/>
      </c>
      <c r="N297" s="6" t="str">
        <f>IFERROR(IF(INDEX('03_상품분류2526'!$X$7:$X$2532,MATCH(E297,'03_상품분류2526'!$A$7:$A$2532,0))="","",INDEX('03_상품분류2526'!$X$7:$X$2532,MATCH(E297,'03_상품분류2526'!$A$7:$A$2532,0))),"")</f>
        <v/>
      </c>
      <c r="O297" s="6">
        <f>'02_선반315'!R225</f>
        <v>865</v>
      </c>
      <c r="P297" s="6">
        <f>'02_선반315'!T225</f>
        <v>220</v>
      </c>
      <c r="Q297" s="6">
        <f>'02_선반315'!U225</f>
        <v>200</v>
      </c>
      <c r="R297" s="6">
        <f>'02_선반315'!S225</f>
        <v>270</v>
      </c>
      <c r="S297" s="6" t="str">
        <f t="shared" si="8"/>
        <v/>
      </c>
      <c r="T297" s="6" t="str">
        <f t="shared" si="9"/>
        <v>입력 대기</v>
      </c>
      <c r="U297" s="6" t="s">
        <v>7509</v>
      </c>
      <c r="V297" s="6" t="s">
        <v>555</v>
      </c>
      <c r="W297" s="6" t="s">
        <v>859</v>
      </c>
    </row>
    <row r="298" spans="1:23" ht="33" customHeight="1">
      <c r="A298" s="6" t="s">
        <v>7803</v>
      </c>
      <c r="B298" s="6" t="s">
        <v>1325</v>
      </c>
      <c r="C298" s="6" t="s">
        <v>404</v>
      </c>
      <c r="D298" s="6">
        <v>5</v>
      </c>
      <c r="E298" s="6" t="s">
        <v>6733</v>
      </c>
      <c r="F298" s="6" t="str">
        <f>IFERROR(INDEX('03_상품분류2526'!$C$7:$C$2532,MATCH(E298,'03_상품분류2526'!$A$7:$A$2532,0)),"코드 확인")</f>
        <v>비플레인 마데카소사이드 진정 앰플 패드(NEW)</v>
      </c>
      <c r="G298" s="6" t="str">
        <f>IFERROR(INDEX('03_상품분류2526'!$D$7:$D$2532,MATCH(E298,'03_상품분류2526'!$A$7:$A$2532,0)),"코드 확인")</f>
        <v>70매</v>
      </c>
      <c r="H298" s="6" t="s">
        <v>7508</v>
      </c>
      <c r="I298" s="6" t="str">
        <f>IFERROR(INDEX('03_상품분류2526'!$M$7:$M$2532,MATCH(E298,'03_상품분류2526'!$A$7:$A$2532,0)),"코드 확인")</f>
        <v>B</v>
      </c>
      <c r="J298" s="6">
        <v>1</v>
      </c>
      <c r="K298" s="15">
        <v>1</v>
      </c>
      <c r="L298" s="6" t="str">
        <f>IFERROR(IF(INDEX('03_상품분류2526'!$V$7:$V$2532,MATCH(E298,'03_상품분류2526'!$A$7:$A$2532,0))="","",INDEX('03_상품분류2526'!$V$7:$V$2532,MATCH(E298,'03_상품분류2526'!$A$7:$A$2532,0))),"")</f>
        <v/>
      </c>
      <c r="M298" s="6" t="str">
        <f>IFERROR(IF(INDEX('03_상품분류2526'!$W$7:$W$2532,MATCH(E298,'03_상품분류2526'!$A$7:$A$2532,0))="","",INDEX('03_상품분류2526'!$W$7:$W$2532,MATCH(E298,'03_상품분류2526'!$A$7:$A$2532,0))),"")</f>
        <v/>
      </c>
      <c r="N298" s="6" t="str">
        <f>IFERROR(IF(INDEX('03_상품분류2526'!$X$7:$X$2532,MATCH(E298,'03_상품분류2526'!$A$7:$A$2532,0))="","",INDEX('03_상품분류2526'!$X$7:$X$2532,MATCH(E298,'03_상품분류2526'!$A$7:$A$2532,0))),"")</f>
        <v/>
      </c>
      <c r="O298" s="6">
        <f>'02_선반315'!R226</f>
        <v>865</v>
      </c>
      <c r="P298" s="6">
        <f>'02_선반315'!T226</f>
        <v>220</v>
      </c>
      <c r="Q298" s="6">
        <f>'02_선반315'!U226</f>
        <v>200</v>
      </c>
      <c r="R298" s="6">
        <f>'02_선반315'!S226</f>
        <v>270</v>
      </c>
      <c r="S298" s="6" t="str">
        <f t="shared" si="8"/>
        <v/>
      </c>
      <c r="T298" s="6" t="str">
        <f t="shared" si="9"/>
        <v>입력 대기</v>
      </c>
      <c r="U298" s="6" t="s">
        <v>7509</v>
      </c>
      <c r="V298" s="6" t="s">
        <v>555</v>
      </c>
      <c r="W298" s="6" t="s">
        <v>859</v>
      </c>
    </row>
    <row r="299" spans="1:23" ht="33" customHeight="1">
      <c r="A299" s="6" t="s">
        <v>7804</v>
      </c>
      <c r="B299" s="6" t="s">
        <v>1325</v>
      </c>
      <c r="C299" s="6" t="s">
        <v>404</v>
      </c>
      <c r="D299" s="6">
        <v>5</v>
      </c>
      <c r="E299" s="6" t="s">
        <v>4089</v>
      </c>
      <c r="F299" s="6" t="str">
        <f>IFERROR(INDEX('03_상품분류2526'!$C$7:$C$2532,MATCH(E299,'03_상품분류2526'!$A$7:$A$2532,0)),"코드 확인")</f>
        <v>엠디스픽 테카테카 카밍 토너 패드</v>
      </c>
      <c r="G299" s="6" t="str">
        <f>IFERROR(INDEX('03_상품분류2526'!$D$7:$D$2532,MATCH(E299,'03_상품분류2526'!$A$7:$A$2532,0)),"코드 확인")</f>
        <v>70ea</v>
      </c>
      <c r="H299" s="6" t="s">
        <v>7508</v>
      </c>
      <c r="I299" s="6" t="str">
        <f>IFERROR(INDEX('03_상품분류2526'!$M$7:$M$2532,MATCH(E299,'03_상품분류2526'!$A$7:$A$2532,0)),"코드 확인")</f>
        <v>B</v>
      </c>
      <c r="J299" s="6">
        <v>2</v>
      </c>
      <c r="K299" s="15">
        <v>1</v>
      </c>
      <c r="L299" s="6" t="str">
        <f>IFERROR(IF(INDEX('03_상품분류2526'!$V$7:$V$2532,MATCH(E299,'03_상품분류2526'!$A$7:$A$2532,0))="","",INDEX('03_상품분류2526'!$V$7:$V$2532,MATCH(E299,'03_상품분류2526'!$A$7:$A$2532,0))),"")</f>
        <v/>
      </c>
      <c r="M299" s="6" t="str">
        <f>IFERROR(IF(INDEX('03_상품분류2526'!$W$7:$W$2532,MATCH(E299,'03_상품분류2526'!$A$7:$A$2532,0))="","",INDEX('03_상품분류2526'!$W$7:$W$2532,MATCH(E299,'03_상품분류2526'!$A$7:$A$2532,0))),"")</f>
        <v/>
      </c>
      <c r="N299" s="6" t="str">
        <f>IFERROR(IF(INDEX('03_상품분류2526'!$X$7:$X$2532,MATCH(E299,'03_상품분류2526'!$A$7:$A$2532,0))="","",INDEX('03_상품분류2526'!$X$7:$X$2532,MATCH(E299,'03_상품분류2526'!$A$7:$A$2532,0))),"")</f>
        <v/>
      </c>
      <c r="O299" s="6">
        <f>'02_선반315'!R226</f>
        <v>865</v>
      </c>
      <c r="P299" s="6">
        <f>'02_선반315'!T226</f>
        <v>220</v>
      </c>
      <c r="Q299" s="6">
        <f>'02_선반315'!U226</f>
        <v>200</v>
      </c>
      <c r="R299" s="6">
        <f>'02_선반315'!S226</f>
        <v>270</v>
      </c>
      <c r="S299" s="6" t="str">
        <f t="shared" si="8"/>
        <v/>
      </c>
      <c r="T299" s="6" t="str">
        <f t="shared" si="9"/>
        <v>입력 대기</v>
      </c>
      <c r="U299" s="6" t="s">
        <v>7509</v>
      </c>
      <c r="V299" s="6" t="s">
        <v>555</v>
      </c>
      <c r="W299" s="6" t="s">
        <v>859</v>
      </c>
    </row>
    <row r="300" spans="1:23" ht="33" customHeight="1">
      <c r="A300" s="6" t="s">
        <v>7805</v>
      </c>
      <c r="B300" s="6" t="s">
        <v>1330</v>
      </c>
      <c r="C300" s="6" t="s">
        <v>414</v>
      </c>
      <c r="D300" s="6">
        <v>2</v>
      </c>
      <c r="E300" s="6" t="s">
        <v>6714</v>
      </c>
      <c r="F300" s="6" t="str">
        <f>IFERROR(INDEX('03_상품분류2526'!$C$7:$C$2532,MATCH(E300,'03_상품분류2526'!$A$7:$A$2532,0)),"코드 확인")</f>
        <v>비플레인 아쿠아 퓨어 히알루로닉 세럼</v>
      </c>
      <c r="G300" s="6" t="str">
        <f>IFERROR(INDEX('03_상품분류2526'!$D$7:$D$2532,MATCH(E300,'03_상품분류2526'!$A$7:$A$2532,0)),"코드 확인")</f>
        <v>30ml</v>
      </c>
      <c r="H300" s="6" t="s">
        <v>7508</v>
      </c>
      <c r="I300" s="6" t="str">
        <f>IFERROR(INDEX('03_상품분류2526'!$M$7:$M$2532,MATCH(E300,'03_상품분류2526'!$A$7:$A$2532,0)),"코드 확인")</f>
        <v>B</v>
      </c>
      <c r="J300" s="6">
        <v>1</v>
      </c>
      <c r="K300" s="15">
        <v>1</v>
      </c>
      <c r="L300" s="6" t="str">
        <f>IFERROR(IF(INDEX('03_상품분류2526'!$V$7:$V$2532,MATCH(E300,'03_상품분류2526'!$A$7:$A$2532,0))="","",INDEX('03_상품분류2526'!$V$7:$V$2532,MATCH(E300,'03_상품분류2526'!$A$7:$A$2532,0))),"")</f>
        <v/>
      </c>
      <c r="M300" s="6" t="str">
        <f>IFERROR(IF(INDEX('03_상품분류2526'!$W$7:$W$2532,MATCH(E300,'03_상품분류2526'!$A$7:$A$2532,0))="","",INDEX('03_상품분류2526'!$W$7:$W$2532,MATCH(E300,'03_상품분류2526'!$A$7:$A$2532,0))),"")</f>
        <v/>
      </c>
      <c r="N300" s="6" t="str">
        <f>IFERROR(IF(INDEX('03_상품분류2526'!$X$7:$X$2532,MATCH(E300,'03_상품분류2526'!$A$7:$A$2532,0))="","",INDEX('03_상품분류2526'!$X$7:$X$2532,MATCH(E300,'03_상품분류2526'!$A$7:$A$2532,0))),"")</f>
        <v/>
      </c>
      <c r="O300" s="6">
        <f>'02_선반315'!R228</f>
        <v>865</v>
      </c>
      <c r="P300" s="6">
        <f>'02_선반315'!T228</f>
        <v>220</v>
      </c>
      <c r="Q300" s="6">
        <f>'02_선반315'!U228</f>
        <v>200</v>
      </c>
      <c r="R300" s="6">
        <f>'02_선반315'!S228</f>
        <v>270</v>
      </c>
      <c r="S300" s="6" t="str">
        <f t="shared" si="8"/>
        <v/>
      </c>
      <c r="T300" s="6" t="str">
        <f t="shared" si="9"/>
        <v>입력 대기</v>
      </c>
      <c r="U300" s="6" t="s">
        <v>7509</v>
      </c>
      <c r="V300" s="6" t="s">
        <v>555</v>
      </c>
      <c r="W300" s="6" t="s">
        <v>859</v>
      </c>
    </row>
    <row r="301" spans="1:23" ht="33" customHeight="1">
      <c r="A301" s="6" t="s">
        <v>7806</v>
      </c>
      <c r="B301" s="6" t="s">
        <v>1330</v>
      </c>
      <c r="C301" s="6" t="s">
        <v>414</v>
      </c>
      <c r="D301" s="6">
        <v>2</v>
      </c>
      <c r="E301" s="6" t="s">
        <v>5544</v>
      </c>
      <c r="F301" s="6" t="str">
        <f>IFERROR(INDEX('03_상품분류2526'!$C$7:$C$2532,MATCH(E301,'03_상품분류2526'!$A$7:$A$2532,0)),"코드 확인")</f>
        <v>톰 히알루론산 부스트 앰플 (30g)</v>
      </c>
      <c r="G301" s="6" t="str">
        <f>IFERROR(INDEX('03_상품분류2526'!$D$7:$D$2532,MATCH(E301,'03_상품분류2526'!$A$7:$A$2532,0)),"코드 확인")</f>
        <v>30g</v>
      </c>
      <c r="H301" s="6" t="s">
        <v>7508</v>
      </c>
      <c r="I301" s="6" t="str">
        <f>IFERROR(INDEX('03_상품분류2526'!$M$7:$M$2532,MATCH(E301,'03_상품분류2526'!$A$7:$A$2532,0)),"코드 확인")</f>
        <v>B</v>
      </c>
      <c r="J301" s="6">
        <v>2</v>
      </c>
      <c r="K301" s="15">
        <v>1</v>
      </c>
      <c r="L301" s="6" t="str">
        <f>IFERROR(IF(INDEX('03_상품분류2526'!$V$7:$V$2532,MATCH(E301,'03_상품분류2526'!$A$7:$A$2532,0))="","",INDEX('03_상품분류2526'!$V$7:$V$2532,MATCH(E301,'03_상품분류2526'!$A$7:$A$2532,0))),"")</f>
        <v/>
      </c>
      <c r="M301" s="6" t="str">
        <f>IFERROR(IF(INDEX('03_상품분류2526'!$W$7:$W$2532,MATCH(E301,'03_상품분류2526'!$A$7:$A$2532,0))="","",INDEX('03_상품분류2526'!$W$7:$W$2532,MATCH(E301,'03_상품분류2526'!$A$7:$A$2532,0))),"")</f>
        <v/>
      </c>
      <c r="N301" s="6" t="str">
        <f>IFERROR(IF(INDEX('03_상품분류2526'!$X$7:$X$2532,MATCH(E301,'03_상품분류2526'!$A$7:$A$2532,0))="","",INDEX('03_상품분류2526'!$X$7:$X$2532,MATCH(E301,'03_상품분류2526'!$A$7:$A$2532,0))),"")</f>
        <v/>
      </c>
      <c r="O301" s="6">
        <f>'02_선반315'!R228</f>
        <v>865</v>
      </c>
      <c r="P301" s="6">
        <f>'02_선반315'!T228</f>
        <v>220</v>
      </c>
      <c r="Q301" s="6">
        <f>'02_선반315'!U228</f>
        <v>200</v>
      </c>
      <c r="R301" s="6">
        <f>'02_선반315'!S228</f>
        <v>270</v>
      </c>
      <c r="S301" s="6" t="str">
        <f t="shared" si="8"/>
        <v/>
      </c>
      <c r="T301" s="6" t="str">
        <f t="shared" si="9"/>
        <v>입력 대기</v>
      </c>
      <c r="U301" s="6" t="s">
        <v>7509</v>
      </c>
      <c r="V301" s="6" t="s">
        <v>555</v>
      </c>
      <c r="W301" s="6" t="s">
        <v>859</v>
      </c>
    </row>
    <row r="302" spans="1:23" ht="33" customHeight="1">
      <c r="A302" s="6" t="s">
        <v>7807</v>
      </c>
      <c r="B302" s="6" t="s">
        <v>1334</v>
      </c>
      <c r="C302" s="6" t="s">
        <v>414</v>
      </c>
      <c r="D302" s="6">
        <v>3</v>
      </c>
      <c r="E302" s="6" t="s">
        <v>838</v>
      </c>
      <c r="F302" s="6" t="str">
        <f>IFERROR(INDEX('03_상품분류2526'!$C$7:$C$2532,MATCH(E302,'03_상품분류2526'!$A$7:$A$2532,0)),"코드 확인")</f>
        <v>비플레인 아쿠아 퓨어 히알루로닉 크림</v>
      </c>
      <c r="G302" s="6" t="str">
        <f>IFERROR(INDEX('03_상품분류2526'!$D$7:$D$2532,MATCH(E302,'03_상품분류2526'!$A$7:$A$2532,0)),"코드 확인")</f>
        <v>70ml</v>
      </c>
      <c r="H302" s="6" t="s">
        <v>7508</v>
      </c>
      <c r="I302" s="6" t="str">
        <f>IFERROR(INDEX('03_상품분류2526'!$M$7:$M$2532,MATCH(E302,'03_상품분류2526'!$A$7:$A$2532,0)),"코드 확인")</f>
        <v>B</v>
      </c>
      <c r="J302" s="6">
        <v>1</v>
      </c>
      <c r="K302" s="15">
        <v>1</v>
      </c>
      <c r="L302" s="6" t="str">
        <f>IFERROR(IF(INDEX('03_상품분류2526'!$V$7:$V$2532,MATCH(E302,'03_상품분류2526'!$A$7:$A$2532,0))="","",INDEX('03_상품분류2526'!$V$7:$V$2532,MATCH(E302,'03_상품분류2526'!$A$7:$A$2532,0))),"")</f>
        <v/>
      </c>
      <c r="M302" s="6" t="str">
        <f>IFERROR(IF(INDEX('03_상품분류2526'!$W$7:$W$2532,MATCH(E302,'03_상품분류2526'!$A$7:$A$2532,0))="","",INDEX('03_상품분류2526'!$W$7:$W$2532,MATCH(E302,'03_상품분류2526'!$A$7:$A$2532,0))),"")</f>
        <v/>
      </c>
      <c r="N302" s="6" t="str">
        <f>IFERROR(IF(INDEX('03_상품분류2526'!$X$7:$X$2532,MATCH(E302,'03_상품분류2526'!$A$7:$A$2532,0))="","",INDEX('03_상품분류2526'!$X$7:$X$2532,MATCH(E302,'03_상품분류2526'!$A$7:$A$2532,0))),"")</f>
        <v/>
      </c>
      <c r="O302" s="6">
        <f>'02_선반315'!R229</f>
        <v>865</v>
      </c>
      <c r="P302" s="6">
        <f>'02_선반315'!T229</f>
        <v>220</v>
      </c>
      <c r="Q302" s="6">
        <f>'02_선반315'!U229</f>
        <v>200</v>
      </c>
      <c r="R302" s="6">
        <f>'02_선반315'!S229</f>
        <v>270</v>
      </c>
      <c r="S302" s="6" t="str">
        <f t="shared" si="8"/>
        <v/>
      </c>
      <c r="T302" s="6" t="str">
        <f t="shared" si="9"/>
        <v>입력 대기</v>
      </c>
      <c r="U302" s="6" t="s">
        <v>7509</v>
      </c>
      <c r="V302" s="6" t="s">
        <v>555</v>
      </c>
      <c r="W302" s="6" t="s">
        <v>859</v>
      </c>
    </row>
    <row r="303" spans="1:23" ht="33" customHeight="1">
      <c r="A303" s="6" t="s">
        <v>7808</v>
      </c>
      <c r="B303" s="6" t="s">
        <v>1335</v>
      </c>
      <c r="C303" s="6" t="s">
        <v>414</v>
      </c>
      <c r="D303" s="6">
        <v>4</v>
      </c>
      <c r="E303" s="6" t="s">
        <v>6716</v>
      </c>
      <c r="F303" s="6" t="str">
        <f>IFERROR(INDEX('03_상품분류2526'!$C$7:$C$2532,MATCH(E303,'03_상품분류2526'!$A$7:$A$2532,0)),"코드 확인")</f>
        <v>비플레인 B5 수분 앰플 마스크팩</v>
      </c>
      <c r="G303" s="6" t="str">
        <f>IFERROR(INDEX('03_상품분류2526'!$D$7:$D$2532,MATCH(E303,'03_상품분류2526'!$A$7:$A$2532,0)),"코드 확인")</f>
        <v>10매</v>
      </c>
      <c r="H303" s="6" t="s">
        <v>7508</v>
      </c>
      <c r="I303" s="6" t="str">
        <f>IFERROR(INDEX('03_상품분류2526'!$M$7:$M$2532,MATCH(E303,'03_상품분류2526'!$A$7:$A$2532,0)),"코드 확인")</f>
        <v>B</v>
      </c>
      <c r="J303" s="6">
        <v>1</v>
      </c>
      <c r="K303" s="15">
        <v>1</v>
      </c>
      <c r="L303" s="6" t="str">
        <f>IFERROR(IF(INDEX('03_상품분류2526'!$V$7:$V$2532,MATCH(E303,'03_상품분류2526'!$A$7:$A$2532,0))="","",INDEX('03_상품분류2526'!$V$7:$V$2532,MATCH(E303,'03_상품분류2526'!$A$7:$A$2532,0))),"")</f>
        <v/>
      </c>
      <c r="M303" s="6" t="str">
        <f>IFERROR(IF(INDEX('03_상품분류2526'!$W$7:$W$2532,MATCH(E303,'03_상품분류2526'!$A$7:$A$2532,0))="","",INDEX('03_상품분류2526'!$W$7:$W$2532,MATCH(E303,'03_상품분류2526'!$A$7:$A$2532,0))),"")</f>
        <v/>
      </c>
      <c r="N303" s="6" t="str">
        <f>IFERROR(IF(INDEX('03_상품분류2526'!$X$7:$X$2532,MATCH(E303,'03_상품분류2526'!$A$7:$A$2532,0))="","",INDEX('03_상품분류2526'!$X$7:$X$2532,MATCH(E303,'03_상품분류2526'!$A$7:$A$2532,0))),"")</f>
        <v/>
      </c>
      <c r="O303" s="6">
        <f>'02_선반315'!R230</f>
        <v>865</v>
      </c>
      <c r="P303" s="6">
        <f>'02_선반315'!T230</f>
        <v>220</v>
      </c>
      <c r="Q303" s="6">
        <f>'02_선반315'!U230</f>
        <v>200</v>
      </c>
      <c r="R303" s="6">
        <f>'02_선반315'!S230</f>
        <v>270</v>
      </c>
      <c r="S303" s="6" t="str">
        <f t="shared" si="8"/>
        <v/>
      </c>
      <c r="T303" s="6" t="str">
        <f t="shared" si="9"/>
        <v>입력 대기</v>
      </c>
      <c r="U303" s="6" t="s">
        <v>7509</v>
      </c>
      <c r="V303" s="6" t="s">
        <v>555</v>
      </c>
      <c r="W303" s="6" t="s">
        <v>859</v>
      </c>
    </row>
    <row r="304" spans="1:23" ht="33" customHeight="1">
      <c r="A304" s="6" t="s">
        <v>7809</v>
      </c>
      <c r="B304" s="6" t="s">
        <v>1335</v>
      </c>
      <c r="C304" s="6" t="s">
        <v>414</v>
      </c>
      <c r="D304" s="6">
        <v>4</v>
      </c>
      <c r="E304" s="6" t="s">
        <v>6731</v>
      </c>
      <c r="F304" s="6" t="str">
        <f>IFERROR(INDEX('03_상품분류2526'!$C$7:$C$2532,MATCH(E304,'03_상품분류2526'!$A$7:$A$2532,0)),"코드 확인")</f>
        <v>비플레인 B5 수분 앰플 패드(NEW)</v>
      </c>
      <c r="G304" s="6" t="str">
        <f>IFERROR(INDEX('03_상품분류2526'!$D$7:$D$2532,MATCH(E304,'03_상품분류2526'!$A$7:$A$2532,0)),"코드 확인")</f>
        <v>70매</v>
      </c>
      <c r="H304" s="6" t="s">
        <v>7508</v>
      </c>
      <c r="I304" s="6" t="str">
        <f>IFERROR(INDEX('03_상품분류2526'!$M$7:$M$2532,MATCH(E304,'03_상품분류2526'!$A$7:$A$2532,0)),"코드 확인")</f>
        <v>B</v>
      </c>
      <c r="J304" s="6">
        <v>2</v>
      </c>
      <c r="K304" s="15">
        <v>1</v>
      </c>
      <c r="L304" s="6" t="str">
        <f>IFERROR(IF(INDEX('03_상품분류2526'!$V$7:$V$2532,MATCH(E304,'03_상품분류2526'!$A$7:$A$2532,0))="","",INDEX('03_상품분류2526'!$V$7:$V$2532,MATCH(E304,'03_상품분류2526'!$A$7:$A$2532,0))),"")</f>
        <v/>
      </c>
      <c r="M304" s="6" t="str">
        <f>IFERROR(IF(INDEX('03_상품분류2526'!$W$7:$W$2532,MATCH(E304,'03_상품분류2526'!$A$7:$A$2532,0))="","",INDEX('03_상품분류2526'!$W$7:$W$2532,MATCH(E304,'03_상품분류2526'!$A$7:$A$2532,0))),"")</f>
        <v/>
      </c>
      <c r="N304" s="6" t="str">
        <f>IFERROR(IF(INDEX('03_상품분류2526'!$X$7:$X$2532,MATCH(E304,'03_상품분류2526'!$A$7:$A$2532,0))="","",INDEX('03_상품분류2526'!$X$7:$X$2532,MATCH(E304,'03_상품분류2526'!$A$7:$A$2532,0))),"")</f>
        <v/>
      </c>
      <c r="O304" s="6">
        <f>'02_선반315'!R230</f>
        <v>865</v>
      </c>
      <c r="P304" s="6">
        <f>'02_선반315'!T230</f>
        <v>220</v>
      </c>
      <c r="Q304" s="6">
        <f>'02_선반315'!U230</f>
        <v>200</v>
      </c>
      <c r="R304" s="6">
        <f>'02_선반315'!S230</f>
        <v>270</v>
      </c>
      <c r="S304" s="6" t="str">
        <f t="shared" si="8"/>
        <v/>
      </c>
      <c r="T304" s="6" t="str">
        <f t="shared" si="9"/>
        <v>입력 대기</v>
      </c>
      <c r="U304" s="6" t="s">
        <v>7509</v>
      </c>
      <c r="V304" s="6" t="s">
        <v>555</v>
      </c>
      <c r="W304" s="6" t="s">
        <v>859</v>
      </c>
    </row>
    <row r="305" spans="1:23" ht="33" customHeight="1">
      <c r="A305" s="6" t="s">
        <v>7810</v>
      </c>
      <c r="B305" s="6" t="s">
        <v>1340</v>
      </c>
      <c r="C305" s="6" t="s">
        <v>423</v>
      </c>
      <c r="D305" s="6">
        <v>1</v>
      </c>
      <c r="E305" s="6" t="s">
        <v>5726</v>
      </c>
      <c r="F305" s="6" t="str">
        <f>IFERROR(INDEX('03_상품분류2526'!$C$7:$C$2532,MATCH(E305,'03_상품분류2526'!$A$7:$A$2532,0)),"코드 확인")</f>
        <v>큐립연고 마일드허브향</v>
      </c>
      <c r="G305" s="6" t="str">
        <f>IFERROR(INDEX('03_상품분류2526'!$D$7:$D$2532,MATCH(E305,'03_상품분류2526'!$A$7:$A$2532,0)),"코드 확인")</f>
        <v>8g</v>
      </c>
      <c r="H305" s="6" t="s">
        <v>7508</v>
      </c>
      <c r="I305" s="6" t="str">
        <f>IFERROR(INDEX('03_상품분류2526'!$M$7:$M$2532,MATCH(E305,'03_상품분류2526'!$A$7:$A$2532,0)),"코드 확인")</f>
        <v>A</v>
      </c>
      <c r="J305" s="6">
        <v>1</v>
      </c>
      <c r="K305" s="15">
        <v>2</v>
      </c>
      <c r="L305" s="6" t="str">
        <f>IFERROR(IF(INDEX('03_상품분류2526'!$V$7:$V$2532,MATCH(E305,'03_상품분류2526'!$A$7:$A$2532,0))="","",INDEX('03_상품분류2526'!$V$7:$V$2532,MATCH(E305,'03_상품분류2526'!$A$7:$A$2532,0))),"")</f>
        <v/>
      </c>
      <c r="M305" s="6" t="str">
        <f>IFERROR(IF(INDEX('03_상품분류2526'!$W$7:$W$2532,MATCH(E305,'03_상품분류2526'!$A$7:$A$2532,0))="","",INDEX('03_상품분류2526'!$W$7:$W$2532,MATCH(E305,'03_상품분류2526'!$A$7:$A$2532,0))),"")</f>
        <v/>
      </c>
      <c r="N305" s="6" t="str">
        <f>IFERROR(IF(INDEX('03_상품분류2526'!$X$7:$X$2532,MATCH(E305,'03_상품분류2526'!$A$7:$A$2532,0))="","",INDEX('03_상품분류2526'!$X$7:$X$2532,MATCH(E305,'03_상품분류2526'!$A$7:$A$2532,0))),"")</f>
        <v/>
      </c>
      <c r="O305" s="6">
        <f>'02_선반315'!R232</f>
        <v>865</v>
      </c>
      <c r="P305" s="6">
        <f>'02_선반315'!T232</f>
        <v>100</v>
      </c>
      <c r="Q305" s="6">
        <f>'02_선반315'!U232</f>
        <v>80</v>
      </c>
      <c r="R305" s="6">
        <f>'02_선반315'!S232</f>
        <v>270</v>
      </c>
      <c r="S305" s="6" t="str">
        <f t="shared" si="8"/>
        <v/>
      </c>
      <c r="T305" s="6" t="str">
        <f t="shared" si="9"/>
        <v>입력 대기</v>
      </c>
      <c r="U305" s="6" t="s">
        <v>7543</v>
      </c>
      <c r="V305" s="6" t="s">
        <v>555</v>
      </c>
      <c r="W305" s="6" t="s">
        <v>859</v>
      </c>
    </row>
    <row r="306" spans="1:23" ht="33" customHeight="1">
      <c r="A306" s="6" t="s">
        <v>7811</v>
      </c>
      <c r="B306" s="6" t="s">
        <v>1340</v>
      </c>
      <c r="C306" s="6" t="s">
        <v>423</v>
      </c>
      <c r="D306" s="6">
        <v>1</v>
      </c>
      <c r="E306" s="6" t="s">
        <v>5728</v>
      </c>
      <c r="F306" s="6" t="str">
        <f>IFERROR(INDEX('03_상품분류2526'!$C$7:$C$2532,MATCH(E306,'03_상품분류2526'!$A$7:$A$2532,0)),"코드 확인")</f>
        <v>큐립연고 프레시로즈향</v>
      </c>
      <c r="G306" s="6" t="str">
        <f>IFERROR(INDEX('03_상품분류2526'!$D$7:$D$2532,MATCH(E306,'03_상품분류2526'!$A$7:$A$2532,0)),"코드 확인")</f>
        <v>8g</v>
      </c>
      <c r="H306" s="6" t="s">
        <v>7508</v>
      </c>
      <c r="I306" s="6" t="str">
        <f>IFERROR(INDEX('03_상품분류2526'!$M$7:$M$2532,MATCH(E306,'03_상품분류2526'!$A$7:$A$2532,0)),"코드 확인")</f>
        <v>B</v>
      </c>
      <c r="J306" s="6">
        <v>2</v>
      </c>
      <c r="K306" s="15">
        <v>1</v>
      </c>
      <c r="L306" s="6" t="str">
        <f>IFERROR(IF(INDEX('03_상품분류2526'!$V$7:$V$2532,MATCH(E306,'03_상품분류2526'!$A$7:$A$2532,0))="","",INDEX('03_상품분류2526'!$V$7:$V$2532,MATCH(E306,'03_상품분류2526'!$A$7:$A$2532,0))),"")</f>
        <v/>
      </c>
      <c r="M306" s="6" t="str">
        <f>IFERROR(IF(INDEX('03_상품분류2526'!$W$7:$W$2532,MATCH(E306,'03_상품분류2526'!$A$7:$A$2532,0))="","",INDEX('03_상품분류2526'!$W$7:$W$2532,MATCH(E306,'03_상품분류2526'!$A$7:$A$2532,0))),"")</f>
        <v/>
      </c>
      <c r="N306" s="6" t="str">
        <f>IFERROR(IF(INDEX('03_상품분류2526'!$X$7:$X$2532,MATCH(E306,'03_상품분류2526'!$A$7:$A$2532,0))="","",INDEX('03_상품분류2526'!$X$7:$X$2532,MATCH(E306,'03_상품분류2526'!$A$7:$A$2532,0))),"")</f>
        <v/>
      </c>
      <c r="O306" s="6">
        <f>'02_선반315'!R232</f>
        <v>865</v>
      </c>
      <c r="P306" s="6">
        <f>'02_선반315'!T232</f>
        <v>100</v>
      </c>
      <c r="Q306" s="6">
        <f>'02_선반315'!U232</f>
        <v>80</v>
      </c>
      <c r="R306" s="6">
        <f>'02_선반315'!S232</f>
        <v>270</v>
      </c>
      <c r="S306" s="6" t="str">
        <f t="shared" si="8"/>
        <v/>
      </c>
      <c r="T306" s="6" t="str">
        <f t="shared" si="9"/>
        <v>입력 대기</v>
      </c>
      <c r="U306" s="6" t="s">
        <v>7543</v>
      </c>
      <c r="V306" s="6" t="s">
        <v>555</v>
      </c>
      <c r="W306" s="6" t="s">
        <v>859</v>
      </c>
    </row>
    <row r="307" spans="1:23" ht="33" customHeight="1">
      <c r="A307" s="6" t="s">
        <v>7812</v>
      </c>
      <c r="B307" s="6" t="s">
        <v>1345</v>
      </c>
      <c r="C307" s="6" t="s">
        <v>423</v>
      </c>
      <c r="D307" s="6">
        <v>2</v>
      </c>
      <c r="E307" s="6" t="s">
        <v>6916</v>
      </c>
      <c r="F307" s="6" t="str">
        <f>IFERROR(INDEX('03_상품분류2526'!$C$7:$C$2532,MATCH(E307,'03_상품분류2526'!$A$7:$A$2532,0)),"코드 확인")</f>
        <v>프로캄 판테놀 스틱 립밤</v>
      </c>
      <c r="G307" s="6" t="str">
        <f>IFERROR(INDEX('03_상품분류2526'!$D$7:$D$2532,MATCH(E307,'03_상품분류2526'!$A$7:$A$2532,0)),"코드 확인")</f>
        <v>3.7g</v>
      </c>
      <c r="H307" s="6" t="s">
        <v>7508</v>
      </c>
      <c r="I307" s="6" t="str">
        <f>IFERROR(INDEX('03_상품분류2526'!$M$7:$M$2532,MATCH(E307,'03_상품분류2526'!$A$7:$A$2532,0)),"코드 확인")</f>
        <v>A</v>
      </c>
      <c r="J307" s="6">
        <v>1</v>
      </c>
      <c r="K307" s="15">
        <v>1</v>
      </c>
      <c r="L307" s="6" t="str">
        <f>IFERROR(IF(INDEX('03_상품분류2526'!$V$7:$V$2532,MATCH(E307,'03_상품분류2526'!$A$7:$A$2532,0))="","",INDEX('03_상품분류2526'!$V$7:$V$2532,MATCH(E307,'03_상품분류2526'!$A$7:$A$2532,0))),"")</f>
        <v/>
      </c>
      <c r="M307" s="6" t="str">
        <f>IFERROR(IF(INDEX('03_상품분류2526'!$W$7:$W$2532,MATCH(E307,'03_상품분류2526'!$A$7:$A$2532,0))="","",INDEX('03_상품분류2526'!$W$7:$W$2532,MATCH(E307,'03_상품분류2526'!$A$7:$A$2532,0))),"")</f>
        <v/>
      </c>
      <c r="N307" s="6" t="str">
        <f>IFERROR(IF(INDEX('03_상품분류2526'!$X$7:$X$2532,MATCH(E307,'03_상품분류2526'!$A$7:$A$2532,0))="","",INDEX('03_상품분류2526'!$X$7:$X$2532,MATCH(E307,'03_상품분류2526'!$A$7:$A$2532,0))),"")</f>
        <v/>
      </c>
      <c r="O307" s="6">
        <f>'02_선반315'!R233</f>
        <v>865</v>
      </c>
      <c r="P307" s="6">
        <f>'02_선반315'!T233</f>
        <v>220</v>
      </c>
      <c r="Q307" s="6">
        <f>'02_선반315'!U233</f>
        <v>200</v>
      </c>
      <c r="R307" s="6">
        <f>'02_선반315'!S233</f>
        <v>270</v>
      </c>
      <c r="S307" s="6" t="str">
        <f t="shared" si="8"/>
        <v/>
      </c>
      <c r="T307" s="6" t="str">
        <f t="shared" si="9"/>
        <v>입력 대기</v>
      </c>
      <c r="U307" s="6" t="s">
        <v>7509</v>
      </c>
      <c r="V307" s="6" t="s">
        <v>555</v>
      </c>
      <c r="W307" s="6" t="s">
        <v>859</v>
      </c>
    </row>
    <row r="308" spans="1:23" ht="33" customHeight="1">
      <c r="A308" s="6" t="s">
        <v>7813</v>
      </c>
      <c r="B308" s="6" t="s">
        <v>1345</v>
      </c>
      <c r="C308" s="6" t="s">
        <v>423</v>
      </c>
      <c r="D308" s="6">
        <v>2</v>
      </c>
      <c r="E308" s="6" t="s">
        <v>6923</v>
      </c>
      <c r="F308" s="6" t="str">
        <f>IFERROR(INDEX('03_상품분류2526'!$C$7:$C$2532,MATCH(E308,'03_상품분류2526'!$A$7:$A$2532,0)),"코드 확인")</f>
        <v>바세린립테라피오리지날립밤</v>
      </c>
      <c r="G308" s="6" t="str">
        <f>IFERROR(INDEX('03_상품분류2526'!$D$7:$D$2532,MATCH(E308,'03_상품분류2526'!$A$7:$A$2532,0)),"코드 확인")</f>
        <v>7g</v>
      </c>
      <c r="H308" s="6" t="s">
        <v>7508</v>
      </c>
      <c r="I308" s="6" t="str">
        <f>IFERROR(INDEX('03_상품분류2526'!$M$7:$M$2532,MATCH(E308,'03_상품분류2526'!$A$7:$A$2532,0)),"코드 확인")</f>
        <v>B</v>
      </c>
      <c r="J308" s="6">
        <v>2</v>
      </c>
      <c r="K308" s="15">
        <v>1</v>
      </c>
      <c r="L308" s="6" t="str">
        <f>IFERROR(IF(INDEX('03_상품분류2526'!$V$7:$V$2532,MATCH(E308,'03_상품분류2526'!$A$7:$A$2532,0))="","",INDEX('03_상품분류2526'!$V$7:$V$2532,MATCH(E308,'03_상품분류2526'!$A$7:$A$2532,0))),"")</f>
        <v/>
      </c>
      <c r="M308" s="6" t="str">
        <f>IFERROR(IF(INDEX('03_상품분류2526'!$W$7:$W$2532,MATCH(E308,'03_상품분류2526'!$A$7:$A$2532,0))="","",INDEX('03_상품분류2526'!$W$7:$W$2532,MATCH(E308,'03_상품분류2526'!$A$7:$A$2532,0))),"")</f>
        <v/>
      </c>
      <c r="N308" s="6" t="str">
        <f>IFERROR(IF(INDEX('03_상품분류2526'!$X$7:$X$2532,MATCH(E308,'03_상품분류2526'!$A$7:$A$2532,0))="","",INDEX('03_상품분류2526'!$X$7:$X$2532,MATCH(E308,'03_상품분류2526'!$A$7:$A$2532,0))),"")</f>
        <v/>
      </c>
      <c r="O308" s="6">
        <f>'02_선반315'!R233</f>
        <v>865</v>
      </c>
      <c r="P308" s="6">
        <f>'02_선반315'!T233</f>
        <v>220</v>
      </c>
      <c r="Q308" s="6">
        <f>'02_선반315'!U233</f>
        <v>200</v>
      </c>
      <c r="R308" s="6">
        <f>'02_선반315'!S233</f>
        <v>270</v>
      </c>
      <c r="S308" s="6" t="str">
        <f t="shared" si="8"/>
        <v/>
      </c>
      <c r="T308" s="6" t="str">
        <f t="shared" si="9"/>
        <v>입력 대기</v>
      </c>
      <c r="U308" s="6" t="s">
        <v>7509</v>
      </c>
      <c r="V308" s="6" t="s">
        <v>555</v>
      </c>
      <c r="W308" s="6" t="s">
        <v>859</v>
      </c>
    </row>
    <row r="309" spans="1:23" ht="33" customHeight="1">
      <c r="A309" s="6" t="s">
        <v>7814</v>
      </c>
      <c r="B309" s="6" t="s">
        <v>1349</v>
      </c>
      <c r="C309" s="6" t="s">
        <v>423</v>
      </c>
      <c r="D309" s="6">
        <v>3</v>
      </c>
      <c r="E309" s="6" t="s">
        <v>1575</v>
      </c>
      <c r="F309" s="6" t="str">
        <f>IFERROR(INDEX('03_상품분류2526'!$C$7:$C$2532,MATCH(E309,'03_상품분류2526'!$A$7:$A$2532,0)),"코드 확인")</f>
        <v>프로캄 판테놀 립 에센스</v>
      </c>
      <c r="G309" s="6" t="str">
        <f>IFERROR(INDEX('03_상품분류2526'!$D$7:$D$2532,MATCH(E309,'03_상품분류2526'!$A$7:$A$2532,0)),"코드 확인")</f>
        <v>1EA</v>
      </c>
      <c r="H309" s="6" t="s">
        <v>7508</v>
      </c>
      <c r="I309" s="6" t="str">
        <f>IFERROR(INDEX('03_상품분류2526'!$M$7:$M$2532,MATCH(E309,'03_상품분류2526'!$A$7:$A$2532,0)),"코드 확인")</f>
        <v>A</v>
      </c>
      <c r="J309" s="6">
        <v>1</v>
      </c>
      <c r="K309" s="15">
        <v>1</v>
      </c>
      <c r="L309" s="6" t="str">
        <f>IFERROR(IF(INDEX('03_상품분류2526'!$V$7:$V$2532,MATCH(E309,'03_상품분류2526'!$A$7:$A$2532,0))="","",INDEX('03_상품분류2526'!$V$7:$V$2532,MATCH(E309,'03_상품분류2526'!$A$7:$A$2532,0))),"")</f>
        <v/>
      </c>
      <c r="M309" s="6" t="str">
        <f>IFERROR(IF(INDEX('03_상품분류2526'!$W$7:$W$2532,MATCH(E309,'03_상품분류2526'!$A$7:$A$2532,0))="","",INDEX('03_상품분류2526'!$W$7:$W$2532,MATCH(E309,'03_상품분류2526'!$A$7:$A$2532,0))),"")</f>
        <v/>
      </c>
      <c r="N309" s="6" t="str">
        <f>IFERROR(IF(INDEX('03_상품분류2526'!$X$7:$X$2532,MATCH(E309,'03_상품분류2526'!$A$7:$A$2532,0))="","",INDEX('03_상품분류2526'!$X$7:$X$2532,MATCH(E309,'03_상품분류2526'!$A$7:$A$2532,0))),"")</f>
        <v/>
      </c>
      <c r="O309" s="6">
        <f>'02_선반315'!R234</f>
        <v>865</v>
      </c>
      <c r="P309" s="6">
        <f>'02_선반315'!T234</f>
        <v>220</v>
      </c>
      <c r="Q309" s="6">
        <f>'02_선반315'!U234</f>
        <v>200</v>
      </c>
      <c r="R309" s="6">
        <f>'02_선반315'!S234</f>
        <v>270</v>
      </c>
      <c r="S309" s="6" t="str">
        <f t="shared" si="8"/>
        <v/>
      </c>
      <c r="T309" s="6" t="str">
        <f t="shared" si="9"/>
        <v>입력 대기</v>
      </c>
      <c r="U309" s="6" t="s">
        <v>7509</v>
      </c>
      <c r="V309" s="6" t="s">
        <v>555</v>
      </c>
      <c r="W309" s="6" t="s">
        <v>859</v>
      </c>
    </row>
    <row r="310" spans="1:23" ht="33" customHeight="1">
      <c r="A310" s="6" t="s">
        <v>7815</v>
      </c>
      <c r="B310" s="6" t="s">
        <v>1349</v>
      </c>
      <c r="C310" s="6" t="s">
        <v>423</v>
      </c>
      <c r="D310" s="6">
        <v>3</v>
      </c>
      <c r="E310" s="6" t="s">
        <v>6724</v>
      </c>
      <c r="F310" s="6" t="str">
        <f>IFERROR(INDEX('03_상품분류2526'!$C$7:$C$2532,MATCH(E310,'03_상품분류2526'!$A$7:$A$2532,0)),"코드 확인")</f>
        <v>비플레인 밀크 세라마이드 립 에센스 (NEW)</v>
      </c>
      <c r="G310" s="6" t="str">
        <f>IFERROR(INDEX('03_상품분류2526'!$D$7:$D$2532,MATCH(E310,'03_상품분류2526'!$A$7:$A$2532,0)),"코드 확인")</f>
        <v>10G</v>
      </c>
      <c r="H310" s="6" t="s">
        <v>7508</v>
      </c>
      <c r="I310" s="6" t="str">
        <f>IFERROR(INDEX('03_상품분류2526'!$M$7:$M$2532,MATCH(E310,'03_상품분류2526'!$A$7:$A$2532,0)),"코드 확인")</f>
        <v>B</v>
      </c>
      <c r="J310" s="6">
        <v>2</v>
      </c>
      <c r="K310" s="15">
        <v>1</v>
      </c>
      <c r="L310" s="6" t="str">
        <f>IFERROR(IF(INDEX('03_상품분류2526'!$V$7:$V$2532,MATCH(E310,'03_상품분류2526'!$A$7:$A$2532,0))="","",INDEX('03_상품분류2526'!$V$7:$V$2532,MATCH(E310,'03_상품분류2526'!$A$7:$A$2532,0))),"")</f>
        <v/>
      </c>
      <c r="M310" s="6" t="str">
        <f>IFERROR(IF(INDEX('03_상품분류2526'!$W$7:$W$2532,MATCH(E310,'03_상품분류2526'!$A$7:$A$2532,0))="","",INDEX('03_상품분류2526'!$W$7:$W$2532,MATCH(E310,'03_상품분류2526'!$A$7:$A$2532,0))),"")</f>
        <v/>
      </c>
      <c r="N310" s="6" t="str">
        <f>IFERROR(IF(INDEX('03_상품분류2526'!$X$7:$X$2532,MATCH(E310,'03_상품분류2526'!$A$7:$A$2532,0))="","",INDEX('03_상품분류2526'!$X$7:$X$2532,MATCH(E310,'03_상품분류2526'!$A$7:$A$2532,0))),"")</f>
        <v/>
      </c>
      <c r="O310" s="6">
        <f>'02_선반315'!R234</f>
        <v>865</v>
      </c>
      <c r="P310" s="6">
        <f>'02_선반315'!T234</f>
        <v>220</v>
      </c>
      <c r="Q310" s="6">
        <f>'02_선반315'!U234</f>
        <v>200</v>
      </c>
      <c r="R310" s="6">
        <f>'02_선반315'!S234</f>
        <v>270</v>
      </c>
      <c r="S310" s="6" t="str">
        <f t="shared" si="8"/>
        <v/>
      </c>
      <c r="T310" s="6" t="str">
        <f t="shared" si="9"/>
        <v>입력 대기</v>
      </c>
      <c r="U310" s="6" t="s">
        <v>7509</v>
      </c>
      <c r="V310" s="6" t="s">
        <v>555</v>
      </c>
      <c r="W310" s="6" t="s">
        <v>859</v>
      </c>
    </row>
    <row r="311" spans="1:23" ht="33" customHeight="1">
      <c r="A311" s="6" t="s">
        <v>7816</v>
      </c>
      <c r="B311" s="6" t="s">
        <v>1353</v>
      </c>
      <c r="C311" s="6" t="s">
        <v>423</v>
      </c>
      <c r="D311" s="6">
        <v>4</v>
      </c>
      <c r="E311" s="6" t="s">
        <v>602</v>
      </c>
      <c r="F311" s="6" t="str">
        <f>IFERROR(INDEX('03_상품분류2526'!$C$7:$C$2532,MATCH(E311,'03_상품분류2526'!$A$7:$A$2532,0)),"코드 확인")</f>
        <v>리쥬올 PDRN 립세럼</v>
      </c>
      <c r="G311" s="6" t="str">
        <f>IFERROR(INDEX('03_상품분류2526'!$D$7:$D$2532,MATCH(E311,'03_상품분류2526'!$A$7:$A$2532,0)),"코드 확인")</f>
        <v>10ml</v>
      </c>
      <c r="H311" s="6" t="s">
        <v>7508</v>
      </c>
      <c r="I311" s="6" t="str">
        <f>IFERROR(INDEX('03_상품분류2526'!$M$7:$M$2532,MATCH(E311,'03_상품분류2526'!$A$7:$A$2532,0)),"코드 확인")</f>
        <v>A</v>
      </c>
      <c r="J311" s="6">
        <v>1</v>
      </c>
      <c r="K311" s="15">
        <v>1</v>
      </c>
      <c r="L311" s="6" t="str">
        <f>IFERROR(IF(INDEX('03_상품분류2526'!$V$7:$V$2532,MATCH(E311,'03_상품분류2526'!$A$7:$A$2532,0))="","",INDEX('03_상품분류2526'!$V$7:$V$2532,MATCH(E311,'03_상품분류2526'!$A$7:$A$2532,0))),"")</f>
        <v/>
      </c>
      <c r="M311" s="6" t="str">
        <f>IFERROR(IF(INDEX('03_상품분류2526'!$W$7:$W$2532,MATCH(E311,'03_상품분류2526'!$A$7:$A$2532,0))="","",INDEX('03_상품분류2526'!$W$7:$W$2532,MATCH(E311,'03_상품분류2526'!$A$7:$A$2532,0))),"")</f>
        <v/>
      </c>
      <c r="N311" s="6" t="str">
        <f>IFERROR(IF(INDEX('03_상품분류2526'!$X$7:$X$2532,MATCH(E311,'03_상품분류2526'!$A$7:$A$2532,0))="","",INDEX('03_상품분류2526'!$X$7:$X$2532,MATCH(E311,'03_상품분류2526'!$A$7:$A$2532,0))),"")</f>
        <v/>
      </c>
      <c r="O311" s="6">
        <f>'02_선반315'!R235</f>
        <v>865</v>
      </c>
      <c r="P311" s="6">
        <f>'02_선반315'!T235</f>
        <v>220</v>
      </c>
      <c r="Q311" s="6">
        <f>'02_선반315'!U235</f>
        <v>200</v>
      </c>
      <c r="R311" s="6">
        <f>'02_선반315'!S235</f>
        <v>270</v>
      </c>
      <c r="S311" s="6" t="str">
        <f t="shared" si="8"/>
        <v/>
      </c>
      <c r="T311" s="6" t="str">
        <f t="shared" si="9"/>
        <v>입력 대기</v>
      </c>
      <c r="U311" s="6" t="s">
        <v>7509</v>
      </c>
      <c r="V311" s="6" t="s">
        <v>555</v>
      </c>
      <c r="W311" s="6" t="s">
        <v>859</v>
      </c>
    </row>
    <row r="312" spans="1:23" ht="33" customHeight="1">
      <c r="A312" s="6" t="s">
        <v>7817</v>
      </c>
      <c r="B312" s="6" t="s">
        <v>1354</v>
      </c>
      <c r="C312" s="6" t="s">
        <v>423</v>
      </c>
      <c r="D312" s="6">
        <v>5</v>
      </c>
      <c r="E312" s="6" t="s">
        <v>1356</v>
      </c>
      <c r="F312" s="6" t="str">
        <f>IFERROR(INDEX('03_상품분류2526'!$C$7:$C$2532,MATCH(E312,'03_상품분류2526'!$A$7:$A$2532,0)),"코드 확인")</f>
        <v>믹순 내추럴 콩 립 마스크 밤</v>
      </c>
      <c r="G312" s="6" t="str">
        <f>IFERROR(INDEX('03_상품분류2526'!$D$7:$D$2532,MATCH(E312,'03_상품분류2526'!$A$7:$A$2532,0)),"코드 확인")</f>
        <v>11g</v>
      </c>
      <c r="H312" s="6" t="s">
        <v>7508</v>
      </c>
      <c r="I312" s="6" t="str">
        <f>IFERROR(INDEX('03_상품분류2526'!$M$7:$M$2532,MATCH(E312,'03_상품분류2526'!$A$7:$A$2532,0)),"코드 확인")</f>
        <v>B</v>
      </c>
      <c r="J312" s="6">
        <v>1</v>
      </c>
      <c r="K312" s="15">
        <v>1</v>
      </c>
      <c r="L312" s="6" t="str">
        <f>IFERROR(IF(INDEX('03_상품분류2526'!$V$7:$V$2532,MATCH(E312,'03_상품분류2526'!$A$7:$A$2532,0))="","",INDEX('03_상품분류2526'!$V$7:$V$2532,MATCH(E312,'03_상품분류2526'!$A$7:$A$2532,0))),"")</f>
        <v/>
      </c>
      <c r="M312" s="6" t="str">
        <f>IFERROR(IF(INDEX('03_상품분류2526'!$W$7:$W$2532,MATCH(E312,'03_상품분류2526'!$A$7:$A$2532,0))="","",INDEX('03_상품분류2526'!$W$7:$W$2532,MATCH(E312,'03_상품분류2526'!$A$7:$A$2532,0))),"")</f>
        <v/>
      </c>
      <c r="N312" s="6" t="str">
        <f>IFERROR(IF(INDEX('03_상품분류2526'!$X$7:$X$2532,MATCH(E312,'03_상품분류2526'!$A$7:$A$2532,0))="","",INDEX('03_상품분류2526'!$X$7:$X$2532,MATCH(E312,'03_상품분류2526'!$A$7:$A$2532,0))),"")</f>
        <v/>
      </c>
      <c r="O312" s="6">
        <f>'02_선반315'!R236</f>
        <v>865</v>
      </c>
      <c r="P312" s="6">
        <f>'02_선반315'!T236</f>
        <v>220</v>
      </c>
      <c r="Q312" s="6">
        <f>'02_선반315'!U236</f>
        <v>200</v>
      </c>
      <c r="R312" s="6">
        <f>'02_선반315'!S236</f>
        <v>270</v>
      </c>
      <c r="S312" s="6" t="str">
        <f t="shared" si="8"/>
        <v/>
      </c>
      <c r="T312" s="6" t="str">
        <f t="shared" si="9"/>
        <v>입력 대기</v>
      </c>
      <c r="U312" s="6" t="s">
        <v>7509</v>
      </c>
      <c r="V312" s="6" t="s">
        <v>555</v>
      </c>
      <c r="W312" s="6" t="s">
        <v>859</v>
      </c>
    </row>
    <row r="313" spans="1:23" ht="33" customHeight="1">
      <c r="A313" s="6" t="s">
        <v>7818</v>
      </c>
      <c r="B313" s="6" t="s">
        <v>1358</v>
      </c>
      <c r="C313" s="6" t="s">
        <v>431</v>
      </c>
      <c r="D313" s="6">
        <v>1</v>
      </c>
      <c r="E313" s="6" t="s">
        <v>6044</v>
      </c>
      <c r="F313" s="6" t="str">
        <f>IFERROR(INDEX('03_상품분류2526'!$C$7:$C$2532,MATCH(E313,'03_상품분류2526'!$A$7:$A$2532,0)),"코드 확인")</f>
        <v>프렌즈아이드롭점안액(순)</v>
      </c>
      <c r="G313" s="6" t="str">
        <f>IFERROR(INDEX('03_상품분류2526'!$D$7:$D$2532,MATCH(E313,'03_상품분류2526'!$A$7:$A$2532,0)),"코드 확인")</f>
        <v>14ml</v>
      </c>
      <c r="H313" s="6" t="s">
        <v>7508</v>
      </c>
      <c r="I313" s="6" t="str">
        <f>IFERROR(INDEX('03_상품분류2526'!$M$7:$M$2532,MATCH(E313,'03_상품분류2526'!$A$7:$A$2532,0)),"코드 확인")</f>
        <v>A</v>
      </c>
      <c r="J313" s="6">
        <v>1</v>
      </c>
      <c r="K313" s="15">
        <v>1</v>
      </c>
      <c r="L313" s="6" t="str">
        <f>IFERROR(IF(INDEX('03_상품분류2526'!$V$7:$V$2532,MATCH(E313,'03_상품분류2526'!$A$7:$A$2532,0))="","",INDEX('03_상품분류2526'!$V$7:$V$2532,MATCH(E313,'03_상품분류2526'!$A$7:$A$2532,0))),"")</f>
        <v/>
      </c>
      <c r="M313" s="6" t="str">
        <f>IFERROR(IF(INDEX('03_상품분류2526'!$W$7:$W$2532,MATCH(E313,'03_상품분류2526'!$A$7:$A$2532,0))="","",INDEX('03_상품분류2526'!$W$7:$W$2532,MATCH(E313,'03_상품분류2526'!$A$7:$A$2532,0))),"")</f>
        <v/>
      </c>
      <c r="N313" s="6" t="str">
        <f>IFERROR(IF(INDEX('03_상품분류2526'!$X$7:$X$2532,MATCH(E313,'03_상품분류2526'!$A$7:$A$2532,0))="","",INDEX('03_상품분류2526'!$X$7:$X$2532,MATCH(E313,'03_상품분류2526'!$A$7:$A$2532,0))),"")</f>
        <v/>
      </c>
      <c r="O313" s="6">
        <f>'02_선반315'!R237</f>
        <v>865</v>
      </c>
      <c r="P313" s="6">
        <f>'02_선반315'!T237</f>
        <v>100</v>
      </c>
      <c r="Q313" s="6">
        <f>'02_선반315'!U237</f>
        <v>80</v>
      </c>
      <c r="R313" s="6">
        <f>'02_선반315'!S237</f>
        <v>270</v>
      </c>
      <c r="S313" s="6" t="str">
        <f t="shared" si="8"/>
        <v/>
      </c>
      <c r="T313" s="6" t="str">
        <f t="shared" si="9"/>
        <v>입력 대기</v>
      </c>
      <c r="U313" s="6" t="s">
        <v>7543</v>
      </c>
      <c r="V313" s="6" t="s">
        <v>555</v>
      </c>
      <c r="W313" s="6" t="s">
        <v>859</v>
      </c>
    </row>
    <row r="314" spans="1:23" ht="33" customHeight="1">
      <c r="A314" s="6" t="s">
        <v>7819</v>
      </c>
      <c r="B314" s="6" t="s">
        <v>1358</v>
      </c>
      <c r="C314" s="6" t="s">
        <v>431</v>
      </c>
      <c r="D314" s="6">
        <v>1</v>
      </c>
      <c r="E314" s="6" t="s">
        <v>6056</v>
      </c>
      <c r="F314" s="6" t="str">
        <f>IFERROR(INDEX('03_상품분류2526'!$C$7:$C$2532,MATCH(E314,'03_상품분류2526'!$A$7:$A$2532,0)),"코드 확인")</f>
        <v>아이미루콘택트퓨어점안액(12ml)</v>
      </c>
      <c r="G314" s="6" t="str">
        <f>IFERROR(INDEX('03_상품분류2526'!$D$7:$D$2532,MATCH(E314,'03_상품분류2526'!$A$7:$A$2532,0)),"코드 확인")</f>
        <v>12ml</v>
      </c>
      <c r="H314" s="6" t="s">
        <v>7508</v>
      </c>
      <c r="I314" s="6" t="str">
        <f>IFERROR(INDEX('03_상품분류2526'!$M$7:$M$2532,MATCH(E314,'03_상품분류2526'!$A$7:$A$2532,0)),"코드 확인")</f>
        <v>B</v>
      </c>
      <c r="J314" s="6">
        <v>2</v>
      </c>
      <c r="K314" s="15">
        <v>1</v>
      </c>
      <c r="L314" s="6" t="str">
        <f>IFERROR(IF(INDEX('03_상품분류2526'!$V$7:$V$2532,MATCH(E314,'03_상품분류2526'!$A$7:$A$2532,0))="","",INDEX('03_상품분류2526'!$V$7:$V$2532,MATCH(E314,'03_상품분류2526'!$A$7:$A$2532,0))),"")</f>
        <v/>
      </c>
      <c r="M314" s="6" t="str">
        <f>IFERROR(IF(INDEX('03_상품분류2526'!$W$7:$W$2532,MATCH(E314,'03_상품분류2526'!$A$7:$A$2532,0))="","",INDEX('03_상품분류2526'!$W$7:$W$2532,MATCH(E314,'03_상품분류2526'!$A$7:$A$2532,0))),"")</f>
        <v/>
      </c>
      <c r="N314" s="6" t="str">
        <f>IFERROR(IF(INDEX('03_상품분류2526'!$X$7:$X$2532,MATCH(E314,'03_상품분류2526'!$A$7:$A$2532,0))="","",INDEX('03_상품분류2526'!$X$7:$X$2532,MATCH(E314,'03_상품분류2526'!$A$7:$A$2532,0))),"")</f>
        <v/>
      </c>
      <c r="O314" s="6">
        <f>'02_선반315'!R237</f>
        <v>865</v>
      </c>
      <c r="P314" s="6">
        <f>'02_선반315'!T237</f>
        <v>100</v>
      </c>
      <c r="Q314" s="6">
        <f>'02_선반315'!U237</f>
        <v>80</v>
      </c>
      <c r="R314" s="6">
        <f>'02_선반315'!S237</f>
        <v>270</v>
      </c>
      <c r="S314" s="6" t="str">
        <f t="shared" si="8"/>
        <v/>
      </c>
      <c r="T314" s="6" t="str">
        <f t="shared" si="9"/>
        <v>입력 대기</v>
      </c>
      <c r="U314" s="6" t="s">
        <v>7543</v>
      </c>
      <c r="V314" s="6" t="s">
        <v>555</v>
      </c>
      <c r="W314" s="6" t="s">
        <v>859</v>
      </c>
    </row>
    <row r="315" spans="1:23" ht="33" customHeight="1">
      <c r="A315" s="6" t="s">
        <v>7820</v>
      </c>
      <c r="B315" s="6" t="s">
        <v>1363</v>
      </c>
      <c r="C315" s="6" t="s">
        <v>431</v>
      </c>
      <c r="D315" s="6">
        <v>2</v>
      </c>
      <c r="E315" s="6" t="s">
        <v>6018</v>
      </c>
      <c r="F315" s="6" t="str">
        <f>IFERROR(INDEX('03_상품분류2526'!$C$7:$C$2532,MATCH(E315,'03_상품분류2526'!$A$7:$A$2532,0)),"코드 확인")</f>
        <v>리안점안액</v>
      </c>
      <c r="G315" s="6" t="str">
        <f>IFERROR(INDEX('03_상품분류2526'!$D$7:$D$2532,MATCH(E315,'03_상품분류2526'!$A$7:$A$2532,0)),"코드 확인")</f>
        <v>0.5ml*30관</v>
      </c>
      <c r="H315" s="6" t="s">
        <v>7508</v>
      </c>
      <c r="I315" s="6" t="str">
        <f>IFERROR(INDEX('03_상품분류2526'!$M$7:$M$2532,MATCH(E315,'03_상품분류2526'!$A$7:$A$2532,0)),"코드 확인")</f>
        <v>A</v>
      </c>
      <c r="J315" s="6">
        <v>1</v>
      </c>
      <c r="K315" s="15">
        <v>2</v>
      </c>
      <c r="L315" s="6" t="str">
        <f>IFERROR(IF(INDEX('03_상품분류2526'!$V$7:$V$2532,MATCH(E315,'03_상품분류2526'!$A$7:$A$2532,0))="","",INDEX('03_상품분류2526'!$V$7:$V$2532,MATCH(E315,'03_상품분류2526'!$A$7:$A$2532,0))),"")</f>
        <v/>
      </c>
      <c r="M315" s="6" t="str">
        <f>IFERROR(IF(INDEX('03_상품분류2526'!$W$7:$W$2532,MATCH(E315,'03_상품분류2526'!$A$7:$A$2532,0))="","",INDEX('03_상품분류2526'!$W$7:$W$2532,MATCH(E315,'03_상품분류2526'!$A$7:$A$2532,0))),"")</f>
        <v/>
      </c>
      <c r="N315" s="6" t="str">
        <f>IFERROR(IF(INDEX('03_상품분류2526'!$X$7:$X$2532,MATCH(E315,'03_상품분류2526'!$A$7:$A$2532,0))="","",INDEX('03_상품분류2526'!$X$7:$X$2532,MATCH(E315,'03_상품분류2526'!$A$7:$A$2532,0))),"")</f>
        <v/>
      </c>
      <c r="O315" s="6">
        <f>'02_선반315'!R238</f>
        <v>865</v>
      </c>
      <c r="P315" s="6">
        <f>'02_선반315'!T238</f>
        <v>220</v>
      </c>
      <c r="Q315" s="6">
        <f>'02_선반315'!U238</f>
        <v>200</v>
      </c>
      <c r="R315" s="6">
        <f>'02_선반315'!S238</f>
        <v>270</v>
      </c>
      <c r="S315" s="6" t="str">
        <f t="shared" si="8"/>
        <v/>
      </c>
      <c r="T315" s="6" t="str">
        <f t="shared" si="9"/>
        <v>입력 대기</v>
      </c>
      <c r="U315" s="6" t="s">
        <v>7509</v>
      </c>
      <c r="V315" s="6" t="s">
        <v>555</v>
      </c>
      <c r="W315" s="6" t="s">
        <v>859</v>
      </c>
    </row>
    <row r="316" spans="1:23" ht="33" customHeight="1">
      <c r="A316" s="6" t="s">
        <v>7821</v>
      </c>
      <c r="B316" s="6" t="s">
        <v>1363</v>
      </c>
      <c r="C316" s="6" t="s">
        <v>431</v>
      </c>
      <c r="D316" s="6">
        <v>2</v>
      </c>
      <c r="E316" s="6" t="s">
        <v>7220</v>
      </c>
      <c r="F316" s="6" t="str">
        <f>IFERROR(INDEX('03_상품분류2526'!$C$7:$C$2532,MATCH(E316,'03_상품분류2526'!$A$7:$A$2532,0)),"코드 확인")</f>
        <v>아이오쿨 프로점안액</v>
      </c>
      <c r="G316" s="6" t="str">
        <f>IFERROR(INDEX('03_상품분류2526'!$D$7:$D$2532,MATCH(E316,'03_상품분류2526'!$A$7:$A$2532,0)),"코드 확인")</f>
        <v>0.5mL*60개</v>
      </c>
      <c r="H316" s="6" t="s">
        <v>7508</v>
      </c>
      <c r="I316" s="6" t="str">
        <f>IFERROR(INDEX('03_상품분류2526'!$M$7:$M$2532,MATCH(E316,'03_상품분류2526'!$A$7:$A$2532,0)),"코드 확인")</f>
        <v>B</v>
      </c>
      <c r="J316" s="6">
        <v>2</v>
      </c>
      <c r="K316" s="15">
        <v>1</v>
      </c>
      <c r="L316" s="6" t="str">
        <f>IFERROR(IF(INDEX('03_상품분류2526'!$V$7:$V$2532,MATCH(E316,'03_상품분류2526'!$A$7:$A$2532,0))="","",INDEX('03_상품분류2526'!$V$7:$V$2532,MATCH(E316,'03_상품분류2526'!$A$7:$A$2532,0))),"")</f>
        <v/>
      </c>
      <c r="M316" s="6" t="str">
        <f>IFERROR(IF(INDEX('03_상품분류2526'!$W$7:$W$2532,MATCH(E316,'03_상품분류2526'!$A$7:$A$2532,0))="","",INDEX('03_상품분류2526'!$W$7:$W$2532,MATCH(E316,'03_상품분류2526'!$A$7:$A$2532,0))),"")</f>
        <v/>
      </c>
      <c r="N316" s="6" t="str">
        <f>IFERROR(IF(INDEX('03_상품분류2526'!$X$7:$X$2532,MATCH(E316,'03_상품분류2526'!$A$7:$A$2532,0))="","",INDEX('03_상품분류2526'!$X$7:$X$2532,MATCH(E316,'03_상품분류2526'!$A$7:$A$2532,0))),"")</f>
        <v/>
      </c>
      <c r="O316" s="6">
        <f>'02_선반315'!R238</f>
        <v>865</v>
      </c>
      <c r="P316" s="6">
        <f>'02_선반315'!T238</f>
        <v>220</v>
      </c>
      <c r="Q316" s="6">
        <f>'02_선반315'!U238</f>
        <v>200</v>
      </c>
      <c r="R316" s="6">
        <f>'02_선반315'!S238</f>
        <v>270</v>
      </c>
      <c r="S316" s="6" t="str">
        <f t="shared" si="8"/>
        <v/>
      </c>
      <c r="T316" s="6" t="str">
        <f t="shared" si="9"/>
        <v>입력 대기</v>
      </c>
      <c r="U316" s="6" t="s">
        <v>7509</v>
      </c>
      <c r="V316" s="6" t="s">
        <v>555</v>
      </c>
      <c r="W316" s="6" t="s">
        <v>859</v>
      </c>
    </row>
    <row r="317" spans="1:23" ht="33" customHeight="1">
      <c r="A317" s="6" t="s">
        <v>7822</v>
      </c>
      <c r="B317" s="6" t="s">
        <v>1367</v>
      </c>
      <c r="C317" s="6" t="s">
        <v>431</v>
      </c>
      <c r="D317" s="6">
        <v>3</v>
      </c>
      <c r="E317" s="6" t="s">
        <v>1369</v>
      </c>
      <c r="F317" s="6" t="str">
        <f>IFERROR(INDEX('03_상품분류2526'!$C$7:$C$2532,MATCH(E317,'03_상품분류2526'!$A$7:$A$2532,0)),"코드 확인")</f>
        <v>블레파크린</v>
      </c>
      <c r="G317" s="6" t="str">
        <f>IFERROR(INDEX('03_상품분류2526'!$D$7:$D$2532,MATCH(E317,'03_상품분류2526'!$A$7:$A$2532,0)),"코드 확인")</f>
        <v>20매</v>
      </c>
      <c r="H317" s="6" t="s">
        <v>7508</v>
      </c>
      <c r="I317" s="6" t="str">
        <f>IFERROR(INDEX('03_상품분류2526'!$M$7:$M$2532,MATCH(E317,'03_상품분류2526'!$A$7:$A$2532,0)),"코드 확인")</f>
        <v>A</v>
      </c>
      <c r="J317" s="6">
        <v>1</v>
      </c>
      <c r="K317" s="15">
        <v>1</v>
      </c>
      <c r="L317" s="6" t="str">
        <f>IFERROR(IF(INDEX('03_상품분류2526'!$V$7:$V$2532,MATCH(E317,'03_상품분류2526'!$A$7:$A$2532,0))="","",INDEX('03_상품분류2526'!$V$7:$V$2532,MATCH(E317,'03_상품분류2526'!$A$7:$A$2532,0))),"")</f>
        <v/>
      </c>
      <c r="M317" s="6" t="str">
        <f>IFERROR(IF(INDEX('03_상품분류2526'!$W$7:$W$2532,MATCH(E317,'03_상품분류2526'!$A$7:$A$2532,0))="","",INDEX('03_상품분류2526'!$W$7:$W$2532,MATCH(E317,'03_상품분류2526'!$A$7:$A$2532,0))),"")</f>
        <v/>
      </c>
      <c r="N317" s="6" t="str">
        <f>IFERROR(IF(INDEX('03_상품분류2526'!$X$7:$X$2532,MATCH(E317,'03_상품분류2526'!$A$7:$A$2532,0))="","",INDEX('03_상품분류2526'!$X$7:$X$2532,MATCH(E317,'03_상품분류2526'!$A$7:$A$2532,0))),"")</f>
        <v/>
      </c>
      <c r="O317" s="6">
        <f>'02_선반315'!R239</f>
        <v>865</v>
      </c>
      <c r="P317" s="6">
        <f>'02_선반315'!T239</f>
        <v>220</v>
      </c>
      <c r="Q317" s="6">
        <f>'02_선반315'!U239</f>
        <v>200</v>
      </c>
      <c r="R317" s="6">
        <f>'02_선반315'!S239</f>
        <v>270</v>
      </c>
      <c r="S317" s="6" t="str">
        <f t="shared" si="8"/>
        <v/>
      </c>
      <c r="T317" s="6" t="str">
        <f t="shared" si="9"/>
        <v>입력 대기</v>
      </c>
      <c r="U317" s="6" t="s">
        <v>7509</v>
      </c>
      <c r="V317" s="6" t="s">
        <v>555</v>
      </c>
      <c r="W317" s="6" t="s">
        <v>859</v>
      </c>
    </row>
    <row r="318" spans="1:23" ht="33" customHeight="1">
      <c r="A318" s="6" t="s">
        <v>7823</v>
      </c>
      <c r="B318" s="6" t="s">
        <v>1371</v>
      </c>
      <c r="C318" s="6" t="s">
        <v>431</v>
      </c>
      <c r="D318" s="6">
        <v>4</v>
      </c>
      <c r="E318" s="6" t="s">
        <v>1874</v>
      </c>
      <c r="F318" s="6" t="str">
        <f>IFERROR(INDEX('03_상품분류2526'!$C$7:$C$2532,MATCH(E318,'03_상품분류2526'!$A$7:$A$2532,0)),"코드 확인")</f>
        <v>바슈롬 리뉴 후레쉬용액 120ml</v>
      </c>
      <c r="G318" s="6" t="str">
        <f>IFERROR(INDEX('03_상품분류2526'!$D$7:$D$2532,MATCH(E318,'03_상품분류2526'!$A$7:$A$2532,0)),"코드 확인")</f>
        <v>120ml</v>
      </c>
      <c r="H318" s="6" t="s">
        <v>7508</v>
      </c>
      <c r="I318" s="6" t="str">
        <f>IFERROR(INDEX('03_상품분류2526'!$M$7:$M$2532,MATCH(E318,'03_상품분류2526'!$A$7:$A$2532,0)),"코드 확인")</f>
        <v>A</v>
      </c>
      <c r="J318" s="6">
        <v>1</v>
      </c>
      <c r="K318" s="15">
        <v>1</v>
      </c>
      <c r="L318" s="6" t="str">
        <f>IFERROR(IF(INDEX('03_상품분류2526'!$V$7:$V$2532,MATCH(E318,'03_상품분류2526'!$A$7:$A$2532,0))="","",INDEX('03_상품분류2526'!$V$7:$V$2532,MATCH(E318,'03_상품분류2526'!$A$7:$A$2532,0))),"")</f>
        <v/>
      </c>
      <c r="M318" s="6" t="str">
        <f>IFERROR(IF(INDEX('03_상품분류2526'!$W$7:$W$2532,MATCH(E318,'03_상품분류2526'!$A$7:$A$2532,0))="","",INDEX('03_상품분류2526'!$W$7:$W$2532,MATCH(E318,'03_상품분류2526'!$A$7:$A$2532,0))),"")</f>
        <v/>
      </c>
      <c r="N318" s="6" t="str">
        <f>IFERROR(IF(INDEX('03_상품분류2526'!$X$7:$X$2532,MATCH(E318,'03_상품분류2526'!$A$7:$A$2532,0))="","",INDEX('03_상품분류2526'!$X$7:$X$2532,MATCH(E318,'03_상품분류2526'!$A$7:$A$2532,0))),"")</f>
        <v/>
      </c>
      <c r="O318" s="6">
        <f>'02_선반315'!R240</f>
        <v>865</v>
      </c>
      <c r="P318" s="6">
        <f>'02_선반315'!T240</f>
        <v>220</v>
      </c>
      <c r="Q318" s="6">
        <f>'02_선반315'!U240</f>
        <v>200</v>
      </c>
      <c r="R318" s="6">
        <f>'02_선반315'!S240</f>
        <v>270</v>
      </c>
      <c r="S318" s="6" t="str">
        <f t="shared" si="8"/>
        <v/>
      </c>
      <c r="T318" s="6" t="str">
        <f t="shared" si="9"/>
        <v>입력 대기</v>
      </c>
      <c r="U318" s="6" t="s">
        <v>7509</v>
      </c>
      <c r="V318" s="6" t="s">
        <v>555</v>
      </c>
      <c r="W318" s="6" t="s">
        <v>859</v>
      </c>
    </row>
    <row r="319" spans="1:23" ht="33" customHeight="1">
      <c r="A319" s="6" t="s">
        <v>7824</v>
      </c>
      <c r="B319" s="6" t="s">
        <v>1371</v>
      </c>
      <c r="C319" s="6" t="s">
        <v>431</v>
      </c>
      <c r="D319" s="6">
        <v>4</v>
      </c>
      <c r="E319" s="6" t="s">
        <v>6100</v>
      </c>
      <c r="F319" s="6" t="str">
        <f>IFERROR(INDEX('03_상품분류2526'!$C$7:$C$2532,MATCH(E319,'03_상품분류2526'!$A$7:$A$2532,0)),"코드 확인")</f>
        <v>보스톤 세척액(어드밴스클리너액)</v>
      </c>
      <c r="G319" s="6" t="str">
        <f>IFERROR(INDEX('03_상품분류2526'!$D$7:$D$2532,MATCH(E319,'03_상품분류2526'!$A$7:$A$2532,0)),"코드 확인")</f>
        <v>30ml</v>
      </c>
      <c r="H319" s="6" t="s">
        <v>7508</v>
      </c>
      <c r="I319" s="6" t="str">
        <f>IFERROR(INDEX('03_상품분류2526'!$M$7:$M$2532,MATCH(E319,'03_상품분류2526'!$A$7:$A$2532,0)),"코드 확인")</f>
        <v>B</v>
      </c>
      <c r="J319" s="6">
        <v>2</v>
      </c>
      <c r="K319" s="15">
        <v>1</v>
      </c>
      <c r="L319" s="6" t="str">
        <f>IFERROR(IF(INDEX('03_상품분류2526'!$V$7:$V$2532,MATCH(E319,'03_상품분류2526'!$A$7:$A$2532,0))="","",INDEX('03_상품분류2526'!$V$7:$V$2532,MATCH(E319,'03_상품분류2526'!$A$7:$A$2532,0))),"")</f>
        <v/>
      </c>
      <c r="M319" s="6" t="str">
        <f>IFERROR(IF(INDEX('03_상품분류2526'!$W$7:$W$2532,MATCH(E319,'03_상품분류2526'!$A$7:$A$2532,0))="","",INDEX('03_상품분류2526'!$W$7:$W$2532,MATCH(E319,'03_상품분류2526'!$A$7:$A$2532,0))),"")</f>
        <v/>
      </c>
      <c r="N319" s="6" t="str">
        <f>IFERROR(IF(INDEX('03_상품분류2526'!$X$7:$X$2532,MATCH(E319,'03_상품분류2526'!$A$7:$A$2532,0))="","",INDEX('03_상품분류2526'!$X$7:$X$2532,MATCH(E319,'03_상품분류2526'!$A$7:$A$2532,0))),"")</f>
        <v/>
      </c>
      <c r="O319" s="6">
        <f>'02_선반315'!R240</f>
        <v>865</v>
      </c>
      <c r="P319" s="6">
        <f>'02_선반315'!T240</f>
        <v>220</v>
      </c>
      <c r="Q319" s="6">
        <f>'02_선반315'!U240</f>
        <v>200</v>
      </c>
      <c r="R319" s="6">
        <f>'02_선반315'!S240</f>
        <v>270</v>
      </c>
      <c r="S319" s="6" t="str">
        <f t="shared" si="8"/>
        <v/>
      </c>
      <c r="T319" s="6" t="str">
        <f t="shared" si="9"/>
        <v>입력 대기</v>
      </c>
      <c r="U319" s="6" t="s">
        <v>7509</v>
      </c>
      <c r="V319" s="6" t="s">
        <v>555</v>
      </c>
      <c r="W319" s="6" t="s">
        <v>859</v>
      </c>
    </row>
    <row r="320" spans="1:23" ht="33" customHeight="1">
      <c r="A320" s="6" t="s">
        <v>7825</v>
      </c>
      <c r="B320" s="6" t="s">
        <v>1371</v>
      </c>
      <c r="C320" s="6" t="s">
        <v>431</v>
      </c>
      <c r="D320" s="6">
        <v>4</v>
      </c>
      <c r="E320" s="6" t="s">
        <v>6960</v>
      </c>
      <c r="F320" s="6" t="str">
        <f>IFERROR(INDEX('03_상품분류2526'!$C$7:$C$2532,MATCH(E320,'03_상품분류2526'!$A$7:$A$2532,0)),"코드 확인")</f>
        <v>보스톤 보존액(어드밴스클리너)</v>
      </c>
      <c r="G320" s="6" t="str">
        <f>IFERROR(INDEX('03_상품분류2526'!$D$7:$D$2532,MATCH(E320,'03_상품분류2526'!$A$7:$A$2532,0)),"코드 확인")</f>
        <v>120ml</v>
      </c>
      <c r="H320" s="6" t="s">
        <v>7508</v>
      </c>
      <c r="I320" s="6" t="str">
        <f>IFERROR(INDEX('03_상품분류2526'!$M$7:$M$2532,MATCH(E320,'03_상품분류2526'!$A$7:$A$2532,0)),"코드 확인")</f>
        <v>B</v>
      </c>
      <c r="J320" s="6">
        <v>3</v>
      </c>
      <c r="K320" s="15">
        <v>1</v>
      </c>
      <c r="L320" s="6" t="str">
        <f>IFERROR(IF(INDEX('03_상품분류2526'!$V$7:$V$2532,MATCH(E320,'03_상품분류2526'!$A$7:$A$2532,0))="","",INDEX('03_상품분류2526'!$V$7:$V$2532,MATCH(E320,'03_상품분류2526'!$A$7:$A$2532,0))),"")</f>
        <v/>
      </c>
      <c r="M320" s="6" t="str">
        <f>IFERROR(IF(INDEX('03_상품분류2526'!$W$7:$W$2532,MATCH(E320,'03_상품분류2526'!$A$7:$A$2532,0))="","",INDEX('03_상품분류2526'!$W$7:$W$2532,MATCH(E320,'03_상품분류2526'!$A$7:$A$2532,0))),"")</f>
        <v/>
      </c>
      <c r="N320" s="6" t="str">
        <f>IFERROR(IF(INDEX('03_상품분류2526'!$X$7:$X$2532,MATCH(E320,'03_상품분류2526'!$A$7:$A$2532,0))="","",INDEX('03_상품분류2526'!$X$7:$X$2532,MATCH(E320,'03_상품분류2526'!$A$7:$A$2532,0))),"")</f>
        <v/>
      </c>
      <c r="O320" s="6">
        <f>'02_선반315'!R240</f>
        <v>865</v>
      </c>
      <c r="P320" s="6">
        <f>'02_선반315'!T240</f>
        <v>220</v>
      </c>
      <c r="Q320" s="6">
        <f>'02_선반315'!U240</f>
        <v>200</v>
      </c>
      <c r="R320" s="6">
        <f>'02_선반315'!S240</f>
        <v>270</v>
      </c>
      <c r="S320" s="6" t="str">
        <f t="shared" si="8"/>
        <v/>
      </c>
      <c r="T320" s="6" t="str">
        <f t="shared" si="9"/>
        <v>입력 대기</v>
      </c>
      <c r="U320" s="6" t="s">
        <v>7509</v>
      </c>
      <c r="V320" s="6" t="s">
        <v>555</v>
      </c>
      <c r="W320" s="6" t="s">
        <v>859</v>
      </c>
    </row>
    <row r="321" spans="1:23" ht="33" customHeight="1">
      <c r="A321" s="6" t="s">
        <v>7826</v>
      </c>
      <c r="B321" s="6" t="s">
        <v>1375</v>
      </c>
      <c r="C321" s="6" t="s">
        <v>431</v>
      </c>
      <c r="D321" s="6">
        <v>5</v>
      </c>
      <c r="E321" s="6" t="s">
        <v>6738</v>
      </c>
      <c r="F321" s="6" t="str">
        <f>IFERROR(INDEX('03_상품분류2526'!$C$7:$C$2532,MATCH(E321,'03_상품분류2526'!$A$7:$A$2532,0)),"코드 확인")</f>
        <v>믹순 피디알엔 콜라겐 아이 세럼</v>
      </c>
      <c r="G321" s="6" t="str">
        <f>IFERROR(INDEX('03_상품분류2526'!$D$7:$D$2532,MATCH(E321,'03_상품분류2526'!$A$7:$A$2532,0)),"코드 확인")</f>
        <v>20ml</v>
      </c>
      <c r="H321" s="6" t="s">
        <v>7508</v>
      </c>
      <c r="I321" s="6" t="str">
        <f>IFERROR(INDEX('03_상품분류2526'!$M$7:$M$2532,MATCH(E321,'03_상품분류2526'!$A$7:$A$2532,0)),"코드 확인")</f>
        <v>B</v>
      </c>
      <c r="J321" s="6">
        <v>1</v>
      </c>
      <c r="K321" s="15">
        <v>1</v>
      </c>
      <c r="L321" s="6" t="str">
        <f>IFERROR(IF(INDEX('03_상품분류2526'!$V$7:$V$2532,MATCH(E321,'03_상품분류2526'!$A$7:$A$2532,0))="","",INDEX('03_상품분류2526'!$V$7:$V$2532,MATCH(E321,'03_상품분류2526'!$A$7:$A$2532,0))),"")</f>
        <v/>
      </c>
      <c r="M321" s="6" t="str">
        <f>IFERROR(IF(INDEX('03_상품분류2526'!$W$7:$W$2532,MATCH(E321,'03_상품분류2526'!$A$7:$A$2532,0))="","",INDEX('03_상품분류2526'!$W$7:$W$2532,MATCH(E321,'03_상품분류2526'!$A$7:$A$2532,0))),"")</f>
        <v/>
      </c>
      <c r="N321" s="6" t="str">
        <f>IFERROR(IF(INDEX('03_상품분류2526'!$X$7:$X$2532,MATCH(E321,'03_상품분류2526'!$A$7:$A$2532,0))="","",INDEX('03_상품분류2526'!$X$7:$X$2532,MATCH(E321,'03_상품분류2526'!$A$7:$A$2532,0))),"")</f>
        <v/>
      </c>
      <c r="O321" s="6">
        <f>'02_선반315'!R241</f>
        <v>865</v>
      </c>
      <c r="P321" s="6">
        <f>'02_선반315'!T241</f>
        <v>220</v>
      </c>
      <c r="Q321" s="6">
        <f>'02_선반315'!U241</f>
        <v>200</v>
      </c>
      <c r="R321" s="6">
        <f>'02_선반315'!S241</f>
        <v>270</v>
      </c>
      <c r="S321" s="6" t="str">
        <f t="shared" si="8"/>
        <v/>
      </c>
      <c r="T321" s="6" t="str">
        <f t="shared" si="9"/>
        <v>입력 대기</v>
      </c>
      <c r="U321" s="6" t="s">
        <v>7509</v>
      </c>
      <c r="V321" s="6" t="s">
        <v>555</v>
      </c>
      <c r="W321" s="6" t="s">
        <v>859</v>
      </c>
    </row>
    <row r="322" spans="1:23" ht="33" customHeight="1">
      <c r="A322" s="6" t="s">
        <v>7827</v>
      </c>
      <c r="B322" s="6" t="s">
        <v>1375</v>
      </c>
      <c r="C322" s="6" t="s">
        <v>431</v>
      </c>
      <c r="D322" s="6">
        <v>5</v>
      </c>
      <c r="E322" s="6" t="s">
        <v>6756</v>
      </c>
      <c r="F322" s="6" t="str">
        <f>IFERROR(INDEX('03_상품분류2526'!$C$7:$C$2532,MATCH(E322,'03_상품분류2526'!$A$7:$A$2532,0)),"코드 확인")</f>
        <v>믹순 콩 아이크림</v>
      </c>
      <c r="G322" s="6" t="str">
        <f>IFERROR(INDEX('03_상품분류2526'!$D$7:$D$2532,MATCH(E322,'03_상품분류2526'!$A$7:$A$2532,0)),"코드 확인")</f>
        <v>20ml</v>
      </c>
      <c r="H322" s="6" t="s">
        <v>7508</v>
      </c>
      <c r="I322" s="6" t="str">
        <f>IFERROR(INDEX('03_상품분류2526'!$M$7:$M$2532,MATCH(E322,'03_상품분류2526'!$A$7:$A$2532,0)),"코드 확인")</f>
        <v>B</v>
      </c>
      <c r="J322" s="6">
        <v>2</v>
      </c>
      <c r="K322" s="15">
        <v>1</v>
      </c>
      <c r="L322" s="6" t="str">
        <f>IFERROR(IF(INDEX('03_상품분류2526'!$V$7:$V$2532,MATCH(E322,'03_상품분류2526'!$A$7:$A$2532,0))="","",INDEX('03_상품분류2526'!$V$7:$V$2532,MATCH(E322,'03_상품분류2526'!$A$7:$A$2532,0))),"")</f>
        <v/>
      </c>
      <c r="M322" s="6" t="str">
        <f>IFERROR(IF(INDEX('03_상품분류2526'!$W$7:$W$2532,MATCH(E322,'03_상품분류2526'!$A$7:$A$2532,0))="","",INDEX('03_상품분류2526'!$W$7:$W$2532,MATCH(E322,'03_상품분류2526'!$A$7:$A$2532,0))),"")</f>
        <v/>
      </c>
      <c r="N322" s="6" t="str">
        <f>IFERROR(IF(INDEX('03_상품분류2526'!$X$7:$X$2532,MATCH(E322,'03_상품분류2526'!$A$7:$A$2532,0))="","",INDEX('03_상품분류2526'!$X$7:$X$2532,MATCH(E322,'03_상품분류2526'!$A$7:$A$2532,0))),"")</f>
        <v/>
      </c>
      <c r="O322" s="6">
        <f>'02_선반315'!R241</f>
        <v>865</v>
      </c>
      <c r="P322" s="6">
        <f>'02_선반315'!T241</f>
        <v>220</v>
      </c>
      <c r="Q322" s="6">
        <f>'02_선반315'!U241</f>
        <v>200</v>
      </c>
      <c r="R322" s="6">
        <f>'02_선반315'!S241</f>
        <v>270</v>
      </c>
      <c r="S322" s="6" t="str">
        <f t="shared" si="8"/>
        <v/>
      </c>
      <c r="T322" s="6" t="str">
        <f t="shared" si="9"/>
        <v>입력 대기</v>
      </c>
      <c r="U322" s="6" t="s">
        <v>7509</v>
      </c>
      <c r="V322" s="6" t="s">
        <v>555</v>
      </c>
      <c r="W322" s="6" t="s">
        <v>859</v>
      </c>
    </row>
    <row r="323" spans="1:23" ht="33" customHeight="1">
      <c r="A323" s="6" t="s">
        <v>7828</v>
      </c>
      <c r="B323" s="6" t="s">
        <v>1382</v>
      </c>
      <c r="C323" s="6" t="s">
        <v>439</v>
      </c>
      <c r="D323" s="6">
        <v>2</v>
      </c>
      <c r="E323" s="6" t="s">
        <v>1384</v>
      </c>
      <c r="F323" s="6" t="str">
        <f>IFERROR(INDEX('03_상품분류2526'!$C$7:$C$2532,MATCH(E323,'03_상품분류2526'!$A$7:$A$2532,0)),"코드 확인")</f>
        <v>뉴베인액</v>
      </c>
      <c r="G323" s="6" t="str">
        <f>IFERROR(INDEX('03_상품분류2526'!$D$7:$D$2532,MATCH(E323,'03_상품분류2526'!$A$7:$A$2532,0)),"코드 확인")</f>
        <v>7ml*28포</v>
      </c>
      <c r="H323" s="6" t="s">
        <v>7508</v>
      </c>
      <c r="I323" s="6" t="str">
        <f>IFERROR(INDEX('03_상품분류2526'!$M$7:$M$2532,MATCH(E323,'03_상품분류2526'!$A$7:$A$2532,0)),"코드 확인")</f>
        <v>A</v>
      </c>
      <c r="J323" s="6">
        <v>1</v>
      </c>
      <c r="K323" s="15">
        <v>2</v>
      </c>
      <c r="L323" s="6" t="str">
        <f>IFERROR(IF(INDEX('03_상품분류2526'!$V$7:$V$2532,MATCH(E323,'03_상품분류2526'!$A$7:$A$2532,0))="","",INDEX('03_상품분류2526'!$V$7:$V$2532,MATCH(E323,'03_상품분류2526'!$A$7:$A$2532,0))),"")</f>
        <v/>
      </c>
      <c r="M323" s="6" t="str">
        <f>IFERROR(IF(INDEX('03_상품분류2526'!$W$7:$W$2532,MATCH(E323,'03_상품분류2526'!$A$7:$A$2532,0))="","",INDEX('03_상품분류2526'!$W$7:$W$2532,MATCH(E323,'03_상품분류2526'!$A$7:$A$2532,0))),"")</f>
        <v/>
      </c>
      <c r="N323" s="6" t="str">
        <f>IFERROR(IF(INDEX('03_상품분류2526'!$X$7:$X$2532,MATCH(E323,'03_상품분류2526'!$A$7:$A$2532,0))="","",INDEX('03_상품분류2526'!$X$7:$X$2532,MATCH(E323,'03_상품분류2526'!$A$7:$A$2532,0))),"")</f>
        <v/>
      </c>
      <c r="O323" s="6">
        <f>'02_선반315'!R243</f>
        <v>865</v>
      </c>
      <c r="P323" s="6">
        <f>'02_선반315'!T243</f>
        <v>220</v>
      </c>
      <c r="Q323" s="6">
        <f>'02_선반315'!U243</f>
        <v>200</v>
      </c>
      <c r="R323" s="6">
        <f>'02_선반315'!S243</f>
        <v>270</v>
      </c>
      <c r="S323" s="6" t="str">
        <f t="shared" si="8"/>
        <v/>
      </c>
      <c r="T323" s="6" t="str">
        <f t="shared" si="9"/>
        <v>입력 대기</v>
      </c>
      <c r="U323" s="6" t="s">
        <v>7509</v>
      </c>
      <c r="V323" s="6" t="s">
        <v>555</v>
      </c>
      <c r="W323" s="6" t="s">
        <v>859</v>
      </c>
    </row>
    <row r="324" spans="1:23" ht="33" customHeight="1">
      <c r="A324" s="6" t="s">
        <v>7829</v>
      </c>
      <c r="B324" s="6" t="s">
        <v>1386</v>
      </c>
      <c r="C324" s="6" t="s">
        <v>439</v>
      </c>
      <c r="D324" s="6">
        <v>3</v>
      </c>
      <c r="E324" s="6" t="s">
        <v>5926</v>
      </c>
      <c r="F324" s="6" t="str">
        <f>IFERROR(INDEX('03_상품분류2526'!$C$7:$C$2532,MATCH(E324,'03_상품분류2526'!$A$7:$A$2532,0)),"코드 확인")</f>
        <v>센시아정</v>
      </c>
      <c r="G324" s="6" t="str">
        <f>IFERROR(INDEX('03_상품분류2526'!$D$7:$D$2532,MATCH(E324,'03_상품분류2526'!$A$7:$A$2532,0)),"코드 확인")</f>
        <v>180T</v>
      </c>
      <c r="H324" s="6" t="s">
        <v>7508</v>
      </c>
      <c r="I324" s="6" t="str">
        <f>IFERROR(INDEX('03_상품분류2526'!$M$7:$M$2532,MATCH(E324,'03_상품분류2526'!$A$7:$A$2532,0)),"코드 확인")</f>
        <v>A</v>
      </c>
      <c r="J324" s="6">
        <v>1</v>
      </c>
      <c r="K324" s="15">
        <v>1</v>
      </c>
      <c r="L324" s="6" t="str">
        <f>IFERROR(IF(INDEX('03_상품분류2526'!$V$7:$V$2532,MATCH(E324,'03_상품분류2526'!$A$7:$A$2532,0))="","",INDEX('03_상품분류2526'!$V$7:$V$2532,MATCH(E324,'03_상품분류2526'!$A$7:$A$2532,0))),"")</f>
        <v/>
      </c>
      <c r="M324" s="6" t="str">
        <f>IFERROR(IF(INDEX('03_상품분류2526'!$W$7:$W$2532,MATCH(E324,'03_상품분류2526'!$A$7:$A$2532,0))="","",INDEX('03_상품분류2526'!$W$7:$W$2532,MATCH(E324,'03_상품분류2526'!$A$7:$A$2532,0))),"")</f>
        <v/>
      </c>
      <c r="N324" s="6" t="str">
        <f>IFERROR(IF(INDEX('03_상품분류2526'!$X$7:$X$2532,MATCH(E324,'03_상품분류2526'!$A$7:$A$2532,0))="","",INDEX('03_상품분류2526'!$X$7:$X$2532,MATCH(E324,'03_상품분류2526'!$A$7:$A$2532,0))),"")</f>
        <v/>
      </c>
      <c r="O324" s="6">
        <f>'02_선반315'!R244</f>
        <v>865</v>
      </c>
      <c r="P324" s="6">
        <f>'02_선반315'!T244</f>
        <v>220</v>
      </c>
      <c r="Q324" s="6">
        <f>'02_선반315'!U244</f>
        <v>200</v>
      </c>
      <c r="R324" s="6">
        <f>'02_선반315'!S244</f>
        <v>270</v>
      </c>
      <c r="S324" s="6" t="str">
        <f t="shared" si="8"/>
        <v/>
      </c>
      <c r="T324" s="6" t="str">
        <f t="shared" si="9"/>
        <v>입력 대기</v>
      </c>
      <c r="U324" s="6" t="s">
        <v>7509</v>
      </c>
      <c r="V324" s="6" t="s">
        <v>555</v>
      </c>
      <c r="W324" s="6" t="s">
        <v>859</v>
      </c>
    </row>
    <row r="325" spans="1:23" ht="33" customHeight="1">
      <c r="A325" s="6" t="s">
        <v>7830</v>
      </c>
      <c r="B325" s="6" t="s">
        <v>1386</v>
      </c>
      <c r="C325" s="6" t="s">
        <v>439</v>
      </c>
      <c r="D325" s="6">
        <v>3</v>
      </c>
      <c r="E325" s="6" t="s">
        <v>5931</v>
      </c>
      <c r="F325" s="6" t="str">
        <f>IFERROR(INDEX('03_상품분류2526'!$C$7:$C$2532,MATCH(E325,'03_상품분류2526'!$A$7:$A$2532,0)),"코드 확인")</f>
        <v>디오맥스(디오스민)정</v>
      </c>
      <c r="G325" s="6" t="str">
        <f>IFERROR(INDEX('03_상품분류2526'!$D$7:$D$2532,MATCH(E325,'03_상품분류2526'!$A$7:$A$2532,0)),"코드 확인")</f>
        <v>30T*2</v>
      </c>
      <c r="H325" s="6" t="s">
        <v>7508</v>
      </c>
      <c r="I325" s="6" t="str">
        <f>IFERROR(INDEX('03_상품분류2526'!$M$7:$M$2532,MATCH(E325,'03_상품분류2526'!$A$7:$A$2532,0)),"코드 확인")</f>
        <v>B</v>
      </c>
      <c r="J325" s="6">
        <v>2</v>
      </c>
      <c r="K325" s="15">
        <v>1</v>
      </c>
      <c r="L325" s="6" t="str">
        <f>IFERROR(IF(INDEX('03_상품분류2526'!$V$7:$V$2532,MATCH(E325,'03_상품분류2526'!$A$7:$A$2532,0))="","",INDEX('03_상품분류2526'!$V$7:$V$2532,MATCH(E325,'03_상품분류2526'!$A$7:$A$2532,0))),"")</f>
        <v/>
      </c>
      <c r="M325" s="6" t="str">
        <f>IFERROR(IF(INDEX('03_상품분류2526'!$W$7:$W$2532,MATCH(E325,'03_상품분류2526'!$A$7:$A$2532,0))="","",INDEX('03_상품분류2526'!$W$7:$W$2532,MATCH(E325,'03_상품분류2526'!$A$7:$A$2532,0))),"")</f>
        <v/>
      </c>
      <c r="N325" s="6" t="str">
        <f>IFERROR(IF(INDEX('03_상품분류2526'!$X$7:$X$2532,MATCH(E325,'03_상품분류2526'!$A$7:$A$2532,0))="","",INDEX('03_상품분류2526'!$X$7:$X$2532,MATCH(E325,'03_상품분류2526'!$A$7:$A$2532,0))),"")</f>
        <v/>
      </c>
      <c r="O325" s="6">
        <f>'02_선반315'!R244</f>
        <v>865</v>
      </c>
      <c r="P325" s="6">
        <f>'02_선반315'!T244</f>
        <v>220</v>
      </c>
      <c r="Q325" s="6">
        <f>'02_선반315'!U244</f>
        <v>200</v>
      </c>
      <c r="R325" s="6">
        <f>'02_선반315'!S244</f>
        <v>270</v>
      </c>
      <c r="S325" s="6" t="str">
        <f t="shared" si="8"/>
        <v/>
      </c>
      <c r="T325" s="6" t="str">
        <f t="shared" si="9"/>
        <v>입력 대기</v>
      </c>
      <c r="U325" s="6" t="s">
        <v>7509</v>
      </c>
      <c r="V325" s="6" t="s">
        <v>555</v>
      </c>
      <c r="W325" s="6" t="s">
        <v>859</v>
      </c>
    </row>
    <row r="326" spans="1:23" ht="33" customHeight="1">
      <c r="A326" s="6" t="s">
        <v>7831</v>
      </c>
      <c r="B326" s="6" t="s">
        <v>1390</v>
      </c>
      <c r="C326" s="6" t="s">
        <v>439</v>
      </c>
      <c r="D326" s="6">
        <v>4</v>
      </c>
      <c r="E326" s="6" t="s">
        <v>1392</v>
      </c>
      <c r="F326" s="6" t="str">
        <f>IFERROR(INDEX('03_상품분류2526'!$C$7:$C$2532,MATCH(E326,'03_상품분류2526'!$A$7:$A$2532,0)),"코드 확인")</f>
        <v>디오라인티 현탁용분말</v>
      </c>
      <c r="G326" s="6" t="str">
        <f>IFERROR(INDEX('03_상품분류2526'!$D$7:$D$2532,MATCH(E326,'03_상품분류2526'!$A$7:$A$2532,0)),"코드 확인")</f>
        <v>30포</v>
      </c>
      <c r="H326" s="6" t="s">
        <v>7508</v>
      </c>
      <c r="I326" s="6" t="str">
        <f>IFERROR(INDEX('03_상품분류2526'!$M$7:$M$2532,MATCH(E326,'03_상품분류2526'!$A$7:$A$2532,0)),"코드 확인")</f>
        <v>B</v>
      </c>
      <c r="J326" s="6">
        <v>1</v>
      </c>
      <c r="K326" s="15">
        <v>1</v>
      </c>
      <c r="L326" s="6" t="str">
        <f>IFERROR(IF(INDEX('03_상품분류2526'!$V$7:$V$2532,MATCH(E326,'03_상품분류2526'!$A$7:$A$2532,0))="","",INDEX('03_상품분류2526'!$V$7:$V$2532,MATCH(E326,'03_상품분류2526'!$A$7:$A$2532,0))),"")</f>
        <v/>
      </c>
      <c r="M326" s="6" t="str">
        <f>IFERROR(IF(INDEX('03_상품분류2526'!$W$7:$W$2532,MATCH(E326,'03_상품분류2526'!$A$7:$A$2532,0))="","",INDEX('03_상품분류2526'!$W$7:$W$2532,MATCH(E326,'03_상품분류2526'!$A$7:$A$2532,0))),"")</f>
        <v/>
      </c>
      <c r="N326" s="6" t="str">
        <f>IFERROR(IF(INDEX('03_상품분류2526'!$X$7:$X$2532,MATCH(E326,'03_상품분류2526'!$A$7:$A$2532,0))="","",INDEX('03_상품분류2526'!$X$7:$X$2532,MATCH(E326,'03_상품분류2526'!$A$7:$A$2532,0))),"")</f>
        <v/>
      </c>
      <c r="O326" s="6">
        <f>'02_선반315'!R245</f>
        <v>865</v>
      </c>
      <c r="P326" s="6">
        <f>'02_선반315'!T245</f>
        <v>220</v>
      </c>
      <c r="Q326" s="6">
        <f>'02_선반315'!U245</f>
        <v>200</v>
      </c>
      <c r="R326" s="6">
        <f>'02_선반315'!S245</f>
        <v>270</v>
      </c>
      <c r="S326" s="6" t="str">
        <f t="shared" si="8"/>
        <v/>
      </c>
      <c r="T326" s="6" t="str">
        <f t="shared" si="9"/>
        <v>입력 대기</v>
      </c>
      <c r="U326" s="6" t="s">
        <v>7509</v>
      </c>
      <c r="V326" s="6" t="s">
        <v>555</v>
      </c>
      <c r="W326" s="6" t="s">
        <v>859</v>
      </c>
    </row>
    <row r="327" spans="1:23" ht="33" customHeight="1">
      <c r="A327" s="6" t="s">
        <v>7832</v>
      </c>
      <c r="B327" s="6" t="s">
        <v>1395</v>
      </c>
      <c r="C327" s="6" t="s">
        <v>447</v>
      </c>
      <c r="D327" s="6">
        <v>1</v>
      </c>
      <c r="E327" s="6" t="s">
        <v>5860</v>
      </c>
      <c r="F327" s="6" t="str">
        <f>IFERROR(INDEX('03_상품분류2526'!$C$7:$C$2532,MATCH(E327,'03_상품분류2526'!$A$7:$A$2532,0)),"코드 확인")</f>
        <v>신신티눈밴드</v>
      </c>
      <c r="G327" s="6" t="str">
        <f>IFERROR(INDEX('03_상품분류2526'!$D$7:$D$2532,MATCH(E327,'03_상품분류2526'!$A$7:$A$2532,0)),"코드 확인")</f>
        <v>8매</v>
      </c>
      <c r="H327" s="6" t="s">
        <v>7508</v>
      </c>
      <c r="I327" s="6" t="str">
        <f>IFERROR(INDEX('03_상품분류2526'!$M$7:$M$2532,MATCH(E327,'03_상품분류2526'!$A$7:$A$2532,0)),"코드 확인")</f>
        <v>B</v>
      </c>
      <c r="J327" s="6">
        <v>1</v>
      </c>
      <c r="K327" s="15">
        <v>1</v>
      </c>
      <c r="L327" s="6" t="str">
        <f>IFERROR(IF(INDEX('03_상품분류2526'!$V$7:$V$2532,MATCH(E327,'03_상품분류2526'!$A$7:$A$2532,0))="","",INDEX('03_상품분류2526'!$V$7:$V$2532,MATCH(E327,'03_상품분류2526'!$A$7:$A$2532,0))),"")</f>
        <v/>
      </c>
      <c r="M327" s="6" t="str">
        <f>IFERROR(IF(INDEX('03_상품분류2526'!$W$7:$W$2532,MATCH(E327,'03_상품분류2526'!$A$7:$A$2532,0))="","",INDEX('03_상품분류2526'!$W$7:$W$2532,MATCH(E327,'03_상품분류2526'!$A$7:$A$2532,0))),"")</f>
        <v/>
      </c>
      <c r="N327" s="6" t="str">
        <f>IFERROR(IF(INDEX('03_상품분류2526'!$X$7:$X$2532,MATCH(E327,'03_상품분류2526'!$A$7:$A$2532,0))="","",INDEX('03_상품분류2526'!$X$7:$X$2532,MATCH(E327,'03_상품분류2526'!$A$7:$A$2532,0))),"")</f>
        <v/>
      </c>
      <c r="O327" s="6">
        <f>'02_선반315'!R247</f>
        <v>865</v>
      </c>
      <c r="P327" s="6">
        <f>'02_선반315'!T247</f>
        <v>100</v>
      </c>
      <c r="Q327" s="6">
        <f>'02_선반315'!U247</f>
        <v>80</v>
      </c>
      <c r="R327" s="6">
        <f>'02_선반315'!S247</f>
        <v>270</v>
      </c>
      <c r="S327" s="6" t="str">
        <f t="shared" ref="S327:S373" si="10">IF(K327=0,0,IF(L327="","",K327*L327))</f>
        <v/>
      </c>
      <c r="T327" s="6" t="str">
        <f t="shared" ref="T327:T390" si="11">IF(K327=0,"미진열",IF(OR(L327="",M327="",N327=""),"입력 대기",IF(AND(L327&gt;0,M327&gt;0,N327&gt;0,S327&lt;=O327,M327&lt;=Q327,N327&lt;=R327),"개별 범위 내","치수 초과")))</f>
        <v>입력 대기</v>
      </c>
      <c r="U327" s="6" t="s">
        <v>7543</v>
      </c>
      <c r="V327" s="6" t="s">
        <v>555</v>
      </c>
      <c r="W327" s="6" t="s">
        <v>859</v>
      </c>
    </row>
    <row r="328" spans="1:23" ht="33" customHeight="1">
      <c r="A328" s="6" t="s">
        <v>7833</v>
      </c>
      <c r="B328" s="6" t="s">
        <v>1395</v>
      </c>
      <c r="C328" s="6" t="s">
        <v>447</v>
      </c>
      <c r="D328" s="6">
        <v>1</v>
      </c>
      <c r="E328" s="6" t="s">
        <v>5849</v>
      </c>
      <c r="F328" s="6" t="str">
        <f>IFERROR(INDEX('03_상품분류2526'!$C$7:$C$2532,MATCH(E328,'03_상품분류2526'!$A$7:$A$2532,0)),"코드 확인")</f>
        <v>신신티눈액</v>
      </c>
      <c r="G328" s="6" t="str">
        <f>IFERROR(INDEX('03_상품분류2526'!$D$7:$D$2532,MATCH(E328,'03_상품분류2526'!$A$7:$A$2532,0)),"코드 확인")</f>
        <v>10ml</v>
      </c>
      <c r="H328" s="6" t="s">
        <v>7508</v>
      </c>
      <c r="I328" s="6" t="str">
        <f>IFERROR(INDEX('03_상품분류2526'!$M$7:$M$2532,MATCH(E328,'03_상품분류2526'!$A$7:$A$2532,0)),"코드 확인")</f>
        <v>B</v>
      </c>
      <c r="J328" s="6">
        <v>2</v>
      </c>
      <c r="K328" s="15">
        <v>1</v>
      </c>
      <c r="L328" s="6" t="str">
        <f>IFERROR(IF(INDEX('03_상품분류2526'!$V$7:$V$2532,MATCH(E328,'03_상품분류2526'!$A$7:$A$2532,0))="","",INDEX('03_상품분류2526'!$V$7:$V$2532,MATCH(E328,'03_상품분류2526'!$A$7:$A$2532,0))),"")</f>
        <v/>
      </c>
      <c r="M328" s="6" t="str">
        <f>IFERROR(IF(INDEX('03_상품분류2526'!$W$7:$W$2532,MATCH(E328,'03_상품분류2526'!$A$7:$A$2532,0))="","",INDEX('03_상품분류2526'!$W$7:$W$2532,MATCH(E328,'03_상품분류2526'!$A$7:$A$2532,0))),"")</f>
        <v/>
      </c>
      <c r="N328" s="6" t="str">
        <f>IFERROR(IF(INDEX('03_상품분류2526'!$X$7:$X$2532,MATCH(E328,'03_상품분류2526'!$A$7:$A$2532,0))="","",INDEX('03_상품분류2526'!$X$7:$X$2532,MATCH(E328,'03_상품분류2526'!$A$7:$A$2532,0))),"")</f>
        <v/>
      </c>
      <c r="O328" s="6">
        <f>'02_선반315'!R247</f>
        <v>865</v>
      </c>
      <c r="P328" s="6">
        <f>'02_선반315'!T247</f>
        <v>100</v>
      </c>
      <c r="Q328" s="6">
        <f>'02_선반315'!U247</f>
        <v>80</v>
      </c>
      <c r="R328" s="6">
        <f>'02_선반315'!S247</f>
        <v>270</v>
      </c>
      <c r="S328" s="6" t="str">
        <f t="shared" si="10"/>
        <v/>
      </c>
      <c r="T328" s="6" t="str">
        <f t="shared" si="11"/>
        <v>입력 대기</v>
      </c>
      <c r="U328" s="6" t="s">
        <v>7543</v>
      </c>
      <c r="V328" s="6" t="s">
        <v>555</v>
      </c>
      <c r="W328" s="6" t="s">
        <v>859</v>
      </c>
    </row>
    <row r="329" spans="1:23" ht="33" customHeight="1">
      <c r="A329" s="6" t="s">
        <v>7834</v>
      </c>
      <c r="B329" s="6" t="s">
        <v>1400</v>
      </c>
      <c r="C329" s="6" t="s">
        <v>447</v>
      </c>
      <c r="D329" s="6">
        <v>2</v>
      </c>
      <c r="E329" s="6" t="s">
        <v>5839</v>
      </c>
      <c r="F329" s="6" t="str">
        <f>IFERROR(INDEX('03_상품분류2526'!$C$7:$C$2532,MATCH(E329,'03_상품분류2526'!$A$7:$A$2532,0)),"코드 확인")</f>
        <v>바르지오모두크림</v>
      </c>
      <c r="G329" s="6" t="str">
        <f>IFERROR(INDEX('03_상품분류2526'!$D$7:$D$2532,MATCH(E329,'03_상품분류2526'!$A$7:$A$2532,0)),"코드 확인")</f>
        <v>30g</v>
      </c>
      <c r="H329" s="6" t="s">
        <v>7508</v>
      </c>
      <c r="I329" s="6" t="str">
        <f>IFERROR(INDEX('03_상품분류2526'!$M$7:$M$2532,MATCH(E329,'03_상품분류2526'!$A$7:$A$2532,0)),"코드 확인")</f>
        <v>A</v>
      </c>
      <c r="J329" s="6">
        <v>1</v>
      </c>
      <c r="K329" s="15">
        <v>1</v>
      </c>
      <c r="L329" s="6" t="str">
        <f>IFERROR(IF(INDEX('03_상품분류2526'!$V$7:$V$2532,MATCH(E329,'03_상품분류2526'!$A$7:$A$2532,0))="","",INDEX('03_상품분류2526'!$V$7:$V$2532,MATCH(E329,'03_상품분류2526'!$A$7:$A$2532,0))),"")</f>
        <v/>
      </c>
      <c r="M329" s="6" t="str">
        <f>IFERROR(IF(INDEX('03_상품분류2526'!$W$7:$W$2532,MATCH(E329,'03_상품분류2526'!$A$7:$A$2532,0))="","",INDEX('03_상품분류2526'!$W$7:$W$2532,MATCH(E329,'03_상품분류2526'!$A$7:$A$2532,0))),"")</f>
        <v/>
      </c>
      <c r="N329" s="6" t="str">
        <f>IFERROR(IF(INDEX('03_상품분류2526'!$X$7:$X$2532,MATCH(E329,'03_상품분류2526'!$A$7:$A$2532,0))="","",INDEX('03_상품분류2526'!$X$7:$X$2532,MATCH(E329,'03_상품분류2526'!$A$7:$A$2532,0))),"")</f>
        <v/>
      </c>
      <c r="O329" s="6">
        <f>'02_선반315'!R248</f>
        <v>865</v>
      </c>
      <c r="P329" s="6">
        <f>'02_선반315'!T248</f>
        <v>220</v>
      </c>
      <c r="Q329" s="6">
        <f>'02_선반315'!U248</f>
        <v>200</v>
      </c>
      <c r="R329" s="6">
        <f>'02_선반315'!S248</f>
        <v>270</v>
      </c>
      <c r="S329" s="6" t="str">
        <f t="shared" si="10"/>
        <v/>
      </c>
      <c r="T329" s="6" t="str">
        <f t="shared" si="11"/>
        <v>입력 대기</v>
      </c>
      <c r="U329" s="6" t="s">
        <v>7509</v>
      </c>
      <c r="V329" s="6" t="s">
        <v>555</v>
      </c>
      <c r="W329" s="6" t="s">
        <v>859</v>
      </c>
    </row>
    <row r="330" spans="1:23" ht="33" customHeight="1">
      <c r="A330" s="6" t="s">
        <v>7835</v>
      </c>
      <c r="B330" s="6" t="s">
        <v>1400</v>
      </c>
      <c r="C330" s="6" t="s">
        <v>447</v>
      </c>
      <c r="D330" s="6">
        <v>2</v>
      </c>
      <c r="E330" s="6" t="s">
        <v>5845</v>
      </c>
      <c r="F330" s="6" t="str">
        <f>IFERROR(INDEX('03_상품분류2526'!$C$7:$C$2532,MATCH(E330,'03_상품분류2526'!$A$7:$A$2532,0)),"코드 확인")</f>
        <v>터비뉴더블액션겔</v>
      </c>
      <c r="G330" s="6" t="str">
        <f>IFERROR(INDEX('03_상품분류2526'!$D$7:$D$2532,MATCH(E330,'03_상품분류2526'!$A$7:$A$2532,0)),"코드 확인")</f>
        <v>30g</v>
      </c>
      <c r="H330" s="6" t="s">
        <v>7508</v>
      </c>
      <c r="I330" s="6" t="str">
        <f>IFERROR(INDEX('03_상품분류2526'!$M$7:$M$2532,MATCH(E330,'03_상품분류2526'!$A$7:$A$2532,0)),"코드 확인")</f>
        <v>B</v>
      </c>
      <c r="J330" s="6">
        <v>2</v>
      </c>
      <c r="K330" s="15">
        <v>1</v>
      </c>
      <c r="L330" s="6" t="str">
        <f>IFERROR(IF(INDEX('03_상품분류2526'!$V$7:$V$2532,MATCH(E330,'03_상품분류2526'!$A$7:$A$2532,0))="","",INDEX('03_상품분류2526'!$V$7:$V$2532,MATCH(E330,'03_상품분류2526'!$A$7:$A$2532,0))),"")</f>
        <v/>
      </c>
      <c r="M330" s="6" t="str">
        <f>IFERROR(IF(INDEX('03_상품분류2526'!$W$7:$W$2532,MATCH(E330,'03_상품분류2526'!$A$7:$A$2532,0))="","",INDEX('03_상품분류2526'!$W$7:$W$2532,MATCH(E330,'03_상품분류2526'!$A$7:$A$2532,0))),"")</f>
        <v/>
      </c>
      <c r="N330" s="6" t="str">
        <f>IFERROR(IF(INDEX('03_상품분류2526'!$X$7:$X$2532,MATCH(E330,'03_상품분류2526'!$A$7:$A$2532,0))="","",INDEX('03_상품분류2526'!$X$7:$X$2532,MATCH(E330,'03_상품분류2526'!$A$7:$A$2532,0))),"")</f>
        <v/>
      </c>
      <c r="O330" s="6">
        <f>'02_선반315'!R248</f>
        <v>865</v>
      </c>
      <c r="P330" s="6">
        <f>'02_선반315'!T248</f>
        <v>220</v>
      </c>
      <c r="Q330" s="6">
        <f>'02_선반315'!U248</f>
        <v>200</v>
      </c>
      <c r="R330" s="6">
        <f>'02_선반315'!S248</f>
        <v>270</v>
      </c>
      <c r="S330" s="6" t="str">
        <f t="shared" si="10"/>
        <v/>
      </c>
      <c r="T330" s="6" t="str">
        <f t="shared" si="11"/>
        <v>입력 대기</v>
      </c>
      <c r="U330" s="6" t="s">
        <v>7509</v>
      </c>
      <c r="V330" s="6" t="s">
        <v>555</v>
      </c>
      <c r="W330" s="6" t="s">
        <v>859</v>
      </c>
    </row>
    <row r="331" spans="1:23" ht="33" customHeight="1">
      <c r="A331" s="6" t="s">
        <v>7836</v>
      </c>
      <c r="B331" s="6" t="s">
        <v>1405</v>
      </c>
      <c r="C331" s="6" t="s">
        <v>447</v>
      </c>
      <c r="D331" s="6">
        <v>3</v>
      </c>
      <c r="E331" s="6" t="s">
        <v>5831</v>
      </c>
      <c r="F331" s="6" t="str">
        <f>IFERROR(INDEX('03_상품분류2526'!$C$7:$C$2532,MATCH(E331,'03_상품분류2526'!$A$7:$A$2532,0)),"코드 확인")</f>
        <v>바르지오원스외용액</v>
      </c>
      <c r="G331" s="6" t="str">
        <f>IFERROR(INDEX('03_상품분류2526'!$D$7:$D$2532,MATCH(E331,'03_상품분류2526'!$A$7:$A$2532,0)),"코드 확인")</f>
        <v>6g</v>
      </c>
      <c r="H331" s="6" t="s">
        <v>7508</v>
      </c>
      <c r="I331" s="6" t="str">
        <f>IFERROR(INDEX('03_상품분류2526'!$M$7:$M$2532,MATCH(E331,'03_상품분류2526'!$A$7:$A$2532,0)),"코드 확인")</f>
        <v>B</v>
      </c>
      <c r="J331" s="6">
        <v>1</v>
      </c>
      <c r="K331" s="15">
        <v>1</v>
      </c>
      <c r="L331" s="6" t="str">
        <f>IFERROR(IF(INDEX('03_상품분류2526'!$V$7:$V$2532,MATCH(E331,'03_상품분류2526'!$A$7:$A$2532,0))="","",INDEX('03_상품분류2526'!$V$7:$V$2532,MATCH(E331,'03_상품분류2526'!$A$7:$A$2532,0))),"")</f>
        <v/>
      </c>
      <c r="M331" s="6" t="str">
        <f>IFERROR(IF(INDEX('03_상품분류2526'!$W$7:$W$2532,MATCH(E331,'03_상품분류2526'!$A$7:$A$2532,0))="","",INDEX('03_상품분류2526'!$W$7:$W$2532,MATCH(E331,'03_상품분류2526'!$A$7:$A$2532,0))),"")</f>
        <v/>
      </c>
      <c r="N331" s="6" t="str">
        <f>IFERROR(IF(INDEX('03_상품분류2526'!$X$7:$X$2532,MATCH(E331,'03_상품분류2526'!$A$7:$A$2532,0))="","",INDEX('03_상품분류2526'!$X$7:$X$2532,MATCH(E331,'03_상품분류2526'!$A$7:$A$2532,0))),"")</f>
        <v/>
      </c>
      <c r="O331" s="6">
        <f>'02_선반315'!R249</f>
        <v>865</v>
      </c>
      <c r="P331" s="6">
        <f>'02_선반315'!T249</f>
        <v>220</v>
      </c>
      <c r="Q331" s="6">
        <f>'02_선반315'!U249</f>
        <v>200</v>
      </c>
      <c r="R331" s="6">
        <f>'02_선반315'!S249</f>
        <v>270</v>
      </c>
      <c r="S331" s="6" t="str">
        <f t="shared" si="10"/>
        <v/>
      </c>
      <c r="T331" s="6" t="str">
        <f t="shared" si="11"/>
        <v>입력 대기</v>
      </c>
      <c r="U331" s="6" t="s">
        <v>7509</v>
      </c>
      <c r="V331" s="6" t="s">
        <v>555</v>
      </c>
      <c r="W331" s="6" t="s">
        <v>859</v>
      </c>
    </row>
    <row r="332" spans="1:23" ht="33" customHeight="1">
      <c r="A332" s="6" t="s">
        <v>7837</v>
      </c>
      <c r="B332" s="6" t="s">
        <v>1405</v>
      </c>
      <c r="C332" s="6" t="s">
        <v>447</v>
      </c>
      <c r="D332" s="6">
        <v>3</v>
      </c>
      <c r="E332" s="6" t="s">
        <v>5834</v>
      </c>
      <c r="F332" s="6" t="str">
        <f>IFERROR(INDEX('03_상품분류2526'!$C$7:$C$2532,MATCH(E332,'03_상품분류2526'!$A$7:$A$2532,0)),"코드 확인")</f>
        <v>바르지오네일라카(5ml*2)</v>
      </c>
      <c r="G332" s="6" t="str">
        <f>IFERROR(INDEX('03_상품분류2526'!$D$7:$D$2532,MATCH(E332,'03_상품분류2526'!$A$7:$A$2532,0)),"코드 확인")</f>
        <v>5ml*2</v>
      </c>
      <c r="H332" s="6" t="s">
        <v>7508</v>
      </c>
      <c r="I332" s="6" t="str">
        <f>IFERROR(INDEX('03_상품분류2526'!$M$7:$M$2532,MATCH(E332,'03_상품분류2526'!$A$7:$A$2532,0)),"코드 확인")</f>
        <v>B</v>
      </c>
      <c r="J332" s="6">
        <v>2</v>
      </c>
      <c r="K332" s="15">
        <v>1</v>
      </c>
      <c r="L332" s="6" t="str">
        <f>IFERROR(IF(INDEX('03_상품분류2526'!$V$7:$V$2532,MATCH(E332,'03_상품분류2526'!$A$7:$A$2532,0))="","",INDEX('03_상품분류2526'!$V$7:$V$2532,MATCH(E332,'03_상품분류2526'!$A$7:$A$2532,0))),"")</f>
        <v/>
      </c>
      <c r="M332" s="6" t="str">
        <f>IFERROR(IF(INDEX('03_상품분류2526'!$W$7:$W$2532,MATCH(E332,'03_상품분류2526'!$A$7:$A$2532,0))="","",INDEX('03_상품분류2526'!$W$7:$W$2532,MATCH(E332,'03_상품분류2526'!$A$7:$A$2532,0))),"")</f>
        <v/>
      </c>
      <c r="N332" s="6" t="str">
        <f>IFERROR(IF(INDEX('03_상품분류2526'!$X$7:$X$2532,MATCH(E332,'03_상품분류2526'!$A$7:$A$2532,0))="","",INDEX('03_상품분류2526'!$X$7:$X$2532,MATCH(E332,'03_상품분류2526'!$A$7:$A$2532,0))),"")</f>
        <v/>
      </c>
      <c r="O332" s="6">
        <f>'02_선반315'!R249</f>
        <v>865</v>
      </c>
      <c r="P332" s="6">
        <f>'02_선반315'!T249</f>
        <v>220</v>
      </c>
      <c r="Q332" s="6">
        <f>'02_선반315'!U249</f>
        <v>200</v>
      </c>
      <c r="R332" s="6">
        <f>'02_선반315'!S249</f>
        <v>270</v>
      </c>
      <c r="S332" s="6" t="str">
        <f t="shared" si="10"/>
        <v/>
      </c>
      <c r="T332" s="6" t="str">
        <f t="shared" si="11"/>
        <v>입력 대기</v>
      </c>
      <c r="U332" s="6" t="s">
        <v>7509</v>
      </c>
      <c r="V332" s="6" t="s">
        <v>555</v>
      </c>
      <c r="W332" s="6" t="s">
        <v>859</v>
      </c>
    </row>
    <row r="333" spans="1:23" ht="33" customHeight="1">
      <c r="A333" s="6" t="s">
        <v>7838</v>
      </c>
      <c r="B333" s="6" t="s">
        <v>1409</v>
      </c>
      <c r="C333" s="6" t="s">
        <v>447</v>
      </c>
      <c r="D333" s="6">
        <v>4</v>
      </c>
      <c r="E333" s="6" t="s">
        <v>5823</v>
      </c>
      <c r="F333" s="6" t="str">
        <f>IFERROR(INDEX('03_상품분류2526'!$C$7:$C$2532,MATCH(E333,'03_상품분류2526'!$A$7:$A$2532,0)),"코드 확인")</f>
        <v>노스엣센스액(염화알루미늄)</v>
      </c>
      <c r="G333" s="6" t="str">
        <f>IFERROR(INDEX('03_상품분류2526'!$D$7:$D$2532,MATCH(E333,'03_상품분류2526'!$A$7:$A$2532,0)),"코드 확인")</f>
        <v>30mL</v>
      </c>
      <c r="H333" s="6" t="s">
        <v>7508</v>
      </c>
      <c r="I333" s="6" t="str">
        <f>IFERROR(INDEX('03_상품분류2526'!$M$7:$M$2532,MATCH(E333,'03_상품분류2526'!$A$7:$A$2532,0)),"코드 확인")</f>
        <v>A</v>
      </c>
      <c r="J333" s="6">
        <v>1</v>
      </c>
      <c r="K333" s="15">
        <v>2</v>
      </c>
      <c r="L333" s="6" t="str">
        <f>IFERROR(IF(INDEX('03_상품분류2526'!$V$7:$V$2532,MATCH(E333,'03_상품분류2526'!$A$7:$A$2532,0))="","",INDEX('03_상품분류2526'!$V$7:$V$2532,MATCH(E333,'03_상품분류2526'!$A$7:$A$2532,0))),"")</f>
        <v/>
      </c>
      <c r="M333" s="6" t="str">
        <f>IFERROR(IF(INDEX('03_상품분류2526'!$W$7:$W$2532,MATCH(E333,'03_상품분류2526'!$A$7:$A$2532,0))="","",INDEX('03_상품분류2526'!$W$7:$W$2532,MATCH(E333,'03_상품분류2526'!$A$7:$A$2532,0))),"")</f>
        <v/>
      </c>
      <c r="N333" s="6" t="str">
        <f>IFERROR(IF(INDEX('03_상품분류2526'!$X$7:$X$2532,MATCH(E333,'03_상품분류2526'!$A$7:$A$2532,0))="","",INDEX('03_상품분류2526'!$X$7:$X$2532,MATCH(E333,'03_상품분류2526'!$A$7:$A$2532,0))),"")</f>
        <v/>
      </c>
      <c r="O333" s="6">
        <f>'02_선반315'!R250</f>
        <v>865</v>
      </c>
      <c r="P333" s="6">
        <f>'02_선반315'!T250</f>
        <v>220</v>
      </c>
      <c r="Q333" s="6">
        <f>'02_선반315'!U250</f>
        <v>200</v>
      </c>
      <c r="R333" s="6">
        <f>'02_선반315'!S250</f>
        <v>270</v>
      </c>
      <c r="S333" s="6" t="str">
        <f t="shared" si="10"/>
        <v/>
      </c>
      <c r="T333" s="6" t="str">
        <f t="shared" si="11"/>
        <v>입력 대기</v>
      </c>
      <c r="U333" s="6" t="s">
        <v>7509</v>
      </c>
      <c r="V333" s="6" t="s">
        <v>555</v>
      </c>
      <c r="W333" s="6" t="s">
        <v>859</v>
      </c>
    </row>
    <row r="334" spans="1:23" ht="33" customHeight="1">
      <c r="A334" s="6" t="s">
        <v>7839</v>
      </c>
      <c r="B334" s="6" t="s">
        <v>1409</v>
      </c>
      <c r="C334" s="6" t="s">
        <v>447</v>
      </c>
      <c r="D334" s="6">
        <v>4</v>
      </c>
      <c r="E334" s="6" t="s">
        <v>5827</v>
      </c>
      <c r="F334" s="6" t="str">
        <f>IFERROR(INDEX('03_상품분류2526'!$C$7:$C$2532,MATCH(E334,'03_상품분류2526'!$A$7:$A$2532,0)),"코드 확인")</f>
        <v>드리클로액</v>
      </c>
      <c r="G334" s="6" t="str">
        <f>IFERROR(INDEX('03_상품분류2526'!$D$7:$D$2532,MATCH(E334,'03_상품분류2526'!$A$7:$A$2532,0)),"코드 확인")</f>
        <v>20ml</v>
      </c>
      <c r="H334" s="6" t="s">
        <v>7508</v>
      </c>
      <c r="I334" s="6" t="str">
        <f>IFERROR(INDEX('03_상품분류2526'!$M$7:$M$2532,MATCH(E334,'03_상품분류2526'!$A$7:$A$2532,0)),"코드 확인")</f>
        <v>B</v>
      </c>
      <c r="J334" s="6">
        <v>2</v>
      </c>
      <c r="K334" s="15">
        <v>1</v>
      </c>
      <c r="L334" s="6" t="str">
        <f>IFERROR(IF(INDEX('03_상품분류2526'!$V$7:$V$2532,MATCH(E334,'03_상품분류2526'!$A$7:$A$2532,0))="","",INDEX('03_상품분류2526'!$V$7:$V$2532,MATCH(E334,'03_상품분류2526'!$A$7:$A$2532,0))),"")</f>
        <v/>
      </c>
      <c r="M334" s="6" t="str">
        <f>IFERROR(IF(INDEX('03_상품분류2526'!$W$7:$W$2532,MATCH(E334,'03_상품분류2526'!$A$7:$A$2532,0))="","",INDEX('03_상품분류2526'!$W$7:$W$2532,MATCH(E334,'03_상품분류2526'!$A$7:$A$2532,0))),"")</f>
        <v/>
      </c>
      <c r="N334" s="6" t="str">
        <f>IFERROR(IF(INDEX('03_상품분류2526'!$X$7:$X$2532,MATCH(E334,'03_상품분류2526'!$A$7:$A$2532,0))="","",INDEX('03_상품분류2526'!$X$7:$X$2532,MATCH(E334,'03_상품분류2526'!$A$7:$A$2532,0))),"")</f>
        <v/>
      </c>
      <c r="O334" s="6">
        <f>'02_선반315'!R250</f>
        <v>865</v>
      </c>
      <c r="P334" s="6">
        <f>'02_선반315'!T250</f>
        <v>220</v>
      </c>
      <c r="Q334" s="6">
        <f>'02_선반315'!U250</f>
        <v>200</v>
      </c>
      <c r="R334" s="6">
        <f>'02_선반315'!S250</f>
        <v>270</v>
      </c>
      <c r="S334" s="6" t="str">
        <f t="shared" si="10"/>
        <v/>
      </c>
      <c r="T334" s="6" t="str">
        <f t="shared" si="11"/>
        <v>입력 대기</v>
      </c>
      <c r="U334" s="6" t="s">
        <v>7509</v>
      </c>
      <c r="V334" s="6" t="s">
        <v>555</v>
      </c>
      <c r="W334" s="6" t="s">
        <v>859</v>
      </c>
    </row>
    <row r="335" spans="1:23" ht="33" customHeight="1">
      <c r="A335" s="6" t="s">
        <v>7840</v>
      </c>
      <c r="B335" s="6" t="s">
        <v>1414</v>
      </c>
      <c r="C335" s="6" t="s">
        <v>447</v>
      </c>
      <c r="D335" s="6">
        <v>5</v>
      </c>
      <c r="E335" s="6" t="s">
        <v>1416</v>
      </c>
      <c r="F335" s="6" t="str">
        <f>IFERROR(INDEX('03_상품분류2526'!$C$7:$C$2532,MATCH(E335,'03_상품분류2526'!$A$7:$A$2532,0)),"코드 확인")</f>
        <v>신신티눈밴드(발바닥용)</v>
      </c>
      <c r="G335" s="6" t="str">
        <f>IFERROR(INDEX('03_상품분류2526'!$D$7:$D$2532,MATCH(E335,'03_상품분류2526'!$A$7:$A$2532,0)),"코드 확인")</f>
        <v>6매</v>
      </c>
      <c r="H335" s="6" t="s">
        <v>7508</v>
      </c>
      <c r="I335" s="6" t="str">
        <f>IFERROR(INDEX('03_상품분류2526'!$M$7:$M$2532,MATCH(E335,'03_상품분류2526'!$A$7:$A$2532,0)),"코드 확인")</f>
        <v>B</v>
      </c>
      <c r="J335" s="6">
        <v>1</v>
      </c>
      <c r="K335" s="15">
        <v>1</v>
      </c>
      <c r="L335" s="6" t="str">
        <f>IFERROR(IF(INDEX('03_상품분류2526'!$V$7:$V$2532,MATCH(E335,'03_상품분류2526'!$A$7:$A$2532,0))="","",INDEX('03_상품분류2526'!$V$7:$V$2532,MATCH(E335,'03_상품분류2526'!$A$7:$A$2532,0))),"")</f>
        <v/>
      </c>
      <c r="M335" s="6" t="str">
        <f>IFERROR(IF(INDEX('03_상품분류2526'!$W$7:$W$2532,MATCH(E335,'03_상품분류2526'!$A$7:$A$2532,0))="","",INDEX('03_상품분류2526'!$W$7:$W$2532,MATCH(E335,'03_상품분류2526'!$A$7:$A$2532,0))),"")</f>
        <v/>
      </c>
      <c r="N335" s="6" t="str">
        <f>IFERROR(IF(INDEX('03_상품분류2526'!$X$7:$X$2532,MATCH(E335,'03_상품분류2526'!$A$7:$A$2532,0))="","",INDEX('03_상품분류2526'!$X$7:$X$2532,MATCH(E335,'03_상품분류2526'!$A$7:$A$2532,0))),"")</f>
        <v/>
      </c>
      <c r="O335" s="6">
        <f>'02_선반315'!R251</f>
        <v>865</v>
      </c>
      <c r="P335" s="6">
        <f>'02_선반315'!T251</f>
        <v>220</v>
      </c>
      <c r="Q335" s="6">
        <f>'02_선반315'!U251</f>
        <v>200</v>
      </c>
      <c r="R335" s="6">
        <f>'02_선반315'!S251</f>
        <v>270</v>
      </c>
      <c r="S335" s="6" t="str">
        <f t="shared" si="10"/>
        <v/>
      </c>
      <c r="T335" s="6" t="str">
        <f t="shared" si="11"/>
        <v>입력 대기</v>
      </c>
      <c r="U335" s="6" t="s">
        <v>7509</v>
      </c>
      <c r="V335" s="6" t="s">
        <v>555</v>
      </c>
      <c r="W335" s="6" t="s">
        <v>859</v>
      </c>
    </row>
    <row r="336" spans="1:23" ht="33" customHeight="1">
      <c r="A336" s="6" t="s">
        <v>7841</v>
      </c>
      <c r="B336" s="6" t="s">
        <v>1420</v>
      </c>
      <c r="C336" s="6" t="s">
        <v>455</v>
      </c>
      <c r="D336" s="6">
        <v>2</v>
      </c>
      <c r="E336" s="6" t="s">
        <v>7085</v>
      </c>
      <c r="F336" s="6" t="str">
        <f>IFERROR(INDEX('03_상품분류2526'!$C$7:$C$2532,MATCH(E336,'03_상품분류2526'!$A$7:$A$2532,0)),"코드 확인")</f>
        <v>프로캄 EGF 우레아 케라톤크림</v>
      </c>
      <c r="G336" s="6" t="str">
        <f>IFERROR(INDEX('03_상품분류2526'!$D$7:$D$2532,MATCH(E336,'03_상품분류2526'!$A$7:$A$2532,0)),"코드 확인")</f>
        <v>50mL</v>
      </c>
      <c r="H336" s="6" t="s">
        <v>7508</v>
      </c>
      <c r="I336" s="6" t="str">
        <f>IFERROR(INDEX('03_상품분류2526'!$M$7:$M$2532,MATCH(E336,'03_상품분류2526'!$A$7:$A$2532,0)),"코드 확인")</f>
        <v>A</v>
      </c>
      <c r="J336" s="6">
        <v>1</v>
      </c>
      <c r="K336" s="15">
        <v>1</v>
      </c>
      <c r="L336" s="6" t="str">
        <f>IFERROR(IF(INDEX('03_상품분류2526'!$V$7:$V$2532,MATCH(E336,'03_상품분류2526'!$A$7:$A$2532,0))="","",INDEX('03_상품분류2526'!$V$7:$V$2532,MATCH(E336,'03_상품분류2526'!$A$7:$A$2532,0))),"")</f>
        <v/>
      </c>
      <c r="M336" s="6" t="str">
        <f>IFERROR(IF(INDEX('03_상품분류2526'!$W$7:$W$2532,MATCH(E336,'03_상품분류2526'!$A$7:$A$2532,0))="","",INDEX('03_상품분류2526'!$W$7:$W$2532,MATCH(E336,'03_상품분류2526'!$A$7:$A$2532,0))),"")</f>
        <v/>
      </c>
      <c r="N336" s="6" t="str">
        <f>IFERROR(IF(INDEX('03_상품분류2526'!$X$7:$X$2532,MATCH(E336,'03_상품분류2526'!$A$7:$A$2532,0))="","",INDEX('03_상품분류2526'!$X$7:$X$2532,MATCH(E336,'03_상품분류2526'!$A$7:$A$2532,0))),"")</f>
        <v/>
      </c>
      <c r="O336" s="6">
        <f>'02_선반315'!R253</f>
        <v>865</v>
      </c>
      <c r="P336" s="6">
        <f>'02_선반315'!T253</f>
        <v>220</v>
      </c>
      <c r="Q336" s="6">
        <f>'02_선반315'!U253</f>
        <v>200</v>
      </c>
      <c r="R336" s="6">
        <f>'02_선반315'!S253</f>
        <v>270</v>
      </c>
      <c r="S336" s="6" t="str">
        <f t="shared" si="10"/>
        <v/>
      </c>
      <c r="T336" s="6" t="str">
        <f t="shared" si="11"/>
        <v>입력 대기</v>
      </c>
      <c r="U336" s="6" t="s">
        <v>7509</v>
      </c>
      <c r="V336" s="6" t="s">
        <v>555</v>
      </c>
      <c r="W336" s="6" t="s">
        <v>859</v>
      </c>
    </row>
    <row r="337" spans="1:23" ht="33" customHeight="1">
      <c r="A337" s="6" t="s">
        <v>7842</v>
      </c>
      <c r="B337" s="6" t="s">
        <v>1420</v>
      </c>
      <c r="C337" s="6" t="s">
        <v>455</v>
      </c>
      <c r="D337" s="6">
        <v>2</v>
      </c>
      <c r="E337" s="6" t="s">
        <v>1584</v>
      </c>
      <c r="F337" s="6" t="str">
        <f>IFERROR(INDEX('03_상품분류2526'!$C$7:$C$2532,MATCH(E337,'03_상품분류2526'!$A$7:$A$2532,0)),"코드 확인")</f>
        <v>플루 인텐시브 리페어 풋크림 100g</v>
      </c>
      <c r="G337" s="6" t="str">
        <f>IFERROR(INDEX('03_상품분류2526'!$D$7:$D$2532,MATCH(E337,'03_상품분류2526'!$A$7:$A$2532,0)),"코드 확인")</f>
        <v>100g</v>
      </c>
      <c r="H337" s="6" t="s">
        <v>7508</v>
      </c>
      <c r="I337" s="6" t="str">
        <f>IFERROR(INDEX('03_상품분류2526'!$M$7:$M$2532,MATCH(E337,'03_상품분류2526'!$A$7:$A$2532,0)),"코드 확인")</f>
        <v>A</v>
      </c>
      <c r="J337" s="6">
        <v>2</v>
      </c>
      <c r="K337" s="15">
        <v>1</v>
      </c>
      <c r="L337" s="6" t="str">
        <f>IFERROR(IF(INDEX('03_상품분류2526'!$V$7:$V$2532,MATCH(E337,'03_상품분류2526'!$A$7:$A$2532,0))="","",INDEX('03_상품분류2526'!$V$7:$V$2532,MATCH(E337,'03_상품분류2526'!$A$7:$A$2532,0))),"")</f>
        <v/>
      </c>
      <c r="M337" s="6" t="str">
        <f>IFERROR(IF(INDEX('03_상품분류2526'!$W$7:$W$2532,MATCH(E337,'03_상품분류2526'!$A$7:$A$2532,0))="","",INDEX('03_상품분류2526'!$W$7:$W$2532,MATCH(E337,'03_상품분류2526'!$A$7:$A$2532,0))),"")</f>
        <v/>
      </c>
      <c r="N337" s="6" t="str">
        <f>IFERROR(IF(INDEX('03_상품분류2526'!$X$7:$X$2532,MATCH(E337,'03_상품분류2526'!$A$7:$A$2532,0))="","",INDEX('03_상품분류2526'!$X$7:$X$2532,MATCH(E337,'03_상품분류2526'!$A$7:$A$2532,0))),"")</f>
        <v/>
      </c>
      <c r="O337" s="6">
        <f>'02_선반315'!R253</f>
        <v>865</v>
      </c>
      <c r="P337" s="6">
        <f>'02_선반315'!T253</f>
        <v>220</v>
      </c>
      <c r="Q337" s="6">
        <f>'02_선반315'!U253</f>
        <v>200</v>
      </c>
      <c r="R337" s="6">
        <f>'02_선반315'!S253</f>
        <v>270</v>
      </c>
      <c r="S337" s="6" t="str">
        <f t="shared" si="10"/>
        <v/>
      </c>
      <c r="T337" s="6" t="str">
        <f t="shared" si="11"/>
        <v>입력 대기</v>
      </c>
      <c r="U337" s="6" t="s">
        <v>7509</v>
      </c>
      <c r="V337" s="6" t="s">
        <v>555</v>
      </c>
      <c r="W337" s="6" t="s">
        <v>859</v>
      </c>
    </row>
    <row r="338" spans="1:23" ht="33" customHeight="1">
      <c r="A338" s="6" t="s">
        <v>7843</v>
      </c>
      <c r="B338" s="6" t="s">
        <v>1425</v>
      </c>
      <c r="C338" s="6" t="s">
        <v>455</v>
      </c>
      <c r="D338" s="6">
        <v>3</v>
      </c>
      <c r="E338" s="6" t="s">
        <v>6321</v>
      </c>
      <c r="F338" s="6" t="str">
        <f>IFERROR(INDEX('03_상품분류2526'!$C$7:$C$2532,MATCH(E338,'03_상품분류2526'!$A$7:$A$2532,0)),"코드 확인")</f>
        <v>닥터원더 각질제거 악어발팩</v>
      </c>
      <c r="G338" s="6" t="str">
        <f>IFERROR(INDEX('03_상품분류2526'!$D$7:$D$2532,MATCH(E338,'03_상품분류2526'!$A$7:$A$2532,0)),"코드 확인")</f>
        <v>24g</v>
      </c>
      <c r="H338" s="6" t="s">
        <v>7508</v>
      </c>
      <c r="I338" s="6" t="str">
        <f>IFERROR(INDEX('03_상품분류2526'!$M$7:$M$2532,MATCH(E338,'03_상품분류2526'!$A$7:$A$2532,0)),"코드 확인")</f>
        <v>B</v>
      </c>
      <c r="J338" s="6">
        <v>1</v>
      </c>
      <c r="K338" s="15">
        <v>1</v>
      </c>
      <c r="L338" s="6" t="str">
        <f>IFERROR(IF(INDEX('03_상품분류2526'!$V$7:$V$2532,MATCH(E338,'03_상품분류2526'!$A$7:$A$2532,0))="","",INDEX('03_상품분류2526'!$V$7:$V$2532,MATCH(E338,'03_상품분류2526'!$A$7:$A$2532,0))),"")</f>
        <v/>
      </c>
      <c r="M338" s="6" t="str">
        <f>IFERROR(IF(INDEX('03_상품분류2526'!$W$7:$W$2532,MATCH(E338,'03_상품분류2526'!$A$7:$A$2532,0))="","",INDEX('03_상품분류2526'!$W$7:$W$2532,MATCH(E338,'03_상품분류2526'!$A$7:$A$2532,0))),"")</f>
        <v/>
      </c>
      <c r="N338" s="6" t="str">
        <f>IFERROR(IF(INDEX('03_상품분류2526'!$X$7:$X$2532,MATCH(E338,'03_상품분류2526'!$A$7:$A$2532,0))="","",INDEX('03_상품분류2526'!$X$7:$X$2532,MATCH(E338,'03_상품분류2526'!$A$7:$A$2532,0))),"")</f>
        <v/>
      </c>
      <c r="O338" s="6">
        <f>'02_선반315'!R254</f>
        <v>865</v>
      </c>
      <c r="P338" s="6">
        <f>'02_선반315'!T254</f>
        <v>220</v>
      </c>
      <c r="Q338" s="6">
        <f>'02_선반315'!U254</f>
        <v>200</v>
      </c>
      <c r="R338" s="6">
        <f>'02_선반315'!S254</f>
        <v>270</v>
      </c>
      <c r="S338" s="6" t="str">
        <f t="shared" si="10"/>
        <v/>
      </c>
      <c r="T338" s="6" t="str">
        <f t="shared" si="11"/>
        <v>입력 대기</v>
      </c>
      <c r="U338" s="6" t="s">
        <v>7509</v>
      </c>
      <c r="V338" s="6" t="s">
        <v>555</v>
      </c>
      <c r="W338" s="6" t="s">
        <v>859</v>
      </c>
    </row>
    <row r="339" spans="1:23" ht="33" customHeight="1">
      <c r="A339" s="6" t="s">
        <v>7844</v>
      </c>
      <c r="B339" s="6" t="s">
        <v>1425</v>
      </c>
      <c r="C339" s="6" t="s">
        <v>455</v>
      </c>
      <c r="D339" s="6">
        <v>3</v>
      </c>
      <c r="E339" s="6" t="s">
        <v>6854</v>
      </c>
      <c r="F339" s="6" t="str">
        <f>IFERROR(INDEX('03_상품분류2526'!$C$7:$C$2532,MATCH(E339,'03_상품분류2526'!$A$7:$A$2532,0)),"코드 확인")</f>
        <v>풋 필링 페로린 민트</v>
      </c>
      <c r="G339" s="6" t="str">
        <f>IFERROR(INDEX('03_상품분류2526'!$D$7:$D$2532,MATCH(E339,'03_상품분류2526'!$A$7:$A$2532,0)),"코드 확인")</f>
        <v>1EA</v>
      </c>
      <c r="H339" s="6" t="s">
        <v>7508</v>
      </c>
      <c r="I339" s="6" t="str">
        <f>IFERROR(INDEX('03_상품분류2526'!$M$7:$M$2532,MATCH(E339,'03_상품분류2526'!$A$7:$A$2532,0)),"코드 확인")</f>
        <v>B</v>
      </c>
      <c r="J339" s="6">
        <v>2</v>
      </c>
      <c r="K339" s="15">
        <v>1</v>
      </c>
      <c r="L339" s="6" t="str">
        <f>IFERROR(IF(INDEX('03_상품분류2526'!$V$7:$V$2532,MATCH(E339,'03_상품분류2526'!$A$7:$A$2532,0))="","",INDEX('03_상품분류2526'!$V$7:$V$2532,MATCH(E339,'03_상품분류2526'!$A$7:$A$2532,0))),"")</f>
        <v/>
      </c>
      <c r="M339" s="6" t="str">
        <f>IFERROR(IF(INDEX('03_상품분류2526'!$W$7:$W$2532,MATCH(E339,'03_상품분류2526'!$A$7:$A$2532,0))="","",INDEX('03_상품분류2526'!$W$7:$W$2532,MATCH(E339,'03_상품분류2526'!$A$7:$A$2532,0))),"")</f>
        <v/>
      </c>
      <c r="N339" s="6" t="str">
        <f>IFERROR(IF(INDEX('03_상품분류2526'!$X$7:$X$2532,MATCH(E339,'03_상품분류2526'!$A$7:$A$2532,0))="","",INDEX('03_상품분류2526'!$X$7:$X$2532,MATCH(E339,'03_상품분류2526'!$A$7:$A$2532,0))),"")</f>
        <v/>
      </c>
      <c r="O339" s="6">
        <f>'02_선반315'!R254</f>
        <v>865</v>
      </c>
      <c r="P339" s="6">
        <f>'02_선반315'!T254</f>
        <v>220</v>
      </c>
      <c r="Q339" s="6">
        <f>'02_선반315'!U254</f>
        <v>200</v>
      </c>
      <c r="R339" s="6">
        <f>'02_선반315'!S254</f>
        <v>270</v>
      </c>
      <c r="S339" s="6" t="str">
        <f t="shared" si="10"/>
        <v/>
      </c>
      <c r="T339" s="6" t="str">
        <f t="shared" si="11"/>
        <v>입력 대기</v>
      </c>
      <c r="U339" s="6" t="s">
        <v>7509</v>
      </c>
      <c r="V339" s="6" t="s">
        <v>555</v>
      </c>
      <c r="W339" s="6" t="s">
        <v>859</v>
      </c>
    </row>
    <row r="340" spans="1:23" ht="33" customHeight="1">
      <c r="A340" s="6" t="s">
        <v>7845</v>
      </c>
      <c r="B340" s="6" t="s">
        <v>1429</v>
      </c>
      <c r="C340" s="6" t="s">
        <v>455</v>
      </c>
      <c r="D340" s="6">
        <v>4</v>
      </c>
      <c r="E340" s="6" t="s">
        <v>2860</v>
      </c>
      <c r="F340" s="6" t="str">
        <f>IFERROR(INDEX('03_상품분류2526'!$C$7:$C$2532,MATCH(E340,'03_상품분류2526'!$A$7:$A$2532,0)),"코드 확인")</f>
        <v>메디올가 올클리어 풋미스트 100ml</v>
      </c>
      <c r="G340" s="6" t="str">
        <f>IFERROR(INDEX('03_상품분류2526'!$D$7:$D$2532,MATCH(E340,'03_상품분류2526'!$A$7:$A$2532,0)),"코드 확인")</f>
        <v>100ml</v>
      </c>
      <c r="H340" s="6" t="s">
        <v>7508</v>
      </c>
      <c r="I340" s="6" t="str">
        <f>IFERROR(INDEX('03_상품분류2526'!$M$7:$M$2532,MATCH(E340,'03_상품분류2526'!$A$7:$A$2532,0)),"코드 확인")</f>
        <v>B</v>
      </c>
      <c r="J340" s="6">
        <v>1</v>
      </c>
      <c r="K340" s="15">
        <v>1</v>
      </c>
      <c r="L340" s="6" t="str">
        <f>IFERROR(IF(INDEX('03_상품분류2526'!$V$7:$V$2532,MATCH(E340,'03_상품분류2526'!$A$7:$A$2532,0))="","",INDEX('03_상품분류2526'!$V$7:$V$2532,MATCH(E340,'03_상품분류2526'!$A$7:$A$2532,0))),"")</f>
        <v/>
      </c>
      <c r="M340" s="6" t="str">
        <f>IFERROR(IF(INDEX('03_상품분류2526'!$W$7:$W$2532,MATCH(E340,'03_상품분류2526'!$A$7:$A$2532,0))="","",INDEX('03_상품분류2526'!$W$7:$W$2532,MATCH(E340,'03_상품분류2526'!$A$7:$A$2532,0))),"")</f>
        <v/>
      </c>
      <c r="N340" s="6" t="str">
        <f>IFERROR(IF(INDEX('03_상품분류2526'!$X$7:$X$2532,MATCH(E340,'03_상품분류2526'!$A$7:$A$2532,0))="","",INDEX('03_상품분류2526'!$X$7:$X$2532,MATCH(E340,'03_상품분류2526'!$A$7:$A$2532,0))),"")</f>
        <v/>
      </c>
      <c r="O340" s="6">
        <f>'02_선반315'!R255</f>
        <v>865</v>
      </c>
      <c r="P340" s="6">
        <f>'02_선반315'!T255</f>
        <v>220</v>
      </c>
      <c r="Q340" s="6">
        <f>'02_선반315'!U255</f>
        <v>200</v>
      </c>
      <c r="R340" s="6">
        <f>'02_선반315'!S255</f>
        <v>270</v>
      </c>
      <c r="S340" s="6" t="str">
        <f t="shared" si="10"/>
        <v/>
      </c>
      <c r="T340" s="6" t="str">
        <f t="shared" si="11"/>
        <v>입력 대기</v>
      </c>
      <c r="U340" s="6" t="s">
        <v>7509</v>
      </c>
      <c r="V340" s="6" t="s">
        <v>555</v>
      </c>
      <c r="W340" s="6" t="s">
        <v>859</v>
      </c>
    </row>
    <row r="341" spans="1:23" ht="33" customHeight="1">
      <c r="A341" s="6" t="s">
        <v>7846</v>
      </c>
      <c r="B341" s="6" t="s">
        <v>1429</v>
      </c>
      <c r="C341" s="6" t="s">
        <v>455</v>
      </c>
      <c r="D341" s="6">
        <v>4</v>
      </c>
      <c r="E341" s="6" t="s">
        <v>2916</v>
      </c>
      <c r="F341" s="6" t="str">
        <f>IFERROR(INDEX('03_상품분류2526'!$C$7:$C$2532,MATCH(E341,'03_상품분류2526'!$A$7:$A$2532,0)),"코드 확인")</f>
        <v>새니닥 토앤솔 풋케어 스프레이 100ml</v>
      </c>
      <c r="G341" s="6" t="str">
        <f>IFERROR(INDEX('03_상품분류2526'!$D$7:$D$2532,MATCH(E341,'03_상품분류2526'!$A$7:$A$2532,0)),"코드 확인")</f>
        <v>100ml</v>
      </c>
      <c r="H341" s="6" t="s">
        <v>7508</v>
      </c>
      <c r="I341" s="6" t="str">
        <f>IFERROR(INDEX('03_상품분류2526'!$M$7:$M$2532,MATCH(E341,'03_상품분류2526'!$A$7:$A$2532,0)),"코드 확인")</f>
        <v>B</v>
      </c>
      <c r="J341" s="6">
        <v>2</v>
      </c>
      <c r="K341" s="15">
        <v>1</v>
      </c>
      <c r="L341" s="6" t="str">
        <f>IFERROR(IF(INDEX('03_상품분류2526'!$V$7:$V$2532,MATCH(E341,'03_상품분류2526'!$A$7:$A$2532,0))="","",INDEX('03_상품분류2526'!$V$7:$V$2532,MATCH(E341,'03_상품분류2526'!$A$7:$A$2532,0))),"")</f>
        <v/>
      </c>
      <c r="M341" s="6" t="str">
        <f>IFERROR(IF(INDEX('03_상품분류2526'!$W$7:$W$2532,MATCH(E341,'03_상품분류2526'!$A$7:$A$2532,0))="","",INDEX('03_상품분류2526'!$W$7:$W$2532,MATCH(E341,'03_상품분류2526'!$A$7:$A$2532,0))),"")</f>
        <v/>
      </c>
      <c r="N341" s="6" t="str">
        <f>IFERROR(IF(INDEX('03_상품분류2526'!$X$7:$X$2532,MATCH(E341,'03_상품분류2526'!$A$7:$A$2532,0))="","",INDEX('03_상품분류2526'!$X$7:$X$2532,MATCH(E341,'03_상품분류2526'!$A$7:$A$2532,0))),"")</f>
        <v/>
      </c>
      <c r="O341" s="6">
        <f>'02_선반315'!R255</f>
        <v>865</v>
      </c>
      <c r="P341" s="6">
        <f>'02_선반315'!T255</f>
        <v>220</v>
      </c>
      <c r="Q341" s="6">
        <f>'02_선반315'!U255</f>
        <v>200</v>
      </c>
      <c r="R341" s="6">
        <f>'02_선반315'!S255</f>
        <v>270</v>
      </c>
      <c r="S341" s="6" t="str">
        <f t="shared" si="10"/>
        <v/>
      </c>
      <c r="T341" s="6" t="str">
        <f t="shared" si="11"/>
        <v>입력 대기</v>
      </c>
      <c r="U341" s="6" t="s">
        <v>7509</v>
      </c>
      <c r="V341" s="6" t="s">
        <v>555</v>
      </c>
      <c r="W341" s="6" t="s">
        <v>859</v>
      </c>
    </row>
    <row r="342" spans="1:23" ht="33" customHeight="1">
      <c r="A342" s="6" t="s">
        <v>7847</v>
      </c>
      <c r="B342" s="6" t="s">
        <v>1433</v>
      </c>
      <c r="C342" s="6" t="s">
        <v>455</v>
      </c>
      <c r="D342" s="6">
        <v>5</v>
      </c>
      <c r="E342" s="6" t="s">
        <v>6405</v>
      </c>
      <c r="F342" s="6" t="str">
        <f>IFERROR(INDEX('03_상품분류2526'!$C$7:$C$2532,MATCH(E342,'03_상품분류2526'!$A$7:$A$2532,0)),"코드 확인")</f>
        <v>아케이 리빙 티파니글라스 풋파일</v>
      </c>
      <c r="G342" s="6" t="str">
        <f>IFERROR(INDEX('03_상품분류2526'!$D$7:$D$2532,MATCH(E342,'03_상품분류2526'!$A$7:$A$2532,0)),"코드 확인")</f>
        <v>1개입</v>
      </c>
      <c r="H342" s="6" t="s">
        <v>7508</v>
      </c>
      <c r="I342" s="6" t="str">
        <f>IFERROR(INDEX('03_상품분류2526'!$M$7:$M$2532,MATCH(E342,'03_상품분류2526'!$A$7:$A$2532,0)),"코드 확인")</f>
        <v>B</v>
      </c>
      <c r="J342" s="6">
        <v>1</v>
      </c>
      <c r="K342" s="15">
        <v>1</v>
      </c>
      <c r="L342" s="6" t="str">
        <f>IFERROR(IF(INDEX('03_상품분류2526'!$V$7:$V$2532,MATCH(E342,'03_상품분류2526'!$A$7:$A$2532,0))="","",INDEX('03_상품분류2526'!$V$7:$V$2532,MATCH(E342,'03_상품분류2526'!$A$7:$A$2532,0))),"")</f>
        <v/>
      </c>
      <c r="M342" s="6" t="str">
        <f>IFERROR(IF(INDEX('03_상품분류2526'!$W$7:$W$2532,MATCH(E342,'03_상품분류2526'!$A$7:$A$2532,0))="","",INDEX('03_상품분류2526'!$W$7:$W$2532,MATCH(E342,'03_상품분류2526'!$A$7:$A$2532,0))),"")</f>
        <v/>
      </c>
      <c r="N342" s="6" t="str">
        <f>IFERROR(IF(INDEX('03_상품분류2526'!$X$7:$X$2532,MATCH(E342,'03_상품분류2526'!$A$7:$A$2532,0))="","",INDEX('03_상품분류2526'!$X$7:$X$2532,MATCH(E342,'03_상품분류2526'!$A$7:$A$2532,0))),"")</f>
        <v/>
      </c>
      <c r="O342" s="6">
        <f>'02_선반315'!R256</f>
        <v>865</v>
      </c>
      <c r="P342" s="6">
        <f>'02_선반315'!T256</f>
        <v>220</v>
      </c>
      <c r="Q342" s="6">
        <f>'02_선반315'!U256</f>
        <v>200</v>
      </c>
      <c r="R342" s="6">
        <f>'02_선반315'!S256</f>
        <v>270</v>
      </c>
      <c r="S342" s="6" t="str">
        <f t="shared" si="10"/>
        <v/>
      </c>
      <c r="T342" s="6" t="str">
        <f t="shared" si="11"/>
        <v>입력 대기</v>
      </c>
      <c r="U342" s="6" t="s">
        <v>7509</v>
      </c>
      <c r="V342" s="6" t="s">
        <v>555</v>
      </c>
      <c r="W342" s="6" t="s">
        <v>859</v>
      </c>
    </row>
    <row r="343" spans="1:23" ht="33" customHeight="1">
      <c r="A343" s="6" t="s">
        <v>7848</v>
      </c>
      <c r="B343" s="6" t="s">
        <v>1433</v>
      </c>
      <c r="C343" s="6" t="s">
        <v>455</v>
      </c>
      <c r="D343" s="6">
        <v>5</v>
      </c>
      <c r="E343" s="6" t="s">
        <v>6389</v>
      </c>
      <c r="F343" s="6" t="str">
        <f>IFERROR(INDEX('03_상품분류2526'!$C$7:$C$2532,MATCH(E343,'03_상품분류2526'!$A$7:$A$2532,0)),"코드 확인")</f>
        <v>심플리프 발뒤꿈치 보습양말(검정)</v>
      </c>
      <c r="G343" s="6" t="str">
        <f>IFERROR(INDEX('03_상품분류2526'!$D$7:$D$2532,MATCH(E343,'03_상품분류2526'!$A$7:$A$2532,0)),"코드 확인")</f>
        <v>1개입</v>
      </c>
      <c r="H343" s="6" t="s">
        <v>7508</v>
      </c>
      <c r="I343" s="6" t="str">
        <f>IFERROR(INDEX('03_상품분류2526'!$M$7:$M$2532,MATCH(E343,'03_상품분류2526'!$A$7:$A$2532,0)),"코드 확인")</f>
        <v>B</v>
      </c>
      <c r="J343" s="6">
        <v>2</v>
      </c>
      <c r="K343" s="15">
        <v>1</v>
      </c>
      <c r="L343" s="6" t="str">
        <f>IFERROR(IF(INDEX('03_상품분류2526'!$V$7:$V$2532,MATCH(E343,'03_상품분류2526'!$A$7:$A$2532,0))="","",INDEX('03_상품분류2526'!$V$7:$V$2532,MATCH(E343,'03_상품분류2526'!$A$7:$A$2532,0))),"")</f>
        <v/>
      </c>
      <c r="M343" s="6" t="str">
        <f>IFERROR(IF(INDEX('03_상품분류2526'!$W$7:$W$2532,MATCH(E343,'03_상품분류2526'!$A$7:$A$2532,0))="","",INDEX('03_상품분류2526'!$W$7:$W$2532,MATCH(E343,'03_상품분류2526'!$A$7:$A$2532,0))),"")</f>
        <v/>
      </c>
      <c r="N343" s="6" t="str">
        <f>IFERROR(IF(INDEX('03_상품분류2526'!$X$7:$X$2532,MATCH(E343,'03_상품분류2526'!$A$7:$A$2532,0))="","",INDEX('03_상품분류2526'!$X$7:$X$2532,MATCH(E343,'03_상품분류2526'!$A$7:$A$2532,0))),"")</f>
        <v/>
      </c>
      <c r="O343" s="6">
        <f>'02_선반315'!R256</f>
        <v>865</v>
      </c>
      <c r="P343" s="6">
        <f>'02_선반315'!T256</f>
        <v>220</v>
      </c>
      <c r="Q343" s="6">
        <f>'02_선반315'!U256</f>
        <v>200</v>
      </c>
      <c r="R343" s="6">
        <f>'02_선반315'!S256</f>
        <v>270</v>
      </c>
      <c r="S343" s="6" t="str">
        <f t="shared" si="10"/>
        <v/>
      </c>
      <c r="T343" s="6" t="str">
        <f t="shared" si="11"/>
        <v>입력 대기</v>
      </c>
      <c r="U343" s="6" t="s">
        <v>7509</v>
      </c>
      <c r="V343" s="6" t="s">
        <v>555</v>
      </c>
      <c r="W343" s="6" t="s">
        <v>859</v>
      </c>
    </row>
    <row r="344" spans="1:23" ht="33" customHeight="1">
      <c r="A344" s="6" t="s">
        <v>7849</v>
      </c>
      <c r="B344" s="6" t="s">
        <v>1438</v>
      </c>
      <c r="C344" s="6" t="s">
        <v>463</v>
      </c>
      <c r="D344" s="6">
        <v>1</v>
      </c>
      <c r="E344" s="6" t="s">
        <v>1441</v>
      </c>
      <c r="F344" s="6" t="str">
        <f>IFERROR(INDEX('03_상품분류2526'!$C$7:$C$2532,MATCH(E344,'03_상품분류2526'!$A$7:$A$2532,0)),"코드 확인")</f>
        <v>하루온 붙이는 핫팩</v>
      </c>
      <c r="G344" s="6" t="str">
        <f>IFERROR(INDEX('03_상품분류2526'!$D$7:$D$2532,MATCH(E344,'03_상품분류2526'!$A$7:$A$2532,0)),"코드 확인")</f>
        <v>10매</v>
      </c>
      <c r="H344" s="6" t="s">
        <v>7508</v>
      </c>
      <c r="I344" s="6" t="str">
        <f>IFERROR(INDEX('03_상품분류2526'!$M$7:$M$2532,MATCH(E344,'03_상품분류2526'!$A$7:$A$2532,0)),"코드 확인")</f>
        <v>B</v>
      </c>
      <c r="J344" s="6">
        <v>1</v>
      </c>
      <c r="K344" s="15">
        <v>1</v>
      </c>
      <c r="L344" s="6" t="str">
        <f>IFERROR(IF(INDEX('03_상품분류2526'!$V$7:$V$2532,MATCH(E344,'03_상품분류2526'!$A$7:$A$2532,0))="","",INDEX('03_상품분류2526'!$V$7:$V$2532,MATCH(E344,'03_상품분류2526'!$A$7:$A$2532,0))),"")</f>
        <v/>
      </c>
      <c r="M344" s="6" t="str">
        <f>IFERROR(IF(INDEX('03_상품분류2526'!$W$7:$W$2532,MATCH(E344,'03_상품분류2526'!$A$7:$A$2532,0))="","",INDEX('03_상품분류2526'!$W$7:$W$2532,MATCH(E344,'03_상품분류2526'!$A$7:$A$2532,0))),"")</f>
        <v/>
      </c>
      <c r="N344" s="6" t="str">
        <f>IFERROR(IF(INDEX('03_상품분류2526'!$X$7:$X$2532,MATCH(E344,'03_상품분류2526'!$A$7:$A$2532,0))="","",INDEX('03_상품분류2526'!$X$7:$X$2532,MATCH(E344,'03_상품분류2526'!$A$7:$A$2532,0))),"")</f>
        <v/>
      </c>
      <c r="O344" s="6">
        <f>'02_선반315'!R257</f>
        <v>865</v>
      </c>
      <c r="P344" s="6">
        <f>'02_선반315'!T257</f>
        <v>100</v>
      </c>
      <c r="Q344" s="6">
        <f>'02_선반315'!U257</f>
        <v>80</v>
      </c>
      <c r="R344" s="6">
        <f>'02_선반315'!S257</f>
        <v>270</v>
      </c>
      <c r="S344" s="6" t="str">
        <f t="shared" si="10"/>
        <v/>
      </c>
      <c r="T344" s="6" t="str">
        <f t="shared" si="11"/>
        <v>입력 대기</v>
      </c>
      <c r="U344" s="6" t="s">
        <v>7543</v>
      </c>
      <c r="V344" s="6" t="s">
        <v>555</v>
      </c>
      <c r="W344" s="6" t="s">
        <v>859</v>
      </c>
    </row>
    <row r="345" spans="1:23" ht="33" customHeight="1">
      <c r="A345" s="6" t="s">
        <v>7850</v>
      </c>
      <c r="B345" s="6" t="s">
        <v>1443</v>
      </c>
      <c r="C345" s="6" t="s">
        <v>463</v>
      </c>
      <c r="D345" s="6">
        <v>2</v>
      </c>
      <c r="E345" s="6" t="s">
        <v>1749</v>
      </c>
      <c r="F345" s="6" t="str">
        <f>IFERROR(INDEX('03_상품분류2526'!$C$7:$C$2532,MATCH(E345,'03_상품분류2526'!$A$7:$A$2532,0)),"코드 확인")</f>
        <v>큐어온 관절보호대 테이핑서포터(발목)</v>
      </c>
      <c r="G345" s="6" t="str">
        <f>IFERROR(INDEX('03_상품분류2526'!$D$7:$D$2532,MATCH(E345,'03_상품분류2526'!$A$7:$A$2532,0)),"코드 확인")</f>
        <v>S</v>
      </c>
      <c r="H345" s="6" t="s">
        <v>7508</v>
      </c>
      <c r="I345" s="6" t="str">
        <f>IFERROR(INDEX('03_상품분류2526'!$M$7:$M$2532,MATCH(E345,'03_상품분류2526'!$A$7:$A$2532,0)),"코드 확인")</f>
        <v>B</v>
      </c>
      <c r="J345" s="6">
        <v>1</v>
      </c>
      <c r="K345" s="15">
        <v>1</v>
      </c>
      <c r="L345" s="6" t="str">
        <f>IFERROR(IF(INDEX('03_상품분류2526'!$V$7:$V$2532,MATCH(E345,'03_상품분류2526'!$A$7:$A$2532,0))="","",INDEX('03_상품분류2526'!$V$7:$V$2532,MATCH(E345,'03_상품분류2526'!$A$7:$A$2532,0))),"")</f>
        <v/>
      </c>
      <c r="M345" s="6" t="str">
        <f>IFERROR(IF(INDEX('03_상품분류2526'!$W$7:$W$2532,MATCH(E345,'03_상품분류2526'!$A$7:$A$2532,0))="","",INDEX('03_상품분류2526'!$W$7:$W$2532,MATCH(E345,'03_상품분류2526'!$A$7:$A$2532,0))),"")</f>
        <v/>
      </c>
      <c r="N345" s="6" t="str">
        <f>IFERROR(IF(INDEX('03_상품분류2526'!$X$7:$X$2532,MATCH(E345,'03_상품분류2526'!$A$7:$A$2532,0))="","",INDEX('03_상품분류2526'!$X$7:$X$2532,MATCH(E345,'03_상품분류2526'!$A$7:$A$2532,0))),"")</f>
        <v/>
      </c>
      <c r="O345" s="6">
        <f>'02_선반315'!R258</f>
        <v>865</v>
      </c>
      <c r="P345" s="6">
        <f>'02_선반315'!T258</f>
        <v>220</v>
      </c>
      <c r="Q345" s="6">
        <f>'02_선반315'!U258</f>
        <v>200</v>
      </c>
      <c r="R345" s="6">
        <f>'02_선반315'!S258</f>
        <v>270</v>
      </c>
      <c r="S345" s="6" t="str">
        <f t="shared" si="10"/>
        <v/>
      </c>
      <c r="T345" s="6" t="str">
        <f t="shared" si="11"/>
        <v>입력 대기</v>
      </c>
      <c r="U345" s="6" t="s">
        <v>7509</v>
      </c>
      <c r="V345" s="6" t="s">
        <v>555</v>
      </c>
      <c r="W345" s="6" t="s">
        <v>859</v>
      </c>
    </row>
    <row r="346" spans="1:23" ht="33" customHeight="1">
      <c r="A346" s="6" t="s">
        <v>7851</v>
      </c>
      <c r="B346" s="6" t="s">
        <v>1443</v>
      </c>
      <c r="C346" s="6" t="s">
        <v>463</v>
      </c>
      <c r="D346" s="6">
        <v>2</v>
      </c>
      <c r="E346" s="6" t="s">
        <v>1753</v>
      </c>
      <c r="F346" s="6" t="str">
        <f>IFERROR(INDEX('03_상품분류2526'!$C$7:$C$2532,MATCH(E346,'03_상품분류2526'!$A$7:$A$2532,0)),"코드 확인")</f>
        <v>큐어온 관절보호대 테이핑서포터(무릎)</v>
      </c>
      <c r="G346" s="6" t="str">
        <f>IFERROR(INDEX('03_상품분류2526'!$D$7:$D$2532,MATCH(E346,'03_상품분류2526'!$A$7:$A$2532,0)),"코드 확인")</f>
        <v>S</v>
      </c>
      <c r="H346" s="6" t="s">
        <v>7508</v>
      </c>
      <c r="I346" s="6" t="str">
        <f>IFERROR(INDEX('03_상품분류2526'!$M$7:$M$2532,MATCH(E346,'03_상품분류2526'!$A$7:$A$2532,0)),"코드 확인")</f>
        <v>B</v>
      </c>
      <c r="J346" s="6">
        <v>2</v>
      </c>
      <c r="K346" s="15">
        <v>1</v>
      </c>
      <c r="L346" s="6" t="str">
        <f>IFERROR(IF(INDEX('03_상품분류2526'!$V$7:$V$2532,MATCH(E346,'03_상품분류2526'!$A$7:$A$2532,0))="","",INDEX('03_상품분류2526'!$V$7:$V$2532,MATCH(E346,'03_상품분류2526'!$A$7:$A$2532,0))),"")</f>
        <v/>
      </c>
      <c r="M346" s="6" t="str">
        <f>IFERROR(IF(INDEX('03_상품분류2526'!$W$7:$W$2532,MATCH(E346,'03_상품분류2526'!$A$7:$A$2532,0))="","",INDEX('03_상품분류2526'!$W$7:$W$2532,MATCH(E346,'03_상품분류2526'!$A$7:$A$2532,0))),"")</f>
        <v/>
      </c>
      <c r="N346" s="6" t="str">
        <f>IFERROR(IF(INDEX('03_상품분류2526'!$X$7:$X$2532,MATCH(E346,'03_상품분류2526'!$A$7:$A$2532,0))="","",INDEX('03_상품분류2526'!$X$7:$X$2532,MATCH(E346,'03_상품분류2526'!$A$7:$A$2532,0))),"")</f>
        <v/>
      </c>
      <c r="O346" s="6">
        <f>'02_선반315'!R258</f>
        <v>865</v>
      </c>
      <c r="P346" s="6">
        <f>'02_선반315'!T258</f>
        <v>220</v>
      </c>
      <c r="Q346" s="6">
        <f>'02_선반315'!U258</f>
        <v>200</v>
      </c>
      <c r="R346" s="6">
        <f>'02_선반315'!S258</f>
        <v>270</v>
      </c>
      <c r="S346" s="6" t="str">
        <f t="shared" si="10"/>
        <v/>
      </c>
      <c r="T346" s="6" t="str">
        <f t="shared" si="11"/>
        <v>입력 대기</v>
      </c>
      <c r="U346" s="6" t="s">
        <v>7509</v>
      </c>
      <c r="V346" s="6" t="s">
        <v>555</v>
      </c>
      <c r="W346" s="6" t="s">
        <v>859</v>
      </c>
    </row>
    <row r="347" spans="1:23" ht="33" customHeight="1">
      <c r="A347" s="6" t="s">
        <v>7852</v>
      </c>
      <c r="B347" s="6" t="s">
        <v>1447</v>
      </c>
      <c r="C347" s="6" t="s">
        <v>463</v>
      </c>
      <c r="D347" s="6">
        <v>3</v>
      </c>
      <c r="E347" s="6" t="s">
        <v>1449</v>
      </c>
      <c r="F347" s="6" t="str">
        <f>IFERROR(INDEX('03_상품분류2526'!$C$7:$C$2532,MATCH(E347,'03_상품분류2526'!$A$7:$A$2532,0)),"코드 확인")</f>
        <v>하루온 이지페인 아랫배온팩(숲속향)</v>
      </c>
      <c r="G347" s="6" t="str">
        <f>IFERROR(INDEX('03_상품분류2526'!$D$7:$D$2532,MATCH(E347,'03_상품분류2526'!$A$7:$A$2532,0)),"코드 확인")</f>
        <v>5매</v>
      </c>
      <c r="H347" s="6" t="s">
        <v>7508</v>
      </c>
      <c r="I347" s="6" t="str">
        <f>IFERROR(INDEX('03_상품분류2526'!$M$7:$M$2532,MATCH(E347,'03_상품분류2526'!$A$7:$A$2532,0)),"코드 확인")</f>
        <v>B</v>
      </c>
      <c r="J347" s="6">
        <v>1</v>
      </c>
      <c r="K347" s="15">
        <v>1</v>
      </c>
      <c r="L347" s="6" t="str">
        <f>IFERROR(IF(INDEX('03_상품분류2526'!$V$7:$V$2532,MATCH(E347,'03_상품분류2526'!$A$7:$A$2532,0))="","",INDEX('03_상품분류2526'!$V$7:$V$2532,MATCH(E347,'03_상품분류2526'!$A$7:$A$2532,0))),"")</f>
        <v/>
      </c>
      <c r="M347" s="6" t="str">
        <f>IFERROR(IF(INDEX('03_상품분류2526'!$W$7:$W$2532,MATCH(E347,'03_상품분류2526'!$A$7:$A$2532,0))="","",INDEX('03_상품분류2526'!$W$7:$W$2532,MATCH(E347,'03_상품분류2526'!$A$7:$A$2532,0))),"")</f>
        <v/>
      </c>
      <c r="N347" s="6" t="str">
        <f>IFERROR(IF(INDEX('03_상품분류2526'!$X$7:$X$2532,MATCH(E347,'03_상품분류2526'!$A$7:$A$2532,0))="","",INDEX('03_상품분류2526'!$X$7:$X$2532,MATCH(E347,'03_상품분류2526'!$A$7:$A$2532,0))),"")</f>
        <v/>
      </c>
      <c r="O347" s="6">
        <f>'02_선반315'!R259</f>
        <v>865</v>
      </c>
      <c r="P347" s="6">
        <f>'02_선반315'!T259</f>
        <v>220</v>
      </c>
      <c r="Q347" s="6">
        <f>'02_선반315'!U259</f>
        <v>200</v>
      </c>
      <c r="R347" s="6">
        <f>'02_선반315'!S259</f>
        <v>270</v>
      </c>
      <c r="S347" s="6" t="str">
        <f t="shared" si="10"/>
        <v/>
      </c>
      <c r="T347" s="6" t="str">
        <f t="shared" si="11"/>
        <v>입력 대기</v>
      </c>
      <c r="U347" s="6" t="s">
        <v>7509</v>
      </c>
      <c r="V347" s="6" t="s">
        <v>555</v>
      </c>
      <c r="W347" s="6" t="s">
        <v>859</v>
      </c>
    </row>
    <row r="348" spans="1:23" ht="33" customHeight="1">
      <c r="A348" s="6" t="s">
        <v>7853</v>
      </c>
      <c r="B348" s="6" t="s">
        <v>1451</v>
      </c>
      <c r="C348" s="6" t="s">
        <v>463</v>
      </c>
      <c r="D348" s="6">
        <v>4</v>
      </c>
      <c r="E348" s="6" t="s">
        <v>1588</v>
      </c>
      <c r="F348" s="6" t="str">
        <f>IFERROR(INDEX('03_상품분류2526'!$C$7:$C$2532,MATCH(E348,'03_상품분류2526'!$A$7:$A$2532,0)),"코드 확인")</f>
        <v>마시는 스웨그 수분 부스터</v>
      </c>
      <c r="G348" s="6" t="str">
        <f>IFERROR(INDEX('03_상품분류2526'!$D$7:$D$2532,MATCH(E348,'03_상품분류2526'!$A$7:$A$2532,0)),"코드 확인")</f>
        <v>150mL</v>
      </c>
      <c r="H348" s="6" t="s">
        <v>7508</v>
      </c>
      <c r="I348" s="6" t="str">
        <f>IFERROR(INDEX('03_상품분류2526'!$M$7:$M$2532,MATCH(E348,'03_상품분류2526'!$A$7:$A$2532,0)),"코드 확인")</f>
        <v>A</v>
      </c>
      <c r="J348" s="6">
        <v>1</v>
      </c>
      <c r="K348" s="15">
        <v>1</v>
      </c>
      <c r="L348" s="6" t="str">
        <f>IFERROR(IF(INDEX('03_상품분류2526'!$V$7:$V$2532,MATCH(E348,'03_상품분류2526'!$A$7:$A$2532,0))="","",INDEX('03_상품분류2526'!$V$7:$V$2532,MATCH(E348,'03_상품분류2526'!$A$7:$A$2532,0))),"")</f>
        <v/>
      </c>
      <c r="M348" s="6" t="str">
        <f>IFERROR(IF(INDEX('03_상품분류2526'!$W$7:$W$2532,MATCH(E348,'03_상품분류2526'!$A$7:$A$2532,0))="","",INDEX('03_상품분류2526'!$W$7:$W$2532,MATCH(E348,'03_상품분류2526'!$A$7:$A$2532,0))),"")</f>
        <v/>
      </c>
      <c r="N348" s="6" t="str">
        <f>IFERROR(IF(INDEX('03_상품분류2526'!$X$7:$X$2532,MATCH(E348,'03_상품분류2526'!$A$7:$A$2532,0))="","",INDEX('03_상품분류2526'!$X$7:$X$2532,MATCH(E348,'03_상품분류2526'!$A$7:$A$2532,0))),"")</f>
        <v/>
      </c>
      <c r="O348" s="6">
        <f>'02_선반315'!R260</f>
        <v>865</v>
      </c>
      <c r="P348" s="6">
        <f>'02_선반315'!T260</f>
        <v>220</v>
      </c>
      <c r="Q348" s="6">
        <f>'02_선반315'!U260</f>
        <v>200</v>
      </c>
      <c r="R348" s="6">
        <f>'02_선반315'!S260</f>
        <v>270</v>
      </c>
      <c r="S348" s="6" t="str">
        <f t="shared" si="10"/>
        <v/>
      </c>
      <c r="T348" s="6" t="str">
        <f t="shared" si="11"/>
        <v>입력 대기</v>
      </c>
      <c r="U348" s="6" t="s">
        <v>7509</v>
      </c>
      <c r="V348" s="6" t="s">
        <v>555</v>
      </c>
      <c r="W348" s="6" t="s">
        <v>859</v>
      </c>
    </row>
    <row r="349" spans="1:23" ht="33" customHeight="1">
      <c r="A349" s="6" t="s">
        <v>7854</v>
      </c>
      <c r="B349" s="6" t="s">
        <v>1451</v>
      </c>
      <c r="C349" s="6" t="s">
        <v>463</v>
      </c>
      <c r="D349" s="6">
        <v>4</v>
      </c>
      <c r="E349" s="6" t="s">
        <v>7059</v>
      </c>
      <c r="F349" s="6" t="str">
        <f>IFERROR(INDEX('03_상품분류2526'!$C$7:$C$2532,MATCH(E349,'03_상품분류2526'!$A$7:$A$2532,0)),"코드 확인")</f>
        <v>알디콤BOOST 에너지젤 그린제스트 1포</v>
      </c>
      <c r="G349" s="6" t="str">
        <f>IFERROR(INDEX('03_상품분류2526'!$D$7:$D$2532,MATCH(E349,'03_상품분류2526'!$A$7:$A$2532,0)),"코드 확인")</f>
        <v>1포</v>
      </c>
      <c r="H349" s="6" t="s">
        <v>7508</v>
      </c>
      <c r="I349" s="6" t="str">
        <f>IFERROR(INDEX('03_상품분류2526'!$M$7:$M$2532,MATCH(E349,'03_상품분류2526'!$A$7:$A$2532,0)),"코드 확인")</f>
        <v>B</v>
      </c>
      <c r="J349" s="6">
        <v>2</v>
      </c>
      <c r="K349" s="15">
        <v>1</v>
      </c>
      <c r="L349" s="6" t="str">
        <f>IFERROR(IF(INDEX('03_상품분류2526'!$V$7:$V$2532,MATCH(E349,'03_상품분류2526'!$A$7:$A$2532,0))="","",INDEX('03_상품분류2526'!$V$7:$V$2532,MATCH(E349,'03_상품분류2526'!$A$7:$A$2532,0))),"")</f>
        <v/>
      </c>
      <c r="M349" s="6" t="str">
        <f>IFERROR(IF(INDEX('03_상품분류2526'!$W$7:$W$2532,MATCH(E349,'03_상품분류2526'!$A$7:$A$2532,0))="","",INDEX('03_상품분류2526'!$W$7:$W$2532,MATCH(E349,'03_상품분류2526'!$A$7:$A$2532,0))),"")</f>
        <v/>
      </c>
      <c r="N349" s="6" t="str">
        <f>IFERROR(IF(INDEX('03_상품분류2526'!$X$7:$X$2532,MATCH(E349,'03_상품분류2526'!$A$7:$A$2532,0))="","",INDEX('03_상품분류2526'!$X$7:$X$2532,MATCH(E349,'03_상품분류2526'!$A$7:$A$2532,0))),"")</f>
        <v/>
      </c>
      <c r="O349" s="6">
        <f>'02_선반315'!R260</f>
        <v>865</v>
      </c>
      <c r="P349" s="6">
        <f>'02_선반315'!T260</f>
        <v>220</v>
      </c>
      <c r="Q349" s="6">
        <f>'02_선반315'!U260</f>
        <v>200</v>
      </c>
      <c r="R349" s="6">
        <f>'02_선반315'!S260</f>
        <v>270</v>
      </c>
      <c r="S349" s="6" t="str">
        <f t="shared" si="10"/>
        <v/>
      </c>
      <c r="T349" s="6" t="str">
        <f t="shared" si="11"/>
        <v>입력 대기</v>
      </c>
      <c r="U349" s="6" t="s">
        <v>7509</v>
      </c>
      <c r="V349" s="6" t="s">
        <v>555</v>
      </c>
      <c r="W349" s="6" t="s">
        <v>859</v>
      </c>
    </row>
    <row r="350" spans="1:23" ht="33" customHeight="1">
      <c r="A350" s="6" t="s">
        <v>7855</v>
      </c>
      <c r="B350" s="6" t="s">
        <v>1455</v>
      </c>
      <c r="C350" s="6" t="s">
        <v>463</v>
      </c>
      <c r="D350" s="6">
        <v>5</v>
      </c>
      <c r="E350" s="6" t="s">
        <v>5841</v>
      </c>
      <c r="F350" s="6" t="str">
        <f>IFERROR(INDEX('03_상품분류2526'!$C$7:$C$2532,MATCH(E350,'03_상품분류2526'!$A$7:$A$2532,0)),"코드 확인")</f>
        <v>물린디액</v>
      </c>
      <c r="G350" s="6" t="str">
        <f>IFERROR(INDEX('03_상품분류2526'!$D$7:$D$2532,MATCH(E350,'03_상품분류2526'!$A$7:$A$2532,0)),"코드 확인")</f>
        <v>60g</v>
      </c>
      <c r="H350" s="6" t="s">
        <v>7508</v>
      </c>
      <c r="I350" s="6" t="str">
        <f>IFERROR(INDEX('03_상품분류2526'!$M$7:$M$2532,MATCH(E350,'03_상품분류2526'!$A$7:$A$2532,0)),"코드 확인")</f>
        <v>A</v>
      </c>
      <c r="J350" s="6">
        <v>1</v>
      </c>
      <c r="K350" s="15">
        <v>1</v>
      </c>
      <c r="L350" s="6" t="str">
        <f>IFERROR(IF(INDEX('03_상품분류2526'!$V$7:$V$2532,MATCH(E350,'03_상품분류2526'!$A$7:$A$2532,0))="","",INDEX('03_상품분류2526'!$V$7:$V$2532,MATCH(E350,'03_상품분류2526'!$A$7:$A$2532,0))),"")</f>
        <v/>
      </c>
      <c r="M350" s="6" t="str">
        <f>IFERROR(IF(INDEX('03_상품분류2526'!$W$7:$W$2532,MATCH(E350,'03_상품분류2526'!$A$7:$A$2532,0))="","",INDEX('03_상품분류2526'!$W$7:$W$2532,MATCH(E350,'03_상품분류2526'!$A$7:$A$2532,0))),"")</f>
        <v/>
      </c>
      <c r="N350" s="6" t="str">
        <f>IFERROR(IF(INDEX('03_상품분류2526'!$X$7:$X$2532,MATCH(E350,'03_상품분류2526'!$A$7:$A$2532,0))="","",INDEX('03_상품분류2526'!$X$7:$X$2532,MATCH(E350,'03_상품분류2526'!$A$7:$A$2532,0))),"")</f>
        <v/>
      </c>
      <c r="O350" s="6">
        <f>'02_선반315'!R261</f>
        <v>865</v>
      </c>
      <c r="P350" s="6">
        <f>'02_선반315'!T261</f>
        <v>220</v>
      </c>
      <c r="Q350" s="6">
        <f>'02_선반315'!U261</f>
        <v>200</v>
      </c>
      <c r="R350" s="6">
        <f>'02_선반315'!S261</f>
        <v>270</v>
      </c>
      <c r="S350" s="6" t="str">
        <f t="shared" si="10"/>
        <v/>
      </c>
      <c r="T350" s="6" t="str">
        <f t="shared" si="11"/>
        <v>입력 대기</v>
      </c>
      <c r="U350" s="6" t="s">
        <v>7509</v>
      </c>
      <c r="V350" s="6" t="s">
        <v>555</v>
      </c>
      <c r="W350" s="6" t="s">
        <v>859</v>
      </c>
    </row>
    <row r="351" spans="1:23" ht="33" customHeight="1">
      <c r="A351" s="6" t="s">
        <v>7856</v>
      </c>
      <c r="B351" s="6" t="s">
        <v>1455</v>
      </c>
      <c r="C351" s="6" t="s">
        <v>463</v>
      </c>
      <c r="D351" s="6">
        <v>5</v>
      </c>
      <c r="E351" s="6" t="s">
        <v>6884</v>
      </c>
      <c r="F351" s="6" t="str">
        <f>IFERROR(INDEX('03_상품분류2526'!$C$7:$C$2532,MATCH(E351,'03_상품분류2526'!$A$7:$A$2532,0)),"코드 확인")</f>
        <v>물린디쿨액(50ml)</v>
      </c>
      <c r="G351" s="6" t="str">
        <f>IFERROR(INDEX('03_상품분류2526'!$D$7:$D$2532,MATCH(E351,'03_상품분류2526'!$A$7:$A$2532,0)),"코드 확인")</f>
        <v>50ml</v>
      </c>
      <c r="H351" s="6" t="s">
        <v>7508</v>
      </c>
      <c r="I351" s="6" t="str">
        <f>IFERROR(INDEX('03_상품분류2526'!$M$7:$M$2532,MATCH(E351,'03_상품분류2526'!$A$7:$A$2532,0)),"코드 확인")</f>
        <v>B</v>
      </c>
      <c r="J351" s="6">
        <v>2</v>
      </c>
      <c r="K351" s="15">
        <v>1</v>
      </c>
      <c r="L351" s="6" t="str">
        <f>IFERROR(IF(INDEX('03_상품분류2526'!$V$7:$V$2532,MATCH(E351,'03_상품분류2526'!$A$7:$A$2532,0))="","",INDEX('03_상품분류2526'!$V$7:$V$2532,MATCH(E351,'03_상품분류2526'!$A$7:$A$2532,0))),"")</f>
        <v/>
      </c>
      <c r="M351" s="6" t="str">
        <f>IFERROR(IF(INDEX('03_상품분류2526'!$W$7:$W$2532,MATCH(E351,'03_상품분류2526'!$A$7:$A$2532,0))="","",INDEX('03_상품분류2526'!$W$7:$W$2532,MATCH(E351,'03_상품분류2526'!$A$7:$A$2532,0))),"")</f>
        <v/>
      </c>
      <c r="N351" s="6" t="str">
        <f>IFERROR(IF(INDEX('03_상품분류2526'!$X$7:$X$2532,MATCH(E351,'03_상품분류2526'!$A$7:$A$2532,0))="","",INDEX('03_상품분류2526'!$X$7:$X$2532,MATCH(E351,'03_상품분류2526'!$A$7:$A$2532,0))),"")</f>
        <v/>
      </c>
      <c r="O351" s="6">
        <f>'02_선반315'!R261</f>
        <v>865</v>
      </c>
      <c r="P351" s="6">
        <f>'02_선반315'!T261</f>
        <v>220</v>
      </c>
      <c r="Q351" s="6">
        <f>'02_선반315'!U261</f>
        <v>200</v>
      </c>
      <c r="R351" s="6">
        <f>'02_선반315'!S261</f>
        <v>270</v>
      </c>
      <c r="S351" s="6" t="str">
        <f t="shared" si="10"/>
        <v/>
      </c>
      <c r="T351" s="6" t="str">
        <f t="shared" si="11"/>
        <v>입력 대기</v>
      </c>
      <c r="U351" s="6" t="s">
        <v>7509</v>
      </c>
      <c r="V351" s="6" t="s">
        <v>555</v>
      </c>
      <c r="W351" s="6" t="s">
        <v>859</v>
      </c>
    </row>
    <row r="352" spans="1:23" ht="33" customHeight="1">
      <c r="A352" s="6" t="s">
        <v>7857</v>
      </c>
      <c r="B352" s="6" t="s">
        <v>1476</v>
      </c>
      <c r="C352" s="6" t="s">
        <v>477</v>
      </c>
      <c r="D352" s="6">
        <v>2</v>
      </c>
      <c r="E352" s="6" t="s">
        <v>1478</v>
      </c>
      <c r="F352" s="6" t="str">
        <f>IFERROR(INDEX('03_상품분류2526'!$C$7:$C$2532,MATCH(E352,'03_상품분류2526'!$A$7:$A$2532,0)),"코드 확인")</f>
        <v>프랭클리 나이아신아마이드15% 징크 비즈 트러블케어세럼 30ml</v>
      </c>
      <c r="G352" s="6" t="str">
        <f>IFERROR(INDEX('03_상품분류2526'!$D$7:$D$2532,MATCH(E352,'03_상품분류2526'!$A$7:$A$2532,0)),"코드 확인")</f>
        <v>30ml</v>
      </c>
      <c r="H352" s="6" t="s">
        <v>7521</v>
      </c>
      <c r="I352" s="6" t="str">
        <f>IFERROR(INDEX('03_상품분류2526'!$M$7:$M$2532,MATCH(E352,'03_상품분류2526'!$A$7:$A$2532,0)),"코드 확인")</f>
        <v>B</v>
      </c>
      <c r="J352" s="6">
        <v>1</v>
      </c>
      <c r="K352" s="15">
        <v>1</v>
      </c>
      <c r="L352" s="6" t="str">
        <f>IFERROR(IF(INDEX('03_상품분류2526'!$V$7:$V$2532,MATCH(E352,'03_상품분류2526'!$A$7:$A$2532,0))="","",INDEX('03_상품분류2526'!$V$7:$V$2532,MATCH(E352,'03_상품분류2526'!$A$7:$A$2532,0))),"")</f>
        <v/>
      </c>
      <c r="M352" s="6" t="str">
        <f>IFERROR(IF(INDEX('03_상품분류2526'!$W$7:$W$2532,MATCH(E352,'03_상품분류2526'!$A$7:$A$2532,0))="","",INDEX('03_상품분류2526'!$W$7:$W$2532,MATCH(E352,'03_상품분류2526'!$A$7:$A$2532,0))),"")</f>
        <v/>
      </c>
      <c r="N352" s="6" t="str">
        <f>IFERROR(IF(INDEX('03_상품분류2526'!$X$7:$X$2532,MATCH(E352,'03_상품분류2526'!$A$7:$A$2532,0))="","",INDEX('03_상품분류2526'!$X$7:$X$2532,MATCH(E352,'03_상품분류2526'!$A$7:$A$2532,0))),"")</f>
        <v/>
      </c>
      <c r="O352" s="6">
        <f>'02_선반315'!R268</f>
        <v>645</v>
      </c>
      <c r="P352" s="6">
        <f>'02_선반315'!T268</f>
        <v>220</v>
      </c>
      <c r="Q352" s="6">
        <f>'02_선반315'!U268</f>
        <v>200</v>
      </c>
      <c r="R352" s="6">
        <f>'02_선반315'!S268</f>
        <v>270</v>
      </c>
      <c r="S352" s="6" t="str">
        <f t="shared" si="10"/>
        <v/>
      </c>
      <c r="T352" s="6" t="str">
        <f t="shared" si="11"/>
        <v>입력 대기</v>
      </c>
      <c r="U352" s="6" t="s">
        <v>7509</v>
      </c>
      <c r="V352" s="6" t="s">
        <v>555</v>
      </c>
      <c r="W352" s="6" t="s">
        <v>1464</v>
      </c>
    </row>
    <row r="353" spans="1:23" ht="33" customHeight="1">
      <c r="A353" s="6" t="s">
        <v>7858</v>
      </c>
      <c r="B353" s="6" t="s">
        <v>1480</v>
      </c>
      <c r="C353" s="6" t="s">
        <v>477</v>
      </c>
      <c r="D353" s="6">
        <v>3</v>
      </c>
      <c r="E353" s="6" t="s">
        <v>1482</v>
      </c>
      <c r="F353" s="6" t="str">
        <f>IFERROR(INDEX('03_상품분류2526'!$C$7:$C$2532,MATCH(E353,'03_상품분류2526'!$A$7:$A$2532,0)),"코드 확인")</f>
        <v>낫포유 클리어 바디 미스트 120ml</v>
      </c>
      <c r="G353" s="6" t="str">
        <f>IFERROR(INDEX('03_상품분류2526'!$D$7:$D$2532,MATCH(E353,'03_상품분류2526'!$A$7:$A$2532,0)),"코드 확인")</f>
        <v>120ml</v>
      </c>
      <c r="H353" s="6" t="s">
        <v>7521</v>
      </c>
      <c r="I353" s="6" t="str">
        <f>IFERROR(INDEX('03_상품분류2526'!$M$7:$M$2532,MATCH(E353,'03_상품분류2526'!$A$7:$A$2532,0)),"코드 확인")</f>
        <v>A</v>
      </c>
      <c r="J353" s="6">
        <v>1</v>
      </c>
      <c r="K353" s="15">
        <v>1</v>
      </c>
      <c r="L353" s="6" t="str">
        <f>IFERROR(IF(INDEX('03_상품분류2526'!$V$7:$V$2532,MATCH(E353,'03_상품분류2526'!$A$7:$A$2532,0))="","",INDEX('03_상품분류2526'!$V$7:$V$2532,MATCH(E353,'03_상품분류2526'!$A$7:$A$2532,0))),"")</f>
        <v/>
      </c>
      <c r="M353" s="6" t="str">
        <f>IFERROR(IF(INDEX('03_상품분류2526'!$W$7:$W$2532,MATCH(E353,'03_상품분류2526'!$A$7:$A$2532,0))="","",INDEX('03_상품분류2526'!$W$7:$W$2532,MATCH(E353,'03_상품분류2526'!$A$7:$A$2532,0))),"")</f>
        <v/>
      </c>
      <c r="N353" s="6" t="str">
        <f>IFERROR(IF(INDEX('03_상품분류2526'!$X$7:$X$2532,MATCH(E353,'03_상품분류2526'!$A$7:$A$2532,0))="","",INDEX('03_상품분류2526'!$X$7:$X$2532,MATCH(E353,'03_상품분류2526'!$A$7:$A$2532,0))),"")</f>
        <v/>
      </c>
      <c r="O353" s="6">
        <f>'02_선반315'!R269</f>
        <v>645</v>
      </c>
      <c r="P353" s="6">
        <f>'02_선반315'!T269</f>
        <v>220</v>
      </c>
      <c r="Q353" s="6">
        <f>'02_선반315'!U269</f>
        <v>200</v>
      </c>
      <c r="R353" s="6">
        <f>'02_선반315'!S269</f>
        <v>270</v>
      </c>
      <c r="S353" s="6" t="str">
        <f t="shared" si="10"/>
        <v/>
      </c>
      <c r="T353" s="6" t="str">
        <f t="shared" si="11"/>
        <v>입력 대기</v>
      </c>
      <c r="U353" s="6" t="s">
        <v>7509</v>
      </c>
      <c r="V353" s="6" t="s">
        <v>555</v>
      </c>
      <c r="W353" s="6" t="s">
        <v>1464</v>
      </c>
    </row>
    <row r="354" spans="1:23" ht="33" customHeight="1">
      <c r="A354" s="6" t="s">
        <v>7859</v>
      </c>
      <c r="B354" s="6" t="s">
        <v>1487</v>
      </c>
      <c r="C354" s="6" t="s">
        <v>483</v>
      </c>
      <c r="D354" s="6">
        <v>2</v>
      </c>
      <c r="E354" s="6" t="s">
        <v>979</v>
      </c>
      <c r="F354" s="6" t="str">
        <f>IFERROR(INDEX('03_상품분류2526'!$C$7:$C$2532,MATCH(E354,'03_상품분류2526'!$A$7:$A$2532,0)),"코드 확인")</f>
        <v>노스카딘겔</v>
      </c>
      <c r="G354" s="6" t="str">
        <f>IFERROR(INDEX('03_상품분류2526'!$D$7:$D$2532,MATCH(E354,'03_상품분류2526'!$A$7:$A$2532,0)),"코드 확인")</f>
        <v>18g</v>
      </c>
      <c r="H354" s="6" t="s">
        <v>7521</v>
      </c>
      <c r="I354" s="6" t="str">
        <f>IFERROR(INDEX('03_상품분류2526'!$M$7:$M$2532,MATCH(E354,'03_상품분류2526'!$A$7:$A$2532,0)),"코드 확인")</f>
        <v>B</v>
      </c>
      <c r="J354" s="6">
        <v>1</v>
      </c>
      <c r="K354" s="15">
        <v>1</v>
      </c>
      <c r="L354" s="6" t="str">
        <f>IFERROR(IF(INDEX('03_상품분류2526'!$V$7:$V$2532,MATCH(E354,'03_상품분류2526'!$A$7:$A$2532,0))="","",INDEX('03_상품분류2526'!$V$7:$V$2532,MATCH(E354,'03_상품분류2526'!$A$7:$A$2532,0))),"")</f>
        <v/>
      </c>
      <c r="M354" s="6" t="str">
        <f>IFERROR(IF(INDEX('03_상품분류2526'!$W$7:$W$2532,MATCH(E354,'03_상품분류2526'!$A$7:$A$2532,0))="","",INDEX('03_상품분류2526'!$W$7:$W$2532,MATCH(E354,'03_상품분류2526'!$A$7:$A$2532,0))),"")</f>
        <v/>
      </c>
      <c r="N354" s="6" t="str">
        <f>IFERROR(IF(INDEX('03_상품분류2526'!$X$7:$X$2532,MATCH(E354,'03_상품분류2526'!$A$7:$A$2532,0))="","",INDEX('03_상품분류2526'!$X$7:$X$2532,MATCH(E354,'03_상품분류2526'!$A$7:$A$2532,0))),"")</f>
        <v/>
      </c>
      <c r="O354" s="6">
        <f>'02_선반315'!R273</f>
        <v>645</v>
      </c>
      <c r="P354" s="6">
        <f>'02_선반315'!T273</f>
        <v>220</v>
      </c>
      <c r="Q354" s="6">
        <f>'02_선반315'!U273</f>
        <v>200</v>
      </c>
      <c r="R354" s="6">
        <f>'02_선반315'!S273</f>
        <v>270</v>
      </c>
      <c r="S354" s="6" t="str">
        <f t="shared" si="10"/>
        <v/>
      </c>
      <c r="T354" s="6" t="str">
        <f t="shared" si="11"/>
        <v>입력 대기</v>
      </c>
      <c r="U354" s="6" t="s">
        <v>7509</v>
      </c>
      <c r="V354" s="6" t="s">
        <v>555</v>
      </c>
      <c r="W354" s="6" t="s">
        <v>1464</v>
      </c>
    </row>
    <row r="355" spans="1:23" ht="33" customHeight="1">
      <c r="A355" s="6" t="s">
        <v>7860</v>
      </c>
      <c r="B355" s="6" t="s">
        <v>1488</v>
      </c>
      <c r="C355" s="6" t="s">
        <v>483</v>
      </c>
      <c r="D355" s="6">
        <v>3</v>
      </c>
      <c r="E355" s="6" t="s">
        <v>1490</v>
      </c>
      <c r="F355" s="6" t="str">
        <f>IFERROR(INDEX('03_상품분류2526'!$C$7:$C$2532,MATCH(E355,'03_상품분류2526'!$A$7:$A$2532,0)),"코드 확인")</f>
        <v>스카덤울트라</v>
      </c>
      <c r="G355" s="6" t="str">
        <f>IFERROR(INDEX('03_상품분류2526'!$D$7:$D$2532,MATCH(E355,'03_상품분류2526'!$A$7:$A$2532,0)),"코드 확인")</f>
        <v>10g</v>
      </c>
      <c r="H355" s="6" t="s">
        <v>7521</v>
      </c>
      <c r="I355" s="6" t="str">
        <f>IFERROR(INDEX('03_상품분류2526'!$M$7:$M$2532,MATCH(E355,'03_상품분류2526'!$A$7:$A$2532,0)),"코드 확인")</f>
        <v>B</v>
      </c>
      <c r="J355" s="6">
        <v>1</v>
      </c>
      <c r="K355" s="15">
        <v>1</v>
      </c>
      <c r="L355" s="6" t="str">
        <f>IFERROR(IF(INDEX('03_상품분류2526'!$V$7:$V$2532,MATCH(E355,'03_상품분류2526'!$A$7:$A$2532,0))="","",INDEX('03_상품분류2526'!$V$7:$V$2532,MATCH(E355,'03_상품분류2526'!$A$7:$A$2532,0))),"")</f>
        <v/>
      </c>
      <c r="M355" s="6" t="str">
        <f>IFERROR(IF(INDEX('03_상품분류2526'!$W$7:$W$2532,MATCH(E355,'03_상품분류2526'!$A$7:$A$2532,0))="","",INDEX('03_상품분류2526'!$W$7:$W$2532,MATCH(E355,'03_상품분류2526'!$A$7:$A$2532,0))),"")</f>
        <v/>
      </c>
      <c r="N355" s="6" t="str">
        <f>IFERROR(IF(INDEX('03_상품분류2526'!$X$7:$X$2532,MATCH(E355,'03_상품분류2526'!$A$7:$A$2532,0))="","",INDEX('03_상품분류2526'!$X$7:$X$2532,MATCH(E355,'03_상품분류2526'!$A$7:$A$2532,0))),"")</f>
        <v/>
      </c>
      <c r="O355" s="6">
        <f>'02_선반315'!R274</f>
        <v>645</v>
      </c>
      <c r="P355" s="6">
        <f>'02_선반315'!T274</f>
        <v>220</v>
      </c>
      <c r="Q355" s="6">
        <f>'02_선반315'!U274</f>
        <v>200</v>
      </c>
      <c r="R355" s="6">
        <f>'02_선반315'!S274</f>
        <v>270</v>
      </c>
      <c r="S355" s="6" t="str">
        <f t="shared" si="10"/>
        <v/>
      </c>
      <c r="T355" s="6" t="str">
        <f t="shared" si="11"/>
        <v>입력 대기</v>
      </c>
      <c r="U355" s="6" t="s">
        <v>7509</v>
      </c>
      <c r="V355" s="6" t="s">
        <v>555</v>
      </c>
      <c r="W355" s="6" t="s">
        <v>1464</v>
      </c>
    </row>
    <row r="356" spans="1:23" ht="33" customHeight="1">
      <c r="A356" s="6" t="s">
        <v>7861</v>
      </c>
      <c r="B356" s="6" t="s">
        <v>1496</v>
      </c>
      <c r="C356" s="6" t="s">
        <v>486</v>
      </c>
      <c r="D356" s="6">
        <v>2</v>
      </c>
      <c r="E356" s="6" t="s">
        <v>1498</v>
      </c>
      <c r="F356" s="6" t="str">
        <f>IFERROR(INDEX('03_상품분류2526'!$C$7:$C$2532,MATCH(E356,'03_상품분류2526'!$A$7:$A$2532,0)),"코드 확인")</f>
        <v>케어리브방수형M</v>
      </c>
      <c r="G356" s="6" t="str">
        <f>IFERROR(INDEX('03_상품분류2526'!$D$7:$D$2532,MATCH(E356,'03_상품분류2526'!$A$7:$A$2532,0)),"코드 확인")</f>
        <v>20개입</v>
      </c>
      <c r="H356" s="6" t="s">
        <v>7521</v>
      </c>
      <c r="I356" s="6" t="str">
        <f>IFERROR(INDEX('03_상품분류2526'!$M$7:$M$2532,MATCH(E356,'03_상품분류2526'!$A$7:$A$2532,0)),"코드 확인")</f>
        <v>A</v>
      </c>
      <c r="J356" s="6">
        <v>1</v>
      </c>
      <c r="K356" s="15">
        <v>1</v>
      </c>
      <c r="L356" s="6" t="str">
        <f>IFERROR(IF(INDEX('03_상품분류2526'!$V$7:$V$2532,MATCH(E356,'03_상품분류2526'!$A$7:$A$2532,0))="","",INDEX('03_상품분류2526'!$V$7:$V$2532,MATCH(E356,'03_상품분류2526'!$A$7:$A$2532,0))),"")</f>
        <v/>
      </c>
      <c r="M356" s="6" t="str">
        <f>IFERROR(IF(INDEX('03_상품분류2526'!$W$7:$W$2532,MATCH(E356,'03_상품분류2526'!$A$7:$A$2532,0))="","",INDEX('03_상품분류2526'!$W$7:$W$2532,MATCH(E356,'03_상품분류2526'!$A$7:$A$2532,0))),"")</f>
        <v/>
      </c>
      <c r="N356" s="6" t="str">
        <f>IFERROR(IF(INDEX('03_상품분류2526'!$X$7:$X$2532,MATCH(E356,'03_상품분류2526'!$A$7:$A$2532,0))="","",INDEX('03_상품분류2526'!$X$7:$X$2532,MATCH(E356,'03_상품분류2526'!$A$7:$A$2532,0))),"")</f>
        <v/>
      </c>
      <c r="O356" s="6">
        <f>'02_선반315'!R278</f>
        <v>645</v>
      </c>
      <c r="P356" s="6">
        <f>'02_선반315'!T278</f>
        <v>220</v>
      </c>
      <c r="Q356" s="6">
        <f>'02_선반315'!U278</f>
        <v>200</v>
      </c>
      <c r="R356" s="6">
        <f>'02_선반315'!S278</f>
        <v>270</v>
      </c>
      <c r="S356" s="6" t="str">
        <f t="shared" si="10"/>
        <v/>
      </c>
      <c r="T356" s="6" t="str">
        <f t="shared" si="11"/>
        <v>입력 대기</v>
      </c>
      <c r="U356" s="6" t="s">
        <v>7509</v>
      </c>
      <c r="V356" s="6" t="s">
        <v>555</v>
      </c>
      <c r="W356" s="6" t="s">
        <v>1464</v>
      </c>
    </row>
    <row r="357" spans="1:23" ht="33" customHeight="1">
      <c r="A357" s="6" t="s">
        <v>7862</v>
      </c>
      <c r="B357" s="6" t="s">
        <v>1500</v>
      </c>
      <c r="C357" s="6" t="s">
        <v>486</v>
      </c>
      <c r="D357" s="6">
        <v>3</v>
      </c>
      <c r="E357" s="6" t="s">
        <v>1502</v>
      </c>
      <c r="F357" s="6" t="str">
        <f>IFERROR(INDEX('03_상품분류2526'!$C$7:$C$2532,MATCH(E357,'03_상품분류2526'!$A$7:$A$2532,0)),"코드 확인")</f>
        <v>케어리브습윤방수(중형)</v>
      </c>
      <c r="G357" s="6" t="str">
        <f>IFERROR(INDEX('03_상품분류2526'!$D$7:$D$2532,MATCH(E357,'03_상품분류2526'!$A$7:$A$2532,0)),"코드 확인")</f>
        <v>12매</v>
      </c>
      <c r="H357" s="6" t="s">
        <v>7521</v>
      </c>
      <c r="I357" s="6" t="str">
        <f>IFERROR(INDEX('03_상품분류2526'!$M$7:$M$2532,MATCH(E357,'03_상품분류2526'!$A$7:$A$2532,0)),"코드 확인")</f>
        <v>A</v>
      </c>
      <c r="J357" s="6">
        <v>1</v>
      </c>
      <c r="K357" s="15">
        <v>1</v>
      </c>
      <c r="L357" s="6" t="str">
        <f>IFERROR(IF(INDEX('03_상품분류2526'!$V$7:$V$2532,MATCH(E357,'03_상품분류2526'!$A$7:$A$2532,0))="","",INDEX('03_상품분류2526'!$V$7:$V$2532,MATCH(E357,'03_상품분류2526'!$A$7:$A$2532,0))),"")</f>
        <v/>
      </c>
      <c r="M357" s="6" t="str">
        <f>IFERROR(IF(INDEX('03_상품분류2526'!$W$7:$W$2532,MATCH(E357,'03_상품분류2526'!$A$7:$A$2532,0))="","",INDEX('03_상품분류2526'!$W$7:$W$2532,MATCH(E357,'03_상품분류2526'!$A$7:$A$2532,0))),"")</f>
        <v/>
      </c>
      <c r="N357" s="6" t="str">
        <f>IFERROR(IF(INDEX('03_상품분류2526'!$X$7:$X$2532,MATCH(E357,'03_상품분류2526'!$A$7:$A$2532,0))="","",INDEX('03_상품분류2526'!$X$7:$X$2532,MATCH(E357,'03_상품분류2526'!$A$7:$A$2532,0))),"")</f>
        <v/>
      </c>
      <c r="O357" s="6">
        <f>'02_선반315'!R279</f>
        <v>645</v>
      </c>
      <c r="P357" s="6">
        <f>'02_선반315'!T279</f>
        <v>220</v>
      </c>
      <c r="Q357" s="6">
        <f>'02_선반315'!U279</f>
        <v>200</v>
      </c>
      <c r="R357" s="6">
        <f>'02_선반315'!S279</f>
        <v>270</v>
      </c>
      <c r="S357" s="6" t="str">
        <f t="shared" si="10"/>
        <v/>
      </c>
      <c r="T357" s="6" t="str">
        <f t="shared" si="11"/>
        <v>입력 대기</v>
      </c>
      <c r="U357" s="6" t="s">
        <v>7509</v>
      </c>
      <c r="V357" s="6" t="s">
        <v>555</v>
      </c>
      <c r="W357" s="6" t="s">
        <v>1464</v>
      </c>
    </row>
    <row r="358" spans="1:23" ht="33" customHeight="1">
      <c r="A358" s="6" t="s">
        <v>7863</v>
      </c>
      <c r="B358" s="6" t="s">
        <v>1508</v>
      </c>
      <c r="C358" s="6" t="s">
        <v>489</v>
      </c>
      <c r="D358" s="6">
        <v>2</v>
      </c>
      <c r="E358" s="6" t="s">
        <v>1510</v>
      </c>
      <c r="F358" s="6" t="str">
        <f>IFERROR(INDEX('03_상품분류2526'!$C$7:$C$2532,MATCH(E358,'03_상품분류2526'!$A$7:$A$2532,0)),"코드 확인")</f>
        <v>멜라토닝크림</v>
      </c>
      <c r="G358" s="6" t="str">
        <f>IFERROR(INDEX('03_상품분류2526'!$D$7:$D$2532,MATCH(E358,'03_상품분류2526'!$A$7:$A$2532,0)),"코드 확인")</f>
        <v>30g</v>
      </c>
      <c r="H358" s="6" t="s">
        <v>7521</v>
      </c>
      <c r="I358" s="6" t="str">
        <f>IFERROR(INDEX('03_상품분류2526'!$M$7:$M$2532,MATCH(E358,'03_상품분류2526'!$A$7:$A$2532,0)),"코드 확인")</f>
        <v>A</v>
      </c>
      <c r="J358" s="6">
        <v>1</v>
      </c>
      <c r="K358" s="15">
        <v>1</v>
      </c>
      <c r="L358" s="6" t="str">
        <f>IFERROR(IF(INDEX('03_상품분류2526'!$V$7:$V$2532,MATCH(E358,'03_상품분류2526'!$A$7:$A$2532,0))="","",INDEX('03_상품분류2526'!$V$7:$V$2532,MATCH(E358,'03_상품분류2526'!$A$7:$A$2532,0))),"")</f>
        <v/>
      </c>
      <c r="M358" s="6" t="str">
        <f>IFERROR(IF(INDEX('03_상품분류2526'!$W$7:$W$2532,MATCH(E358,'03_상품분류2526'!$A$7:$A$2532,0))="","",INDEX('03_상품분류2526'!$W$7:$W$2532,MATCH(E358,'03_상품분류2526'!$A$7:$A$2532,0))),"")</f>
        <v/>
      </c>
      <c r="N358" s="6" t="str">
        <f>IFERROR(IF(INDEX('03_상품분류2526'!$X$7:$X$2532,MATCH(E358,'03_상품분류2526'!$A$7:$A$2532,0))="","",INDEX('03_상품분류2526'!$X$7:$X$2532,MATCH(E358,'03_상품분류2526'!$A$7:$A$2532,0))),"")</f>
        <v/>
      </c>
      <c r="O358" s="6">
        <f>'02_선반315'!R283</f>
        <v>645</v>
      </c>
      <c r="P358" s="6">
        <f>'02_선반315'!T283</f>
        <v>220</v>
      </c>
      <c r="Q358" s="6">
        <f>'02_선반315'!U283</f>
        <v>200</v>
      </c>
      <c r="R358" s="6">
        <f>'02_선반315'!S283</f>
        <v>270</v>
      </c>
      <c r="S358" s="6" t="str">
        <f t="shared" si="10"/>
        <v/>
      </c>
      <c r="T358" s="6" t="str">
        <f t="shared" si="11"/>
        <v>입력 대기</v>
      </c>
      <c r="U358" s="6" t="s">
        <v>7509</v>
      </c>
      <c r="V358" s="6" t="s">
        <v>555</v>
      </c>
      <c r="W358" s="6" t="s">
        <v>1464</v>
      </c>
    </row>
    <row r="359" spans="1:23" ht="33" customHeight="1">
      <c r="A359" s="6" t="s">
        <v>7864</v>
      </c>
      <c r="B359" s="6" t="s">
        <v>1512</v>
      </c>
      <c r="C359" s="6" t="s">
        <v>489</v>
      </c>
      <c r="D359" s="6">
        <v>3</v>
      </c>
      <c r="E359" s="6" t="s">
        <v>1514</v>
      </c>
      <c r="F359" s="6" t="str">
        <f>IFERROR(INDEX('03_상품분류2526'!$C$7:$C$2532,MATCH(E359,'03_상품분류2526'!$A$7:$A$2532,0)),"코드 확인")</f>
        <v>리쥬올어드밴스드PDRN카밍선세럼</v>
      </c>
      <c r="G359" s="6" t="str">
        <f>IFERROR(INDEX('03_상품분류2526'!$D$7:$D$2532,MATCH(E359,'03_상품분류2526'!$A$7:$A$2532,0)),"코드 확인")</f>
        <v>50ml</v>
      </c>
      <c r="H359" s="6" t="s">
        <v>7521</v>
      </c>
      <c r="I359" s="6" t="str">
        <f>IFERROR(INDEX('03_상품분류2526'!$M$7:$M$2532,MATCH(E359,'03_상품분류2526'!$A$7:$A$2532,0)),"코드 확인")</f>
        <v>A</v>
      </c>
      <c r="J359" s="6">
        <v>1</v>
      </c>
      <c r="K359" s="15">
        <v>1</v>
      </c>
      <c r="L359" s="6" t="str">
        <f>IFERROR(IF(INDEX('03_상품분류2526'!$V$7:$V$2532,MATCH(E359,'03_상품분류2526'!$A$7:$A$2532,0))="","",INDEX('03_상품분류2526'!$V$7:$V$2532,MATCH(E359,'03_상품분류2526'!$A$7:$A$2532,0))),"")</f>
        <v/>
      </c>
      <c r="M359" s="6" t="str">
        <f>IFERROR(IF(INDEX('03_상품분류2526'!$W$7:$W$2532,MATCH(E359,'03_상품분류2526'!$A$7:$A$2532,0))="","",INDEX('03_상품분류2526'!$W$7:$W$2532,MATCH(E359,'03_상품분류2526'!$A$7:$A$2532,0))),"")</f>
        <v/>
      </c>
      <c r="N359" s="6" t="str">
        <f>IFERROR(IF(INDEX('03_상품분류2526'!$X$7:$X$2532,MATCH(E359,'03_상품분류2526'!$A$7:$A$2532,0))="","",INDEX('03_상품분류2526'!$X$7:$X$2532,MATCH(E359,'03_상품분류2526'!$A$7:$A$2532,0))),"")</f>
        <v/>
      </c>
      <c r="O359" s="6">
        <f>'02_선반315'!R284</f>
        <v>645</v>
      </c>
      <c r="P359" s="6">
        <f>'02_선반315'!T284</f>
        <v>220</v>
      </c>
      <c r="Q359" s="6">
        <f>'02_선반315'!U284</f>
        <v>200</v>
      </c>
      <c r="R359" s="6">
        <f>'02_선반315'!S284</f>
        <v>270</v>
      </c>
      <c r="S359" s="6" t="str">
        <f t="shared" si="10"/>
        <v/>
      </c>
      <c r="T359" s="6" t="str">
        <f t="shared" si="11"/>
        <v>입력 대기</v>
      </c>
      <c r="U359" s="6" t="s">
        <v>7509</v>
      </c>
      <c r="V359" s="6" t="s">
        <v>555</v>
      </c>
      <c r="W359" s="6" t="s">
        <v>1464</v>
      </c>
    </row>
    <row r="360" spans="1:23" ht="33" customHeight="1">
      <c r="A360" s="6" t="s">
        <v>7865</v>
      </c>
      <c r="B360" s="6" t="s">
        <v>1520</v>
      </c>
      <c r="C360" s="6" t="s">
        <v>494</v>
      </c>
      <c r="D360" s="6">
        <v>2</v>
      </c>
      <c r="E360" s="6" t="s">
        <v>1522</v>
      </c>
      <c r="F360" s="6" t="str">
        <f>IFERROR(INDEX('03_상품분류2526'!$C$7:$C$2532,MATCH(E360,'03_상품분류2526'!$A$7:$A$2532,0)),"코드 확인")</f>
        <v>닥터 리쥬올 어드밴스드 피디알엔 헤어 덴시티 스칼프 세럼</v>
      </c>
      <c r="G360" s="6" t="str">
        <f>IFERROR(INDEX('03_상품분류2526'!$D$7:$D$2532,MATCH(E360,'03_상품분류2526'!$A$7:$A$2532,0)),"코드 확인")</f>
        <v>15ml</v>
      </c>
      <c r="H360" s="6" t="s">
        <v>7521</v>
      </c>
      <c r="I360" s="6" t="str">
        <f>IFERROR(INDEX('03_상품분류2526'!$M$7:$M$2532,MATCH(E360,'03_상품분류2526'!$A$7:$A$2532,0)),"코드 확인")</f>
        <v>B</v>
      </c>
      <c r="J360" s="6">
        <v>1</v>
      </c>
      <c r="K360" s="15">
        <v>1</v>
      </c>
      <c r="L360" s="6" t="str">
        <f>IFERROR(IF(INDEX('03_상품분류2526'!$V$7:$V$2532,MATCH(E360,'03_상품분류2526'!$A$7:$A$2532,0))="","",INDEX('03_상품분류2526'!$V$7:$V$2532,MATCH(E360,'03_상품분류2526'!$A$7:$A$2532,0))),"")</f>
        <v/>
      </c>
      <c r="M360" s="6" t="str">
        <f>IFERROR(IF(INDEX('03_상품분류2526'!$W$7:$W$2532,MATCH(E360,'03_상품분류2526'!$A$7:$A$2532,0))="","",INDEX('03_상품분류2526'!$W$7:$W$2532,MATCH(E360,'03_상품분류2526'!$A$7:$A$2532,0))),"")</f>
        <v/>
      </c>
      <c r="N360" s="6" t="str">
        <f>IFERROR(IF(INDEX('03_상품분류2526'!$X$7:$X$2532,MATCH(E360,'03_상품분류2526'!$A$7:$A$2532,0))="","",INDEX('03_상품분류2526'!$X$7:$X$2532,MATCH(E360,'03_상품분류2526'!$A$7:$A$2532,0))),"")</f>
        <v/>
      </c>
      <c r="O360" s="6">
        <f>'02_선반315'!R288</f>
        <v>645</v>
      </c>
      <c r="P360" s="6">
        <f>'02_선반315'!T288</f>
        <v>220</v>
      </c>
      <c r="Q360" s="6">
        <f>'02_선반315'!U288</f>
        <v>200</v>
      </c>
      <c r="R360" s="6">
        <f>'02_선반315'!S288</f>
        <v>270</v>
      </c>
      <c r="S360" s="6" t="str">
        <f t="shared" si="10"/>
        <v/>
      </c>
      <c r="T360" s="6" t="str">
        <f t="shared" si="11"/>
        <v>입력 대기</v>
      </c>
      <c r="U360" s="6" t="s">
        <v>7509</v>
      </c>
      <c r="V360" s="6" t="s">
        <v>555</v>
      </c>
      <c r="W360" s="6" t="s">
        <v>1464</v>
      </c>
    </row>
    <row r="361" spans="1:23" ht="33" customHeight="1">
      <c r="A361" s="6" t="s">
        <v>7866</v>
      </c>
      <c r="B361" s="6" t="s">
        <v>1524</v>
      </c>
      <c r="C361" s="6" t="s">
        <v>494</v>
      </c>
      <c r="D361" s="6">
        <v>3</v>
      </c>
      <c r="E361" s="6" t="s">
        <v>1122</v>
      </c>
      <c r="F361" s="6" t="str">
        <f>IFERROR(INDEX('03_상품분류2526'!$C$7:$C$2532,MATCH(E361,'03_상품분류2526'!$A$7:$A$2532,0)),"코드 확인")</f>
        <v>(신)니조랄2%액</v>
      </c>
      <c r="G361" s="6" t="str">
        <f>IFERROR(INDEX('03_상품분류2526'!$D$7:$D$2532,MATCH(E361,'03_상품분류2526'!$A$7:$A$2532,0)),"코드 확인")</f>
        <v>100ml</v>
      </c>
      <c r="H361" s="6" t="s">
        <v>7521</v>
      </c>
      <c r="I361" s="6" t="str">
        <f>IFERROR(INDEX('03_상품분류2526'!$M$7:$M$2532,MATCH(E361,'03_상품분류2526'!$A$7:$A$2532,0)),"코드 확인")</f>
        <v>A</v>
      </c>
      <c r="J361" s="6">
        <v>1</v>
      </c>
      <c r="K361" s="15">
        <v>1</v>
      </c>
      <c r="L361" s="6" t="str">
        <f>IFERROR(IF(INDEX('03_상품분류2526'!$V$7:$V$2532,MATCH(E361,'03_상품분류2526'!$A$7:$A$2532,0))="","",INDEX('03_상품분류2526'!$V$7:$V$2532,MATCH(E361,'03_상품분류2526'!$A$7:$A$2532,0))),"")</f>
        <v/>
      </c>
      <c r="M361" s="6" t="str">
        <f>IFERROR(IF(INDEX('03_상품분류2526'!$W$7:$W$2532,MATCH(E361,'03_상품분류2526'!$A$7:$A$2532,0))="","",INDEX('03_상품분류2526'!$W$7:$W$2532,MATCH(E361,'03_상품분류2526'!$A$7:$A$2532,0))),"")</f>
        <v/>
      </c>
      <c r="N361" s="6" t="str">
        <f>IFERROR(IF(INDEX('03_상품분류2526'!$X$7:$X$2532,MATCH(E361,'03_상품분류2526'!$A$7:$A$2532,0))="","",INDEX('03_상품분류2526'!$X$7:$X$2532,MATCH(E361,'03_상품분류2526'!$A$7:$A$2532,0))),"")</f>
        <v/>
      </c>
      <c r="O361" s="6">
        <f>'02_선반315'!R289</f>
        <v>645</v>
      </c>
      <c r="P361" s="6">
        <f>'02_선반315'!T289</f>
        <v>220</v>
      </c>
      <c r="Q361" s="6">
        <f>'02_선반315'!U289</f>
        <v>200</v>
      </c>
      <c r="R361" s="6">
        <f>'02_선반315'!S289</f>
        <v>270</v>
      </c>
      <c r="S361" s="6" t="str">
        <f t="shared" si="10"/>
        <v/>
      </c>
      <c r="T361" s="6" t="str">
        <f t="shared" si="11"/>
        <v>입력 대기</v>
      </c>
      <c r="U361" s="6" t="s">
        <v>7509</v>
      </c>
      <c r="V361" s="6" t="s">
        <v>555</v>
      </c>
      <c r="W361" s="6" t="s">
        <v>1464</v>
      </c>
    </row>
    <row r="362" spans="1:23" ht="33" customHeight="1">
      <c r="A362" s="6" t="s">
        <v>7867</v>
      </c>
      <c r="B362" s="6" t="s">
        <v>1529</v>
      </c>
      <c r="C362" s="6" t="s">
        <v>499</v>
      </c>
      <c r="D362" s="6">
        <v>2</v>
      </c>
      <c r="E362" s="6" t="s">
        <v>1531</v>
      </c>
      <c r="F362" s="6" t="str">
        <f>IFERROR(INDEX('03_상품분류2526'!$C$7:$C$2532,MATCH(E362,'03_상품분류2526'!$A$7:$A$2532,0)),"코드 확인")</f>
        <v>하이퍼셀리포좀비타민C</v>
      </c>
      <c r="G362" s="6" t="str">
        <f>IFERROR(INDEX('03_상품분류2526'!$D$7:$D$2532,MATCH(E362,'03_상품분류2526'!$A$7:$A$2532,0)),"코드 확인")</f>
        <v>30포</v>
      </c>
      <c r="H362" s="6" t="s">
        <v>7521</v>
      </c>
      <c r="I362" s="6" t="str">
        <f>IFERROR(INDEX('03_상품분류2526'!$M$7:$M$2532,MATCH(E362,'03_상품분류2526'!$A$7:$A$2532,0)),"코드 확인")</f>
        <v>B</v>
      </c>
      <c r="J362" s="6">
        <v>1</v>
      </c>
      <c r="K362" s="15">
        <v>1</v>
      </c>
      <c r="L362" s="6" t="str">
        <f>IFERROR(IF(INDEX('03_상품분류2526'!$V$7:$V$2532,MATCH(E362,'03_상품분류2526'!$A$7:$A$2532,0))="","",INDEX('03_상품분류2526'!$V$7:$V$2532,MATCH(E362,'03_상품분류2526'!$A$7:$A$2532,0))),"")</f>
        <v/>
      </c>
      <c r="M362" s="6" t="str">
        <f>IFERROR(IF(INDEX('03_상품분류2526'!$W$7:$W$2532,MATCH(E362,'03_상품분류2526'!$A$7:$A$2532,0))="","",INDEX('03_상품분류2526'!$W$7:$W$2532,MATCH(E362,'03_상품분류2526'!$A$7:$A$2532,0))),"")</f>
        <v/>
      </c>
      <c r="N362" s="6" t="str">
        <f>IFERROR(IF(INDEX('03_상품분류2526'!$X$7:$X$2532,MATCH(E362,'03_상품분류2526'!$A$7:$A$2532,0))="","",INDEX('03_상품분류2526'!$X$7:$X$2532,MATCH(E362,'03_상품분류2526'!$A$7:$A$2532,0))),"")</f>
        <v/>
      </c>
      <c r="O362" s="6">
        <f>'02_선반315'!R293</f>
        <v>645</v>
      </c>
      <c r="P362" s="6">
        <f>'02_선반315'!T293</f>
        <v>220</v>
      </c>
      <c r="Q362" s="6">
        <f>'02_선반315'!U293</f>
        <v>200</v>
      </c>
      <c r="R362" s="6">
        <f>'02_선반315'!S293</f>
        <v>270</v>
      </c>
      <c r="S362" s="6" t="str">
        <f t="shared" si="10"/>
        <v/>
      </c>
      <c r="T362" s="6" t="str">
        <f t="shared" si="11"/>
        <v>입력 대기</v>
      </c>
      <c r="U362" s="6" t="s">
        <v>7509</v>
      </c>
      <c r="V362" s="6" t="s">
        <v>555</v>
      </c>
      <c r="W362" s="6" t="s">
        <v>1464</v>
      </c>
    </row>
    <row r="363" spans="1:23" ht="33" customHeight="1">
      <c r="A363" s="6" t="s">
        <v>7868</v>
      </c>
      <c r="B363" s="6" t="s">
        <v>1533</v>
      </c>
      <c r="C363" s="6" t="s">
        <v>499</v>
      </c>
      <c r="D363" s="6">
        <v>3</v>
      </c>
      <c r="E363" s="6" t="s">
        <v>1217</v>
      </c>
      <c r="F363" s="6" t="str">
        <f>IFERROR(INDEX('03_상품분류2526'!$C$7:$C$2532,MATCH(E363,'03_상품분류2526'!$A$7:$A$2532,0)),"코드 확인")</f>
        <v>앱솔루트콜라겐9.0</v>
      </c>
      <c r="G363" s="6" t="str">
        <f>IFERROR(INDEX('03_상품분류2526'!$D$7:$D$2532,MATCH(E363,'03_상품분류2526'!$A$7:$A$2532,0)),"코드 확인")</f>
        <v>30p</v>
      </c>
      <c r="H363" s="6" t="s">
        <v>7521</v>
      </c>
      <c r="I363" s="6" t="str">
        <f>IFERROR(INDEX('03_상품분류2526'!$M$7:$M$2532,MATCH(E363,'03_상품분류2526'!$A$7:$A$2532,0)),"코드 확인")</f>
        <v>A</v>
      </c>
      <c r="J363" s="6">
        <v>1</v>
      </c>
      <c r="K363" s="15">
        <v>1</v>
      </c>
      <c r="L363" s="6" t="str">
        <f>IFERROR(IF(INDEX('03_상품분류2526'!$V$7:$V$2532,MATCH(E363,'03_상품분류2526'!$A$7:$A$2532,0))="","",INDEX('03_상품분류2526'!$V$7:$V$2532,MATCH(E363,'03_상품분류2526'!$A$7:$A$2532,0))),"")</f>
        <v/>
      </c>
      <c r="M363" s="6" t="str">
        <f>IFERROR(IF(INDEX('03_상품분류2526'!$W$7:$W$2532,MATCH(E363,'03_상품분류2526'!$A$7:$A$2532,0))="","",INDEX('03_상품분류2526'!$W$7:$W$2532,MATCH(E363,'03_상품분류2526'!$A$7:$A$2532,0))),"")</f>
        <v/>
      </c>
      <c r="N363" s="6" t="str">
        <f>IFERROR(IF(INDEX('03_상품분류2526'!$X$7:$X$2532,MATCH(E363,'03_상품분류2526'!$A$7:$A$2532,0))="","",INDEX('03_상품분류2526'!$X$7:$X$2532,MATCH(E363,'03_상품분류2526'!$A$7:$A$2532,0))),"")</f>
        <v/>
      </c>
      <c r="O363" s="6">
        <f>'02_선반315'!R294</f>
        <v>645</v>
      </c>
      <c r="P363" s="6">
        <f>'02_선반315'!T294</f>
        <v>220</v>
      </c>
      <c r="Q363" s="6">
        <f>'02_선반315'!U294</f>
        <v>200</v>
      </c>
      <c r="R363" s="6">
        <f>'02_선반315'!S294</f>
        <v>270</v>
      </c>
      <c r="S363" s="6" t="str">
        <f t="shared" si="10"/>
        <v/>
      </c>
      <c r="T363" s="6" t="str">
        <f t="shared" si="11"/>
        <v>입력 대기</v>
      </c>
      <c r="U363" s="6" t="s">
        <v>7509</v>
      </c>
      <c r="V363" s="6" t="s">
        <v>555</v>
      </c>
      <c r="W363" s="6" t="s">
        <v>1464</v>
      </c>
    </row>
    <row r="364" spans="1:23" ht="33" customHeight="1">
      <c r="A364" s="6" t="s">
        <v>7869</v>
      </c>
      <c r="B364" s="6" t="s">
        <v>1538</v>
      </c>
      <c r="C364" s="6" t="s">
        <v>502</v>
      </c>
      <c r="D364" s="6">
        <v>2</v>
      </c>
      <c r="E364" s="6" t="s">
        <v>1540</v>
      </c>
      <c r="F364" s="6" t="str">
        <f>IFERROR(INDEX('03_상품분류2526'!$C$7:$C$2532,MATCH(E364,'03_상품분류2526'!$A$7:$A$2532,0)),"코드 확인")</f>
        <v>생유산균_락토핏_골드_리뉴얼</v>
      </c>
      <c r="G364" s="6" t="str">
        <f>IFERROR(INDEX('03_상품분류2526'!$D$7:$D$2532,MATCH(E364,'03_상품분류2526'!$A$7:$A$2532,0)),"코드 확인")</f>
        <v>50포</v>
      </c>
      <c r="H364" s="6" t="s">
        <v>7521</v>
      </c>
      <c r="I364" s="6" t="str">
        <f>IFERROR(INDEX('03_상품분류2526'!$M$7:$M$2532,MATCH(E364,'03_상품분류2526'!$A$7:$A$2532,0)),"코드 확인")</f>
        <v>A</v>
      </c>
      <c r="J364" s="6">
        <v>1</v>
      </c>
      <c r="K364" s="15">
        <v>1</v>
      </c>
      <c r="L364" s="6" t="str">
        <f>IFERROR(IF(INDEX('03_상품분류2526'!$V$7:$V$2532,MATCH(E364,'03_상품분류2526'!$A$7:$A$2532,0))="","",INDEX('03_상품분류2526'!$V$7:$V$2532,MATCH(E364,'03_상품분류2526'!$A$7:$A$2532,0))),"")</f>
        <v/>
      </c>
      <c r="M364" s="6" t="str">
        <f>IFERROR(IF(INDEX('03_상품분류2526'!$W$7:$W$2532,MATCH(E364,'03_상품분류2526'!$A$7:$A$2532,0))="","",INDEX('03_상품분류2526'!$W$7:$W$2532,MATCH(E364,'03_상품분류2526'!$A$7:$A$2532,0))),"")</f>
        <v/>
      </c>
      <c r="N364" s="6" t="str">
        <f>IFERROR(IF(INDEX('03_상품분류2526'!$X$7:$X$2532,MATCH(E364,'03_상품분류2526'!$A$7:$A$2532,0))="","",INDEX('03_상품분류2526'!$X$7:$X$2532,MATCH(E364,'03_상품분류2526'!$A$7:$A$2532,0))),"")</f>
        <v/>
      </c>
      <c r="O364" s="6">
        <f>'02_선반315'!R298</f>
        <v>645</v>
      </c>
      <c r="P364" s="6">
        <f>'02_선반315'!T298</f>
        <v>220</v>
      </c>
      <c r="Q364" s="6">
        <f>'02_선반315'!U298</f>
        <v>200</v>
      </c>
      <c r="R364" s="6">
        <f>'02_선반315'!S298</f>
        <v>270</v>
      </c>
      <c r="S364" s="6" t="str">
        <f t="shared" si="10"/>
        <v/>
      </c>
      <c r="T364" s="6" t="str">
        <f t="shared" si="11"/>
        <v>입력 대기</v>
      </c>
      <c r="U364" s="6" t="s">
        <v>7509</v>
      </c>
      <c r="V364" s="6" t="s">
        <v>555</v>
      </c>
      <c r="W364" s="6" t="s">
        <v>1464</v>
      </c>
    </row>
    <row r="365" spans="1:23" ht="33" customHeight="1">
      <c r="A365" s="6" t="s">
        <v>7870</v>
      </c>
      <c r="B365" s="6" t="s">
        <v>1542</v>
      </c>
      <c r="C365" s="6" t="s">
        <v>502</v>
      </c>
      <c r="D365" s="6">
        <v>3</v>
      </c>
      <c r="E365" s="6" t="s">
        <v>1544</v>
      </c>
      <c r="F365" s="6" t="str">
        <f>IFERROR(INDEX('03_상품분류2526'!$C$7:$C$2532,MATCH(E365,'03_상품분류2526'!$A$7:$A$2532,0)),"코드 확인")</f>
        <v>고려은단 멀티비타민 올인원 맨</v>
      </c>
      <c r="G365" s="6" t="str">
        <f>IFERROR(INDEX('03_상품분류2526'!$D$7:$D$2532,MATCH(E365,'03_상품분류2526'!$A$7:$A$2532,0)),"코드 확인")</f>
        <v>30T</v>
      </c>
      <c r="H365" s="6" t="s">
        <v>7521</v>
      </c>
      <c r="I365" s="6" t="str">
        <f>IFERROR(INDEX('03_상품분류2526'!$M$7:$M$2532,MATCH(E365,'03_상품분류2526'!$A$7:$A$2532,0)),"코드 확인")</f>
        <v>A</v>
      </c>
      <c r="J365" s="6">
        <v>1</v>
      </c>
      <c r="K365" s="15">
        <v>1</v>
      </c>
      <c r="L365" s="6" t="str">
        <f>IFERROR(IF(INDEX('03_상품분류2526'!$V$7:$V$2532,MATCH(E365,'03_상품분류2526'!$A$7:$A$2532,0))="","",INDEX('03_상품분류2526'!$V$7:$V$2532,MATCH(E365,'03_상품분류2526'!$A$7:$A$2532,0))),"")</f>
        <v/>
      </c>
      <c r="M365" s="6" t="str">
        <f>IFERROR(IF(INDEX('03_상품분류2526'!$W$7:$W$2532,MATCH(E365,'03_상품분류2526'!$A$7:$A$2532,0))="","",INDEX('03_상품분류2526'!$W$7:$W$2532,MATCH(E365,'03_상품분류2526'!$A$7:$A$2532,0))),"")</f>
        <v/>
      </c>
      <c r="N365" s="6" t="str">
        <f>IFERROR(IF(INDEX('03_상품분류2526'!$X$7:$X$2532,MATCH(E365,'03_상품분류2526'!$A$7:$A$2532,0))="","",INDEX('03_상품분류2526'!$X$7:$X$2532,MATCH(E365,'03_상품분류2526'!$A$7:$A$2532,0))),"")</f>
        <v/>
      </c>
      <c r="O365" s="6">
        <f>'02_선반315'!R299</f>
        <v>645</v>
      </c>
      <c r="P365" s="6">
        <f>'02_선반315'!T299</f>
        <v>220</v>
      </c>
      <c r="Q365" s="6">
        <f>'02_선반315'!U299</f>
        <v>200</v>
      </c>
      <c r="R365" s="6">
        <f>'02_선반315'!S299</f>
        <v>270</v>
      </c>
      <c r="S365" s="6" t="str">
        <f t="shared" si="10"/>
        <v/>
      </c>
      <c r="T365" s="6" t="str">
        <f t="shared" si="11"/>
        <v>입력 대기</v>
      </c>
      <c r="U365" s="6" t="s">
        <v>7509</v>
      </c>
      <c r="V365" s="6" t="s">
        <v>555</v>
      </c>
      <c r="W365" s="6" t="s">
        <v>1464</v>
      </c>
    </row>
    <row r="366" spans="1:23" ht="33" customHeight="1">
      <c r="A366" s="6" t="s">
        <v>7871</v>
      </c>
      <c r="B366" s="6" t="s">
        <v>1549</v>
      </c>
      <c r="C366" s="6" t="s">
        <v>506</v>
      </c>
      <c r="D366" s="6">
        <v>2</v>
      </c>
      <c r="E366" s="6" t="s">
        <v>1551</v>
      </c>
      <c r="F366" s="6" t="str">
        <f>IFERROR(INDEX('03_상품분류2526'!$C$7:$C$2532,MATCH(E366,'03_상품분류2526'!$A$7:$A$2532,0)),"코드 확인")</f>
        <v>닥터알파 피부장벽 크림 80ML</v>
      </c>
      <c r="G366" s="6" t="str">
        <f>IFERROR(INDEX('03_상품분류2526'!$D$7:$D$2532,MATCH(E366,'03_상품분류2526'!$A$7:$A$2532,0)),"코드 확인")</f>
        <v>80ML</v>
      </c>
      <c r="H366" s="6" t="s">
        <v>7521</v>
      </c>
      <c r="I366" s="6" t="str">
        <f>IFERROR(INDEX('03_상품분류2526'!$M$7:$M$2532,MATCH(E366,'03_상품분류2526'!$A$7:$A$2532,0)),"코드 확인")</f>
        <v>A</v>
      </c>
      <c r="J366" s="6">
        <v>1</v>
      </c>
      <c r="K366" s="15">
        <v>1</v>
      </c>
      <c r="L366" s="6" t="str">
        <f>IFERROR(IF(INDEX('03_상품분류2526'!$V$7:$V$2532,MATCH(E366,'03_상품분류2526'!$A$7:$A$2532,0))="","",INDEX('03_상품분류2526'!$V$7:$V$2532,MATCH(E366,'03_상품분류2526'!$A$7:$A$2532,0))),"")</f>
        <v/>
      </c>
      <c r="M366" s="6" t="str">
        <f>IFERROR(IF(INDEX('03_상품분류2526'!$W$7:$W$2532,MATCH(E366,'03_상품분류2526'!$A$7:$A$2532,0))="","",INDEX('03_상품분류2526'!$W$7:$W$2532,MATCH(E366,'03_상품분류2526'!$A$7:$A$2532,0))),"")</f>
        <v/>
      </c>
      <c r="N366" s="6" t="str">
        <f>IFERROR(IF(INDEX('03_상품분류2526'!$X$7:$X$2532,MATCH(E366,'03_상품분류2526'!$A$7:$A$2532,0))="","",INDEX('03_상품분류2526'!$X$7:$X$2532,MATCH(E366,'03_상품분류2526'!$A$7:$A$2532,0))),"")</f>
        <v/>
      </c>
      <c r="O366" s="6">
        <f>'02_선반315'!R303</f>
        <v>645</v>
      </c>
      <c r="P366" s="6">
        <f>'02_선반315'!T303</f>
        <v>220</v>
      </c>
      <c r="Q366" s="6">
        <f>'02_선반315'!U303</f>
        <v>200</v>
      </c>
      <c r="R366" s="6">
        <f>'02_선반315'!S303</f>
        <v>270</v>
      </c>
      <c r="S366" s="6" t="str">
        <f t="shared" si="10"/>
        <v/>
      </c>
      <c r="T366" s="6" t="str">
        <f t="shared" si="11"/>
        <v>입력 대기</v>
      </c>
      <c r="U366" s="6" t="s">
        <v>7509</v>
      </c>
      <c r="V366" s="6" t="s">
        <v>555</v>
      </c>
      <c r="W366" s="6" t="s">
        <v>1464</v>
      </c>
    </row>
    <row r="367" spans="1:23" ht="33" customHeight="1">
      <c r="A367" s="6" t="s">
        <v>7872</v>
      </c>
      <c r="B367" s="6" t="s">
        <v>1553</v>
      </c>
      <c r="C367" s="6" t="s">
        <v>506</v>
      </c>
      <c r="D367" s="6">
        <v>3</v>
      </c>
      <c r="E367" s="6" t="s">
        <v>1555</v>
      </c>
      <c r="F367" s="6" t="str">
        <f>IFERROR(INDEX('03_상품분류2526'!$C$7:$C$2532,MATCH(E367,'03_상품분류2526'!$A$7:$A$2532,0)),"코드 확인")</f>
        <v>프로캄 후시메디 리페어 젤 마스크</v>
      </c>
      <c r="G367" s="6" t="str">
        <f>IFERROR(INDEX('03_상품분류2526'!$D$7:$D$2532,MATCH(E367,'03_상품분류2526'!$A$7:$A$2532,0)),"코드 확인")</f>
        <v>27ml*5매</v>
      </c>
      <c r="H367" s="6" t="s">
        <v>7521</v>
      </c>
      <c r="I367" s="6" t="str">
        <f>IFERROR(INDEX('03_상품분류2526'!$M$7:$M$2532,MATCH(E367,'03_상품분류2526'!$A$7:$A$2532,0)),"코드 확인")</f>
        <v>A</v>
      </c>
      <c r="J367" s="6">
        <v>1</v>
      </c>
      <c r="K367" s="15">
        <v>1</v>
      </c>
      <c r="L367" s="6" t="str">
        <f>IFERROR(IF(INDEX('03_상품분류2526'!$V$7:$V$2532,MATCH(E367,'03_상품분류2526'!$A$7:$A$2532,0))="","",INDEX('03_상품분류2526'!$V$7:$V$2532,MATCH(E367,'03_상품분류2526'!$A$7:$A$2532,0))),"")</f>
        <v/>
      </c>
      <c r="M367" s="6" t="str">
        <f>IFERROR(IF(INDEX('03_상품분류2526'!$W$7:$W$2532,MATCH(E367,'03_상품분류2526'!$A$7:$A$2532,0))="","",INDEX('03_상품분류2526'!$W$7:$W$2532,MATCH(E367,'03_상품분류2526'!$A$7:$A$2532,0))),"")</f>
        <v/>
      </c>
      <c r="N367" s="6" t="str">
        <f>IFERROR(IF(INDEX('03_상품분류2526'!$X$7:$X$2532,MATCH(E367,'03_상품분류2526'!$A$7:$A$2532,0))="","",INDEX('03_상품분류2526'!$X$7:$X$2532,MATCH(E367,'03_상품분류2526'!$A$7:$A$2532,0))),"")</f>
        <v/>
      </c>
      <c r="O367" s="6">
        <f>'02_선반315'!R304</f>
        <v>645</v>
      </c>
      <c r="P367" s="6">
        <f>'02_선반315'!T304</f>
        <v>220</v>
      </c>
      <c r="Q367" s="6">
        <f>'02_선반315'!U304</f>
        <v>200</v>
      </c>
      <c r="R367" s="6">
        <f>'02_선반315'!S304</f>
        <v>270</v>
      </c>
      <c r="S367" s="6" t="str">
        <f t="shared" si="10"/>
        <v/>
      </c>
      <c r="T367" s="6" t="str">
        <f t="shared" si="11"/>
        <v>입력 대기</v>
      </c>
      <c r="U367" s="6" t="s">
        <v>7509</v>
      </c>
      <c r="V367" s="6" t="s">
        <v>555</v>
      </c>
      <c r="W367" s="6" t="s">
        <v>1464</v>
      </c>
    </row>
    <row r="368" spans="1:23" ht="33" customHeight="1">
      <c r="A368" s="6" t="s">
        <v>7873</v>
      </c>
      <c r="B368" s="6" t="s">
        <v>1561</v>
      </c>
      <c r="C368" s="6" t="s">
        <v>508</v>
      </c>
      <c r="D368" s="6">
        <v>2</v>
      </c>
      <c r="E368" s="6" t="s">
        <v>1563</v>
      </c>
      <c r="F368" s="6" t="str">
        <f>IFERROR(INDEX('03_상품분류2526'!$C$7:$C$2532,MATCH(E368,'03_상품분류2526'!$A$7:$A$2532,0)),"코드 확인")</f>
        <v>리쥬란 턴오버 인핸스드 크림</v>
      </c>
      <c r="G368" s="6" t="str">
        <f>IFERROR(INDEX('03_상품분류2526'!$D$7:$D$2532,MATCH(E368,'03_상품분류2526'!$A$7:$A$2532,0)),"코드 확인")</f>
        <v>50ml</v>
      </c>
      <c r="H368" s="6" t="s">
        <v>7521</v>
      </c>
      <c r="I368" s="6" t="str">
        <f>IFERROR(INDEX('03_상품분류2526'!$M$7:$M$2532,MATCH(E368,'03_상품분류2526'!$A$7:$A$2532,0)),"코드 확인")</f>
        <v>A</v>
      </c>
      <c r="J368" s="6">
        <v>1</v>
      </c>
      <c r="K368" s="15">
        <v>1</v>
      </c>
      <c r="L368" s="6" t="str">
        <f>IFERROR(IF(INDEX('03_상품분류2526'!$V$7:$V$2532,MATCH(E368,'03_상품분류2526'!$A$7:$A$2532,0))="","",INDEX('03_상품분류2526'!$V$7:$V$2532,MATCH(E368,'03_상품분류2526'!$A$7:$A$2532,0))),"")</f>
        <v/>
      </c>
      <c r="M368" s="6" t="str">
        <f>IFERROR(IF(INDEX('03_상품분류2526'!$W$7:$W$2532,MATCH(E368,'03_상품분류2526'!$A$7:$A$2532,0))="","",INDEX('03_상품분류2526'!$W$7:$W$2532,MATCH(E368,'03_상품분류2526'!$A$7:$A$2532,0))),"")</f>
        <v/>
      </c>
      <c r="N368" s="6" t="str">
        <f>IFERROR(IF(INDEX('03_상품분류2526'!$X$7:$X$2532,MATCH(E368,'03_상품분류2526'!$A$7:$A$2532,0))="","",INDEX('03_상품분류2526'!$X$7:$X$2532,MATCH(E368,'03_상품분류2526'!$A$7:$A$2532,0))),"")</f>
        <v/>
      </c>
      <c r="O368" s="6">
        <f>'02_선반315'!R308</f>
        <v>645</v>
      </c>
      <c r="P368" s="6">
        <f>'02_선반315'!T308</f>
        <v>220</v>
      </c>
      <c r="Q368" s="6">
        <f>'02_선반315'!U308</f>
        <v>200</v>
      </c>
      <c r="R368" s="6">
        <f>'02_선반315'!S308</f>
        <v>270</v>
      </c>
      <c r="S368" s="6" t="str">
        <f t="shared" si="10"/>
        <v/>
      </c>
      <c r="T368" s="6" t="str">
        <f t="shared" si="11"/>
        <v>입력 대기</v>
      </c>
      <c r="U368" s="6" t="s">
        <v>7509</v>
      </c>
      <c r="V368" s="6" t="s">
        <v>555</v>
      </c>
      <c r="W368" s="6" t="s">
        <v>1464</v>
      </c>
    </row>
    <row r="369" spans="1:23" ht="33" customHeight="1">
      <c r="A369" s="6" t="s">
        <v>7874</v>
      </c>
      <c r="B369" s="6" t="s">
        <v>1565</v>
      </c>
      <c r="C369" s="6" t="s">
        <v>508</v>
      </c>
      <c r="D369" s="6">
        <v>3</v>
      </c>
      <c r="E369" s="6" t="s">
        <v>1567</v>
      </c>
      <c r="F369" s="6" t="str">
        <f>IFERROR(INDEX('03_상품분류2526'!$C$7:$C$2532,MATCH(E369,'03_상품분류2526'!$A$7:$A$2532,0)),"코드 확인")</f>
        <v>레비온 RX PDRN EGF크림</v>
      </c>
      <c r="G369" s="6" t="str">
        <f>IFERROR(INDEX('03_상품분류2526'!$D$7:$D$2532,MATCH(E369,'03_상품분류2526'!$A$7:$A$2532,0)),"코드 확인")</f>
        <v>20ml</v>
      </c>
      <c r="H369" s="6" t="s">
        <v>7521</v>
      </c>
      <c r="I369" s="6" t="str">
        <f>IFERROR(INDEX('03_상품분류2526'!$M$7:$M$2532,MATCH(E369,'03_상품분류2526'!$A$7:$A$2532,0)),"코드 확인")</f>
        <v>A</v>
      </c>
      <c r="J369" s="6">
        <v>1</v>
      </c>
      <c r="K369" s="15">
        <v>1</v>
      </c>
      <c r="L369" s="6" t="str">
        <f>IFERROR(IF(INDEX('03_상품분류2526'!$V$7:$V$2532,MATCH(E369,'03_상품분류2526'!$A$7:$A$2532,0))="","",INDEX('03_상품분류2526'!$V$7:$V$2532,MATCH(E369,'03_상품분류2526'!$A$7:$A$2532,0))),"")</f>
        <v/>
      </c>
      <c r="M369" s="6" t="str">
        <f>IFERROR(IF(INDEX('03_상품분류2526'!$W$7:$W$2532,MATCH(E369,'03_상품분류2526'!$A$7:$A$2532,0))="","",INDEX('03_상품분류2526'!$W$7:$W$2532,MATCH(E369,'03_상품분류2526'!$A$7:$A$2532,0))),"")</f>
        <v/>
      </c>
      <c r="N369" s="6" t="str">
        <f>IFERROR(IF(INDEX('03_상품분류2526'!$X$7:$X$2532,MATCH(E369,'03_상품분류2526'!$A$7:$A$2532,0))="","",INDEX('03_상품분류2526'!$X$7:$X$2532,MATCH(E369,'03_상품분류2526'!$A$7:$A$2532,0))),"")</f>
        <v/>
      </c>
      <c r="O369" s="6">
        <f>'02_선반315'!R309</f>
        <v>645</v>
      </c>
      <c r="P369" s="6">
        <f>'02_선반315'!T309</f>
        <v>220</v>
      </c>
      <c r="Q369" s="6">
        <f>'02_선반315'!U309</f>
        <v>200</v>
      </c>
      <c r="R369" s="6">
        <f>'02_선반315'!S309</f>
        <v>270</v>
      </c>
      <c r="S369" s="6" t="str">
        <f t="shared" si="10"/>
        <v/>
      </c>
      <c r="T369" s="6" t="str">
        <f t="shared" si="11"/>
        <v>입력 대기</v>
      </c>
      <c r="U369" s="6" t="s">
        <v>7509</v>
      </c>
      <c r="V369" s="6" t="s">
        <v>555</v>
      </c>
      <c r="W369" s="6" t="s">
        <v>1464</v>
      </c>
    </row>
    <row r="370" spans="1:23" ht="33" customHeight="1">
      <c r="A370" s="6" t="s">
        <v>7875</v>
      </c>
      <c r="B370" s="6" t="s">
        <v>1573</v>
      </c>
      <c r="C370" s="6" t="s">
        <v>511</v>
      </c>
      <c r="D370" s="6">
        <v>2</v>
      </c>
      <c r="E370" s="6" t="s">
        <v>1575</v>
      </c>
      <c r="F370" s="6" t="str">
        <f>IFERROR(INDEX('03_상품분류2526'!$C$7:$C$2532,MATCH(E370,'03_상품분류2526'!$A$7:$A$2532,0)),"코드 확인")</f>
        <v>프로캄 판테놀 립 에센스</v>
      </c>
      <c r="G370" s="6" t="str">
        <f>IFERROR(INDEX('03_상품분류2526'!$D$7:$D$2532,MATCH(E370,'03_상품분류2526'!$A$7:$A$2532,0)),"코드 확인")</f>
        <v>1EA</v>
      </c>
      <c r="H370" s="6" t="s">
        <v>7521</v>
      </c>
      <c r="I370" s="6" t="str">
        <f>IFERROR(INDEX('03_상품분류2526'!$M$7:$M$2532,MATCH(E370,'03_상품분류2526'!$A$7:$A$2532,0)),"코드 확인")</f>
        <v>A</v>
      </c>
      <c r="J370" s="6">
        <v>1</v>
      </c>
      <c r="K370" s="15">
        <v>1</v>
      </c>
      <c r="L370" s="6" t="str">
        <f>IFERROR(IF(INDEX('03_상품분류2526'!$V$7:$V$2532,MATCH(E370,'03_상품분류2526'!$A$7:$A$2532,0))="","",INDEX('03_상품분류2526'!$V$7:$V$2532,MATCH(E370,'03_상품분류2526'!$A$7:$A$2532,0))),"")</f>
        <v/>
      </c>
      <c r="M370" s="6" t="str">
        <f>IFERROR(IF(INDEX('03_상품분류2526'!$W$7:$W$2532,MATCH(E370,'03_상품분류2526'!$A$7:$A$2532,0))="","",INDEX('03_상품분류2526'!$W$7:$W$2532,MATCH(E370,'03_상품분류2526'!$A$7:$A$2532,0))),"")</f>
        <v/>
      </c>
      <c r="N370" s="6" t="str">
        <f>IFERROR(IF(INDEX('03_상품분류2526'!$X$7:$X$2532,MATCH(E370,'03_상품분류2526'!$A$7:$A$2532,0))="","",INDEX('03_상품분류2526'!$X$7:$X$2532,MATCH(E370,'03_상품분류2526'!$A$7:$A$2532,0))),"")</f>
        <v/>
      </c>
      <c r="O370" s="6">
        <f>'02_선반315'!R313</f>
        <v>645</v>
      </c>
      <c r="P370" s="6">
        <f>'02_선반315'!T313</f>
        <v>220</v>
      </c>
      <c r="Q370" s="6">
        <f>'02_선반315'!U313</f>
        <v>200</v>
      </c>
      <c r="R370" s="6">
        <f>'02_선반315'!S313</f>
        <v>270</v>
      </c>
      <c r="S370" s="6" t="str">
        <f t="shared" si="10"/>
        <v/>
      </c>
      <c r="T370" s="6" t="str">
        <f t="shared" si="11"/>
        <v>입력 대기</v>
      </c>
      <c r="U370" s="6" t="s">
        <v>7509</v>
      </c>
      <c r="V370" s="6" t="s">
        <v>555</v>
      </c>
      <c r="W370" s="6" t="s">
        <v>1464</v>
      </c>
    </row>
    <row r="371" spans="1:23" ht="33" customHeight="1">
      <c r="A371" s="6" t="s">
        <v>7876</v>
      </c>
      <c r="B371" s="6" t="s">
        <v>1577</v>
      </c>
      <c r="C371" s="6" t="s">
        <v>511</v>
      </c>
      <c r="D371" s="6">
        <v>3</v>
      </c>
      <c r="E371" s="6" t="s">
        <v>1369</v>
      </c>
      <c r="F371" s="6" t="str">
        <f>IFERROR(INDEX('03_상품분류2526'!$C$7:$C$2532,MATCH(E371,'03_상품분류2526'!$A$7:$A$2532,0)),"코드 확인")</f>
        <v>블레파크린</v>
      </c>
      <c r="G371" s="6" t="str">
        <f>IFERROR(INDEX('03_상품분류2526'!$D$7:$D$2532,MATCH(E371,'03_상품분류2526'!$A$7:$A$2532,0)),"코드 확인")</f>
        <v>20매</v>
      </c>
      <c r="H371" s="6" t="s">
        <v>7521</v>
      </c>
      <c r="I371" s="6" t="str">
        <f>IFERROR(INDEX('03_상품분류2526'!$M$7:$M$2532,MATCH(E371,'03_상품분류2526'!$A$7:$A$2532,0)),"코드 확인")</f>
        <v>A</v>
      </c>
      <c r="J371" s="6">
        <v>1</v>
      </c>
      <c r="K371" s="15">
        <v>1</v>
      </c>
      <c r="L371" s="6" t="str">
        <f>IFERROR(IF(INDEX('03_상품분류2526'!$V$7:$V$2532,MATCH(E371,'03_상품분류2526'!$A$7:$A$2532,0))="","",INDEX('03_상품분류2526'!$V$7:$V$2532,MATCH(E371,'03_상품분류2526'!$A$7:$A$2532,0))),"")</f>
        <v/>
      </c>
      <c r="M371" s="6" t="str">
        <f>IFERROR(IF(INDEX('03_상품분류2526'!$W$7:$W$2532,MATCH(E371,'03_상품분류2526'!$A$7:$A$2532,0))="","",INDEX('03_상품분류2526'!$W$7:$W$2532,MATCH(E371,'03_상품분류2526'!$A$7:$A$2532,0))),"")</f>
        <v/>
      </c>
      <c r="N371" s="6" t="str">
        <f>IFERROR(IF(INDEX('03_상품분류2526'!$X$7:$X$2532,MATCH(E371,'03_상품분류2526'!$A$7:$A$2532,0))="","",INDEX('03_상품분류2526'!$X$7:$X$2532,MATCH(E371,'03_상품분류2526'!$A$7:$A$2532,0))),"")</f>
        <v/>
      </c>
      <c r="O371" s="6">
        <f>'02_선반315'!R314</f>
        <v>645</v>
      </c>
      <c r="P371" s="6">
        <f>'02_선반315'!T314</f>
        <v>220</v>
      </c>
      <c r="Q371" s="6">
        <f>'02_선반315'!U314</f>
        <v>200</v>
      </c>
      <c r="R371" s="6">
        <f>'02_선반315'!S314</f>
        <v>270</v>
      </c>
      <c r="S371" s="6" t="str">
        <f t="shared" si="10"/>
        <v/>
      </c>
      <c r="T371" s="6" t="str">
        <f t="shared" si="11"/>
        <v>입력 대기</v>
      </c>
      <c r="U371" s="6" t="s">
        <v>7509</v>
      </c>
      <c r="V371" s="6" t="s">
        <v>555</v>
      </c>
      <c r="W371" s="6" t="s">
        <v>1464</v>
      </c>
    </row>
    <row r="372" spans="1:23" ht="33" customHeight="1">
      <c r="A372" s="6" t="s">
        <v>7877</v>
      </c>
      <c r="B372" s="6" t="s">
        <v>1582</v>
      </c>
      <c r="C372" s="6" t="s">
        <v>516</v>
      </c>
      <c r="D372" s="6">
        <v>2</v>
      </c>
      <c r="E372" s="6" t="s">
        <v>1584</v>
      </c>
      <c r="F372" s="6" t="str">
        <f>IFERROR(INDEX('03_상품분류2526'!$C$7:$C$2532,MATCH(E372,'03_상품분류2526'!$A$7:$A$2532,0)),"코드 확인")</f>
        <v>플루 인텐시브 리페어 풋크림 100g</v>
      </c>
      <c r="G372" s="6" t="str">
        <f>IFERROR(INDEX('03_상품분류2526'!$D$7:$D$2532,MATCH(E372,'03_상품분류2526'!$A$7:$A$2532,0)),"코드 확인")</f>
        <v>100g</v>
      </c>
      <c r="H372" s="6" t="s">
        <v>7521</v>
      </c>
      <c r="I372" s="6" t="str">
        <f>IFERROR(INDEX('03_상품분류2526'!$M$7:$M$2532,MATCH(E372,'03_상품분류2526'!$A$7:$A$2532,0)),"코드 확인")</f>
        <v>A</v>
      </c>
      <c r="J372" s="6">
        <v>1</v>
      </c>
      <c r="K372" s="15">
        <v>1</v>
      </c>
      <c r="L372" s="6" t="str">
        <f>IFERROR(IF(INDEX('03_상품분류2526'!$V$7:$V$2532,MATCH(E372,'03_상품분류2526'!$A$7:$A$2532,0))="","",INDEX('03_상품분류2526'!$V$7:$V$2532,MATCH(E372,'03_상품분류2526'!$A$7:$A$2532,0))),"")</f>
        <v/>
      </c>
      <c r="M372" s="6" t="str">
        <f>IFERROR(IF(INDEX('03_상품분류2526'!$W$7:$W$2532,MATCH(E372,'03_상품분류2526'!$A$7:$A$2532,0))="","",INDEX('03_상품분류2526'!$W$7:$W$2532,MATCH(E372,'03_상품분류2526'!$A$7:$A$2532,0))),"")</f>
        <v/>
      </c>
      <c r="N372" s="6" t="str">
        <f>IFERROR(IF(INDEX('03_상품분류2526'!$X$7:$X$2532,MATCH(E372,'03_상품분류2526'!$A$7:$A$2532,0))="","",INDEX('03_상품분류2526'!$X$7:$X$2532,MATCH(E372,'03_상품분류2526'!$A$7:$A$2532,0))),"")</f>
        <v/>
      </c>
      <c r="O372" s="6">
        <f>'02_선반315'!R318</f>
        <v>645</v>
      </c>
      <c r="P372" s="6">
        <f>'02_선반315'!T318</f>
        <v>220</v>
      </c>
      <c r="Q372" s="6">
        <f>'02_선반315'!U318</f>
        <v>200</v>
      </c>
      <c r="R372" s="6">
        <f>'02_선반315'!S318</f>
        <v>270</v>
      </c>
      <c r="S372" s="6" t="str">
        <f t="shared" si="10"/>
        <v/>
      </c>
      <c r="T372" s="6" t="str">
        <f t="shared" si="11"/>
        <v>입력 대기</v>
      </c>
      <c r="U372" s="6" t="s">
        <v>7509</v>
      </c>
      <c r="V372" s="6" t="s">
        <v>555</v>
      </c>
      <c r="W372" s="6" t="s">
        <v>1464</v>
      </c>
    </row>
    <row r="373" spans="1:23" ht="33" customHeight="1">
      <c r="A373" s="6" t="s">
        <v>7878</v>
      </c>
      <c r="B373" s="6" t="s">
        <v>1586</v>
      </c>
      <c r="C373" s="6" t="s">
        <v>516</v>
      </c>
      <c r="D373" s="6">
        <v>3</v>
      </c>
      <c r="E373" s="6" t="s">
        <v>1588</v>
      </c>
      <c r="F373" s="6" t="str">
        <f>IFERROR(INDEX('03_상품분류2526'!$C$7:$C$2532,MATCH(E373,'03_상품분류2526'!$A$7:$A$2532,0)),"코드 확인")</f>
        <v>마시는 스웨그 수분 부스터</v>
      </c>
      <c r="G373" s="6" t="str">
        <f>IFERROR(INDEX('03_상품분류2526'!$D$7:$D$2532,MATCH(E373,'03_상품분류2526'!$A$7:$A$2532,0)),"코드 확인")</f>
        <v>150mL</v>
      </c>
      <c r="H373" s="6" t="s">
        <v>7521</v>
      </c>
      <c r="I373" s="6" t="str">
        <f>IFERROR(INDEX('03_상품분류2526'!$M$7:$M$2532,MATCH(E373,'03_상품분류2526'!$A$7:$A$2532,0)),"코드 확인")</f>
        <v>A</v>
      </c>
      <c r="J373" s="6">
        <v>1</v>
      </c>
      <c r="K373" s="15">
        <v>1</v>
      </c>
      <c r="L373" s="6" t="str">
        <f>IFERROR(IF(INDEX('03_상품분류2526'!$V$7:$V$2532,MATCH(E373,'03_상품분류2526'!$A$7:$A$2532,0))="","",INDEX('03_상품분류2526'!$V$7:$V$2532,MATCH(E373,'03_상품분류2526'!$A$7:$A$2532,0))),"")</f>
        <v/>
      </c>
      <c r="M373" s="6" t="str">
        <f>IFERROR(IF(INDEX('03_상품분류2526'!$W$7:$W$2532,MATCH(E373,'03_상품분류2526'!$A$7:$A$2532,0))="","",INDEX('03_상품분류2526'!$W$7:$W$2532,MATCH(E373,'03_상품분류2526'!$A$7:$A$2532,0))),"")</f>
        <v/>
      </c>
      <c r="N373" s="6" t="str">
        <f>IFERROR(IF(INDEX('03_상품분류2526'!$X$7:$X$2532,MATCH(E373,'03_상품분류2526'!$A$7:$A$2532,0))="","",INDEX('03_상품분류2526'!$X$7:$X$2532,MATCH(E373,'03_상품분류2526'!$A$7:$A$2532,0))),"")</f>
        <v/>
      </c>
      <c r="O373" s="6">
        <f>'02_선반315'!R319</f>
        <v>645</v>
      </c>
      <c r="P373" s="6">
        <f>'02_선반315'!T319</f>
        <v>220</v>
      </c>
      <c r="Q373" s="6">
        <f>'02_선반315'!U319</f>
        <v>200</v>
      </c>
      <c r="R373" s="6">
        <f>'02_선반315'!S319</f>
        <v>270</v>
      </c>
      <c r="S373" s="6" t="str">
        <f t="shared" si="10"/>
        <v/>
      </c>
      <c r="T373" s="6" t="str">
        <f t="shared" si="11"/>
        <v>입력 대기</v>
      </c>
      <c r="U373" s="6" t="s">
        <v>7509</v>
      </c>
      <c r="V373" s="6" t="s">
        <v>555</v>
      </c>
      <c r="W373" s="6" t="s">
        <v>1464</v>
      </c>
    </row>
  </sheetData>
  <phoneticPr fontId="10" type="noConversion"/>
  <conditionalFormatting sqref="T7:T373">
    <cfRule type="containsText" dxfId="0" priority="1" operator="containsText" text="초과"/>
  </conditionalFormatting>
  <dataValidations count="1">
    <dataValidation type="whole" sqref="K7:K373" xr:uid="{00000000-0002-0000-0400-000000000000}">
      <formula1>0</formula1>
      <formula2>4</formula2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69545"/>
  </sheetPr>
  <dimension ref="A2:S2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C7" sqref="C7"/>
    </sheetView>
  </sheetViews>
  <sheetFormatPr defaultRowHeight="14"/>
  <cols>
    <col min="1" max="1" width="13" customWidth="1"/>
    <col min="2" max="2" width="9" customWidth="1"/>
    <col min="3" max="3" width="27" customWidth="1"/>
    <col min="4" max="4" width="8" customWidth="1"/>
    <col min="5" max="5" width="15" customWidth="1"/>
    <col min="6" max="8" width="17" customWidth="1"/>
    <col min="9" max="9" width="16" customWidth="1"/>
    <col min="10" max="10" width="17" customWidth="1"/>
    <col min="11" max="12" width="16" customWidth="1"/>
    <col min="13" max="13" width="18" customWidth="1"/>
    <col min="14" max="14" width="17" customWidth="1"/>
    <col min="15" max="15" width="16" customWidth="1"/>
    <col min="16" max="16" width="18" customWidth="1"/>
    <col min="17" max="17" width="36" customWidth="1"/>
    <col min="18" max="18" width="85" customWidth="1"/>
    <col min="19" max="19" width="24" customWidth="1"/>
  </cols>
  <sheetData>
    <row r="2" spans="1:19" ht="20">
      <c r="A2" s="17" t="s">
        <v>7879</v>
      </c>
    </row>
    <row r="3" spans="1:19">
      <c r="A3" s="18" t="s">
        <v>7880</v>
      </c>
    </row>
    <row r="4" spans="1:19">
      <c r="A4" s="18"/>
    </row>
    <row r="6" spans="1:19" ht="33" customHeight="1">
      <c r="A6" s="10" t="s">
        <v>7881</v>
      </c>
      <c r="B6" s="10" t="s">
        <v>7882</v>
      </c>
      <c r="C6" s="10" t="s">
        <v>7883</v>
      </c>
      <c r="D6" s="10" t="s">
        <v>525</v>
      </c>
      <c r="E6" s="10" t="s">
        <v>7884</v>
      </c>
      <c r="F6" s="10" t="s">
        <v>7885</v>
      </c>
      <c r="G6" s="10" t="s">
        <v>7886</v>
      </c>
      <c r="H6" s="10" t="s">
        <v>7887</v>
      </c>
      <c r="I6" s="10" t="s">
        <v>7888</v>
      </c>
      <c r="J6" s="10" t="s">
        <v>541</v>
      </c>
      <c r="K6" s="10" t="s">
        <v>7889</v>
      </c>
      <c r="L6" s="10" t="s">
        <v>7890</v>
      </c>
      <c r="M6" s="10" t="s">
        <v>7891</v>
      </c>
      <c r="N6" s="10" t="s">
        <v>538</v>
      </c>
      <c r="O6" s="10" t="s">
        <v>539</v>
      </c>
      <c r="P6" s="10" t="s">
        <v>7892</v>
      </c>
      <c r="Q6" s="10" t="s">
        <v>7458</v>
      </c>
      <c r="R6" s="10" t="s">
        <v>7893</v>
      </c>
      <c r="S6" s="10" t="s">
        <v>7894</v>
      </c>
    </row>
    <row r="7" spans="1:19" ht="33" customHeight="1">
      <c r="A7" s="6" t="s">
        <v>7895</v>
      </c>
      <c r="B7" s="6" t="s">
        <v>7896</v>
      </c>
      <c r="C7" s="6" t="s">
        <v>36</v>
      </c>
      <c r="D7" s="6">
        <v>1</v>
      </c>
      <c r="E7" s="6">
        <v>885</v>
      </c>
      <c r="F7" s="15">
        <v>865</v>
      </c>
      <c r="G7" s="15">
        <v>330</v>
      </c>
      <c r="H7" s="15">
        <v>460</v>
      </c>
      <c r="I7" s="15">
        <v>20</v>
      </c>
      <c r="J7" s="6">
        <f t="shared" ref="J7:J26" si="0">H7-I7</f>
        <v>440</v>
      </c>
      <c r="K7" s="15"/>
      <c r="L7" s="15"/>
      <c r="M7" s="15"/>
      <c r="N7" s="6">
        <f t="shared" ref="N7:N26" si="1">IF(K7="",F7,K7)</f>
        <v>865</v>
      </c>
      <c r="O7" s="6">
        <f t="shared" ref="O7:O26" si="2">IF(L7="",G7,L7)</f>
        <v>330</v>
      </c>
      <c r="P7" s="6">
        <f t="shared" ref="P7:P26" si="3">IF(M7="",H7-I7,M7-I7)</f>
        <v>440</v>
      </c>
      <c r="Q7" s="6" t="s">
        <v>37</v>
      </c>
      <c r="R7" s="6" t="s">
        <v>7897</v>
      </c>
      <c r="S7" s="6" t="str">
        <f t="shared" ref="S7:S26" si="4">IF(OR(K7="",L7="",M7=""),"실측 미완료",IF(AND(K7&gt;0,L7&gt;0,M7&gt;I7),"실측 입력 완료","치수 입력 오류"))</f>
        <v>실측 미완료</v>
      </c>
    </row>
    <row r="8" spans="1:19" ht="33" customHeight="1">
      <c r="A8" s="6" t="s">
        <v>7898</v>
      </c>
      <c r="B8" s="6" t="s">
        <v>7896</v>
      </c>
      <c r="C8" s="6" t="s">
        <v>36</v>
      </c>
      <c r="D8" s="6">
        <v>2</v>
      </c>
      <c r="E8" s="6">
        <v>885</v>
      </c>
      <c r="F8" s="15">
        <v>865</v>
      </c>
      <c r="G8" s="15">
        <v>330</v>
      </c>
      <c r="H8" s="15">
        <v>290</v>
      </c>
      <c r="I8" s="15">
        <v>20</v>
      </c>
      <c r="J8" s="6">
        <f t="shared" si="0"/>
        <v>270</v>
      </c>
      <c r="K8" s="15"/>
      <c r="L8" s="15"/>
      <c r="M8" s="15"/>
      <c r="N8" s="6">
        <f t="shared" si="1"/>
        <v>865</v>
      </c>
      <c r="O8" s="6">
        <f t="shared" si="2"/>
        <v>330</v>
      </c>
      <c r="P8" s="6">
        <f t="shared" si="3"/>
        <v>270</v>
      </c>
      <c r="Q8" s="6" t="s">
        <v>37</v>
      </c>
      <c r="R8" s="6" t="s">
        <v>7897</v>
      </c>
      <c r="S8" s="6" t="str">
        <f t="shared" si="4"/>
        <v>실측 미완료</v>
      </c>
    </row>
    <row r="9" spans="1:19" ht="33" customHeight="1">
      <c r="A9" s="6" t="s">
        <v>7899</v>
      </c>
      <c r="B9" s="6" t="s">
        <v>7896</v>
      </c>
      <c r="C9" s="6" t="s">
        <v>36</v>
      </c>
      <c r="D9" s="6">
        <v>3</v>
      </c>
      <c r="E9" s="6">
        <v>885</v>
      </c>
      <c r="F9" s="15">
        <v>865</v>
      </c>
      <c r="G9" s="15">
        <v>330</v>
      </c>
      <c r="H9" s="15">
        <v>290</v>
      </c>
      <c r="I9" s="15">
        <v>20</v>
      </c>
      <c r="J9" s="6">
        <f t="shared" si="0"/>
        <v>270</v>
      </c>
      <c r="K9" s="15"/>
      <c r="L9" s="15"/>
      <c r="M9" s="15"/>
      <c r="N9" s="6">
        <f t="shared" si="1"/>
        <v>865</v>
      </c>
      <c r="O9" s="6">
        <f t="shared" si="2"/>
        <v>330</v>
      </c>
      <c r="P9" s="6">
        <f t="shared" si="3"/>
        <v>270</v>
      </c>
      <c r="Q9" s="6" t="s">
        <v>37</v>
      </c>
      <c r="R9" s="6" t="s">
        <v>7897</v>
      </c>
      <c r="S9" s="6" t="str">
        <f t="shared" si="4"/>
        <v>실측 미완료</v>
      </c>
    </row>
    <row r="10" spans="1:19" ht="33" customHeight="1">
      <c r="A10" s="6" t="s">
        <v>7900</v>
      </c>
      <c r="B10" s="6" t="s">
        <v>7896</v>
      </c>
      <c r="C10" s="6" t="s">
        <v>36</v>
      </c>
      <c r="D10" s="6">
        <v>4</v>
      </c>
      <c r="E10" s="6">
        <v>885</v>
      </c>
      <c r="F10" s="15">
        <v>865</v>
      </c>
      <c r="G10" s="15">
        <v>330</v>
      </c>
      <c r="H10" s="15">
        <v>290</v>
      </c>
      <c r="I10" s="15">
        <v>20</v>
      </c>
      <c r="J10" s="6">
        <f t="shared" si="0"/>
        <v>270</v>
      </c>
      <c r="K10" s="15"/>
      <c r="L10" s="15"/>
      <c r="M10" s="15"/>
      <c r="N10" s="6">
        <f t="shared" si="1"/>
        <v>865</v>
      </c>
      <c r="O10" s="6">
        <f t="shared" si="2"/>
        <v>330</v>
      </c>
      <c r="P10" s="6">
        <f t="shared" si="3"/>
        <v>270</v>
      </c>
      <c r="Q10" s="6" t="s">
        <v>37</v>
      </c>
      <c r="R10" s="6" t="s">
        <v>7897</v>
      </c>
      <c r="S10" s="6" t="str">
        <f t="shared" si="4"/>
        <v>실측 미완료</v>
      </c>
    </row>
    <row r="11" spans="1:19" ht="33" customHeight="1">
      <c r="A11" s="6" t="s">
        <v>7901</v>
      </c>
      <c r="B11" s="6" t="s">
        <v>7896</v>
      </c>
      <c r="C11" s="6" t="s">
        <v>36</v>
      </c>
      <c r="D11" s="6">
        <v>5</v>
      </c>
      <c r="E11" s="6">
        <v>885</v>
      </c>
      <c r="F11" s="15">
        <v>865</v>
      </c>
      <c r="G11" s="15">
        <v>330</v>
      </c>
      <c r="H11" s="15">
        <v>330</v>
      </c>
      <c r="I11" s="15">
        <v>20</v>
      </c>
      <c r="J11" s="6">
        <f t="shared" si="0"/>
        <v>310</v>
      </c>
      <c r="K11" s="15"/>
      <c r="L11" s="15"/>
      <c r="M11" s="15"/>
      <c r="N11" s="6">
        <f t="shared" si="1"/>
        <v>865</v>
      </c>
      <c r="O11" s="6">
        <f t="shared" si="2"/>
        <v>330</v>
      </c>
      <c r="P11" s="6">
        <f t="shared" si="3"/>
        <v>310</v>
      </c>
      <c r="Q11" s="6" t="s">
        <v>37</v>
      </c>
      <c r="R11" s="6" t="s">
        <v>7897</v>
      </c>
      <c r="S11" s="6" t="str">
        <f t="shared" si="4"/>
        <v>실측 미완료</v>
      </c>
    </row>
    <row r="12" spans="1:19" ht="33" customHeight="1">
      <c r="A12" s="6" t="s">
        <v>7902</v>
      </c>
      <c r="B12" s="6" t="s">
        <v>1742</v>
      </c>
      <c r="C12" s="6" t="s">
        <v>89</v>
      </c>
      <c r="D12" s="6">
        <v>1</v>
      </c>
      <c r="E12" s="6">
        <v>885</v>
      </c>
      <c r="F12" s="15">
        <v>865</v>
      </c>
      <c r="G12" s="15">
        <v>270</v>
      </c>
      <c r="H12" s="15">
        <v>100</v>
      </c>
      <c r="I12" s="15">
        <v>20</v>
      </c>
      <c r="J12" s="6">
        <f t="shared" si="0"/>
        <v>80</v>
      </c>
      <c r="K12" s="15"/>
      <c r="L12" s="15"/>
      <c r="M12" s="15"/>
      <c r="N12" s="6">
        <f t="shared" si="1"/>
        <v>865</v>
      </c>
      <c r="O12" s="6">
        <f t="shared" si="2"/>
        <v>270</v>
      </c>
      <c r="P12" s="6">
        <f t="shared" si="3"/>
        <v>80</v>
      </c>
      <c r="Q12" s="6" t="s">
        <v>90</v>
      </c>
      <c r="R12" s="6" t="s">
        <v>7903</v>
      </c>
      <c r="S12" s="6" t="str">
        <f t="shared" si="4"/>
        <v>실측 미완료</v>
      </c>
    </row>
    <row r="13" spans="1:19" ht="33" customHeight="1">
      <c r="A13" s="6" t="s">
        <v>7904</v>
      </c>
      <c r="B13" s="6" t="s">
        <v>1742</v>
      </c>
      <c r="C13" s="6" t="s">
        <v>89</v>
      </c>
      <c r="D13" s="6">
        <v>2</v>
      </c>
      <c r="E13" s="6">
        <v>885</v>
      </c>
      <c r="F13" s="15">
        <v>865</v>
      </c>
      <c r="G13" s="15">
        <v>270</v>
      </c>
      <c r="H13" s="15">
        <v>220</v>
      </c>
      <c r="I13" s="15">
        <v>20</v>
      </c>
      <c r="J13" s="6">
        <f t="shared" si="0"/>
        <v>200</v>
      </c>
      <c r="K13" s="15"/>
      <c r="L13" s="15"/>
      <c r="M13" s="15"/>
      <c r="N13" s="6">
        <f t="shared" si="1"/>
        <v>865</v>
      </c>
      <c r="O13" s="6">
        <f t="shared" si="2"/>
        <v>270</v>
      </c>
      <c r="P13" s="6">
        <f t="shared" si="3"/>
        <v>200</v>
      </c>
      <c r="Q13" s="6" t="s">
        <v>90</v>
      </c>
      <c r="R13" s="6" t="s">
        <v>7903</v>
      </c>
      <c r="S13" s="6" t="str">
        <f t="shared" si="4"/>
        <v>실측 미완료</v>
      </c>
    </row>
    <row r="14" spans="1:19" ht="33" customHeight="1">
      <c r="A14" s="6" t="s">
        <v>7905</v>
      </c>
      <c r="B14" s="6" t="s">
        <v>1742</v>
      </c>
      <c r="C14" s="6" t="s">
        <v>89</v>
      </c>
      <c r="D14" s="6">
        <v>3</v>
      </c>
      <c r="E14" s="6">
        <v>885</v>
      </c>
      <c r="F14" s="15">
        <v>865</v>
      </c>
      <c r="G14" s="15">
        <v>270</v>
      </c>
      <c r="H14" s="15">
        <v>220</v>
      </c>
      <c r="I14" s="15">
        <v>20</v>
      </c>
      <c r="J14" s="6">
        <f t="shared" si="0"/>
        <v>200</v>
      </c>
      <c r="K14" s="15"/>
      <c r="L14" s="15"/>
      <c r="M14" s="15"/>
      <c r="N14" s="6">
        <f t="shared" si="1"/>
        <v>865</v>
      </c>
      <c r="O14" s="6">
        <f t="shared" si="2"/>
        <v>270</v>
      </c>
      <c r="P14" s="6">
        <f t="shared" si="3"/>
        <v>200</v>
      </c>
      <c r="Q14" s="6" t="s">
        <v>90</v>
      </c>
      <c r="R14" s="6" t="s">
        <v>7903</v>
      </c>
      <c r="S14" s="6" t="str">
        <f t="shared" si="4"/>
        <v>실측 미완료</v>
      </c>
    </row>
    <row r="15" spans="1:19" ht="33" customHeight="1">
      <c r="A15" s="6" t="s">
        <v>7906</v>
      </c>
      <c r="B15" s="6" t="s">
        <v>1742</v>
      </c>
      <c r="C15" s="6" t="s">
        <v>89</v>
      </c>
      <c r="D15" s="6">
        <v>4</v>
      </c>
      <c r="E15" s="6">
        <v>885</v>
      </c>
      <c r="F15" s="15">
        <v>865</v>
      </c>
      <c r="G15" s="15">
        <v>270</v>
      </c>
      <c r="H15" s="15">
        <v>220</v>
      </c>
      <c r="I15" s="15">
        <v>20</v>
      </c>
      <c r="J15" s="6">
        <f t="shared" si="0"/>
        <v>200</v>
      </c>
      <c r="K15" s="15"/>
      <c r="L15" s="15"/>
      <c r="M15" s="15"/>
      <c r="N15" s="6">
        <f t="shared" si="1"/>
        <v>865</v>
      </c>
      <c r="O15" s="6">
        <f t="shared" si="2"/>
        <v>270</v>
      </c>
      <c r="P15" s="6">
        <f t="shared" si="3"/>
        <v>200</v>
      </c>
      <c r="Q15" s="6" t="s">
        <v>90</v>
      </c>
      <c r="R15" s="6" t="s">
        <v>7903</v>
      </c>
      <c r="S15" s="6" t="str">
        <f t="shared" si="4"/>
        <v>실측 미완료</v>
      </c>
    </row>
    <row r="16" spans="1:19" ht="33" customHeight="1">
      <c r="A16" s="6" t="s">
        <v>7907</v>
      </c>
      <c r="B16" s="6" t="s">
        <v>1742</v>
      </c>
      <c r="C16" s="6" t="s">
        <v>89</v>
      </c>
      <c r="D16" s="6">
        <v>5</v>
      </c>
      <c r="E16" s="6">
        <v>885</v>
      </c>
      <c r="F16" s="15">
        <v>865</v>
      </c>
      <c r="G16" s="15">
        <v>270</v>
      </c>
      <c r="H16" s="15">
        <v>220</v>
      </c>
      <c r="I16" s="15">
        <v>20</v>
      </c>
      <c r="J16" s="6">
        <f t="shared" si="0"/>
        <v>200</v>
      </c>
      <c r="K16" s="15"/>
      <c r="L16" s="15"/>
      <c r="M16" s="15"/>
      <c r="N16" s="6">
        <f t="shared" si="1"/>
        <v>865</v>
      </c>
      <c r="O16" s="6">
        <f t="shared" si="2"/>
        <v>270</v>
      </c>
      <c r="P16" s="6">
        <f t="shared" si="3"/>
        <v>200</v>
      </c>
      <c r="Q16" s="6" t="s">
        <v>90</v>
      </c>
      <c r="R16" s="6" t="s">
        <v>7903</v>
      </c>
      <c r="S16" s="6" t="str">
        <f t="shared" si="4"/>
        <v>실측 미완료</v>
      </c>
    </row>
    <row r="17" spans="1:19" ht="33" customHeight="1">
      <c r="A17" s="6" t="s">
        <v>7908</v>
      </c>
      <c r="B17" s="6" t="s">
        <v>7909</v>
      </c>
      <c r="C17" s="6" t="s">
        <v>183</v>
      </c>
      <c r="D17" s="6">
        <v>1</v>
      </c>
      <c r="E17" s="6">
        <v>885</v>
      </c>
      <c r="F17" s="15">
        <v>865</v>
      </c>
      <c r="G17" s="15">
        <v>270</v>
      </c>
      <c r="H17" s="15">
        <v>100</v>
      </c>
      <c r="I17" s="15">
        <v>20</v>
      </c>
      <c r="J17" s="6">
        <f t="shared" si="0"/>
        <v>80</v>
      </c>
      <c r="K17" s="15"/>
      <c r="L17" s="15"/>
      <c r="M17" s="15"/>
      <c r="N17" s="6">
        <f t="shared" si="1"/>
        <v>865</v>
      </c>
      <c r="O17" s="6">
        <f t="shared" si="2"/>
        <v>270</v>
      </c>
      <c r="P17" s="6">
        <f t="shared" si="3"/>
        <v>80</v>
      </c>
      <c r="Q17" s="6" t="s">
        <v>184</v>
      </c>
      <c r="R17" s="6" t="s">
        <v>7910</v>
      </c>
      <c r="S17" s="6" t="str">
        <f t="shared" si="4"/>
        <v>실측 미완료</v>
      </c>
    </row>
    <row r="18" spans="1:19" ht="33" customHeight="1">
      <c r="A18" s="6" t="s">
        <v>7911</v>
      </c>
      <c r="B18" s="6" t="s">
        <v>7909</v>
      </c>
      <c r="C18" s="6" t="s">
        <v>183</v>
      </c>
      <c r="D18" s="6">
        <v>2</v>
      </c>
      <c r="E18" s="6">
        <v>885</v>
      </c>
      <c r="F18" s="15">
        <v>865</v>
      </c>
      <c r="G18" s="15">
        <v>270</v>
      </c>
      <c r="H18" s="15">
        <v>220</v>
      </c>
      <c r="I18" s="15">
        <v>20</v>
      </c>
      <c r="J18" s="6">
        <f t="shared" si="0"/>
        <v>200</v>
      </c>
      <c r="K18" s="15"/>
      <c r="L18" s="15"/>
      <c r="M18" s="15"/>
      <c r="N18" s="6">
        <f t="shared" si="1"/>
        <v>865</v>
      </c>
      <c r="O18" s="6">
        <f t="shared" si="2"/>
        <v>270</v>
      </c>
      <c r="P18" s="6">
        <f t="shared" si="3"/>
        <v>200</v>
      </c>
      <c r="Q18" s="6" t="s">
        <v>184</v>
      </c>
      <c r="R18" s="6" t="s">
        <v>7910</v>
      </c>
      <c r="S18" s="6" t="str">
        <f t="shared" si="4"/>
        <v>실측 미완료</v>
      </c>
    </row>
    <row r="19" spans="1:19" ht="33" customHeight="1">
      <c r="A19" s="6" t="s">
        <v>7912</v>
      </c>
      <c r="B19" s="6" t="s">
        <v>7909</v>
      </c>
      <c r="C19" s="6" t="s">
        <v>183</v>
      </c>
      <c r="D19" s="6">
        <v>3</v>
      </c>
      <c r="E19" s="6">
        <v>885</v>
      </c>
      <c r="F19" s="15">
        <v>865</v>
      </c>
      <c r="G19" s="15">
        <v>270</v>
      </c>
      <c r="H19" s="15">
        <v>220</v>
      </c>
      <c r="I19" s="15">
        <v>20</v>
      </c>
      <c r="J19" s="6">
        <f t="shared" si="0"/>
        <v>200</v>
      </c>
      <c r="K19" s="15"/>
      <c r="L19" s="15"/>
      <c r="M19" s="15"/>
      <c r="N19" s="6">
        <f t="shared" si="1"/>
        <v>865</v>
      </c>
      <c r="O19" s="6">
        <f t="shared" si="2"/>
        <v>270</v>
      </c>
      <c r="P19" s="6">
        <f t="shared" si="3"/>
        <v>200</v>
      </c>
      <c r="Q19" s="6" t="s">
        <v>184</v>
      </c>
      <c r="R19" s="6" t="s">
        <v>7910</v>
      </c>
      <c r="S19" s="6" t="str">
        <f t="shared" si="4"/>
        <v>실측 미완료</v>
      </c>
    </row>
    <row r="20" spans="1:19" ht="33" customHeight="1">
      <c r="A20" s="6" t="s">
        <v>7913</v>
      </c>
      <c r="B20" s="6" t="s">
        <v>7909</v>
      </c>
      <c r="C20" s="6" t="s">
        <v>183</v>
      </c>
      <c r="D20" s="6">
        <v>4</v>
      </c>
      <c r="E20" s="6">
        <v>885</v>
      </c>
      <c r="F20" s="15">
        <v>865</v>
      </c>
      <c r="G20" s="15">
        <v>270</v>
      </c>
      <c r="H20" s="15">
        <v>220</v>
      </c>
      <c r="I20" s="15">
        <v>20</v>
      </c>
      <c r="J20" s="6">
        <f t="shared" si="0"/>
        <v>200</v>
      </c>
      <c r="K20" s="15"/>
      <c r="L20" s="15"/>
      <c r="M20" s="15"/>
      <c r="N20" s="6">
        <f t="shared" si="1"/>
        <v>865</v>
      </c>
      <c r="O20" s="6">
        <f t="shared" si="2"/>
        <v>270</v>
      </c>
      <c r="P20" s="6">
        <f t="shared" si="3"/>
        <v>200</v>
      </c>
      <c r="Q20" s="6" t="s">
        <v>184</v>
      </c>
      <c r="R20" s="6" t="s">
        <v>7910</v>
      </c>
      <c r="S20" s="6" t="str">
        <f t="shared" si="4"/>
        <v>실측 미완료</v>
      </c>
    </row>
    <row r="21" spans="1:19" ht="33" customHeight="1">
      <c r="A21" s="6" t="s">
        <v>7914</v>
      </c>
      <c r="B21" s="6" t="s">
        <v>7909</v>
      </c>
      <c r="C21" s="6" t="s">
        <v>183</v>
      </c>
      <c r="D21" s="6">
        <v>5</v>
      </c>
      <c r="E21" s="6">
        <v>885</v>
      </c>
      <c r="F21" s="15">
        <v>865</v>
      </c>
      <c r="G21" s="15">
        <v>270</v>
      </c>
      <c r="H21" s="15">
        <v>220</v>
      </c>
      <c r="I21" s="15">
        <v>20</v>
      </c>
      <c r="J21" s="6">
        <f t="shared" si="0"/>
        <v>200</v>
      </c>
      <c r="K21" s="15"/>
      <c r="L21" s="15"/>
      <c r="M21" s="15"/>
      <c r="N21" s="6">
        <f t="shared" si="1"/>
        <v>865</v>
      </c>
      <c r="O21" s="6">
        <f t="shared" si="2"/>
        <v>270</v>
      </c>
      <c r="P21" s="6">
        <f t="shared" si="3"/>
        <v>200</v>
      </c>
      <c r="Q21" s="6" t="s">
        <v>184</v>
      </c>
      <c r="R21" s="6" t="s">
        <v>7910</v>
      </c>
      <c r="S21" s="6" t="str">
        <f t="shared" si="4"/>
        <v>실측 미완료</v>
      </c>
    </row>
    <row r="22" spans="1:19" ht="33" customHeight="1">
      <c r="A22" s="6" t="s">
        <v>7915</v>
      </c>
      <c r="B22" s="6" t="s">
        <v>7916</v>
      </c>
      <c r="C22" s="6" t="s">
        <v>475</v>
      </c>
      <c r="D22" s="6">
        <v>1</v>
      </c>
      <c r="E22" s="6">
        <v>679</v>
      </c>
      <c r="F22" s="15">
        <v>645</v>
      </c>
      <c r="G22" s="15">
        <v>270</v>
      </c>
      <c r="H22" s="15">
        <v>100</v>
      </c>
      <c r="I22" s="15">
        <v>20</v>
      </c>
      <c r="J22" s="6">
        <f t="shared" si="0"/>
        <v>80</v>
      </c>
      <c r="K22" s="15"/>
      <c r="L22" s="15"/>
      <c r="M22" s="15"/>
      <c r="N22" s="6">
        <f t="shared" si="1"/>
        <v>645</v>
      </c>
      <c r="O22" s="6">
        <f t="shared" si="2"/>
        <v>270</v>
      </c>
      <c r="P22" s="6">
        <f t="shared" si="3"/>
        <v>80</v>
      </c>
      <c r="Q22" s="6" t="s">
        <v>476</v>
      </c>
      <c r="R22" s="6" t="s">
        <v>7917</v>
      </c>
      <c r="S22" s="6" t="str">
        <f t="shared" si="4"/>
        <v>실측 미완료</v>
      </c>
    </row>
    <row r="23" spans="1:19" ht="33" customHeight="1">
      <c r="A23" s="6" t="s">
        <v>7918</v>
      </c>
      <c r="B23" s="6" t="s">
        <v>7916</v>
      </c>
      <c r="C23" s="6" t="s">
        <v>475</v>
      </c>
      <c r="D23" s="6">
        <v>2</v>
      </c>
      <c r="E23" s="6">
        <v>679</v>
      </c>
      <c r="F23" s="15">
        <v>645</v>
      </c>
      <c r="G23" s="15">
        <v>270</v>
      </c>
      <c r="H23" s="15">
        <v>220</v>
      </c>
      <c r="I23" s="15">
        <v>20</v>
      </c>
      <c r="J23" s="6">
        <f t="shared" si="0"/>
        <v>200</v>
      </c>
      <c r="K23" s="15"/>
      <c r="L23" s="15"/>
      <c r="M23" s="15"/>
      <c r="N23" s="6">
        <f t="shared" si="1"/>
        <v>645</v>
      </c>
      <c r="O23" s="6">
        <f t="shared" si="2"/>
        <v>270</v>
      </c>
      <c r="P23" s="6">
        <f t="shared" si="3"/>
        <v>200</v>
      </c>
      <c r="Q23" s="6" t="s">
        <v>476</v>
      </c>
      <c r="R23" s="6" t="s">
        <v>7917</v>
      </c>
      <c r="S23" s="6" t="str">
        <f t="shared" si="4"/>
        <v>실측 미완료</v>
      </c>
    </row>
    <row r="24" spans="1:19" ht="33" customHeight="1">
      <c r="A24" s="6" t="s">
        <v>7919</v>
      </c>
      <c r="B24" s="6" t="s">
        <v>7916</v>
      </c>
      <c r="C24" s="6" t="s">
        <v>475</v>
      </c>
      <c r="D24" s="6">
        <v>3</v>
      </c>
      <c r="E24" s="6">
        <v>679</v>
      </c>
      <c r="F24" s="15">
        <v>645</v>
      </c>
      <c r="G24" s="15">
        <v>270</v>
      </c>
      <c r="H24" s="15">
        <v>220</v>
      </c>
      <c r="I24" s="15">
        <v>20</v>
      </c>
      <c r="J24" s="6">
        <f t="shared" si="0"/>
        <v>200</v>
      </c>
      <c r="K24" s="15"/>
      <c r="L24" s="15"/>
      <c r="M24" s="15"/>
      <c r="N24" s="6">
        <f t="shared" si="1"/>
        <v>645</v>
      </c>
      <c r="O24" s="6">
        <f t="shared" si="2"/>
        <v>270</v>
      </c>
      <c r="P24" s="6">
        <f t="shared" si="3"/>
        <v>200</v>
      </c>
      <c r="Q24" s="6" t="s">
        <v>476</v>
      </c>
      <c r="R24" s="6" t="s">
        <v>7917</v>
      </c>
      <c r="S24" s="6" t="str">
        <f t="shared" si="4"/>
        <v>실측 미완료</v>
      </c>
    </row>
    <row r="25" spans="1:19" ht="33" customHeight="1">
      <c r="A25" s="6" t="s">
        <v>7920</v>
      </c>
      <c r="B25" s="6" t="s">
        <v>7916</v>
      </c>
      <c r="C25" s="6" t="s">
        <v>475</v>
      </c>
      <c r="D25" s="6">
        <v>4</v>
      </c>
      <c r="E25" s="6">
        <v>679</v>
      </c>
      <c r="F25" s="15">
        <v>645</v>
      </c>
      <c r="G25" s="15">
        <v>270</v>
      </c>
      <c r="H25" s="15">
        <v>220</v>
      </c>
      <c r="I25" s="15">
        <v>20</v>
      </c>
      <c r="J25" s="6">
        <f t="shared" si="0"/>
        <v>200</v>
      </c>
      <c r="K25" s="15"/>
      <c r="L25" s="15"/>
      <c r="M25" s="15"/>
      <c r="N25" s="6">
        <f t="shared" si="1"/>
        <v>645</v>
      </c>
      <c r="O25" s="6">
        <f t="shared" si="2"/>
        <v>270</v>
      </c>
      <c r="P25" s="6">
        <f t="shared" si="3"/>
        <v>200</v>
      </c>
      <c r="Q25" s="6" t="s">
        <v>476</v>
      </c>
      <c r="R25" s="6" t="s">
        <v>7917</v>
      </c>
      <c r="S25" s="6" t="str">
        <f t="shared" si="4"/>
        <v>실측 미완료</v>
      </c>
    </row>
    <row r="26" spans="1:19" ht="33" customHeight="1">
      <c r="A26" s="6" t="s">
        <v>7921</v>
      </c>
      <c r="B26" s="6" t="s">
        <v>7916</v>
      </c>
      <c r="C26" s="6" t="s">
        <v>475</v>
      </c>
      <c r="D26" s="6">
        <v>5</v>
      </c>
      <c r="E26" s="6">
        <v>679</v>
      </c>
      <c r="F26" s="15">
        <v>645</v>
      </c>
      <c r="G26" s="15">
        <v>270</v>
      </c>
      <c r="H26" s="15">
        <v>220</v>
      </c>
      <c r="I26" s="15">
        <v>20</v>
      </c>
      <c r="J26" s="6">
        <f t="shared" si="0"/>
        <v>200</v>
      </c>
      <c r="K26" s="15"/>
      <c r="L26" s="15"/>
      <c r="M26" s="15"/>
      <c r="N26" s="6">
        <f t="shared" si="1"/>
        <v>645</v>
      </c>
      <c r="O26" s="6">
        <f t="shared" si="2"/>
        <v>270</v>
      </c>
      <c r="P26" s="6">
        <f t="shared" si="3"/>
        <v>200</v>
      </c>
      <c r="Q26" s="6" t="s">
        <v>476</v>
      </c>
      <c r="R26" s="6" t="s">
        <v>7917</v>
      </c>
      <c r="S26" s="6" t="str">
        <f t="shared" si="4"/>
        <v>실측 미완료</v>
      </c>
    </row>
  </sheetData>
  <phoneticPr fontId="10" type="noConversion"/>
  <dataValidations count="1">
    <dataValidation type="decimal" operator="greaterThan" sqref="K7:M26" xr:uid="{00000000-0002-0000-0500-00000000000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88B99"/>
  </sheetPr>
  <dimension ref="A2:E44"/>
  <sheetViews>
    <sheetView showGridLines="0" workbookViewId="0">
      <pane xSplit="2" ySplit="6" topLeftCell="C25" activePane="bottomRight" state="frozen"/>
      <selection pane="topRight"/>
      <selection pane="bottomLeft"/>
      <selection pane="bottomRight" activeCell="C7" sqref="C7"/>
    </sheetView>
  </sheetViews>
  <sheetFormatPr defaultRowHeight="14"/>
  <cols>
    <col min="1" max="1" width="14" customWidth="1"/>
    <col min="2" max="2" width="44" customWidth="1"/>
    <col min="3" max="3" width="46" customWidth="1"/>
    <col min="4" max="4" width="68" customWidth="1"/>
    <col min="5" max="5" width="95" customWidth="1"/>
  </cols>
  <sheetData>
    <row r="2" spans="1:5" ht="20">
      <c r="A2" s="17" t="s">
        <v>7922</v>
      </c>
    </row>
    <row r="3" spans="1:5">
      <c r="A3" s="18" t="s">
        <v>7923</v>
      </c>
    </row>
    <row r="4" spans="1:5">
      <c r="A4" s="18"/>
    </row>
    <row r="6" spans="1:5" ht="33" customHeight="1">
      <c r="A6" s="10" t="s">
        <v>7924</v>
      </c>
      <c r="B6" s="10" t="s">
        <v>7925</v>
      </c>
      <c r="C6" s="10" t="s">
        <v>7926</v>
      </c>
      <c r="D6" s="10" t="s">
        <v>7927</v>
      </c>
      <c r="E6" s="10" t="s">
        <v>7928</v>
      </c>
    </row>
    <row r="7" spans="1:5" ht="33" customHeight="1">
      <c r="A7" s="6" t="s">
        <v>7929</v>
      </c>
      <c r="B7" s="6" t="s">
        <v>1621</v>
      </c>
      <c r="C7" s="6">
        <f>COUNTIF('03_상품분류2526'!$M$7:$M$2532,"A")</f>
        <v>106</v>
      </c>
      <c r="D7" s="6" t="s">
        <v>1623</v>
      </c>
      <c r="E7" s="6" t="s">
        <v>7930</v>
      </c>
    </row>
    <row r="8" spans="1:5" ht="33" customHeight="1">
      <c r="A8" s="6" t="s">
        <v>7929</v>
      </c>
      <c r="B8" s="6" t="s">
        <v>1633</v>
      </c>
      <c r="C8" s="6">
        <f>COUNTIF('03_상품분류2526'!$M$7:$M$2532,"B")</f>
        <v>208</v>
      </c>
      <c r="D8" s="6" t="s">
        <v>1635</v>
      </c>
      <c r="E8" s="6" t="s">
        <v>7931</v>
      </c>
    </row>
    <row r="9" spans="1:5" ht="33" customHeight="1">
      <c r="A9" s="6" t="s">
        <v>7929</v>
      </c>
      <c r="B9" s="6" t="s">
        <v>1992</v>
      </c>
      <c r="C9" s="6">
        <f>COUNTIF('03_상품분류2526'!$M$7:$M$2532,"T")</f>
        <v>12</v>
      </c>
      <c r="D9" s="6" t="s">
        <v>1993</v>
      </c>
      <c r="E9" s="6" t="s">
        <v>7932</v>
      </c>
    </row>
    <row r="10" spans="1:5" ht="33" customHeight="1">
      <c r="A10" s="6" t="s">
        <v>7929</v>
      </c>
      <c r="B10" s="6" t="s">
        <v>7933</v>
      </c>
      <c r="C10" s="6">
        <f>COUNTIF('03_상품분류2526'!$Q$7:$Q$2532,"&gt;0")</f>
        <v>326</v>
      </c>
      <c r="D10" s="6" t="s">
        <v>7934</v>
      </c>
      <c r="E10" s="6" t="s">
        <v>7935</v>
      </c>
    </row>
    <row r="11" spans="1:5" ht="33" customHeight="1">
      <c r="A11" s="6" t="s">
        <v>7929</v>
      </c>
      <c r="B11" s="6" t="s">
        <v>7936</v>
      </c>
      <c r="C11" s="6">
        <f>SUM('05_상품별배치367'!$K$7:$K$373)</f>
        <v>391</v>
      </c>
      <c r="D11" s="6" t="s">
        <v>7937</v>
      </c>
      <c r="E11" s="6" t="s">
        <v>7938</v>
      </c>
    </row>
    <row r="12" spans="1:5" ht="33" customHeight="1">
      <c r="A12" s="6" t="s">
        <v>7929</v>
      </c>
      <c r="B12" s="6" t="s">
        <v>7939</v>
      </c>
      <c r="C12" s="6">
        <f>COUNTIFS('05_상품별배치367'!$H$7:$H$373,"추가 진열",'05_상품별배치367'!$K$7:$K$373,"&gt;0")</f>
        <v>41</v>
      </c>
      <c r="D12" s="6" t="s">
        <v>7940</v>
      </c>
      <c r="E12" s="6" t="s">
        <v>7941</v>
      </c>
    </row>
    <row r="13" spans="1:5" ht="33" customHeight="1">
      <c r="A13" s="6" t="s">
        <v>7929</v>
      </c>
      <c r="B13" s="6" t="s">
        <v>1642</v>
      </c>
      <c r="C13" s="6">
        <v>1532</v>
      </c>
      <c r="D13" s="6" t="s">
        <v>1643</v>
      </c>
      <c r="E13" s="6" t="s">
        <v>7942</v>
      </c>
    </row>
    <row r="14" spans="1:5" ht="33" customHeight="1">
      <c r="A14" s="6" t="s">
        <v>7929</v>
      </c>
      <c r="B14" s="6" t="s">
        <v>1807</v>
      </c>
      <c r="C14" s="6">
        <v>314</v>
      </c>
      <c r="D14" s="6" t="s">
        <v>1809</v>
      </c>
      <c r="E14" s="6" t="s">
        <v>7943</v>
      </c>
    </row>
    <row r="15" spans="1:5" ht="33" customHeight="1">
      <c r="A15" s="6" t="s">
        <v>7929</v>
      </c>
      <c r="B15" s="6" t="s">
        <v>1669</v>
      </c>
      <c r="C15" s="6">
        <v>334</v>
      </c>
      <c r="D15" s="6" t="s">
        <v>1671</v>
      </c>
      <c r="E15" s="6" t="s">
        <v>7944</v>
      </c>
    </row>
    <row r="16" spans="1:5" ht="33" customHeight="1">
      <c r="A16" s="6" t="s">
        <v>7929</v>
      </c>
      <c r="B16" s="6" t="s">
        <v>1999</v>
      </c>
      <c r="C16" s="6">
        <v>20</v>
      </c>
      <c r="D16" s="6" t="s">
        <v>1671</v>
      </c>
      <c r="E16" s="6" t="s">
        <v>7945</v>
      </c>
    </row>
    <row r="17" spans="1:5" ht="33" customHeight="1">
      <c r="A17" s="6" t="s">
        <v>7946</v>
      </c>
      <c r="B17" s="6" t="s">
        <v>7947</v>
      </c>
      <c r="C17" s="6" t="s">
        <v>7948</v>
      </c>
      <c r="D17" s="6" t="s">
        <v>7949</v>
      </c>
      <c r="E17" s="6" t="s">
        <v>7950</v>
      </c>
    </row>
    <row r="18" spans="1:5" ht="33" customHeight="1">
      <c r="A18" s="6" t="s">
        <v>7946</v>
      </c>
      <c r="B18" s="6" t="s">
        <v>7951</v>
      </c>
      <c r="C18" s="6" t="s">
        <v>7952</v>
      </c>
      <c r="D18" s="6" t="s">
        <v>7953</v>
      </c>
      <c r="E18" s="6" t="s">
        <v>7954</v>
      </c>
    </row>
    <row r="19" spans="1:5" ht="33" customHeight="1">
      <c r="A19" s="6" t="s">
        <v>7946</v>
      </c>
      <c r="B19" s="6" t="s">
        <v>7955</v>
      </c>
      <c r="C19" s="6" t="s">
        <v>7956</v>
      </c>
      <c r="D19" s="6" t="s">
        <v>7957</v>
      </c>
      <c r="E19" s="6" t="s">
        <v>7958</v>
      </c>
    </row>
    <row r="20" spans="1:5" ht="33" customHeight="1">
      <c r="A20" s="6" t="s">
        <v>7946</v>
      </c>
      <c r="B20" s="6" t="s">
        <v>7959</v>
      </c>
      <c r="C20" s="6" t="s">
        <v>7960</v>
      </c>
      <c r="D20" s="6" t="s">
        <v>7961</v>
      </c>
      <c r="E20" s="6" t="s">
        <v>7962</v>
      </c>
    </row>
    <row r="21" spans="1:5" ht="33" customHeight="1">
      <c r="A21" s="6" t="s">
        <v>7946</v>
      </c>
      <c r="B21" s="6" t="s">
        <v>543</v>
      </c>
      <c r="C21" s="6" t="s">
        <v>7963</v>
      </c>
      <c r="D21" s="6" t="s">
        <v>7964</v>
      </c>
      <c r="E21" s="6" t="s">
        <v>7965</v>
      </c>
    </row>
    <row r="22" spans="1:5" ht="33" customHeight="1">
      <c r="A22" s="6" t="s">
        <v>7966</v>
      </c>
      <c r="B22" s="6" t="s">
        <v>7967</v>
      </c>
      <c r="C22" s="6" t="s">
        <v>7968</v>
      </c>
      <c r="D22" s="6" t="s">
        <v>7969</v>
      </c>
      <c r="E22" s="6" t="s">
        <v>7970</v>
      </c>
    </row>
    <row r="23" spans="1:5" ht="33" customHeight="1">
      <c r="A23" s="6" t="s">
        <v>7966</v>
      </c>
      <c r="B23" s="6" t="s">
        <v>7971</v>
      </c>
      <c r="C23" s="6" t="s">
        <v>7972</v>
      </c>
      <c r="D23" s="6" t="s">
        <v>7973</v>
      </c>
      <c r="E23" s="6" t="s">
        <v>7974</v>
      </c>
    </row>
    <row r="24" spans="1:5" ht="33" customHeight="1">
      <c r="A24" s="6" t="s">
        <v>7966</v>
      </c>
      <c r="B24" s="6" t="s">
        <v>7975</v>
      </c>
      <c r="C24" s="6" t="s">
        <v>7976</v>
      </c>
      <c r="D24" s="6" t="s">
        <v>7977</v>
      </c>
      <c r="E24" s="6" t="s">
        <v>7978</v>
      </c>
    </row>
    <row r="25" spans="1:5" ht="33" customHeight="1">
      <c r="A25" s="6" t="s">
        <v>7966</v>
      </c>
      <c r="B25" s="6" t="s">
        <v>7979</v>
      </c>
      <c r="C25" s="6" t="s">
        <v>7980</v>
      </c>
      <c r="D25" s="6" t="s">
        <v>7981</v>
      </c>
      <c r="E25" s="6" t="s">
        <v>7982</v>
      </c>
    </row>
    <row r="26" spans="1:5" ht="33" customHeight="1">
      <c r="A26" s="6" t="s">
        <v>7966</v>
      </c>
      <c r="B26" s="6" t="s">
        <v>7983</v>
      </c>
      <c r="C26" s="6" t="s">
        <v>7984</v>
      </c>
      <c r="D26" s="6" t="s">
        <v>1618</v>
      </c>
      <c r="E26" s="6" t="s">
        <v>7985</v>
      </c>
    </row>
    <row r="27" spans="1:5" ht="33" customHeight="1">
      <c r="A27" s="6" t="s">
        <v>7986</v>
      </c>
      <c r="B27" s="6" t="s">
        <v>7987</v>
      </c>
      <c r="C27" s="6" t="s">
        <v>7988</v>
      </c>
      <c r="D27" s="6" t="s">
        <v>7989</v>
      </c>
      <c r="E27" s="6" t="s">
        <v>7990</v>
      </c>
    </row>
    <row r="28" spans="1:5" ht="33" customHeight="1">
      <c r="A28" s="6" t="s">
        <v>7991</v>
      </c>
      <c r="B28" s="6" t="s">
        <v>7992</v>
      </c>
      <c r="C28" s="6" t="s">
        <v>7993</v>
      </c>
      <c r="D28" s="6" t="s">
        <v>7994</v>
      </c>
      <c r="E28" s="6" t="s">
        <v>7995</v>
      </c>
    </row>
    <row r="29" spans="1:5" ht="33" customHeight="1">
      <c r="A29" s="6" t="s">
        <v>7991</v>
      </c>
      <c r="B29" s="6" t="s">
        <v>7996</v>
      </c>
      <c r="C29" s="6" t="s">
        <v>7997</v>
      </c>
      <c r="D29" s="6" t="s">
        <v>7998</v>
      </c>
      <c r="E29" s="6" t="s">
        <v>7999</v>
      </c>
    </row>
    <row r="30" spans="1:5" ht="33" customHeight="1">
      <c r="A30" s="6" t="s">
        <v>7458</v>
      </c>
      <c r="B30" s="6" t="s">
        <v>8000</v>
      </c>
      <c r="C30" s="6" t="s">
        <v>8001</v>
      </c>
      <c r="D30" s="6" t="s">
        <v>8002</v>
      </c>
      <c r="E30" s="6" t="s">
        <v>8003</v>
      </c>
    </row>
    <row r="31" spans="1:5" ht="33" customHeight="1">
      <c r="A31" s="6" t="s">
        <v>7458</v>
      </c>
      <c r="B31" s="6" t="s">
        <v>8004</v>
      </c>
      <c r="C31" s="6" t="s">
        <v>8005</v>
      </c>
      <c r="D31" s="6" t="s">
        <v>8006</v>
      </c>
      <c r="E31" s="6" t="s">
        <v>8007</v>
      </c>
    </row>
    <row r="32" spans="1:5" ht="33" customHeight="1">
      <c r="A32" s="6" t="s">
        <v>7458</v>
      </c>
      <c r="B32" s="6" t="s">
        <v>8008</v>
      </c>
      <c r="C32" s="6" t="s">
        <v>8005</v>
      </c>
      <c r="D32" s="6" t="s">
        <v>7286</v>
      </c>
      <c r="E32" s="6" t="s">
        <v>8009</v>
      </c>
    </row>
    <row r="33" spans="1:5" ht="33" customHeight="1">
      <c r="A33" s="6" t="s">
        <v>7458</v>
      </c>
      <c r="B33" s="6" t="s">
        <v>8010</v>
      </c>
      <c r="C33" s="6" t="s">
        <v>8011</v>
      </c>
      <c r="D33" s="6" t="s">
        <v>7474</v>
      </c>
      <c r="E33" s="6" t="s">
        <v>8012</v>
      </c>
    </row>
    <row r="34" spans="1:5" ht="33" customHeight="1">
      <c r="A34" s="6" t="s">
        <v>8013</v>
      </c>
      <c r="B34" s="6" t="s">
        <v>8014</v>
      </c>
      <c r="C34" s="6" t="s">
        <v>870</v>
      </c>
      <c r="D34" s="6" t="s">
        <v>481</v>
      </c>
      <c r="E34" s="6" t="s">
        <v>7093</v>
      </c>
    </row>
    <row r="35" spans="1:5" ht="33" customHeight="1">
      <c r="A35" s="6" t="s">
        <v>8013</v>
      </c>
      <c r="B35" s="6" t="s">
        <v>8015</v>
      </c>
      <c r="C35" s="6" t="s">
        <v>2933</v>
      </c>
      <c r="D35" s="6" t="s">
        <v>504</v>
      </c>
      <c r="E35" s="6" t="s">
        <v>6904</v>
      </c>
    </row>
    <row r="36" spans="1:5" ht="33" customHeight="1">
      <c r="A36" s="6" t="s">
        <v>8013</v>
      </c>
      <c r="B36" s="6" t="s">
        <v>8016</v>
      </c>
      <c r="C36" s="6" t="s">
        <v>156</v>
      </c>
      <c r="D36" s="6" t="s">
        <v>4218</v>
      </c>
      <c r="E36" s="6" t="s">
        <v>4219</v>
      </c>
    </row>
    <row r="37" spans="1:5" ht="33" customHeight="1">
      <c r="A37" s="6" t="s">
        <v>8013</v>
      </c>
      <c r="B37" s="6" t="s">
        <v>8017</v>
      </c>
      <c r="C37" s="6" t="s">
        <v>504</v>
      </c>
      <c r="D37" s="6" t="s">
        <v>2194</v>
      </c>
      <c r="E37" s="6" t="s">
        <v>2195</v>
      </c>
    </row>
    <row r="38" spans="1:5" ht="33" customHeight="1">
      <c r="A38" s="6" t="s">
        <v>8013</v>
      </c>
      <c r="B38" s="6" t="s">
        <v>8018</v>
      </c>
      <c r="C38" s="6" t="s">
        <v>2933</v>
      </c>
      <c r="D38" s="6" t="s">
        <v>5186</v>
      </c>
      <c r="E38" s="6" t="s">
        <v>5187</v>
      </c>
    </row>
    <row r="39" spans="1:5" ht="33" customHeight="1">
      <c r="A39" s="6" t="s">
        <v>8013</v>
      </c>
      <c r="B39" s="6" t="s">
        <v>8019</v>
      </c>
      <c r="C39" s="6" t="s">
        <v>2933</v>
      </c>
      <c r="D39" s="6" t="s">
        <v>5186</v>
      </c>
      <c r="E39" s="6" t="s">
        <v>5187</v>
      </c>
    </row>
    <row r="40" spans="1:5" ht="33" customHeight="1">
      <c r="A40" s="6" t="s">
        <v>8013</v>
      </c>
      <c r="B40" s="6" t="s">
        <v>8020</v>
      </c>
      <c r="C40" s="6" t="s">
        <v>2933</v>
      </c>
      <c r="D40" s="6" t="s">
        <v>5186</v>
      </c>
      <c r="E40" s="6" t="s">
        <v>5187</v>
      </c>
    </row>
    <row r="41" spans="1:5" ht="33" customHeight="1">
      <c r="A41" s="6" t="s">
        <v>8013</v>
      </c>
      <c r="B41" s="6" t="s">
        <v>8021</v>
      </c>
      <c r="C41" s="6" t="s">
        <v>2933</v>
      </c>
      <c r="D41" s="6" t="s">
        <v>4924</v>
      </c>
      <c r="E41" s="6" t="s">
        <v>4925</v>
      </c>
    </row>
    <row r="42" spans="1:5" ht="33" customHeight="1">
      <c r="A42" s="6" t="s">
        <v>8013</v>
      </c>
      <c r="B42" s="6" t="s">
        <v>8022</v>
      </c>
      <c r="C42" s="6" t="s">
        <v>2933</v>
      </c>
      <c r="D42" s="6" t="s">
        <v>4924</v>
      </c>
      <c r="E42" s="6" t="s">
        <v>4925</v>
      </c>
    </row>
    <row r="43" spans="1:5" ht="33" customHeight="1">
      <c r="A43" s="6" t="s">
        <v>8013</v>
      </c>
      <c r="B43" s="6" t="s">
        <v>8023</v>
      </c>
      <c r="C43" s="6" t="s">
        <v>2933</v>
      </c>
      <c r="D43" s="6" t="s">
        <v>4924</v>
      </c>
      <c r="E43" s="6" t="s">
        <v>4925</v>
      </c>
    </row>
    <row r="44" spans="1:5" ht="33" customHeight="1">
      <c r="A44" s="6" t="s">
        <v>8013</v>
      </c>
      <c r="B44" s="6" t="s">
        <v>8024</v>
      </c>
      <c r="C44" s="6" t="s">
        <v>858</v>
      </c>
      <c r="D44" s="6" t="s">
        <v>963</v>
      </c>
      <c r="E44" s="6" t="s">
        <v>5806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01_전체조닝63</vt:lpstr>
      <vt:lpstr>02_선반315</vt:lpstr>
      <vt:lpstr>03_상품분류2526</vt:lpstr>
      <vt:lpstr>04_브랜드검토</vt:lpstr>
      <vt:lpstr>05_상품별배치367</vt:lpstr>
      <vt:lpstr>06_집기치수20</vt:lpstr>
      <vt:lpstr>07_실행기준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ByeongSeok Min</dc:creator>
  <cp:lastModifiedBy>ByeongSeok Min</cp:lastModifiedBy>
  <dcterms:created xsi:type="dcterms:W3CDTF">2026-09-17T07:15:45Z</dcterms:created>
  <dcterms:modified xsi:type="dcterms:W3CDTF">2026-09-17T07:15:46Z</dcterms:modified>
</cp:coreProperties>
</file>